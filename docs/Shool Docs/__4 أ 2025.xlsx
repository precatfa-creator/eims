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مجلد جديد\"/>
    </mc:Choice>
  </mc:AlternateContent>
  <bookViews>
    <workbookView xWindow="-105" yWindow="-105" windowWidth="16605" windowHeight="8835" tabRatio="705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ادخال1!$E$2:$E$409</definedName>
    <definedName name="_xlnm.Print_Area" localSheetId="4">'النتيجة النهائية'!$A$1:$AO$978</definedName>
    <definedName name="_xlnm.Print_Area" localSheetId="0">'بيانات الصحيفة '!$A$1:$BG$110</definedName>
    <definedName name="_xlnm.Print_Titles" localSheetId="4">'النتيجة النهائية'!$1:$9</definedName>
    <definedName name="اسماء">ادخال1!$B$11:$EY$524</definedName>
    <definedName name="الترتيب1">ادخال1!$BA$11:$BB$410</definedName>
    <definedName name="الترتيب2">ادخال1!$BG$11:$BH$409</definedName>
    <definedName name="الترتيب3">ادخال1!$BL$11:$BM$411</definedName>
    <definedName name="عمود1">ادخال1!$A$11:$A$409</definedName>
    <definedName name="عمود2">ادخال1!$B$11:$B$409</definedName>
    <definedName name="مستجد">ادخال1!$CQ$3:$CQ$4</definedName>
    <definedName name="مسلسل">ادخال1!$A$11:$B$409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4" l="1"/>
  <c r="N25" i="4" l="1"/>
  <c r="N23" i="4"/>
  <c r="N21" i="4"/>
  <c r="N19" i="4"/>
  <c r="N17" i="4"/>
  <c r="N15" i="4"/>
  <c r="N13" i="4"/>
  <c r="F6" i="31" l="1"/>
  <c r="G6" i="31" s="1"/>
  <c r="H6" i="31"/>
  <c r="I6" i="31" s="1"/>
  <c r="J6" i="31"/>
  <c r="N6" i="31"/>
  <c r="T6" i="31"/>
  <c r="U6" i="31" s="1"/>
  <c r="L6" i="31"/>
  <c r="M6" i="31" s="1"/>
  <c r="P6" i="31"/>
  <c r="R6" i="31"/>
  <c r="X6" i="31"/>
  <c r="W6" i="31"/>
  <c r="X7" i="31"/>
  <c r="W7" i="31"/>
  <c r="AE1" i="27"/>
  <c r="AU1" i="27" s="1"/>
  <c r="AX141" i="27"/>
  <c r="AW141" i="27"/>
  <c r="AX140" i="27"/>
  <c r="AW140" i="27"/>
  <c r="AX139" i="27"/>
  <c r="AW139" i="27"/>
  <c r="AX136" i="27"/>
  <c r="BA136" i="27" s="1"/>
  <c r="AW136" i="27"/>
  <c r="AX135" i="27"/>
  <c r="AW135" i="27"/>
  <c r="AX134" i="27"/>
  <c r="BC134" i="27"/>
  <c r="AW134" i="27"/>
  <c r="AX133" i="27"/>
  <c r="AW133" i="27"/>
  <c r="AX132" i="27"/>
  <c r="AW132" i="27"/>
  <c r="AX131" i="27"/>
  <c r="AW131" i="27"/>
  <c r="AX130" i="27"/>
  <c r="BC130" i="27" s="1"/>
  <c r="AW130" i="27"/>
  <c r="AX129" i="27"/>
  <c r="AY129" i="27"/>
  <c r="AW129" i="27"/>
  <c r="AH141" i="27"/>
  <c r="AG141" i="27"/>
  <c r="AH140" i="27"/>
  <c r="AG140" i="27"/>
  <c r="AH139" i="27"/>
  <c r="AG139" i="27"/>
  <c r="AH136" i="27"/>
  <c r="AG136" i="27"/>
  <c r="AH135" i="27"/>
  <c r="AK135" i="27"/>
  <c r="AG135" i="27"/>
  <c r="AH134" i="27"/>
  <c r="AG134" i="27"/>
  <c r="AH133" i="27"/>
  <c r="AK133" i="27" s="1"/>
  <c r="AG133" i="27"/>
  <c r="AH132" i="27"/>
  <c r="AG132" i="27"/>
  <c r="AH131" i="27"/>
  <c r="AK131" i="27"/>
  <c r="AG131" i="27"/>
  <c r="AH130" i="27"/>
  <c r="AG130" i="27"/>
  <c r="AH129" i="27"/>
  <c r="AK129" i="27" s="1"/>
  <c r="AG129" i="27"/>
  <c r="AE44" i="27"/>
  <c r="AE84" i="27" s="1"/>
  <c r="R141" i="27"/>
  <c r="Q141" i="27"/>
  <c r="R140" i="27"/>
  <c r="Q140" i="27"/>
  <c r="R139" i="27"/>
  <c r="Q139" i="27"/>
  <c r="R136" i="27"/>
  <c r="Q136" i="27"/>
  <c r="R135" i="27"/>
  <c r="W135" i="27" s="1"/>
  <c r="Q135" i="27"/>
  <c r="R134" i="27"/>
  <c r="S134" i="27" s="1"/>
  <c r="Q134" i="27"/>
  <c r="R133" i="27"/>
  <c r="S133" i="27" s="1"/>
  <c r="U133" i="27"/>
  <c r="Q133" i="27"/>
  <c r="R132" i="27"/>
  <c r="S132" i="27" s="1"/>
  <c r="Q132" i="27"/>
  <c r="R131" i="27"/>
  <c r="U131" i="27" s="1"/>
  <c r="Q131" i="27"/>
  <c r="R130" i="27"/>
  <c r="Q130" i="27"/>
  <c r="R129" i="27"/>
  <c r="W129" i="27" s="1"/>
  <c r="Q129" i="27"/>
  <c r="O44" i="27"/>
  <c r="O84" i="27"/>
  <c r="O125" i="27" s="1"/>
  <c r="B141" i="27"/>
  <c r="A141" i="27"/>
  <c r="B140" i="27"/>
  <c r="A140" i="27"/>
  <c r="B139" i="27"/>
  <c r="A139" i="27"/>
  <c r="B136" i="27"/>
  <c r="A136" i="27"/>
  <c r="B135" i="27"/>
  <c r="E135" i="27"/>
  <c r="A135" i="27"/>
  <c r="B134" i="27"/>
  <c r="A134" i="27"/>
  <c r="B133" i="27"/>
  <c r="E133" i="27" s="1"/>
  <c r="A133" i="27"/>
  <c r="B132" i="27"/>
  <c r="C132" i="27" s="1"/>
  <c r="A132" i="27"/>
  <c r="B131" i="27"/>
  <c r="E131" i="27"/>
  <c r="A131" i="27"/>
  <c r="B130" i="27"/>
  <c r="A130" i="27"/>
  <c r="B129" i="27"/>
  <c r="G129" i="27" s="1"/>
  <c r="A129" i="27"/>
  <c r="AX100" i="27"/>
  <c r="AW100" i="27"/>
  <c r="AX99" i="27"/>
  <c r="AW99" i="27"/>
  <c r="AX98" i="27"/>
  <c r="AW98" i="27"/>
  <c r="AX95" i="27"/>
  <c r="BA95" i="27" s="1"/>
  <c r="AW95" i="27"/>
  <c r="AX94" i="27"/>
  <c r="BA94" i="27" s="1"/>
  <c r="AW94" i="27"/>
  <c r="AX93" i="27"/>
  <c r="BC93" i="27" s="1"/>
  <c r="AW93" i="27"/>
  <c r="AX92" i="27"/>
  <c r="AW92" i="27"/>
  <c r="AX91" i="27"/>
  <c r="BA91" i="27" s="1"/>
  <c r="AW91" i="27"/>
  <c r="AX90" i="27"/>
  <c r="AW90" i="27"/>
  <c r="AX89" i="27"/>
  <c r="AY89" i="27" s="1"/>
  <c r="AW89" i="27"/>
  <c r="AX88" i="27"/>
  <c r="AY88" i="27" s="1"/>
  <c r="AW88" i="27"/>
  <c r="AH100" i="27"/>
  <c r="AG100" i="27"/>
  <c r="AH99" i="27"/>
  <c r="AG99" i="27"/>
  <c r="AH98" i="27"/>
  <c r="AG98" i="27"/>
  <c r="AH95" i="27"/>
  <c r="AG95" i="27"/>
  <c r="AH94" i="27"/>
  <c r="AG94" i="27"/>
  <c r="AH93" i="27"/>
  <c r="AM93" i="27" s="1"/>
  <c r="AG93" i="27"/>
  <c r="AH92" i="27"/>
  <c r="AM92" i="27"/>
  <c r="AK92" i="27"/>
  <c r="AI92" i="27"/>
  <c r="AO92" i="27" s="1"/>
  <c r="AP92" i="27" s="1"/>
  <c r="AG92" i="27"/>
  <c r="AH91" i="27"/>
  <c r="AK91" i="27" s="1"/>
  <c r="AG91" i="27"/>
  <c r="AH90" i="27"/>
  <c r="AK90" i="27" s="1"/>
  <c r="AG90" i="27"/>
  <c r="AH89" i="27"/>
  <c r="AM89" i="27" s="1"/>
  <c r="AG89" i="27"/>
  <c r="AH88" i="27"/>
  <c r="AG88" i="27"/>
  <c r="R94" i="27"/>
  <c r="W94" i="27" s="1"/>
  <c r="R100" i="27"/>
  <c r="Q100" i="27"/>
  <c r="R99" i="27"/>
  <c r="Q99" i="27"/>
  <c r="R98" i="27"/>
  <c r="Q98" i="27"/>
  <c r="R95" i="27"/>
  <c r="U95" i="27" s="1"/>
  <c r="Q95" i="27"/>
  <c r="Q94" i="27"/>
  <c r="R93" i="27"/>
  <c r="S93" i="27" s="1"/>
  <c r="Q93" i="27"/>
  <c r="R92" i="27"/>
  <c r="Q92" i="27"/>
  <c r="R91" i="27"/>
  <c r="W91" i="27" s="1"/>
  <c r="Q91" i="27"/>
  <c r="R90" i="27"/>
  <c r="Q90" i="27"/>
  <c r="R89" i="27"/>
  <c r="S89" i="27" s="1"/>
  <c r="Q89" i="27"/>
  <c r="R88" i="27"/>
  <c r="Q88" i="27"/>
  <c r="B100" i="27"/>
  <c r="A100" i="27"/>
  <c r="B99" i="27"/>
  <c r="A99" i="27"/>
  <c r="B98" i="27"/>
  <c r="A98" i="27"/>
  <c r="B95" i="27"/>
  <c r="E95" i="27" s="1"/>
  <c r="A95" i="27"/>
  <c r="B94" i="27"/>
  <c r="G94" i="27" s="1"/>
  <c r="A94" i="27"/>
  <c r="B93" i="27"/>
  <c r="A93" i="27"/>
  <c r="B92" i="27"/>
  <c r="E92" i="27"/>
  <c r="A92" i="27"/>
  <c r="B91" i="27"/>
  <c r="A91" i="27"/>
  <c r="B90" i="27"/>
  <c r="A90" i="27"/>
  <c r="B89" i="27"/>
  <c r="G89" i="27" s="1"/>
  <c r="A89" i="27"/>
  <c r="B88" i="27"/>
  <c r="A88" i="27"/>
  <c r="AX60" i="27"/>
  <c r="AW60" i="27"/>
  <c r="AX59" i="27"/>
  <c r="AW59" i="27"/>
  <c r="AX58" i="27"/>
  <c r="AW58" i="27"/>
  <c r="AX55" i="27"/>
  <c r="BA55" i="27" s="1"/>
  <c r="AW55" i="27"/>
  <c r="AX54" i="27"/>
  <c r="AW54" i="27"/>
  <c r="AX53" i="27"/>
  <c r="BA53" i="27" s="1"/>
  <c r="AW53" i="27"/>
  <c r="AX52" i="27"/>
  <c r="AX48" i="27"/>
  <c r="BA48" i="27" s="1"/>
  <c r="AX49" i="27"/>
  <c r="AX50" i="27"/>
  <c r="AX51" i="27"/>
  <c r="BC51" i="27" s="1"/>
  <c r="AW52" i="27"/>
  <c r="AW51" i="27"/>
  <c r="AW50" i="27"/>
  <c r="AW49" i="27"/>
  <c r="AW48" i="27"/>
  <c r="AH60" i="27"/>
  <c r="AG60" i="27"/>
  <c r="AH59" i="27"/>
  <c r="AG59" i="27"/>
  <c r="AH58" i="27"/>
  <c r="AG58" i="27"/>
  <c r="AH55" i="27"/>
  <c r="AM55" i="27"/>
  <c r="AK55" i="27"/>
  <c r="AI55" i="27"/>
  <c r="AG55" i="27"/>
  <c r="AH54" i="27"/>
  <c r="AG54" i="27"/>
  <c r="AH53" i="27"/>
  <c r="AG53" i="27"/>
  <c r="AH52" i="27"/>
  <c r="AG52" i="27"/>
  <c r="AH51" i="27"/>
  <c r="AG51" i="27"/>
  <c r="AH50" i="27"/>
  <c r="AK50" i="27" s="1"/>
  <c r="AG50" i="27"/>
  <c r="AH49" i="27"/>
  <c r="AI49" i="27" s="1"/>
  <c r="AG49" i="27"/>
  <c r="AH48" i="27"/>
  <c r="AG48" i="27"/>
  <c r="R60" i="27"/>
  <c r="Q60" i="27"/>
  <c r="R59" i="27"/>
  <c r="Q59" i="27"/>
  <c r="R58" i="27"/>
  <c r="Q58" i="27"/>
  <c r="R55" i="27"/>
  <c r="Q55" i="27"/>
  <c r="R54" i="27"/>
  <c r="U54" i="27" s="1"/>
  <c r="Q54" i="27"/>
  <c r="R53" i="27"/>
  <c r="W53" i="27" s="1"/>
  <c r="U53" i="27"/>
  <c r="S53" i="27"/>
  <c r="Q53" i="27"/>
  <c r="R52" i="27"/>
  <c r="Q52" i="27"/>
  <c r="R51" i="27"/>
  <c r="Q51" i="27"/>
  <c r="R50" i="27"/>
  <c r="Q50" i="27"/>
  <c r="R49" i="27"/>
  <c r="U49" i="27" s="1"/>
  <c r="Q49" i="27"/>
  <c r="R48" i="27"/>
  <c r="U48" i="27" s="1"/>
  <c r="Q48" i="27"/>
  <c r="M62" i="27"/>
  <c r="D49" i="27" s="1"/>
  <c r="B60" i="27"/>
  <c r="A60" i="27"/>
  <c r="B59" i="27"/>
  <c r="A59" i="27"/>
  <c r="B58" i="27"/>
  <c r="A58" i="27"/>
  <c r="B55" i="27"/>
  <c r="E55" i="27" s="1"/>
  <c r="A55" i="27"/>
  <c r="B54" i="27"/>
  <c r="A54" i="27"/>
  <c r="B53" i="27"/>
  <c r="E53" i="27"/>
  <c r="A53" i="27"/>
  <c r="B52" i="27"/>
  <c r="A52" i="27"/>
  <c r="B51" i="27"/>
  <c r="E51" i="27" s="1"/>
  <c r="A51" i="27"/>
  <c r="B50" i="27"/>
  <c r="C50" i="27" s="1"/>
  <c r="A50" i="27"/>
  <c r="B49" i="27"/>
  <c r="A49" i="27"/>
  <c r="B48" i="27"/>
  <c r="A48" i="27"/>
  <c r="AX17" i="27"/>
  <c r="AW17" i="27"/>
  <c r="AX16" i="27"/>
  <c r="AW16" i="27"/>
  <c r="AX15" i="27"/>
  <c r="AW15" i="27"/>
  <c r="AX12" i="27"/>
  <c r="AW12" i="27"/>
  <c r="AX11" i="27"/>
  <c r="AW11" i="27"/>
  <c r="AX10" i="27"/>
  <c r="BC10" i="27"/>
  <c r="AW10" i="27"/>
  <c r="AX9" i="27"/>
  <c r="AY9" i="27" s="1"/>
  <c r="AW9" i="27"/>
  <c r="AX8" i="27"/>
  <c r="BC8" i="27" s="1"/>
  <c r="AW8" i="27"/>
  <c r="AX7" i="27"/>
  <c r="AW7" i="27"/>
  <c r="AX6" i="27"/>
  <c r="AW6" i="27"/>
  <c r="AX5" i="27"/>
  <c r="AW5" i="27"/>
  <c r="AH17" i="27"/>
  <c r="AG17" i="27"/>
  <c r="AH16" i="27"/>
  <c r="AG16" i="27"/>
  <c r="AH15" i="27"/>
  <c r="AG15" i="27"/>
  <c r="AH12" i="27"/>
  <c r="AG12" i="27"/>
  <c r="AH11" i="27"/>
  <c r="AK11" i="27" s="1"/>
  <c r="AG11" i="27"/>
  <c r="AH10" i="27"/>
  <c r="AG10" i="27"/>
  <c r="AH9" i="27"/>
  <c r="AG9" i="27"/>
  <c r="AH8" i="27"/>
  <c r="AI8" i="27" s="1"/>
  <c r="AG8" i="27"/>
  <c r="AH7" i="27"/>
  <c r="AG7" i="27"/>
  <c r="AH6" i="27"/>
  <c r="AG6" i="27"/>
  <c r="AH5" i="27"/>
  <c r="AK5" i="27" s="1"/>
  <c r="AG5" i="27"/>
  <c r="AC19" i="27"/>
  <c r="X8" i="27" s="1"/>
  <c r="R17" i="27"/>
  <c r="Q17" i="27"/>
  <c r="R16" i="27"/>
  <c r="Q16" i="27"/>
  <c r="R15" i="27"/>
  <c r="Q15" i="27"/>
  <c r="R12" i="27"/>
  <c r="Q12" i="27"/>
  <c r="R11" i="27"/>
  <c r="Q11" i="27"/>
  <c r="R10" i="27"/>
  <c r="S10" i="27" s="1"/>
  <c r="U10" i="27"/>
  <c r="Q10" i="27"/>
  <c r="R9" i="27"/>
  <c r="Q9" i="27"/>
  <c r="R8" i="27"/>
  <c r="Q8" i="27"/>
  <c r="R7" i="27"/>
  <c r="Q7" i="27"/>
  <c r="R6" i="27"/>
  <c r="Q6" i="27"/>
  <c r="R5" i="27"/>
  <c r="S5" i="27" s="1"/>
  <c r="W5" i="27"/>
  <c r="U5" i="27"/>
  <c r="Q5" i="27"/>
  <c r="AI129" i="27"/>
  <c r="AM129" i="27"/>
  <c r="E130" i="27"/>
  <c r="S130" i="27"/>
  <c r="AK134" i="27"/>
  <c r="BA129" i="27"/>
  <c r="BA130" i="27"/>
  <c r="BA134" i="27"/>
  <c r="BC129" i="27"/>
  <c r="AY134" i="27"/>
  <c r="S54" i="27"/>
  <c r="C88" i="27"/>
  <c r="BA9" i="27"/>
  <c r="E48" i="27"/>
  <c r="AK10" i="27"/>
  <c r="G50" i="27"/>
  <c r="W54" i="27"/>
  <c r="S55" i="27"/>
  <c r="E89" i="27"/>
  <c r="C89" i="27"/>
  <c r="AK93" i="27"/>
  <c r="AI93" i="27"/>
  <c r="BA88" i="27"/>
  <c r="BC88" i="27"/>
  <c r="U93" i="27"/>
  <c r="W93" i="27"/>
  <c r="G90" i="27"/>
  <c r="AK88" i="27"/>
  <c r="AK89" i="27"/>
  <c r="S88" i="27"/>
  <c r="AY93" i="27"/>
  <c r="S95" i="27"/>
  <c r="AI95" i="27"/>
  <c r="W10" i="27"/>
  <c r="Y10" i="27" s="1"/>
  <c r="Z10" i="27" s="1"/>
  <c r="P1" i="35"/>
  <c r="AE1" i="35" s="1"/>
  <c r="F8" i="4"/>
  <c r="G8" i="4"/>
  <c r="H8" i="4"/>
  <c r="I8" i="4"/>
  <c r="J8" i="4"/>
  <c r="K8" i="4"/>
  <c r="L8" i="4"/>
  <c r="M8" i="4"/>
  <c r="Z8" i="4" s="1"/>
  <c r="AF7" i="4"/>
  <c r="AF8" i="4" s="1"/>
  <c r="AG7" i="4"/>
  <c r="AG8" i="4" s="1"/>
  <c r="AH7" i="4"/>
  <c r="AH8" i="4" s="1"/>
  <c r="AI7" i="4"/>
  <c r="AI8" i="4" s="1"/>
  <c r="AJ7" i="4"/>
  <c r="AJ8" i="4" s="1"/>
  <c r="AK7" i="4"/>
  <c r="AK8" i="4" s="1"/>
  <c r="AL7" i="4"/>
  <c r="AL8" i="4" s="1"/>
  <c r="AM7" i="4"/>
  <c r="AM8" i="4" s="1"/>
  <c r="CI6" i="4"/>
  <c r="B8" i="35"/>
  <c r="AO129" i="27"/>
  <c r="AP129" i="27" s="1"/>
  <c r="AX181" i="27"/>
  <c r="AW181" i="27"/>
  <c r="AX180" i="27"/>
  <c r="AW180" i="27"/>
  <c r="AX177" i="27"/>
  <c r="AY177" i="27" s="1"/>
  <c r="AW177" i="27"/>
  <c r="AX176" i="27"/>
  <c r="AW176" i="27"/>
  <c r="AX175" i="27"/>
  <c r="AY175" i="27" s="1"/>
  <c r="AW175" i="27"/>
  <c r="AX174" i="27"/>
  <c r="BC174" i="27" s="1"/>
  <c r="AY174" i="27"/>
  <c r="AW174" i="27"/>
  <c r="AX173" i="27"/>
  <c r="AW173" i="27"/>
  <c r="AX172" i="27"/>
  <c r="BA172" i="27" s="1"/>
  <c r="AW172" i="27"/>
  <c r="AX171" i="27"/>
  <c r="AW171" i="27"/>
  <c r="AX170" i="27"/>
  <c r="BA170" i="27" s="1"/>
  <c r="AW170" i="27"/>
  <c r="AH181" i="27"/>
  <c r="AG181" i="27"/>
  <c r="AH180" i="27"/>
  <c r="AG180" i="27"/>
  <c r="AH177" i="27"/>
  <c r="AK177" i="27" s="1"/>
  <c r="AG177" i="27"/>
  <c r="AH176" i="27"/>
  <c r="AM176" i="27" s="1"/>
  <c r="AI176" i="27"/>
  <c r="AG176" i="27"/>
  <c r="AH175" i="27"/>
  <c r="AG175" i="27"/>
  <c r="AH174" i="27"/>
  <c r="AG174" i="27"/>
  <c r="AH173" i="27"/>
  <c r="AK173" i="27" s="1"/>
  <c r="AG173" i="27"/>
  <c r="AH172" i="27"/>
  <c r="AG172" i="27"/>
  <c r="AH171" i="27"/>
  <c r="AG171" i="27"/>
  <c r="AH170" i="27"/>
  <c r="AG170" i="27"/>
  <c r="R181" i="27"/>
  <c r="Q181" i="27"/>
  <c r="R180" i="27"/>
  <c r="Q180" i="27"/>
  <c r="R177" i="27"/>
  <c r="Q177" i="27"/>
  <c r="R176" i="27"/>
  <c r="Q176" i="27"/>
  <c r="R175" i="27"/>
  <c r="Q175" i="27"/>
  <c r="R174" i="27"/>
  <c r="W174" i="27" s="1"/>
  <c r="Q174" i="27"/>
  <c r="R173" i="27"/>
  <c r="Q173" i="27"/>
  <c r="R172" i="27"/>
  <c r="Q172" i="27"/>
  <c r="R171" i="27"/>
  <c r="Q171" i="27"/>
  <c r="R170" i="27"/>
  <c r="Q170" i="27"/>
  <c r="B181" i="27"/>
  <c r="A181" i="27"/>
  <c r="B180" i="27"/>
  <c r="A180" i="27"/>
  <c r="B177" i="27"/>
  <c r="G177" i="27" s="1"/>
  <c r="A177" i="27"/>
  <c r="B176" i="27"/>
  <c r="A176" i="27"/>
  <c r="B175" i="27"/>
  <c r="E175" i="27" s="1"/>
  <c r="A175" i="27"/>
  <c r="B174" i="27"/>
  <c r="G174" i="27" s="1"/>
  <c r="A174" i="27"/>
  <c r="B173" i="27"/>
  <c r="A173" i="27"/>
  <c r="B172" i="27"/>
  <c r="G172" i="27" s="1"/>
  <c r="E172" i="27"/>
  <c r="A172" i="27"/>
  <c r="B171" i="27"/>
  <c r="A171" i="27"/>
  <c r="B170" i="27"/>
  <c r="A170" i="27"/>
  <c r="B12" i="27"/>
  <c r="C12" i="27" s="1"/>
  <c r="A12" i="27"/>
  <c r="AN11" i="4"/>
  <c r="J7" i="31"/>
  <c r="J3" i="31"/>
  <c r="L7" i="31"/>
  <c r="AX182" i="27"/>
  <c r="AW182" i="27"/>
  <c r="AH182" i="27"/>
  <c r="AG182" i="27"/>
  <c r="R182" i="27"/>
  <c r="Q182" i="27"/>
  <c r="B182" i="27"/>
  <c r="A182" i="27"/>
  <c r="E174" i="27"/>
  <c r="AI173" i="27"/>
  <c r="C172" i="27"/>
  <c r="AK176" i="27"/>
  <c r="AK170" i="27"/>
  <c r="BA174" i="27"/>
  <c r="B7" i="27"/>
  <c r="E7" i="27" s="1"/>
  <c r="A7" i="27"/>
  <c r="BF96" i="35"/>
  <c r="AU95" i="35"/>
  <c r="BC94" i="35"/>
  <c r="AU94" i="35"/>
  <c r="AZ93" i="35"/>
  <c r="BD92" i="35"/>
  <c r="AQ96" i="35"/>
  <c r="AF96" i="35"/>
  <c r="AF95" i="35"/>
  <c r="AN94" i="35"/>
  <c r="AF94" i="35"/>
  <c r="AK93" i="35"/>
  <c r="AO92" i="35"/>
  <c r="AB96" i="35"/>
  <c r="Q95" i="35"/>
  <c r="Y94" i="35"/>
  <c r="Q94" i="35"/>
  <c r="V93" i="35"/>
  <c r="Z92" i="35"/>
  <c r="M96" i="35"/>
  <c r="B95" i="35"/>
  <c r="J94" i="35"/>
  <c r="B94" i="35"/>
  <c r="G93" i="35"/>
  <c r="K92" i="35"/>
  <c r="BF74" i="35"/>
  <c r="AU73" i="35"/>
  <c r="BC72" i="35"/>
  <c r="AU72" i="35"/>
  <c r="AZ71" i="35"/>
  <c r="BD70" i="35"/>
  <c r="AQ74" i="35"/>
  <c r="AF73" i="35"/>
  <c r="AN72" i="35"/>
  <c r="AF72" i="35"/>
  <c r="AK71" i="35"/>
  <c r="AO70" i="35"/>
  <c r="AB74" i="35"/>
  <c r="Q73" i="35"/>
  <c r="Y72" i="35"/>
  <c r="Q72" i="35"/>
  <c r="V71" i="35"/>
  <c r="Z70" i="35"/>
  <c r="M74" i="35"/>
  <c r="B73" i="35"/>
  <c r="J72" i="35"/>
  <c r="B72" i="35"/>
  <c r="G71" i="35"/>
  <c r="K70" i="35"/>
  <c r="BF52" i="35"/>
  <c r="AU51" i="35"/>
  <c r="BC50" i="35"/>
  <c r="AU50" i="35"/>
  <c r="AZ49" i="35"/>
  <c r="BD48" i="35"/>
  <c r="AQ52" i="35"/>
  <c r="AF52" i="35"/>
  <c r="AF51" i="35"/>
  <c r="AN50" i="35"/>
  <c r="AF50" i="35"/>
  <c r="AK49" i="35"/>
  <c r="AO48" i="35"/>
  <c r="AB52" i="35"/>
  <c r="Q51" i="35"/>
  <c r="Y50" i="35"/>
  <c r="Q50" i="35"/>
  <c r="V49" i="35"/>
  <c r="Z48" i="35"/>
  <c r="M52" i="35"/>
  <c r="B51" i="35"/>
  <c r="J50" i="35"/>
  <c r="B50" i="35"/>
  <c r="G49" i="35"/>
  <c r="K48" i="35"/>
  <c r="BF30" i="35"/>
  <c r="AU29" i="35"/>
  <c r="BC28" i="35"/>
  <c r="AU28" i="35"/>
  <c r="AZ27" i="35"/>
  <c r="BD26" i="35"/>
  <c r="AQ30" i="35"/>
  <c r="AF29" i="35"/>
  <c r="AN28" i="35"/>
  <c r="AF28" i="35"/>
  <c r="AK27" i="35"/>
  <c r="AO26" i="35"/>
  <c r="AB30" i="35"/>
  <c r="Q29" i="35"/>
  <c r="Y28" i="35"/>
  <c r="Q28" i="35"/>
  <c r="V27" i="35"/>
  <c r="Z26" i="35"/>
  <c r="M30" i="35"/>
  <c r="B29" i="35"/>
  <c r="J28" i="35"/>
  <c r="B28" i="35"/>
  <c r="G27" i="35"/>
  <c r="K26" i="35"/>
  <c r="BF8" i="35"/>
  <c r="AU7" i="35"/>
  <c r="BC6" i="35"/>
  <c r="AU6" i="35"/>
  <c r="AZ5" i="35"/>
  <c r="BD4" i="35"/>
  <c r="AQ8" i="35"/>
  <c r="AF8" i="35"/>
  <c r="AF7" i="35"/>
  <c r="AN6" i="35"/>
  <c r="AF6" i="35"/>
  <c r="AK5" i="35"/>
  <c r="AO4" i="35"/>
  <c r="AB8" i="35"/>
  <c r="Q7" i="35"/>
  <c r="Y6" i="35"/>
  <c r="Q6" i="35"/>
  <c r="V5" i="35"/>
  <c r="Z4" i="35"/>
  <c r="AL105" i="30"/>
  <c r="AK105" i="30"/>
  <c r="AJ105" i="30"/>
  <c r="AA105" i="30"/>
  <c r="Z105" i="30"/>
  <c r="Y105" i="30"/>
  <c r="P105" i="30"/>
  <c r="O105" i="30"/>
  <c r="N105" i="30"/>
  <c r="E105" i="30"/>
  <c r="D105" i="30"/>
  <c r="C105" i="30"/>
  <c r="AL84" i="30"/>
  <c r="AK84" i="30"/>
  <c r="AJ84" i="30"/>
  <c r="AA84" i="30"/>
  <c r="Z84" i="30"/>
  <c r="Y84" i="30"/>
  <c r="P84" i="30"/>
  <c r="O84" i="30"/>
  <c r="N84" i="30"/>
  <c r="E84" i="30"/>
  <c r="D84" i="30"/>
  <c r="C84" i="30"/>
  <c r="AL63" i="30"/>
  <c r="AK63" i="30"/>
  <c r="AJ63" i="30"/>
  <c r="AA63" i="30"/>
  <c r="Z63" i="30"/>
  <c r="Y63" i="30"/>
  <c r="P63" i="30"/>
  <c r="O63" i="30"/>
  <c r="N63" i="30"/>
  <c r="E63" i="30"/>
  <c r="D63" i="30"/>
  <c r="C63" i="30"/>
  <c r="AL42" i="30"/>
  <c r="AK42" i="30"/>
  <c r="AJ42" i="30"/>
  <c r="AA42" i="30"/>
  <c r="Z42" i="30"/>
  <c r="Y42" i="30"/>
  <c r="P42" i="30"/>
  <c r="O42" i="30"/>
  <c r="N42" i="30"/>
  <c r="E42" i="30"/>
  <c r="D42" i="30"/>
  <c r="C42" i="30"/>
  <c r="AL17" i="30"/>
  <c r="AK17" i="30"/>
  <c r="AJ17" i="30"/>
  <c r="AA17" i="30"/>
  <c r="Z17" i="30"/>
  <c r="Y17" i="30"/>
  <c r="P17" i="30"/>
  <c r="O17" i="30"/>
  <c r="N17" i="30"/>
  <c r="P16" i="30"/>
  <c r="N16" i="30"/>
  <c r="M16" i="30"/>
  <c r="L16" i="30"/>
  <c r="M15" i="30"/>
  <c r="L15" i="30"/>
  <c r="T14" i="30"/>
  <c r="M14" i="30"/>
  <c r="L14" i="30"/>
  <c r="T13" i="30"/>
  <c r="M12" i="30"/>
  <c r="P12" i="30" s="1"/>
  <c r="L12" i="30"/>
  <c r="M11" i="30"/>
  <c r="L11" i="30"/>
  <c r="M10" i="30"/>
  <c r="L10" i="30"/>
  <c r="M9" i="30"/>
  <c r="L9" i="30"/>
  <c r="M8" i="30"/>
  <c r="L8" i="30"/>
  <c r="M7" i="30"/>
  <c r="N7" i="30" s="1"/>
  <c r="L7" i="30"/>
  <c r="M6" i="30"/>
  <c r="P6" i="30" s="1"/>
  <c r="L6" i="30"/>
  <c r="M5" i="30"/>
  <c r="L5" i="30"/>
  <c r="O1" i="30"/>
  <c r="S17" i="30"/>
  <c r="O5" i="30" s="1"/>
  <c r="M2" i="30"/>
  <c r="AA29" i="4"/>
  <c r="BA29" i="4"/>
  <c r="AA28" i="4"/>
  <c r="AA27" i="4"/>
  <c r="BA27" i="4"/>
  <c r="AA26" i="4"/>
  <c r="N26" i="4"/>
  <c r="AA25" i="4"/>
  <c r="BA25" i="4"/>
  <c r="AA24" i="4"/>
  <c r="N24" i="4"/>
  <c r="BA24" i="4" s="1"/>
  <c r="AA23" i="4"/>
  <c r="BA23" i="4"/>
  <c r="AA22" i="4"/>
  <c r="N22" i="4"/>
  <c r="AA21" i="4"/>
  <c r="BA21" i="4"/>
  <c r="AA20" i="4"/>
  <c r="N20" i="4"/>
  <c r="AA19" i="4"/>
  <c r="BA19" i="4"/>
  <c r="AA18" i="4"/>
  <c r="N18" i="4"/>
  <c r="AA17" i="4"/>
  <c r="BA17" i="4"/>
  <c r="AA16" i="4"/>
  <c r="N16" i="4"/>
  <c r="BA16" i="4" s="1"/>
  <c r="AA15" i="4"/>
  <c r="BA15" i="4"/>
  <c r="AA14" i="4"/>
  <c r="N14" i="4"/>
  <c r="BA14" i="4" s="1"/>
  <c r="AA13" i="4"/>
  <c r="BA13" i="4"/>
  <c r="AA12" i="4"/>
  <c r="N12" i="4"/>
  <c r="BA12" i="4" s="1"/>
  <c r="J26" i="30"/>
  <c r="U26" i="30" s="1"/>
  <c r="E104" i="30"/>
  <c r="C104" i="30"/>
  <c r="B104" i="30"/>
  <c r="A104" i="30"/>
  <c r="B103" i="30"/>
  <c r="A103" i="30"/>
  <c r="B102" i="30"/>
  <c r="A102" i="30"/>
  <c r="P104" i="30"/>
  <c r="N104" i="30"/>
  <c r="M104" i="30"/>
  <c r="L104" i="30"/>
  <c r="M103" i="30"/>
  <c r="L103" i="30"/>
  <c r="M102" i="30"/>
  <c r="L102" i="30"/>
  <c r="AA104" i="30"/>
  <c r="Y104" i="30"/>
  <c r="X104" i="30"/>
  <c r="W104" i="30"/>
  <c r="X103" i="30"/>
  <c r="W103" i="30"/>
  <c r="X102" i="30"/>
  <c r="W102" i="30"/>
  <c r="AL104" i="30"/>
  <c r="AJ104" i="30"/>
  <c r="AI104" i="30"/>
  <c r="AH104" i="30"/>
  <c r="AI103" i="30"/>
  <c r="AH103" i="30"/>
  <c r="AI102" i="30"/>
  <c r="AH102" i="30"/>
  <c r="AL83" i="30"/>
  <c r="AJ83" i="30"/>
  <c r="AI83" i="30"/>
  <c r="AH83" i="30"/>
  <c r="AI82" i="30"/>
  <c r="AH82" i="30"/>
  <c r="AI81" i="30"/>
  <c r="AH81" i="30"/>
  <c r="AA83" i="30"/>
  <c r="Y83" i="30"/>
  <c r="X83" i="30"/>
  <c r="W83" i="30"/>
  <c r="X82" i="30"/>
  <c r="W82" i="30"/>
  <c r="X81" i="30"/>
  <c r="W81" i="30"/>
  <c r="P83" i="30"/>
  <c r="N83" i="30"/>
  <c r="M83" i="30"/>
  <c r="L83" i="30"/>
  <c r="M82" i="30"/>
  <c r="L82" i="30"/>
  <c r="M81" i="30"/>
  <c r="L81" i="30"/>
  <c r="E83" i="30"/>
  <c r="C83" i="30"/>
  <c r="B83" i="30"/>
  <c r="A83" i="30"/>
  <c r="B82" i="30"/>
  <c r="A82" i="30"/>
  <c r="B81" i="30"/>
  <c r="A81" i="30"/>
  <c r="AL62" i="30"/>
  <c r="AJ62" i="30"/>
  <c r="AI62" i="30"/>
  <c r="AH62" i="30"/>
  <c r="AI61" i="30"/>
  <c r="AH61" i="30"/>
  <c r="AI60" i="30"/>
  <c r="AH60" i="30"/>
  <c r="AA62" i="30"/>
  <c r="Y62" i="30"/>
  <c r="X62" i="30"/>
  <c r="W62" i="30"/>
  <c r="X61" i="30"/>
  <c r="W61" i="30"/>
  <c r="X60" i="30"/>
  <c r="W60" i="30"/>
  <c r="P62" i="30"/>
  <c r="N62" i="30"/>
  <c r="M62" i="30"/>
  <c r="L62" i="30"/>
  <c r="M61" i="30"/>
  <c r="L61" i="30"/>
  <c r="M60" i="30"/>
  <c r="L60" i="30"/>
  <c r="E62" i="30"/>
  <c r="C62" i="30"/>
  <c r="B62" i="30"/>
  <c r="A62" i="30"/>
  <c r="B61" i="30"/>
  <c r="A61" i="30"/>
  <c r="B60" i="30"/>
  <c r="A60" i="30"/>
  <c r="AL41" i="30"/>
  <c r="AJ41" i="30"/>
  <c r="AI41" i="30"/>
  <c r="AH41" i="30"/>
  <c r="AI40" i="30"/>
  <c r="AH40" i="30"/>
  <c r="AI39" i="30"/>
  <c r="AH39" i="30"/>
  <c r="AA41" i="30"/>
  <c r="Y41" i="30"/>
  <c r="X41" i="30"/>
  <c r="W41" i="30"/>
  <c r="X40" i="30"/>
  <c r="W40" i="30"/>
  <c r="X39" i="30"/>
  <c r="W39" i="30"/>
  <c r="P41" i="30"/>
  <c r="N41" i="30"/>
  <c r="M41" i="30"/>
  <c r="L41" i="30"/>
  <c r="M40" i="30"/>
  <c r="L40" i="30"/>
  <c r="M39" i="30"/>
  <c r="L39" i="30"/>
  <c r="E41" i="30"/>
  <c r="C41" i="30"/>
  <c r="B41" i="30"/>
  <c r="A41" i="30"/>
  <c r="B40" i="30"/>
  <c r="A40" i="30"/>
  <c r="B39" i="30"/>
  <c r="A39" i="30"/>
  <c r="AL16" i="30"/>
  <c r="AJ16" i="30"/>
  <c r="AI16" i="30"/>
  <c r="AH16" i="30"/>
  <c r="AI15" i="30"/>
  <c r="AH15" i="30"/>
  <c r="AI14" i="30"/>
  <c r="AH14" i="30"/>
  <c r="AA16" i="30"/>
  <c r="Y16" i="30"/>
  <c r="X16" i="30"/>
  <c r="W16" i="30"/>
  <c r="X15" i="30"/>
  <c r="W15" i="30"/>
  <c r="X14" i="30"/>
  <c r="W14" i="30"/>
  <c r="E16" i="30"/>
  <c r="C16" i="30"/>
  <c r="AP102" i="30"/>
  <c r="AP101" i="30"/>
  <c r="AI100" i="30"/>
  <c r="AH100" i="30"/>
  <c r="AI99" i="30"/>
  <c r="AL99" i="30" s="1"/>
  <c r="AH99" i="30"/>
  <c r="AI98" i="30"/>
  <c r="AH98" i="30"/>
  <c r="AI97" i="30"/>
  <c r="AH97" i="30"/>
  <c r="AI96" i="30"/>
  <c r="AL96" i="30" s="1"/>
  <c r="AH96" i="30"/>
  <c r="AI95" i="30"/>
  <c r="AH95" i="30"/>
  <c r="AI94" i="30"/>
  <c r="AJ94" i="30"/>
  <c r="AH94" i="30"/>
  <c r="AI93" i="30"/>
  <c r="AH93" i="30"/>
  <c r="AI90" i="30"/>
  <c r="AK89" i="30"/>
  <c r="AP81" i="30"/>
  <c r="AP80" i="30"/>
  <c r="AI79" i="30"/>
  <c r="AJ79" i="30" s="1"/>
  <c r="AH79" i="30"/>
  <c r="AI78" i="30"/>
  <c r="AL78" i="30" s="1"/>
  <c r="AH78" i="30"/>
  <c r="AI77" i="30"/>
  <c r="AL77" i="30" s="1"/>
  <c r="AH77" i="30"/>
  <c r="AI76" i="30"/>
  <c r="AH76" i="30"/>
  <c r="AI75" i="30"/>
  <c r="AH75" i="30"/>
  <c r="AI74" i="30"/>
  <c r="AL74" i="30" s="1"/>
  <c r="AH74" i="30"/>
  <c r="AI73" i="30"/>
  <c r="AH73" i="30"/>
  <c r="AI72" i="30"/>
  <c r="AH72" i="30"/>
  <c r="AI69" i="30"/>
  <c r="AK68" i="30"/>
  <c r="AP60" i="30"/>
  <c r="AP59" i="30"/>
  <c r="AI58" i="30"/>
  <c r="AL58" i="30" s="1"/>
  <c r="AH58" i="30"/>
  <c r="AI57" i="30"/>
  <c r="AL57" i="30" s="1"/>
  <c r="AH57" i="30"/>
  <c r="AI56" i="30"/>
  <c r="AH56" i="30"/>
  <c r="AI55" i="30"/>
  <c r="AH55" i="30"/>
  <c r="AI54" i="30"/>
  <c r="AJ54" i="30" s="1"/>
  <c r="AH54" i="30"/>
  <c r="AI53" i="30"/>
  <c r="AH53" i="30"/>
  <c r="AI52" i="30"/>
  <c r="AH52" i="30"/>
  <c r="AI51" i="30"/>
  <c r="AH51" i="30"/>
  <c r="AI48" i="30"/>
  <c r="AK47" i="30"/>
  <c r="AP39" i="30"/>
  <c r="AP38" i="30"/>
  <c r="AI37" i="30"/>
  <c r="AJ37" i="30" s="1"/>
  <c r="AH37" i="30"/>
  <c r="AI36" i="30"/>
  <c r="AH36" i="30"/>
  <c r="AI35" i="30"/>
  <c r="AH35" i="30"/>
  <c r="AI34" i="30"/>
  <c r="AL34" i="30" s="1"/>
  <c r="AH34" i="30"/>
  <c r="AI33" i="30"/>
  <c r="AL33" i="30" s="1"/>
  <c r="AH33" i="30"/>
  <c r="AI32" i="30"/>
  <c r="AH32" i="30"/>
  <c r="AI31" i="30"/>
  <c r="AH31" i="30"/>
  <c r="AI30" i="30"/>
  <c r="AL30" i="30" s="1"/>
  <c r="AJ30" i="30"/>
  <c r="AH30" i="30"/>
  <c r="AI27" i="30"/>
  <c r="AK26" i="30"/>
  <c r="AE102" i="30"/>
  <c r="AE101" i="30"/>
  <c r="X100" i="30"/>
  <c r="AA100" i="30" s="1"/>
  <c r="W100" i="30"/>
  <c r="X99" i="30"/>
  <c r="AA99" i="30" s="1"/>
  <c r="W99" i="30"/>
  <c r="X98" i="30"/>
  <c r="Y98" i="30" s="1"/>
  <c r="AA98" i="30"/>
  <c r="W98" i="30"/>
  <c r="X97" i="30"/>
  <c r="W97" i="30"/>
  <c r="X96" i="30"/>
  <c r="W96" i="30"/>
  <c r="X95" i="30"/>
  <c r="AA95" i="30" s="1"/>
  <c r="W95" i="30"/>
  <c r="X94" i="30"/>
  <c r="AA94" i="30" s="1"/>
  <c r="W94" i="30"/>
  <c r="X93" i="30"/>
  <c r="W93" i="30"/>
  <c r="X90" i="30"/>
  <c r="Z89" i="30"/>
  <c r="AE81" i="30"/>
  <c r="AE80" i="30"/>
  <c r="X79" i="30"/>
  <c r="W79" i="30"/>
  <c r="X78" i="30"/>
  <c r="W78" i="30"/>
  <c r="X77" i="30"/>
  <c r="Y77" i="30" s="1"/>
  <c r="AA77" i="30"/>
  <c r="W77" i="30"/>
  <c r="X76" i="30"/>
  <c r="AA76" i="30" s="1"/>
  <c r="W76" i="30"/>
  <c r="X75" i="30"/>
  <c r="AA75" i="30" s="1"/>
  <c r="W75" i="30"/>
  <c r="X74" i="30"/>
  <c r="W74" i="30"/>
  <c r="X73" i="30"/>
  <c r="W73" i="30"/>
  <c r="X72" i="30"/>
  <c r="Y72" i="30"/>
  <c r="W72" i="30"/>
  <c r="X69" i="30"/>
  <c r="Z68" i="30"/>
  <c r="AE60" i="30"/>
  <c r="AE59" i="30"/>
  <c r="X58" i="30"/>
  <c r="AA58" i="30" s="1"/>
  <c r="W58" i="30"/>
  <c r="X57" i="30"/>
  <c r="W57" i="30"/>
  <c r="X56" i="30"/>
  <c r="AA56" i="30" s="1"/>
  <c r="W56" i="30"/>
  <c r="X55" i="30"/>
  <c r="AA55" i="30" s="1"/>
  <c r="W55" i="30"/>
  <c r="X54" i="30"/>
  <c r="W54" i="30"/>
  <c r="X53" i="30"/>
  <c r="W53" i="30"/>
  <c r="X52" i="30"/>
  <c r="AA52" i="30" s="1"/>
  <c r="W52" i="30"/>
  <c r="X51" i="30"/>
  <c r="W51" i="30"/>
  <c r="X48" i="30"/>
  <c r="Z47" i="30"/>
  <c r="AE39" i="30"/>
  <c r="AE38" i="30"/>
  <c r="X37" i="30"/>
  <c r="W37" i="30"/>
  <c r="X36" i="30"/>
  <c r="W36" i="30"/>
  <c r="X35" i="30"/>
  <c r="W35" i="30"/>
  <c r="X34" i="30"/>
  <c r="AA34" i="30" s="1"/>
  <c r="W34" i="30"/>
  <c r="X33" i="30"/>
  <c r="W33" i="30"/>
  <c r="X32" i="30"/>
  <c r="AA32" i="30" s="1"/>
  <c r="W32" i="30"/>
  <c r="X31" i="30"/>
  <c r="Y31" i="30" s="1"/>
  <c r="W31" i="30"/>
  <c r="X30" i="30"/>
  <c r="Y30" i="30" s="1"/>
  <c r="AA30" i="30"/>
  <c r="W30" i="30"/>
  <c r="X27" i="30"/>
  <c r="Z26" i="30"/>
  <c r="T102" i="30"/>
  <c r="T101" i="30"/>
  <c r="M100" i="30"/>
  <c r="L100" i="30"/>
  <c r="M99" i="30"/>
  <c r="L99" i="30"/>
  <c r="M98" i="30"/>
  <c r="P98" i="30" s="1"/>
  <c r="L98" i="30"/>
  <c r="M97" i="30"/>
  <c r="L97" i="30"/>
  <c r="M96" i="30"/>
  <c r="L96" i="30"/>
  <c r="M95" i="30"/>
  <c r="P95" i="30" s="1"/>
  <c r="L95" i="30"/>
  <c r="M94" i="30"/>
  <c r="P94" i="30" s="1"/>
  <c r="L94" i="30"/>
  <c r="M93" i="30"/>
  <c r="P93" i="30"/>
  <c r="L93" i="30"/>
  <c r="M90" i="30"/>
  <c r="O89" i="30"/>
  <c r="T81" i="30"/>
  <c r="T80" i="30"/>
  <c r="M79" i="30"/>
  <c r="P79" i="30" s="1"/>
  <c r="L79" i="30"/>
  <c r="M78" i="30"/>
  <c r="L78" i="30"/>
  <c r="M77" i="30"/>
  <c r="P77" i="30" s="1"/>
  <c r="L77" i="30"/>
  <c r="M76" i="30"/>
  <c r="L76" i="30"/>
  <c r="M75" i="30"/>
  <c r="L75" i="30"/>
  <c r="M74" i="30"/>
  <c r="N74" i="30" s="1"/>
  <c r="P74" i="30"/>
  <c r="L74" i="30"/>
  <c r="M73" i="30"/>
  <c r="L73" i="30"/>
  <c r="M72" i="30"/>
  <c r="L72" i="30"/>
  <c r="M69" i="30"/>
  <c r="O68" i="30"/>
  <c r="T60" i="30"/>
  <c r="T59" i="30"/>
  <c r="M58" i="30"/>
  <c r="P58" i="30" s="1"/>
  <c r="L58" i="30"/>
  <c r="M57" i="30"/>
  <c r="L57" i="30"/>
  <c r="M56" i="30"/>
  <c r="L56" i="30"/>
  <c r="M55" i="30"/>
  <c r="L55" i="30"/>
  <c r="M54" i="30"/>
  <c r="P54" i="30" s="1"/>
  <c r="L54" i="30"/>
  <c r="M53" i="30"/>
  <c r="L53" i="30"/>
  <c r="M52" i="30"/>
  <c r="L52" i="30"/>
  <c r="M51" i="30"/>
  <c r="L51" i="30"/>
  <c r="M48" i="30"/>
  <c r="O47" i="30"/>
  <c r="I102" i="30"/>
  <c r="I101" i="30"/>
  <c r="B100" i="30"/>
  <c r="E100" i="30" s="1"/>
  <c r="A100" i="30"/>
  <c r="B99" i="30"/>
  <c r="C99" i="30" s="1"/>
  <c r="E99" i="30"/>
  <c r="A99" i="30"/>
  <c r="B98" i="30"/>
  <c r="C98" i="30" s="1"/>
  <c r="A98" i="30"/>
  <c r="B97" i="30"/>
  <c r="A97" i="30"/>
  <c r="B96" i="30"/>
  <c r="E96" i="30" s="1"/>
  <c r="A96" i="30"/>
  <c r="B95" i="30"/>
  <c r="A95" i="30"/>
  <c r="B94" i="30"/>
  <c r="A94" i="30"/>
  <c r="B93" i="30"/>
  <c r="E93" i="30" s="1"/>
  <c r="A93" i="30"/>
  <c r="B90" i="30"/>
  <c r="D89" i="30"/>
  <c r="I81" i="30"/>
  <c r="I80" i="30"/>
  <c r="B79" i="30"/>
  <c r="E79" i="30" s="1"/>
  <c r="A79" i="30"/>
  <c r="B78" i="30"/>
  <c r="E78" i="30" s="1"/>
  <c r="A78" i="30"/>
  <c r="B77" i="30"/>
  <c r="A77" i="30"/>
  <c r="B76" i="30"/>
  <c r="E76" i="30" s="1"/>
  <c r="A76" i="30"/>
  <c r="B75" i="30"/>
  <c r="A75" i="30"/>
  <c r="B74" i="30"/>
  <c r="A74" i="30"/>
  <c r="B73" i="30"/>
  <c r="A73" i="30"/>
  <c r="B72" i="30"/>
  <c r="A72" i="30"/>
  <c r="B69" i="30"/>
  <c r="D68" i="30"/>
  <c r="I60" i="30"/>
  <c r="I59" i="30"/>
  <c r="B58" i="30"/>
  <c r="E58" i="30" s="1"/>
  <c r="A58" i="30"/>
  <c r="B57" i="30"/>
  <c r="A57" i="30"/>
  <c r="B56" i="30"/>
  <c r="A56" i="30"/>
  <c r="B55" i="30"/>
  <c r="A55" i="30"/>
  <c r="B54" i="30"/>
  <c r="A54" i="30"/>
  <c r="B53" i="30"/>
  <c r="A53" i="30"/>
  <c r="B52" i="30"/>
  <c r="E52" i="30" s="1"/>
  <c r="A52" i="30"/>
  <c r="B51" i="30"/>
  <c r="A51" i="30"/>
  <c r="B48" i="30"/>
  <c r="D47" i="30"/>
  <c r="T39" i="30"/>
  <c r="T38" i="30"/>
  <c r="M37" i="30"/>
  <c r="P37" i="30" s="1"/>
  <c r="L37" i="30"/>
  <c r="M36" i="30"/>
  <c r="N36" i="30" s="1"/>
  <c r="L36" i="30"/>
  <c r="M35" i="30"/>
  <c r="P35" i="30" s="1"/>
  <c r="N35" i="30"/>
  <c r="L35" i="30"/>
  <c r="M34" i="30"/>
  <c r="L34" i="30"/>
  <c r="M33" i="30"/>
  <c r="P33" i="30" s="1"/>
  <c r="L33" i="30"/>
  <c r="M32" i="30"/>
  <c r="L32" i="30"/>
  <c r="M31" i="30"/>
  <c r="L31" i="30"/>
  <c r="M30" i="30"/>
  <c r="L30" i="30"/>
  <c r="M27" i="30"/>
  <c r="O26" i="30"/>
  <c r="I39" i="30"/>
  <c r="I38" i="30"/>
  <c r="B37" i="30"/>
  <c r="E37" i="30" s="1"/>
  <c r="A37" i="30"/>
  <c r="B36" i="30"/>
  <c r="E36" i="30"/>
  <c r="A36" i="30"/>
  <c r="B35" i="30"/>
  <c r="A35" i="30"/>
  <c r="B34" i="30"/>
  <c r="A34" i="30"/>
  <c r="B33" i="30"/>
  <c r="E33" i="30" s="1"/>
  <c r="A33" i="30"/>
  <c r="B32" i="30"/>
  <c r="E32" i="30" s="1"/>
  <c r="A32" i="30"/>
  <c r="B31" i="30"/>
  <c r="A31" i="30"/>
  <c r="B30" i="30"/>
  <c r="C30" i="30" s="1"/>
  <c r="A30" i="30"/>
  <c r="B27" i="30"/>
  <c r="D26" i="30"/>
  <c r="AI12" i="30"/>
  <c r="AL12" i="30" s="1"/>
  <c r="AH12" i="30"/>
  <c r="AI11" i="30"/>
  <c r="AJ11" i="30" s="1"/>
  <c r="AH11" i="30"/>
  <c r="AI10" i="30"/>
  <c r="AH10" i="30"/>
  <c r="AI9" i="30"/>
  <c r="AJ9" i="30" s="1"/>
  <c r="AH9" i="30"/>
  <c r="AI8" i="30"/>
  <c r="AH8" i="30"/>
  <c r="AI7" i="30"/>
  <c r="AJ7" i="30" s="1"/>
  <c r="AH7" i="30"/>
  <c r="AI6" i="30"/>
  <c r="AL6" i="30" s="1"/>
  <c r="AH6" i="30"/>
  <c r="AI5" i="30"/>
  <c r="AJ5" i="30" s="1"/>
  <c r="AH5" i="30"/>
  <c r="X12" i="30"/>
  <c r="AA12" i="30" s="1"/>
  <c r="W12" i="30"/>
  <c r="X11" i="30"/>
  <c r="Y11" i="30" s="1"/>
  <c r="W11" i="30"/>
  <c r="X10" i="30"/>
  <c r="W10" i="30"/>
  <c r="X9" i="30"/>
  <c r="W9" i="30"/>
  <c r="X8" i="30"/>
  <c r="AA8" i="30" s="1"/>
  <c r="W8" i="30"/>
  <c r="X7" i="30"/>
  <c r="W7" i="30"/>
  <c r="X6" i="30"/>
  <c r="AA6" i="30" s="1"/>
  <c r="W6" i="30"/>
  <c r="X5" i="30"/>
  <c r="W5" i="30"/>
  <c r="AA11" i="4"/>
  <c r="N11" i="4"/>
  <c r="BA11" i="4" s="1"/>
  <c r="Y55" i="30"/>
  <c r="AA72" i="30"/>
  <c r="E30" i="30"/>
  <c r="Y32" i="30"/>
  <c r="N93" i="30"/>
  <c r="Y56" i="30"/>
  <c r="AJ57" i="30"/>
  <c r="C52" i="30"/>
  <c r="N95" i="30"/>
  <c r="Y34" i="30"/>
  <c r="Y52" i="30"/>
  <c r="Y95" i="30"/>
  <c r="AJ74" i="30"/>
  <c r="AJ78" i="30"/>
  <c r="E98" i="30"/>
  <c r="C36" i="30"/>
  <c r="AL79" i="30"/>
  <c r="AL94" i="30"/>
  <c r="AA31" i="30"/>
  <c r="Y76" i="30"/>
  <c r="C76" i="30"/>
  <c r="Y100" i="30"/>
  <c r="Y75" i="30"/>
  <c r="Y58" i="30"/>
  <c r="N54" i="30"/>
  <c r="C96" i="30"/>
  <c r="C100" i="30"/>
  <c r="C79" i="30"/>
  <c r="C58" i="30"/>
  <c r="N33" i="30"/>
  <c r="AL7" i="30"/>
  <c r="AJ12" i="30"/>
  <c r="Y6" i="30"/>
  <c r="AA11" i="30"/>
  <c r="Y12" i="30"/>
  <c r="T7" i="31"/>
  <c r="B12" i="30"/>
  <c r="A12" i="30"/>
  <c r="B7" i="30"/>
  <c r="A7" i="30"/>
  <c r="A11" i="30"/>
  <c r="B11" i="30"/>
  <c r="AH9" i="4"/>
  <c r="AM9" i="4"/>
  <c r="Z7" i="4"/>
  <c r="Z9" i="4"/>
  <c r="U9" i="4"/>
  <c r="U7" i="4"/>
  <c r="U8" i="4"/>
  <c r="B9" i="30"/>
  <c r="E9" i="30" s="1"/>
  <c r="A9" i="30"/>
  <c r="B15" i="30"/>
  <c r="A15" i="30"/>
  <c r="A16" i="30"/>
  <c r="B16" i="30"/>
  <c r="B16" i="27"/>
  <c r="A16" i="27"/>
  <c r="A17" i="27"/>
  <c r="B17" i="27"/>
  <c r="B9" i="27"/>
  <c r="E9" i="27" s="1"/>
  <c r="A9" i="27"/>
  <c r="N7" i="31"/>
  <c r="AP10" i="4"/>
  <c r="AP8" i="4"/>
  <c r="AP7" i="4"/>
  <c r="AC10" i="4"/>
  <c r="AC8" i="4"/>
  <c r="AC7" i="4"/>
  <c r="AJ9" i="4"/>
  <c r="W9" i="4"/>
  <c r="W7" i="4"/>
  <c r="W8" i="4"/>
  <c r="AD12" i="4"/>
  <c r="AQ12" i="4" s="1"/>
  <c r="AO13" i="4"/>
  <c r="AD13" i="4"/>
  <c r="AQ13" i="4" s="1"/>
  <c r="AO14" i="4"/>
  <c r="AD14" i="4"/>
  <c r="AQ14" i="4" s="1"/>
  <c r="AD15" i="4"/>
  <c r="AQ15" i="4" s="1"/>
  <c r="AO16" i="4"/>
  <c r="AD16" i="4"/>
  <c r="AQ16" i="4" s="1"/>
  <c r="AO17" i="4"/>
  <c r="AD17" i="4"/>
  <c r="AQ17" i="4" s="1"/>
  <c r="AO18" i="4"/>
  <c r="AD18" i="4"/>
  <c r="AQ18" i="4" s="1"/>
  <c r="AO19" i="4"/>
  <c r="AD19" i="4"/>
  <c r="AQ19" i="4" s="1"/>
  <c r="AO20" i="4"/>
  <c r="AD20" i="4"/>
  <c r="AQ20" i="4" s="1"/>
  <c r="AO21" i="4"/>
  <c r="AD21" i="4"/>
  <c r="AQ21" i="4" s="1"/>
  <c r="AO22" i="4"/>
  <c r="AD22" i="4"/>
  <c r="AQ22" i="4" s="1"/>
  <c r="AO23" i="4"/>
  <c r="AD23" i="4"/>
  <c r="AQ23" i="4" s="1"/>
  <c r="AO24" i="4"/>
  <c r="AD24" i="4"/>
  <c r="AQ24" i="4" s="1"/>
  <c r="AO25" i="4"/>
  <c r="AD25" i="4"/>
  <c r="AQ25" i="4" s="1"/>
  <c r="AD26" i="4"/>
  <c r="AQ26" i="4" s="1"/>
  <c r="AO27" i="4"/>
  <c r="AD27" i="4"/>
  <c r="AQ27" i="4" s="1"/>
  <c r="AD28" i="4"/>
  <c r="AO29" i="4"/>
  <c r="AD29" i="4"/>
  <c r="AQ29" i="4" s="1"/>
  <c r="AB30" i="4"/>
  <c r="AO30" i="4" s="1"/>
  <c r="AD30" i="4"/>
  <c r="AQ30" i="4" s="1"/>
  <c r="AB31" i="4"/>
  <c r="AO31" i="4" s="1"/>
  <c r="AD31" i="4"/>
  <c r="AQ31" i="4" s="1"/>
  <c r="AB32" i="4"/>
  <c r="AO32" i="4" s="1"/>
  <c r="AD32" i="4"/>
  <c r="AQ32" i="4" s="1"/>
  <c r="AB33" i="4"/>
  <c r="AO33" i="4" s="1"/>
  <c r="AD33" i="4"/>
  <c r="AQ33" i="4" s="1"/>
  <c r="AB34" i="4"/>
  <c r="AO34" i="4" s="1"/>
  <c r="AD34" i="4"/>
  <c r="AQ34" i="4" s="1"/>
  <c r="AB35" i="4"/>
  <c r="AO35" i="4" s="1"/>
  <c r="AD35" i="4"/>
  <c r="AQ35" i="4" s="1"/>
  <c r="AB36" i="4"/>
  <c r="AO36" i="4" s="1"/>
  <c r="AD36" i="4"/>
  <c r="AQ36" i="4" s="1"/>
  <c r="AB37" i="4"/>
  <c r="AO37" i="4" s="1"/>
  <c r="AD37" i="4"/>
  <c r="AQ37" i="4" s="1"/>
  <c r="AB38" i="4"/>
  <c r="AO38" i="4" s="1"/>
  <c r="AD38" i="4"/>
  <c r="AQ38" i="4" s="1"/>
  <c r="AB39" i="4"/>
  <c r="AO39" i="4" s="1"/>
  <c r="AD39" i="4"/>
  <c r="AQ39" i="4" s="1"/>
  <c r="AB40" i="4"/>
  <c r="AO40" i="4" s="1"/>
  <c r="AD40" i="4"/>
  <c r="AQ40" i="4" s="1"/>
  <c r="AB41" i="4"/>
  <c r="AO41" i="4" s="1"/>
  <c r="AD41" i="4"/>
  <c r="AQ41" i="4" s="1"/>
  <c r="AB42" i="4"/>
  <c r="AO42" i="4" s="1"/>
  <c r="AD42" i="4"/>
  <c r="AQ42" i="4" s="1"/>
  <c r="AB43" i="4"/>
  <c r="AO43" i="4" s="1"/>
  <c r="AD43" i="4"/>
  <c r="AQ43" i="4" s="1"/>
  <c r="AB44" i="4"/>
  <c r="AO44" i="4" s="1"/>
  <c r="AD44" i="4"/>
  <c r="AQ44" i="4" s="1"/>
  <c r="AB45" i="4"/>
  <c r="AO45" i="4" s="1"/>
  <c r="AD45" i="4"/>
  <c r="AQ45" i="4" s="1"/>
  <c r="AB46" i="4"/>
  <c r="AO46" i="4" s="1"/>
  <c r="AD46" i="4"/>
  <c r="AQ46" i="4" s="1"/>
  <c r="AB47" i="4"/>
  <c r="AO47" i="4" s="1"/>
  <c r="AD47" i="4"/>
  <c r="AQ47" i="4" s="1"/>
  <c r="AB48" i="4"/>
  <c r="AO48" i="4" s="1"/>
  <c r="AD48" i="4"/>
  <c r="AQ48" i="4" s="1"/>
  <c r="AB49" i="4"/>
  <c r="AO49" i="4" s="1"/>
  <c r="AD49" i="4"/>
  <c r="AQ49" i="4" s="1"/>
  <c r="AB50" i="4"/>
  <c r="AO50" i="4" s="1"/>
  <c r="AD50" i="4"/>
  <c r="AQ50" i="4" s="1"/>
  <c r="AB51" i="4"/>
  <c r="AO51" i="4" s="1"/>
  <c r="AD51" i="4"/>
  <c r="AQ51" i="4" s="1"/>
  <c r="AB52" i="4"/>
  <c r="AO52" i="4" s="1"/>
  <c r="AD52" i="4"/>
  <c r="AQ52" i="4" s="1"/>
  <c r="AB53" i="4"/>
  <c r="AO53" i="4" s="1"/>
  <c r="AD53" i="4"/>
  <c r="AQ53" i="4" s="1"/>
  <c r="AB54" i="4"/>
  <c r="AO54" i="4" s="1"/>
  <c r="AD54" i="4"/>
  <c r="AQ54" i="4" s="1"/>
  <c r="AB55" i="4"/>
  <c r="AO55" i="4" s="1"/>
  <c r="AD55" i="4"/>
  <c r="AQ55" i="4" s="1"/>
  <c r="AB56" i="4"/>
  <c r="AO56" i="4" s="1"/>
  <c r="AD56" i="4"/>
  <c r="AQ56" i="4" s="1"/>
  <c r="AB57" i="4"/>
  <c r="AO57" i="4" s="1"/>
  <c r="AD57" i="4"/>
  <c r="AQ57" i="4" s="1"/>
  <c r="AB58" i="4"/>
  <c r="AO58" i="4" s="1"/>
  <c r="AD58" i="4"/>
  <c r="AQ58" i="4" s="1"/>
  <c r="AB59" i="4"/>
  <c r="AO59" i="4" s="1"/>
  <c r="AD59" i="4"/>
  <c r="AQ59" i="4" s="1"/>
  <c r="AB60" i="4"/>
  <c r="AO60" i="4" s="1"/>
  <c r="AD60" i="4"/>
  <c r="AQ60" i="4" s="1"/>
  <c r="AB61" i="4"/>
  <c r="AO61" i="4" s="1"/>
  <c r="AD61" i="4"/>
  <c r="AQ61" i="4" s="1"/>
  <c r="AB62" i="4"/>
  <c r="AO62" i="4" s="1"/>
  <c r="AD62" i="4"/>
  <c r="AQ62" i="4" s="1"/>
  <c r="AB63" i="4"/>
  <c r="AO63" i="4" s="1"/>
  <c r="AD63" i="4"/>
  <c r="AQ63" i="4" s="1"/>
  <c r="AB64" i="4"/>
  <c r="AO64" i="4" s="1"/>
  <c r="AD64" i="4"/>
  <c r="AQ64" i="4" s="1"/>
  <c r="AB65" i="4"/>
  <c r="AO65" i="4" s="1"/>
  <c r="AD65" i="4"/>
  <c r="AQ65" i="4" s="1"/>
  <c r="AB66" i="4"/>
  <c r="AO66" i="4" s="1"/>
  <c r="AD66" i="4"/>
  <c r="AQ66" i="4" s="1"/>
  <c r="AB67" i="4"/>
  <c r="AO67" i="4" s="1"/>
  <c r="AD67" i="4"/>
  <c r="AQ67" i="4" s="1"/>
  <c r="AB68" i="4"/>
  <c r="AO68" i="4" s="1"/>
  <c r="AD68" i="4"/>
  <c r="AQ68" i="4" s="1"/>
  <c r="AB69" i="4"/>
  <c r="AO69" i="4" s="1"/>
  <c r="AD69" i="4"/>
  <c r="AQ69" i="4" s="1"/>
  <c r="AB70" i="4"/>
  <c r="AO70" i="4" s="1"/>
  <c r="AD70" i="4"/>
  <c r="AQ70" i="4" s="1"/>
  <c r="AB71" i="4"/>
  <c r="AO71" i="4" s="1"/>
  <c r="AD71" i="4"/>
  <c r="AQ71" i="4" s="1"/>
  <c r="AB72" i="4"/>
  <c r="AO72" i="4" s="1"/>
  <c r="AD72" i="4"/>
  <c r="AQ72" i="4" s="1"/>
  <c r="AB73" i="4"/>
  <c r="AO73" i="4" s="1"/>
  <c r="AD73" i="4"/>
  <c r="AQ73" i="4" s="1"/>
  <c r="AB74" i="4"/>
  <c r="AO74" i="4" s="1"/>
  <c r="AD74" i="4"/>
  <c r="AQ74" i="4" s="1"/>
  <c r="AB75" i="4"/>
  <c r="AO75" i="4" s="1"/>
  <c r="AD75" i="4"/>
  <c r="AQ75" i="4" s="1"/>
  <c r="AB76" i="4"/>
  <c r="AO76" i="4" s="1"/>
  <c r="AD76" i="4"/>
  <c r="AQ76" i="4" s="1"/>
  <c r="AB77" i="4"/>
  <c r="AO77" i="4" s="1"/>
  <c r="AD77" i="4"/>
  <c r="AQ77" i="4" s="1"/>
  <c r="AB78" i="4"/>
  <c r="AO78" i="4" s="1"/>
  <c r="AD78" i="4"/>
  <c r="AQ78" i="4" s="1"/>
  <c r="AB79" i="4"/>
  <c r="AO79" i="4" s="1"/>
  <c r="AD79" i="4"/>
  <c r="AQ79" i="4" s="1"/>
  <c r="AB80" i="4"/>
  <c r="AO80" i="4" s="1"/>
  <c r="AD80" i="4"/>
  <c r="AQ80" i="4" s="1"/>
  <c r="AB81" i="4"/>
  <c r="AO81" i="4" s="1"/>
  <c r="AD81" i="4"/>
  <c r="AQ81" i="4" s="1"/>
  <c r="AB82" i="4"/>
  <c r="AO82" i="4" s="1"/>
  <c r="AD82" i="4"/>
  <c r="AQ82" i="4" s="1"/>
  <c r="AB83" i="4"/>
  <c r="AO83" i="4" s="1"/>
  <c r="AD83" i="4"/>
  <c r="AQ83" i="4" s="1"/>
  <c r="AB84" i="4"/>
  <c r="AO84" i="4" s="1"/>
  <c r="AD84" i="4"/>
  <c r="AQ84" i="4" s="1"/>
  <c r="AB85" i="4"/>
  <c r="AO85" i="4" s="1"/>
  <c r="AD85" i="4"/>
  <c r="AQ85" i="4" s="1"/>
  <c r="AB86" i="4"/>
  <c r="AO86" i="4" s="1"/>
  <c r="AD86" i="4"/>
  <c r="AQ86" i="4" s="1"/>
  <c r="AB87" i="4"/>
  <c r="AO87" i="4" s="1"/>
  <c r="AD87" i="4"/>
  <c r="AQ87" i="4" s="1"/>
  <c r="AB88" i="4"/>
  <c r="AO88" i="4" s="1"/>
  <c r="AD88" i="4"/>
  <c r="AQ88" i="4" s="1"/>
  <c r="AB89" i="4"/>
  <c r="AO89" i="4" s="1"/>
  <c r="AD89" i="4"/>
  <c r="AQ89" i="4" s="1"/>
  <c r="AB90" i="4"/>
  <c r="AO90" i="4" s="1"/>
  <c r="AD90" i="4"/>
  <c r="AQ90" i="4" s="1"/>
  <c r="AB91" i="4"/>
  <c r="AO91" i="4" s="1"/>
  <c r="AD91" i="4"/>
  <c r="AQ91" i="4" s="1"/>
  <c r="AB92" i="4"/>
  <c r="AO92" i="4" s="1"/>
  <c r="AD92" i="4"/>
  <c r="AQ92" i="4" s="1"/>
  <c r="AB93" i="4"/>
  <c r="AO93" i="4" s="1"/>
  <c r="AD93" i="4"/>
  <c r="AQ93" i="4" s="1"/>
  <c r="AB94" i="4"/>
  <c r="AO94" i="4" s="1"/>
  <c r="AD94" i="4"/>
  <c r="AQ94" i="4" s="1"/>
  <c r="AB95" i="4"/>
  <c r="AO95" i="4" s="1"/>
  <c r="AD95" i="4"/>
  <c r="AQ95" i="4" s="1"/>
  <c r="AB96" i="4"/>
  <c r="AO96" i="4" s="1"/>
  <c r="AD96" i="4"/>
  <c r="AQ96" i="4" s="1"/>
  <c r="AB97" i="4"/>
  <c r="AO97" i="4" s="1"/>
  <c r="AD97" i="4"/>
  <c r="AQ97" i="4" s="1"/>
  <c r="AB98" i="4"/>
  <c r="AO98" i="4" s="1"/>
  <c r="AD98" i="4"/>
  <c r="AQ98" i="4" s="1"/>
  <c r="AB99" i="4"/>
  <c r="AO99" i="4" s="1"/>
  <c r="AD99" i="4"/>
  <c r="AQ99" i="4" s="1"/>
  <c r="AB100" i="4"/>
  <c r="AO100" i="4" s="1"/>
  <c r="AD100" i="4"/>
  <c r="AQ100" i="4" s="1"/>
  <c r="AB101" i="4"/>
  <c r="AO101" i="4" s="1"/>
  <c r="AD101" i="4"/>
  <c r="AQ101" i="4" s="1"/>
  <c r="AB102" i="4"/>
  <c r="AO102" i="4" s="1"/>
  <c r="AD102" i="4"/>
  <c r="AQ102" i="4" s="1"/>
  <c r="AB103" i="4"/>
  <c r="AO103" i="4" s="1"/>
  <c r="AD103" i="4"/>
  <c r="AQ103" i="4" s="1"/>
  <c r="AB104" i="4"/>
  <c r="AO104" i="4" s="1"/>
  <c r="AD104" i="4"/>
  <c r="AQ104" i="4" s="1"/>
  <c r="AB105" i="4"/>
  <c r="AO105" i="4" s="1"/>
  <c r="AD105" i="4"/>
  <c r="AQ105" i="4" s="1"/>
  <c r="AB106" i="4"/>
  <c r="AO106" i="4" s="1"/>
  <c r="AD106" i="4"/>
  <c r="AQ106" i="4" s="1"/>
  <c r="AB107" i="4"/>
  <c r="AO107" i="4" s="1"/>
  <c r="AD107" i="4"/>
  <c r="AQ107" i="4" s="1"/>
  <c r="AB108" i="4"/>
  <c r="AO108" i="4" s="1"/>
  <c r="AD108" i="4"/>
  <c r="AQ108" i="4" s="1"/>
  <c r="AB109" i="4"/>
  <c r="AO109" i="4" s="1"/>
  <c r="AD109" i="4"/>
  <c r="AQ109" i="4" s="1"/>
  <c r="AB110" i="4"/>
  <c r="AO110" i="4" s="1"/>
  <c r="AD110" i="4"/>
  <c r="AQ110" i="4" s="1"/>
  <c r="AB111" i="4"/>
  <c r="AO111" i="4" s="1"/>
  <c r="AD111" i="4"/>
  <c r="AQ111" i="4" s="1"/>
  <c r="AB112" i="4"/>
  <c r="AO112" i="4" s="1"/>
  <c r="AD112" i="4"/>
  <c r="AQ112" i="4" s="1"/>
  <c r="AB113" i="4"/>
  <c r="AO113" i="4" s="1"/>
  <c r="AD113" i="4"/>
  <c r="AQ113" i="4" s="1"/>
  <c r="AB114" i="4"/>
  <c r="AO114" i="4" s="1"/>
  <c r="AD114" i="4"/>
  <c r="AQ114" i="4" s="1"/>
  <c r="AB115" i="4"/>
  <c r="AO115" i="4" s="1"/>
  <c r="AD115" i="4"/>
  <c r="AQ115" i="4" s="1"/>
  <c r="AB116" i="4"/>
  <c r="AO116" i="4" s="1"/>
  <c r="AD116" i="4"/>
  <c r="AQ116" i="4" s="1"/>
  <c r="AB117" i="4"/>
  <c r="AO117" i="4" s="1"/>
  <c r="AD117" i="4"/>
  <c r="AQ117" i="4" s="1"/>
  <c r="AB118" i="4"/>
  <c r="AO118" i="4" s="1"/>
  <c r="AD118" i="4"/>
  <c r="AQ118" i="4" s="1"/>
  <c r="AB119" i="4"/>
  <c r="AO119" i="4" s="1"/>
  <c r="AD119" i="4"/>
  <c r="AQ119" i="4" s="1"/>
  <c r="AB120" i="4"/>
  <c r="AO120" i="4" s="1"/>
  <c r="AD120" i="4"/>
  <c r="AQ120" i="4" s="1"/>
  <c r="AB121" i="4"/>
  <c r="AO121" i="4" s="1"/>
  <c r="AD121" i="4"/>
  <c r="AQ121" i="4" s="1"/>
  <c r="AB122" i="4"/>
  <c r="AO122" i="4" s="1"/>
  <c r="AD122" i="4"/>
  <c r="AQ122" i="4" s="1"/>
  <c r="AB123" i="4"/>
  <c r="AO123" i="4" s="1"/>
  <c r="AD123" i="4"/>
  <c r="AQ123" i="4" s="1"/>
  <c r="AB124" i="4"/>
  <c r="AO124" i="4" s="1"/>
  <c r="AD124" i="4"/>
  <c r="AQ124" i="4" s="1"/>
  <c r="AB125" i="4"/>
  <c r="AO125" i="4" s="1"/>
  <c r="AD125" i="4"/>
  <c r="AQ125" i="4" s="1"/>
  <c r="AB126" i="4"/>
  <c r="AO126" i="4" s="1"/>
  <c r="AD126" i="4"/>
  <c r="AQ126" i="4" s="1"/>
  <c r="AB127" i="4"/>
  <c r="AO127" i="4" s="1"/>
  <c r="AD127" i="4"/>
  <c r="AQ127" i="4" s="1"/>
  <c r="AB128" i="4"/>
  <c r="AO128" i="4" s="1"/>
  <c r="AD128" i="4"/>
  <c r="AQ128" i="4" s="1"/>
  <c r="AB129" i="4"/>
  <c r="AO129" i="4" s="1"/>
  <c r="AD129" i="4"/>
  <c r="AQ129" i="4" s="1"/>
  <c r="AB130" i="4"/>
  <c r="AO130" i="4" s="1"/>
  <c r="AD130" i="4"/>
  <c r="AQ130" i="4" s="1"/>
  <c r="AB131" i="4"/>
  <c r="AO131" i="4" s="1"/>
  <c r="AD131" i="4"/>
  <c r="AQ131" i="4" s="1"/>
  <c r="AB132" i="4"/>
  <c r="AO132" i="4" s="1"/>
  <c r="AD132" i="4"/>
  <c r="AQ132" i="4" s="1"/>
  <c r="AB133" i="4"/>
  <c r="AO133" i="4" s="1"/>
  <c r="AD133" i="4"/>
  <c r="AQ133" i="4" s="1"/>
  <c r="AB134" i="4"/>
  <c r="AO134" i="4" s="1"/>
  <c r="AD134" i="4"/>
  <c r="AQ134" i="4" s="1"/>
  <c r="AB135" i="4"/>
  <c r="AO135" i="4" s="1"/>
  <c r="AD135" i="4"/>
  <c r="AQ135" i="4" s="1"/>
  <c r="AB136" i="4"/>
  <c r="AO136" i="4" s="1"/>
  <c r="AD136" i="4"/>
  <c r="AQ136" i="4" s="1"/>
  <c r="AB137" i="4"/>
  <c r="AO137" i="4" s="1"/>
  <c r="AD137" i="4"/>
  <c r="AQ137" i="4" s="1"/>
  <c r="AB138" i="4"/>
  <c r="AO138" i="4" s="1"/>
  <c r="AD138" i="4"/>
  <c r="AQ138" i="4" s="1"/>
  <c r="AB139" i="4"/>
  <c r="AO139" i="4" s="1"/>
  <c r="AD139" i="4"/>
  <c r="AQ139" i="4" s="1"/>
  <c r="AB140" i="4"/>
  <c r="AO140" i="4" s="1"/>
  <c r="AD140" i="4"/>
  <c r="AQ140" i="4" s="1"/>
  <c r="AB141" i="4"/>
  <c r="AO141" i="4" s="1"/>
  <c r="AD141" i="4"/>
  <c r="AQ141" i="4" s="1"/>
  <c r="AB142" i="4"/>
  <c r="AO142" i="4" s="1"/>
  <c r="AD142" i="4"/>
  <c r="AQ142" i="4" s="1"/>
  <c r="AB143" i="4"/>
  <c r="AO143" i="4" s="1"/>
  <c r="AD143" i="4"/>
  <c r="AQ143" i="4" s="1"/>
  <c r="AB144" i="4"/>
  <c r="AO144" i="4" s="1"/>
  <c r="AD144" i="4"/>
  <c r="AQ144" i="4" s="1"/>
  <c r="AB145" i="4"/>
  <c r="AO145" i="4" s="1"/>
  <c r="AD145" i="4"/>
  <c r="AQ145" i="4" s="1"/>
  <c r="AB146" i="4"/>
  <c r="AO146" i="4" s="1"/>
  <c r="AD146" i="4"/>
  <c r="AQ146" i="4" s="1"/>
  <c r="AB147" i="4"/>
  <c r="AO147" i="4" s="1"/>
  <c r="AD147" i="4"/>
  <c r="AQ147" i="4" s="1"/>
  <c r="AB148" i="4"/>
  <c r="AO148" i="4" s="1"/>
  <c r="AD148" i="4"/>
  <c r="AQ148" i="4" s="1"/>
  <c r="AB149" i="4"/>
  <c r="AO149" i="4" s="1"/>
  <c r="AD149" i="4"/>
  <c r="AQ149" i="4" s="1"/>
  <c r="AB150" i="4"/>
  <c r="AO150" i="4" s="1"/>
  <c r="AD150" i="4"/>
  <c r="AQ150" i="4" s="1"/>
  <c r="AB151" i="4"/>
  <c r="AO151" i="4" s="1"/>
  <c r="AD151" i="4"/>
  <c r="AQ151" i="4" s="1"/>
  <c r="AB152" i="4"/>
  <c r="AO152" i="4" s="1"/>
  <c r="AD152" i="4"/>
  <c r="AQ152" i="4" s="1"/>
  <c r="AB153" i="4"/>
  <c r="AO153" i="4" s="1"/>
  <c r="AD153" i="4"/>
  <c r="AQ153" i="4" s="1"/>
  <c r="AB154" i="4"/>
  <c r="AO154" i="4" s="1"/>
  <c r="AD154" i="4"/>
  <c r="AQ154" i="4" s="1"/>
  <c r="AB155" i="4"/>
  <c r="AO155" i="4" s="1"/>
  <c r="AD155" i="4"/>
  <c r="AQ155" i="4" s="1"/>
  <c r="AB156" i="4"/>
  <c r="AO156" i="4" s="1"/>
  <c r="AD156" i="4"/>
  <c r="AQ156" i="4" s="1"/>
  <c r="AB157" i="4"/>
  <c r="AO157" i="4" s="1"/>
  <c r="AD157" i="4"/>
  <c r="AQ157" i="4" s="1"/>
  <c r="AB158" i="4"/>
  <c r="AO158" i="4" s="1"/>
  <c r="AD158" i="4"/>
  <c r="AQ158" i="4" s="1"/>
  <c r="AB159" i="4"/>
  <c r="AO159" i="4" s="1"/>
  <c r="AD159" i="4"/>
  <c r="AQ159" i="4" s="1"/>
  <c r="AB160" i="4"/>
  <c r="AO160" i="4" s="1"/>
  <c r="AD160" i="4"/>
  <c r="AQ160" i="4" s="1"/>
  <c r="AB161" i="4"/>
  <c r="AO161" i="4" s="1"/>
  <c r="AD161" i="4"/>
  <c r="AQ161" i="4" s="1"/>
  <c r="AB162" i="4"/>
  <c r="AO162" i="4" s="1"/>
  <c r="AD162" i="4"/>
  <c r="AQ162" i="4" s="1"/>
  <c r="AB163" i="4"/>
  <c r="AO163" i="4" s="1"/>
  <c r="AD163" i="4"/>
  <c r="AQ163" i="4" s="1"/>
  <c r="AB164" i="4"/>
  <c r="AO164" i="4" s="1"/>
  <c r="AD164" i="4"/>
  <c r="AQ164" i="4" s="1"/>
  <c r="AB165" i="4"/>
  <c r="AO165" i="4" s="1"/>
  <c r="AD165" i="4"/>
  <c r="AQ165" i="4" s="1"/>
  <c r="AB166" i="4"/>
  <c r="AO166" i="4" s="1"/>
  <c r="AD166" i="4"/>
  <c r="AQ166" i="4" s="1"/>
  <c r="AB167" i="4"/>
  <c r="AO167" i="4" s="1"/>
  <c r="AD167" i="4"/>
  <c r="AQ167" i="4" s="1"/>
  <c r="AB168" i="4"/>
  <c r="AO168" i="4" s="1"/>
  <c r="AD168" i="4"/>
  <c r="AQ168" i="4" s="1"/>
  <c r="AB169" i="4"/>
  <c r="AO169" i="4" s="1"/>
  <c r="AD169" i="4"/>
  <c r="AQ169" i="4" s="1"/>
  <c r="AB170" i="4"/>
  <c r="AO170" i="4" s="1"/>
  <c r="AD170" i="4"/>
  <c r="AQ170" i="4" s="1"/>
  <c r="AB171" i="4"/>
  <c r="AO171" i="4" s="1"/>
  <c r="AD171" i="4"/>
  <c r="AQ171" i="4" s="1"/>
  <c r="AB172" i="4"/>
  <c r="AO172" i="4" s="1"/>
  <c r="AD172" i="4"/>
  <c r="AQ172" i="4" s="1"/>
  <c r="AB173" i="4"/>
  <c r="AO173" i="4" s="1"/>
  <c r="AD173" i="4"/>
  <c r="AQ173" i="4" s="1"/>
  <c r="AB174" i="4"/>
  <c r="AO174" i="4" s="1"/>
  <c r="AD174" i="4"/>
  <c r="AQ174" i="4" s="1"/>
  <c r="AB175" i="4"/>
  <c r="AO175" i="4" s="1"/>
  <c r="AD175" i="4"/>
  <c r="AQ175" i="4" s="1"/>
  <c r="AB176" i="4"/>
  <c r="AO176" i="4" s="1"/>
  <c r="AD176" i="4"/>
  <c r="AQ176" i="4" s="1"/>
  <c r="AB177" i="4"/>
  <c r="AO177" i="4" s="1"/>
  <c r="AD177" i="4"/>
  <c r="AQ177" i="4" s="1"/>
  <c r="AB178" i="4"/>
  <c r="AO178" i="4" s="1"/>
  <c r="AD178" i="4"/>
  <c r="AQ178" i="4" s="1"/>
  <c r="AB179" i="4"/>
  <c r="AO179" i="4" s="1"/>
  <c r="AD179" i="4"/>
  <c r="AQ179" i="4" s="1"/>
  <c r="AB180" i="4"/>
  <c r="AO180" i="4" s="1"/>
  <c r="AD180" i="4"/>
  <c r="AQ180" i="4" s="1"/>
  <c r="AB181" i="4"/>
  <c r="AO181" i="4" s="1"/>
  <c r="AD181" i="4"/>
  <c r="AQ181" i="4" s="1"/>
  <c r="AB182" i="4"/>
  <c r="AO182" i="4" s="1"/>
  <c r="AD182" i="4"/>
  <c r="AQ182" i="4" s="1"/>
  <c r="AB183" i="4"/>
  <c r="AO183" i="4" s="1"/>
  <c r="AD183" i="4"/>
  <c r="AQ183" i="4" s="1"/>
  <c r="AB184" i="4"/>
  <c r="AO184" i="4" s="1"/>
  <c r="AD184" i="4"/>
  <c r="AQ184" i="4" s="1"/>
  <c r="AB185" i="4"/>
  <c r="AO185" i="4" s="1"/>
  <c r="AD185" i="4"/>
  <c r="AQ185" i="4" s="1"/>
  <c r="AB186" i="4"/>
  <c r="AO186" i="4" s="1"/>
  <c r="AD186" i="4"/>
  <c r="AQ186" i="4" s="1"/>
  <c r="AB187" i="4"/>
  <c r="AO187" i="4" s="1"/>
  <c r="AD187" i="4"/>
  <c r="AQ187" i="4" s="1"/>
  <c r="AB188" i="4"/>
  <c r="AO188" i="4" s="1"/>
  <c r="AD188" i="4"/>
  <c r="AQ188" i="4" s="1"/>
  <c r="AB189" i="4"/>
  <c r="AO189" i="4" s="1"/>
  <c r="AD189" i="4"/>
  <c r="AQ189" i="4" s="1"/>
  <c r="AB190" i="4"/>
  <c r="AO190" i="4" s="1"/>
  <c r="AD190" i="4"/>
  <c r="AQ190" i="4" s="1"/>
  <c r="AB191" i="4"/>
  <c r="AO191" i="4" s="1"/>
  <c r="AD191" i="4"/>
  <c r="AQ191" i="4" s="1"/>
  <c r="AB192" i="4"/>
  <c r="AO192" i="4" s="1"/>
  <c r="AD192" i="4"/>
  <c r="AQ192" i="4"/>
  <c r="AB193" i="4"/>
  <c r="AO193" i="4" s="1"/>
  <c r="AD193" i="4"/>
  <c r="AQ193" i="4" s="1"/>
  <c r="AB194" i="4"/>
  <c r="AO194" i="4" s="1"/>
  <c r="AD194" i="4"/>
  <c r="AQ194" i="4" s="1"/>
  <c r="AB195" i="4"/>
  <c r="AO195" i="4" s="1"/>
  <c r="AD195" i="4"/>
  <c r="AQ195" i="4" s="1"/>
  <c r="AB196" i="4"/>
  <c r="AO196" i="4" s="1"/>
  <c r="AD196" i="4"/>
  <c r="AQ196" i="4"/>
  <c r="AB197" i="4"/>
  <c r="AO197" i="4" s="1"/>
  <c r="AD197" i="4"/>
  <c r="AQ197" i="4" s="1"/>
  <c r="AB198" i="4"/>
  <c r="AO198" i="4" s="1"/>
  <c r="AD198" i="4"/>
  <c r="AQ198" i="4" s="1"/>
  <c r="AB199" i="4"/>
  <c r="AO199" i="4" s="1"/>
  <c r="AD199" i="4"/>
  <c r="AQ199" i="4" s="1"/>
  <c r="AB200" i="4"/>
  <c r="AO200" i="4" s="1"/>
  <c r="AD200" i="4"/>
  <c r="AQ200" i="4"/>
  <c r="AB201" i="4"/>
  <c r="AO201" i="4" s="1"/>
  <c r="AD201" i="4"/>
  <c r="AQ201" i="4" s="1"/>
  <c r="AB202" i="4"/>
  <c r="AO202" i="4"/>
  <c r="AD202" i="4"/>
  <c r="AQ202" i="4" s="1"/>
  <c r="AB203" i="4"/>
  <c r="AO203" i="4" s="1"/>
  <c r="AD203" i="4"/>
  <c r="AQ203" i="4" s="1"/>
  <c r="AB204" i="4"/>
  <c r="AO204" i="4" s="1"/>
  <c r="AD204" i="4"/>
  <c r="AQ204" i="4" s="1"/>
  <c r="AB205" i="4"/>
  <c r="AO205" i="4" s="1"/>
  <c r="AD205" i="4"/>
  <c r="AQ205" i="4" s="1"/>
  <c r="AB206" i="4"/>
  <c r="AO206" i="4" s="1"/>
  <c r="AD206" i="4"/>
  <c r="AQ206" i="4" s="1"/>
  <c r="AB207" i="4"/>
  <c r="AO207" i="4" s="1"/>
  <c r="AD207" i="4"/>
  <c r="AQ207" i="4" s="1"/>
  <c r="AB208" i="4"/>
  <c r="AO208" i="4" s="1"/>
  <c r="AD208" i="4"/>
  <c r="AQ208" i="4" s="1"/>
  <c r="AB209" i="4"/>
  <c r="AO209" i="4" s="1"/>
  <c r="AD209" i="4"/>
  <c r="AQ209" i="4" s="1"/>
  <c r="AB210" i="4"/>
  <c r="AO210" i="4"/>
  <c r="AD210" i="4"/>
  <c r="AQ210" i="4" s="1"/>
  <c r="AB211" i="4"/>
  <c r="AO211" i="4" s="1"/>
  <c r="AD211" i="4"/>
  <c r="AQ211" i="4" s="1"/>
  <c r="AB212" i="4"/>
  <c r="AO212" i="4" s="1"/>
  <c r="AD212" i="4"/>
  <c r="AQ212" i="4" s="1"/>
  <c r="AB213" i="4"/>
  <c r="AO213" i="4" s="1"/>
  <c r="AD213" i="4"/>
  <c r="AQ213" i="4" s="1"/>
  <c r="AB214" i="4"/>
  <c r="AO214" i="4"/>
  <c r="AD214" i="4"/>
  <c r="AQ214" i="4" s="1"/>
  <c r="AB215" i="4"/>
  <c r="AO215" i="4" s="1"/>
  <c r="AD215" i="4"/>
  <c r="AQ215" i="4" s="1"/>
  <c r="AB216" i="4"/>
  <c r="AO216" i="4" s="1"/>
  <c r="AD216" i="4"/>
  <c r="AQ216" i="4" s="1"/>
  <c r="AB217" i="4"/>
  <c r="AO217" i="4" s="1"/>
  <c r="AD217" i="4"/>
  <c r="AQ217" i="4" s="1"/>
  <c r="AB218" i="4"/>
  <c r="AO218" i="4"/>
  <c r="AD218" i="4"/>
  <c r="AQ218" i="4" s="1"/>
  <c r="AB219" i="4"/>
  <c r="AO219" i="4" s="1"/>
  <c r="AD219" i="4"/>
  <c r="AQ219" i="4" s="1"/>
  <c r="AB220" i="4"/>
  <c r="AO220" i="4" s="1"/>
  <c r="AD220" i="4"/>
  <c r="AQ220" i="4" s="1"/>
  <c r="AB221" i="4"/>
  <c r="AO221" i="4" s="1"/>
  <c r="AD221" i="4"/>
  <c r="AQ221" i="4" s="1"/>
  <c r="AB222" i="4"/>
  <c r="AO222" i="4" s="1"/>
  <c r="AD222" i="4"/>
  <c r="AQ222" i="4" s="1"/>
  <c r="AB223" i="4"/>
  <c r="AO223" i="4" s="1"/>
  <c r="AD223" i="4"/>
  <c r="AQ223" i="4" s="1"/>
  <c r="AB224" i="4"/>
  <c r="AO224" i="4" s="1"/>
  <c r="AD224" i="4"/>
  <c r="AQ224" i="4" s="1"/>
  <c r="AB225" i="4"/>
  <c r="AO225" i="4" s="1"/>
  <c r="AD225" i="4"/>
  <c r="AQ225" i="4" s="1"/>
  <c r="AB226" i="4"/>
  <c r="AO226" i="4" s="1"/>
  <c r="AD226" i="4"/>
  <c r="AQ226" i="4" s="1"/>
  <c r="AB227" i="4"/>
  <c r="AO227" i="4" s="1"/>
  <c r="AD227" i="4"/>
  <c r="AQ227" i="4" s="1"/>
  <c r="AB228" i="4"/>
  <c r="AO228" i="4" s="1"/>
  <c r="AD228" i="4"/>
  <c r="AQ228" i="4" s="1"/>
  <c r="AB229" i="4"/>
  <c r="AO229" i="4" s="1"/>
  <c r="AD229" i="4"/>
  <c r="AQ229" i="4" s="1"/>
  <c r="AB230" i="4"/>
  <c r="AO230" i="4"/>
  <c r="AD230" i="4"/>
  <c r="AQ230" i="4" s="1"/>
  <c r="AB231" i="4"/>
  <c r="AO231" i="4" s="1"/>
  <c r="AD231" i="4"/>
  <c r="AQ231" i="4" s="1"/>
  <c r="AB232" i="4"/>
  <c r="AO232" i="4" s="1"/>
  <c r="AD232" i="4"/>
  <c r="AQ232" i="4" s="1"/>
  <c r="AB233" i="4"/>
  <c r="AO233" i="4" s="1"/>
  <c r="AD233" i="4"/>
  <c r="AQ233" i="4" s="1"/>
  <c r="AB234" i="4"/>
  <c r="AO234" i="4"/>
  <c r="AD234" i="4"/>
  <c r="AQ234" i="4" s="1"/>
  <c r="AB235" i="4"/>
  <c r="AO235" i="4" s="1"/>
  <c r="AD235" i="4"/>
  <c r="AQ235" i="4" s="1"/>
  <c r="AB236" i="4"/>
  <c r="AO236" i="4" s="1"/>
  <c r="AD236" i="4"/>
  <c r="AQ236" i="4" s="1"/>
  <c r="AB237" i="4"/>
  <c r="AO237" i="4" s="1"/>
  <c r="AD237" i="4"/>
  <c r="AQ237" i="4" s="1"/>
  <c r="AB238" i="4"/>
  <c r="AO238" i="4" s="1"/>
  <c r="AD238" i="4"/>
  <c r="AQ238" i="4" s="1"/>
  <c r="AB239" i="4"/>
  <c r="AO239" i="4" s="1"/>
  <c r="AD239" i="4"/>
  <c r="AQ239" i="4" s="1"/>
  <c r="AB240" i="4"/>
  <c r="AO240" i="4" s="1"/>
  <c r="AD240" i="4"/>
  <c r="AQ240" i="4" s="1"/>
  <c r="AB241" i="4"/>
  <c r="AO241" i="4" s="1"/>
  <c r="AD241" i="4"/>
  <c r="AQ241" i="4" s="1"/>
  <c r="AB242" i="4"/>
  <c r="AO242" i="4" s="1"/>
  <c r="AD242" i="4"/>
  <c r="AQ242" i="4" s="1"/>
  <c r="AB243" i="4"/>
  <c r="AO243" i="4" s="1"/>
  <c r="AD243" i="4"/>
  <c r="AQ243" i="4" s="1"/>
  <c r="AB244" i="4"/>
  <c r="AO244" i="4" s="1"/>
  <c r="AD244" i="4"/>
  <c r="AQ244" i="4" s="1"/>
  <c r="AB245" i="4"/>
  <c r="AO245" i="4" s="1"/>
  <c r="AD245" i="4"/>
  <c r="AQ245" i="4" s="1"/>
  <c r="AB246" i="4"/>
  <c r="AO246" i="4"/>
  <c r="AD246" i="4"/>
  <c r="AQ246" i="4" s="1"/>
  <c r="AB247" i="4"/>
  <c r="AO247" i="4" s="1"/>
  <c r="AD247" i="4"/>
  <c r="AQ247" i="4" s="1"/>
  <c r="AB248" i="4"/>
  <c r="AO248" i="4" s="1"/>
  <c r="AD248" i="4"/>
  <c r="AQ248" i="4" s="1"/>
  <c r="AB249" i="4"/>
  <c r="AO249" i="4" s="1"/>
  <c r="AD249" i="4"/>
  <c r="AQ249" i="4" s="1"/>
  <c r="AB250" i="4"/>
  <c r="AO250" i="4"/>
  <c r="AD250" i="4"/>
  <c r="AQ250" i="4" s="1"/>
  <c r="AB251" i="4"/>
  <c r="AO251" i="4" s="1"/>
  <c r="AD251" i="4"/>
  <c r="AQ251" i="4" s="1"/>
  <c r="AB252" i="4"/>
  <c r="AO252" i="4" s="1"/>
  <c r="AD252" i="4"/>
  <c r="AQ252" i="4" s="1"/>
  <c r="AB253" i="4"/>
  <c r="AO253" i="4" s="1"/>
  <c r="AD253" i="4"/>
  <c r="AQ253" i="4" s="1"/>
  <c r="AB254" i="4"/>
  <c r="AO254" i="4" s="1"/>
  <c r="AD254" i="4"/>
  <c r="AQ254" i="4"/>
  <c r="AB255" i="4"/>
  <c r="AO255" i="4" s="1"/>
  <c r="AD255" i="4"/>
  <c r="AQ255" i="4"/>
  <c r="AB256" i="4"/>
  <c r="AO256" i="4" s="1"/>
  <c r="AD256" i="4"/>
  <c r="AQ256" i="4" s="1"/>
  <c r="AB257" i="4"/>
  <c r="AO257" i="4" s="1"/>
  <c r="AD257" i="4"/>
  <c r="AQ257" i="4" s="1"/>
  <c r="AB258" i="4"/>
  <c r="AO258" i="4" s="1"/>
  <c r="AD258" i="4"/>
  <c r="AQ258" i="4"/>
  <c r="AB259" i="4"/>
  <c r="AO259" i="4" s="1"/>
  <c r="AD259" i="4"/>
  <c r="AQ259" i="4" s="1"/>
  <c r="AB260" i="4"/>
  <c r="AO260" i="4" s="1"/>
  <c r="AD260" i="4"/>
  <c r="AQ260" i="4" s="1"/>
  <c r="AB261" i="4"/>
  <c r="AO261" i="4" s="1"/>
  <c r="AD261" i="4"/>
  <c r="AQ261" i="4"/>
  <c r="AB262" i="4"/>
  <c r="AO262" i="4" s="1"/>
  <c r="AD262" i="4"/>
  <c r="AQ262" i="4"/>
  <c r="AB263" i="4"/>
  <c r="AO263" i="4"/>
  <c r="AD263" i="4"/>
  <c r="AQ263" i="4"/>
  <c r="AB264" i="4"/>
  <c r="AO264" i="4"/>
  <c r="AD264" i="4"/>
  <c r="AQ264" i="4"/>
  <c r="AB265" i="4"/>
  <c r="AO265" i="4"/>
  <c r="AD265" i="4"/>
  <c r="AQ265" i="4"/>
  <c r="AB266" i="4"/>
  <c r="AO266" i="4"/>
  <c r="AD266" i="4"/>
  <c r="AQ266" i="4" s="1"/>
  <c r="AB267" i="4"/>
  <c r="AO267" i="4" s="1"/>
  <c r="AD267" i="4"/>
  <c r="AQ267" i="4"/>
  <c r="AB268" i="4"/>
  <c r="AO268" i="4" s="1"/>
  <c r="AD268" i="4"/>
  <c r="AQ268" i="4"/>
  <c r="AB269" i="4"/>
  <c r="AO269" i="4" s="1"/>
  <c r="AD269" i="4"/>
  <c r="AQ269" i="4" s="1"/>
  <c r="AB270" i="4"/>
  <c r="AO270" i="4" s="1"/>
  <c r="AD270" i="4"/>
  <c r="AQ270" i="4" s="1"/>
  <c r="AB271" i="4"/>
  <c r="AO271" i="4" s="1"/>
  <c r="AD271" i="4"/>
  <c r="AQ271" i="4" s="1"/>
  <c r="AB272" i="4"/>
  <c r="AO272" i="4"/>
  <c r="AD272" i="4"/>
  <c r="AQ272" i="4" s="1"/>
  <c r="AB273" i="4"/>
  <c r="AO273" i="4"/>
  <c r="AD273" i="4"/>
  <c r="AQ273" i="4" s="1"/>
  <c r="AB274" i="4"/>
  <c r="AO274" i="4"/>
  <c r="AD274" i="4"/>
  <c r="AQ274" i="4" s="1"/>
  <c r="AB275" i="4"/>
  <c r="AO275" i="4"/>
  <c r="AD275" i="4"/>
  <c r="AQ275" i="4" s="1"/>
  <c r="AB276" i="4"/>
  <c r="AO276" i="4"/>
  <c r="AD276" i="4"/>
  <c r="AQ276" i="4" s="1"/>
  <c r="AB277" i="4"/>
  <c r="AO277" i="4"/>
  <c r="AD277" i="4"/>
  <c r="AQ277" i="4" s="1"/>
  <c r="AB278" i="4"/>
  <c r="AO278" i="4" s="1"/>
  <c r="AD278" i="4"/>
  <c r="AQ278" i="4"/>
  <c r="AB279" i="4"/>
  <c r="AO279" i="4" s="1"/>
  <c r="AD279" i="4"/>
  <c r="AQ279" i="4" s="1"/>
  <c r="AB280" i="4"/>
  <c r="AO280" i="4" s="1"/>
  <c r="AD280" i="4"/>
  <c r="AQ280" i="4" s="1"/>
  <c r="AB281" i="4"/>
  <c r="AO281" i="4" s="1"/>
  <c r="AD281" i="4"/>
  <c r="AQ281" i="4"/>
  <c r="AB282" i="4"/>
  <c r="AO282" i="4" s="1"/>
  <c r="AD282" i="4"/>
  <c r="AQ282" i="4"/>
  <c r="AB283" i="4"/>
  <c r="AO283" i="4" s="1"/>
  <c r="AD283" i="4"/>
  <c r="AQ283" i="4"/>
  <c r="AB284" i="4"/>
  <c r="AO284" i="4" s="1"/>
  <c r="AD284" i="4"/>
  <c r="AQ284" i="4" s="1"/>
  <c r="AB285" i="4"/>
  <c r="AO285" i="4"/>
  <c r="AD285" i="4"/>
  <c r="AQ285" i="4" s="1"/>
  <c r="AB286" i="4"/>
  <c r="AO286" i="4" s="1"/>
  <c r="AD286" i="4"/>
  <c r="AQ286" i="4" s="1"/>
  <c r="AB287" i="4"/>
  <c r="AO287" i="4" s="1"/>
  <c r="AD287" i="4"/>
  <c r="AQ287" i="4" s="1"/>
  <c r="AB288" i="4"/>
  <c r="AO288" i="4"/>
  <c r="AD288" i="4"/>
  <c r="AQ288" i="4" s="1"/>
  <c r="AB289" i="4"/>
  <c r="AO289" i="4" s="1"/>
  <c r="AD289" i="4"/>
  <c r="AQ289" i="4"/>
  <c r="AB290" i="4"/>
  <c r="AO290" i="4" s="1"/>
  <c r="AD290" i="4"/>
  <c r="AQ290" i="4" s="1"/>
  <c r="AB291" i="4"/>
  <c r="AO291" i="4" s="1"/>
  <c r="AD291" i="4"/>
  <c r="AQ291" i="4" s="1"/>
  <c r="AB292" i="4"/>
  <c r="AO292" i="4" s="1"/>
  <c r="AD292" i="4"/>
  <c r="AQ292" i="4"/>
  <c r="AB293" i="4"/>
  <c r="AO293" i="4" s="1"/>
  <c r="AD293" i="4"/>
  <c r="AQ293" i="4" s="1"/>
  <c r="AB294" i="4"/>
  <c r="AO294" i="4"/>
  <c r="AD294" i="4"/>
  <c r="AQ294" i="4" s="1"/>
  <c r="AB295" i="4"/>
  <c r="AO295" i="4"/>
  <c r="AD295" i="4"/>
  <c r="AQ295" i="4" s="1"/>
  <c r="AB296" i="4"/>
  <c r="AO296" i="4" s="1"/>
  <c r="AD296" i="4"/>
  <c r="AQ296" i="4" s="1"/>
  <c r="AB297" i="4"/>
  <c r="AO297" i="4" s="1"/>
  <c r="AD297" i="4"/>
  <c r="AQ297" i="4" s="1"/>
  <c r="AB298" i="4"/>
  <c r="AO298" i="4" s="1"/>
  <c r="AD298" i="4"/>
  <c r="AQ298" i="4"/>
  <c r="AB299" i="4"/>
  <c r="AO299" i="4" s="1"/>
  <c r="AD299" i="4"/>
  <c r="AQ299" i="4" s="1"/>
  <c r="AB300" i="4"/>
  <c r="AO300" i="4"/>
  <c r="AD300" i="4"/>
  <c r="AQ300" i="4"/>
  <c r="AB301" i="4"/>
  <c r="AO301" i="4"/>
  <c r="AD301" i="4"/>
  <c r="AQ301" i="4"/>
  <c r="AB302" i="4"/>
  <c r="AO302" i="4"/>
  <c r="AD302" i="4"/>
  <c r="AQ302" i="4" s="1"/>
  <c r="AB303" i="4"/>
  <c r="AO303" i="4"/>
  <c r="AD303" i="4"/>
  <c r="AQ303" i="4" s="1"/>
  <c r="AB304" i="4"/>
  <c r="AO304" i="4"/>
  <c r="AD304" i="4"/>
  <c r="AQ304" i="4" s="1"/>
  <c r="AB305" i="4"/>
  <c r="AO305" i="4" s="1"/>
  <c r="AD305" i="4"/>
  <c r="AQ305" i="4"/>
  <c r="AB306" i="4"/>
  <c r="AO306" i="4" s="1"/>
  <c r="AD306" i="4"/>
  <c r="AQ306" i="4" s="1"/>
  <c r="AB307" i="4"/>
  <c r="AO307" i="4" s="1"/>
  <c r="AD307" i="4"/>
  <c r="AQ307" i="4" s="1"/>
  <c r="AB308" i="4"/>
  <c r="AO308" i="4" s="1"/>
  <c r="AD308" i="4"/>
  <c r="AQ308" i="4" s="1"/>
  <c r="AB309" i="4"/>
  <c r="AO309" i="4"/>
  <c r="AD309" i="4"/>
  <c r="AQ309" i="4" s="1"/>
  <c r="AB310" i="4"/>
  <c r="AO310" i="4" s="1"/>
  <c r="AD310" i="4"/>
  <c r="AQ310" i="4" s="1"/>
  <c r="AB311" i="4"/>
  <c r="AO311" i="4" s="1"/>
  <c r="AD311" i="4"/>
  <c r="AQ311" i="4" s="1"/>
  <c r="AB312" i="4"/>
  <c r="AO312" i="4"/>
  <c r="AD312" i="4"/>
  <c r="AQ312" i="4" s="1"/>
  <c r="AB313" i="4"/>
  <c r="AO313" i="4" s="1"/>
  <c r="AD313" i="4"/>
  <c r="AQ313" i="4" s="1"/>
  <c r="AB314" i="4"/>
  <c r="AO314" i="4" s="1"/>
  <c r="AD314" i="4"/>
  <c r="AQ314" i="4" s="1"/>
  <c r="AB315" i="4"/>
  <c r="AO315" i="4" s="1"/>
  <c r="AD315" i="4"/>
  <c r="AQ315" i="4" s="1"/>
  <c r="AB316" i="4"/>
  <c r="AO316" i="4" s="1"/>
  <c r="AD316" i="4"/>
  <c r="AQ316" i="4"/>
  <c r="AB317" i="4"/>
  <c r="AO317" i="4" s="1"/>
  <c r="AD317" i="4"/>
  <c r="AQ317" i="4" s="1"/>
  <c r="AB318" i="4"/>
  <c r="AO318" i="4"/>
  <c r="AD318" i="4"/>
  <c r="AQ318" i="4"/>
  <c r="AB319" i="4"/>
  <c r="AO319" i="4"/>
  <c r="AD319" i="4"/>
  <c r="AQ319" i="4"/>
  <c r="AB320" i="4"/>
  <c r="AO320" i="4"/>
  <c r="AD320" i="4"/>
  <c r="AQ320" i="4"/>
  <c r="AB321" i="4"/>
  <c r="AO321" i="4"/>
  <c r="AD321" i="4"/>
  <c r="AQ321" i="4" s="1"/>
  <c r="AB322" i="4"/>
  <c r="AO322" i="4" s="1"/>
  <c r="AD322" i="4"/>
  <c r="AQ322" i="4"/>
  <c r="AB323" i="4"/>
  <c r="AO323" i="4" s="1"/>
  <c r="AD323" i="4"/>
  <c r="AQ323" i="4"/>
  <c r="AB324" i="4"/>
  <c r="AO324" i="4" s="1"/>
  <c r="AD324" i="4"/>
  <c r="AQ324" i="4" s="1"/>
  <c r="AB325" i="4"/>
  <c r="AO325" i="4" s="1"/>
  <c r="AD325" i="4"/>
  <c r="AQ325" i="4" s="1"/>
  <c r="AB326" i="4"/>
  <c r="AO326" i="4" s="1"/>
  <c r="AD326" i="4"/>
  <c r="AQ326" i="4" s="1"/>
  <c r="AB327" i="4"/>
  <c r="AO327" i="4"/>
  <c r="AD327" i="4"/>
  <c r="AQ327" i="4" s="1"/>
  <c r="AB328" i="4"/>
  <c r="AO328" i="4" s="1"/>
  <c r="AD328" i="4"/>
  <c r="AQ328" i="4"/>
  <c r="AB329" i="4"/>
  <c r="AO329" i="4" s="1"/>
  <c r="AD329" i="4"/>
  <c r="AQ329" i="4" s="1"/>
  <c r="AB330" i="4"/>
  <c r="AO330" i="4" s="1"/>
  <c r="AD330" i="4"/>
  <c r="AQ330" i="4" s="1"/>
  <c r="AB331" i="4"/>
  <c r="AO331" i="4" s="1"/>
  <c r="AD331" i="4"/>
  <c r="AQ331" i="4" s="1"/>
  <c r="AB332" i="4"/>
  <c r="AO332" i="4" s="1"/>
  <c r="AD332" i="4"/>
  <c r="AQ332" i="4" s="1"/>
  <c r="AB333" i="4"/>
  <c r="AO333" i="4" s="1"/>
  <c r="AD333" i="4"/>
  <c r="AQ333" i="4" s="1"/>
  <c r="AB334" i="4"/>
  <c r="AO334" i="4" s="1"/>
  <c r="AD334" i="4"/>
  <c r="AQ334" i="4" s="1"/>
  <c r="AB335" i="4"/>
  <c r="AO335" i="4" s="1"/>
  <c r="AD335" i="4"/>
  <c r="AQ335" i="4" s="1"/>
  <c r="AB336" i="4"/>
  <c r="AO336" i="4"/>
  <c r="AD336" i="4"/>
  <c r="AQ336" i="4" s="1"/>
  <c r="AB337" i="4"/>
  <c r="AO337" i="4"/>
  <c r="AD337" i="4"/>
  <c r="AQ337" i="4" s="1"/>
  <c r="AB338" i="4"/>
  <c r="AO338" i="4"/>
  <c r="AD338" i="4"/>
  <c r="AQ338" i="4" s="1"/>
  <c r="AB339" i="4"/>
  <c r="AO339" i="4"/>
  <c r="AD339" i="4"/>
  <c r="AQ339" i="4" s="1"/>
  <c r="AB340" i="4"/>
  <c r="AO340" i="4"/>
  <c r="AD340" i="4"/>
  <c r="AQ340" i="4" s="1"/>
  <c r="AB341" i="4"/>
  <c r="AO341" i="4"/>
  <c r="AD341" i="4"/>
  <c r="AQ341" i="4" s="1"/>
  <c r="AB342" i="4"/>
  <c r="AO342" i="4" s="1"/>
  <c r="AD342" i="4"/>
  <c r="AQ342" i="4" s="1"/>
  <c r="AB343" i="4"/>
  <c r="AO343" i="4" s="1"/>
  <c r="AD343" i="4"/>
  <c r="AQ343" i="4" s="1"/>
  <c r="AB344" i="4"/>
  <c r="AO344" i="4" s="1"/>
  <c r="AD344" i="4"/>
  <c r="AQ344" i="4" s="1"/>
  <c r="AB345" i="4"/>
  <c r="AO345" i="4"/>
  <c r="AD345" i="4"/>
  <c r="AQ345" i="4" s="1"/>
  <c r="AB346" i="4"/>
  <c r="AO346" i="4" s="1"/>
  <c r="AD346" i="4"/>
  <c r="AQ346" i="4" s="1"/>
  <c r="AB347" i="4"/>
  <c r="AO347" i="4" s="1"/>
  <c r="AD347" i="4"/>
  <c r="AQ347" i="4" s="1"/>
  <c r="AB348" i="4"/>
  <c r="AO348" i="4"/>
  <c r="AD348" i="4"/>
  <c r="AQ348" i="4" s="1"/>
  <c r="AB349" i="4"/>
  <c r="AO349" i="4" s="1"/>
  <c r="AD349" i="4"/>
  <c r="AQ349" i="4" s="1"/>
  <c r="AB350" i="4"/>
  <c r="AO350" i="4" s="1"/>
  <c r="AD350" i="4"/>
  <c r="AQ350" i="4" s="1"/>
  <c r="AB351" i="4"/>
  <c r="AO351" i="4" s="1"/>
  <c r="AD351" i="4"/>
  <c r="AQ351" i="4" s="1"/>
  <c r="AB352" i="4"/>
  <c r="AO352" i="4" s="1"/>
  <c r="AD352" i="4"/>
  <c r="AQ352" i="4"/>
  <c r="AB353" i="4"/>
  <c r="AO353" i="4" s="1"/>
  <c r="AD353" i="4"/>
  <c r="AQ353" i="4" s="1"/>
  <c r="AB354" i="4"/>
  <c r="AO354" i="4"/>
  <c r="AD354" i="4"/>
  <c r="AQ354" i="4"/>
  <c r="AB355" i="4"/>
  <c r="AO355" i="4"/>
  <c r="AD355" i="4"/>
  <c r="AQ355" i="4" s="1"/>
  <c r="AB356" i="4"/>
  <c r="AO356" i="4" s="1"/>
  <c r="AD356" i="4"/>
  <c r="AQ356" i="4" s="1"/>
  <c r="AB357" i="4"/>
  <c r="AO357" i="4" s="1"/>
  <c r="AD357" i="4"/>
  <c r="AQ357" i="4" s="1"/>
  <c r="AB358" i="4"/>
  <c r="AO358" i="4"/>
  <c r="AD358" i="4"/>
  <c r="AQ358" i="4" s="1"/>
  <c r="AB359" i="4"/>
  <c r="AO359" i="4" s="1"/>
  <c r="AD359" i="4"/>
  <c r="AQ359" i="4" s="1"/>
  <c r="AB360" i="4"/>
  <c r="AO360" i="4" s="1"/>
  <c r="AD360" i="4"/>
  <c r="AQ360" i="4" s="1"/>
  <c r="AB361" i="4"/>
  <c r="AO361" i="4" s="1"/>
  <c r="AD361" i="4"/>
  <c r="AQ361" i="4" s="1"/>
  <c r="AB362" i="4"/>
  <c r="AO362" i="4" s="1"/>
  <c r="AD362" i="4"/>
  <c r="AQ362" i="4" s="1"/>
  <c r="AB363" i="4"/>
  <c r="AO363" i="4"/>
  <c r="AD363" i="4"/>
  <c r="AQ363" i="4" s="1"/>
  <c r="AB364" i="4"/>
  <c r="AO364" i="4" s="1"/>
  <c r="AD364" i="4"/>
  <c r="AQ364" i="4" s="1"/>
  <c r="AB365" i="4"/>
  <c r="AO365" i="4" s="1"/>
  <c r="AD365" i="4"/>
  <c r="AQ365" i="4" s="1"/>
  <c r="AB366" i="4"/>
  <c r="AO366" i="4"/>
  <c r="AD366" i="4"/>
  <c r="AQ366" i="4" s="1"/>
  <c r="AB367" i="4"/>
  <c r="AO367" i="4" s="1"/>
  <c r="AD367" i="4"/>
  <c r="AQ367" i="4" s="1"/>
  <c r="AB368" i="4"/>
  <c r="AO368" i="4" s="1"/>
  <c r="AD368" i="4"/>
  <c r="AQ368" i="4" s="1"/>
  <c r="AB369" i="4"/>
  <c r="AO369" i="4" s="1"/>
  <c r="AD369" i="4"/>
  <c r="AQ369" i="4" s="1"/>
  <c r="AB370" i="4"/>
  <c r="AO370" i="4" s="1"/>
  <c r="AD370" i="4"/>
  <c r="AQ370" i="4"/>
  <c r="AB371" i="4"/>
  <c r="AO371" i="4" s="1"/>
  <c r="AD371" i="4"/>
  <c r="AQ371" i="4"/>
  <c r="AB372" i="4"/>
  <c r="AO372" i="4" s="1"/>
  <c r="AD372" i="4"/>
  <c r="AQ372" i="4"/>
  <c r="AB373" i="4"/>
  <c r="AO373" i="4" s="1"/>
  <c r="AD373" i="4"/>
  <c r="AQ373" i="4" s="1"/>
  <c r="AB374" i="4"/>
  <c r="AO374" i="4"/>
  <c r="AD374" i="4"/>
  <c r="AQ374" i="4" s="1"/>
  <c r="AB375" i="4"/>
  <c r="AO375" i="4" s="1"/>
  <c r="AD375" i="4"/>
  <c r="AQ375" i="4" s="1"/>
  <c r="AB376" i="4"/>
  <c r="AO376" i="4" s="1"/>
  <c r="AD376" i="4"/>
  <c r="AQ376" i="4"/>
  <c r="AB377" i="4"/>
  <c r="AO377" i="4" s="1"/>
  <c r="AD377" i="4"/>
  <c r="AQ377" i="4" s="1"/>
  <c r="AB378" i="4"/>
  <c r="AO378" i="4" s="1"/>
  <c r="AD378" i="4"/>
  <c r="AQ378" i="4" s="1"/>
  <c r="AB379" i="4"/>
  <c r="AO379" i="4" s="1"/>
  <c r="AD379" i="4"/>
  <c r="AQ379" i="4" s="1"/>
  <c r="AB380" i="4"/>
  <c r="AO380" i="4" s="1"/>
  <c r="AD380" i="4"/>
  <c r="AQ380" i="4" s="1"/>
  <c r="AB381" i="4"/>
  <c r="AO381" i="4" s="1"/>
  <c r="AD381" i="4"/>
  <c r="AQ381" i="4"/>
  <c r="AB382" i="4"/>
  <c r="AO382" i="4" s="1"/>
  <c r="AD382" i="4"/>
  <c r="AQ382" i="4" s="1"/>
  <c r="AB383" i="4"/>
  <c r="AO383" i="4" s="1"/>
  <c r="AD383" i="4"/>
  <c r="AQ383" i="4" s="1"/>
  <c r="AB384" i="4"/>
  <c r="AO384" i="4" s="1"/>
  <c r="AD384" i="4"/>
  <c r="AQ384" i="4" s="1"/>
  <c r="AB385" i="4"/>
  <c r="AO385" i="4" s="1"/>
  <c r="AD385" i="4"/>
  <c r="AQ385" i="4"/>
  <c r="AB386" i="4"/>
  <c r="AO386" i="4" s="1"/>
  <c r="AD386" i="4"/>
  <c r="AQ386" i="4" s="1"/>
  <c r="AB387" i="4"/>
  <c r="AO387" i="4"/>
  <c r="AD387" i="4"/>
  <c r="AQ387" i="4" s="1"/>
  <c r="AB388" i="4"/>
  <c r="AO388" i="4" s="1"/>
  <c r="AD388" i="4"/>
  <c r="AQ388" i="4" s="1"/>
  <c r="AB389" i="4"/>
  <c r="AO389" i="4" s="1"/>
  <c r="AD389" i="4"/>
  <c r="AQ389" i="4" s="1"/>
  <c r="AB390" i="4"/>
  <c r="AO390" i="4"/>
  <c r="AD390" i="4"/>
  <c r="AQ390" i="4" s="1"/>
  <c r="AB391" i="4"/>
  <c r="AO391" i="4"/>
  <c r="AD391" i="4"/>
  <c r="AQ391" i="4"/>
  <c r="AB392" i="4"/>
  <c r="AO392" i="4"/>
  <c r="AD392" i="4"/>
  <c r="AQ392" i="4" s="1"/>
  <c r="AB393" i="4"/>
  <c r="AO393" i="4" s="1"/>
  <c r="AD393" i="4"/>
  <c r="AQ393" i="4"/>
  <c r="AB394" i="4"/>
  <c r="AO394" i="4" s="1"/>
  <c r="AD394" i="4"/>
  <c r="AQ394" i="4" s="1"/>
  <c r="AB395" i="4"/>
  <c r="AO395" i="4" s="1"/>
  <c r="AD395" i="4"/>
  <c r="AQ395" i="4" s="1"/>
  <c r="AB396" i="4"/>
  <c r="AO396" i="4"/>
  <c r="AD396" i="4"/>
  <c r="AQ396" i="4" s="1"/>
  <c r="AB397" i="4"/>
  <c r="AO397" i="4"/>
  <c r="AD397" i="4"/>
  <c r="AQ397" i="4" s="1"/>
  <c r="AB398" i="4"/>
  <c r="AO398" i="4" s="1"/>
  <c r="AD398" i="4"/>
  <c r="AQ398" i="4" s="1"/>
  <c r="AB399" i="4"/>
  <c r="AO399" i="4" s="1"/>
  <c r="AD399" i="4"/>
  <c r="AQ399" i="4" s="1"/>
  <c r="AB400" i="4"/>
  <c r="AO400" i="4" s="1"/>
  <c r="AD400" i="4"/>
  <c r="AQ400" i="4"/>
  <c r="AB401" i="4"/>
  <c r="AO401" i="4" s="1"/>
  <c r="AD401" i="4"/>
  <c r="AQ401" i="4"/>
  <c r="AB402" i="4"/>
  <c r="AO402" i="4" s="1"/>
  <c r="AD402" i="4"/>
  <c r="AQ402" i="4" s="1"/>
  <c r="AB403" i="4"/>
  <c r="AO403" i="4" s="1"/>
  <c r="AD403" i="4"/>
  <c r="AQ403" i="4" s="1"/>
  <c r="AB404" i="4"/>
  <c r="AO404" i="4" s="1"/>
  <c r="AD404" i="4"/>
  <c r="AQ404" i="4"/>
  <c r="AB405" i="4"/>
  <c r="AO405" i="4" s="1"/>
  <c r="AD405" i="4"/>
  <c r="AQ405" i="4"/>
  <c r="AB406" i="4"/>
  <c r="AO406" i="4" s="1"/>
  <c r="AD406" i="4"/>
  <c r="AQ406" i="4" s="1"/>
  <c r="AB407" i="4"/>
  <c r="AO407" i="4" s="1"/>
  <c r="AD407" i="4"/>
  <c r="AQ407" i="4" s="1"/>
  <c r="AB408" i="4"/>
  <c r="AO408" i="4" s="1"/>
  <c r="AD408" i="4"/>
  <c r="AQ408" i="4"/>
  <c r="AB409" i="4"/>
  <c r="AO409" i="4" s="1"/>
  <c r="AD409" i="4"/>
  <c r="AQ409" i="4"/>
  <c r="AB410" i="4"/>
  <c r="AO410" i="4" s="1"/>
  <c r="AD410" i="4"/>
  <c r="AQ410" i="4" s="1"/>
  <c r="S276" i="4"/>
  <c r="T276" i="4"/>
  <c r="V276" i="4"/>
  <c r="X276" i="4"/>
  <c r="Y276" i="4"/>
  <c r="S277" i="4"/>
  <c r="T277" i="4"/>
  <c r="V277" i="4"/>
  <c r="X277" i="4"/>
  <c r="Y277" i="4"/>
  <c r="S278" i="4"/>
  <c r="T278" i="4"/>
  <c r="V278" i="4"/>
  <c r="X278" i="4"/>
  <c r="Y278" i="4"/>
  <c r="S279" i="4"/>
  <c r="T279" i="4"/>
  <c r="V279" i="4"/>
  <c r="X279" i="4"/>
  <c r="Y279" i="4"/>
  <c r="S280" i="4"/>
  <c r="T280" i="4"/>
  <c r="V280" i="4"/>
  <c r="X280" i="4"/>
  <c r="Y280" i="4"/>
  <c r="S281" i="4"/>
  <c r="T281" i="4"/>
  <c r="V281" i="4"/>
  <c r="X281" i="4"/>
  <c r="Y281" i="4"/>
  <c r="S282" i="4"/>
  <c r="T282" i="4"/>
  <c r="V282" i="4"/>
  <c r="X282" i="4"/>
  <c r="Y282" i="4"/>
  <c r="S283" i="4"/>
  <c r="T283" i="4"/>
  <c r="AA283" i="4" s="1"/>
  <c r="V283" i="4"/>
  <c r="X283" i="4"/>
  <c r="Y283" i="4"/>
  <c r="S284" i="4"/>
  <c r="T284" i="4"/>
  <c r="V284" i="4"/>
  <c r="X284" i="4"/>
  <c r="Y284" i="4"/>
  <c r="S285" i="4"/>
  <c r="T285" i="4"/>
  <c r="V285" i="4"/>
  <c r="X285" i="4"/>
  <c r="Y285" i="4"/>
  <c r="S286" i="4"/>
  <c r="T286" i="4"/>
  <c r="V286" i="4"/>
  <c r="X286" i="4"/>
  <c r="Y286" i="4"/>
  <c r="S287" i="4"/>
  <c r="T287" i="4"/>
  <c r="V287" i="4"/>
  <c r="X287" i="4"/>
  <c r="Y287" i="4"/>
  <c r="S288" i="4"/>
  <c r="T288" i="4"/>
  <c r="V288" i="4"/>
  <c r="X288" i="4"/>
  <c r="Y288" i="4"/>
  <c r="S289" i="4"/>
  <c r="T289" i="4"/>
  <c r="V289" i="4"/>
  <c r="X289" i="4"/>
  <c r="Y289" i="4"/>
  <c r="S290" i="4"/>
  <c r="T290" i="4"/>
  <c r="V290" i="4"/>
  <c r="X290" i="4"/>
  <c r="Y290" i="4"/>
  <c r="S291" i="4"/>
  <c r="T291" i="4"/>
  <c r="V291" i="4"/>
  <c r="X291" i="4"/>
  <c r="Y291" i="4"/>
  <c r="S292" i="4"/>
  <c r="AA292" i="4" s="1"/>
  <c r="BG292" i="4" s="1"/>
  <c r="T292" i="4"/>
  <c r="V292" i="4"/>
  <c r="X292" i="4"/>
  <c r="Y292" i="4"/>
  <c r="S293" i="4"/>
  <c r="T293" i="4"/>
  <c r="V293" i="4"/>
  <c r="X293" i="4"/>
  <c r="Y293" i="4"/>
  <c r="S294" i="4"/>
  <c r="T294" i="4"/>
  <c r="V294" i="4"/>
  <c r="X294" i="4"/>
  <c r="Y294" i="4"/>
  <c r="S295" i="4"/>
  <c r="T295" i="4"/>
  <c r="V295" i="4"/>
  <c r="X295" i="4"/>
  <c r="Y295" i="4"/>
  <c r="S296" i="4"/>
  <c r="AA296" i="4" s="1"/>
  <c r="T296" i="4"/>
  <c r="V296" i="4"/>
  <c r="X296" i="4"/>
  <c r="Y296" i="4"/>
  <c r="S297" i="4"/>
  <c r="T297" i="4"/>
  <c r="V297" i="4"/>
  <c r="X297" i="4"/>
  <c r="Y297" i="4"/>
  <c r="S298" i="4"/>
  <c r="T298" i="4"/>
  <c r="V298" i="4"/>
  <c r="AA298" i="4" s="1"/>
  <c r="BG298" i="4" s="1"/>
  <c r="X298" i="4"/>
  <c r="Y298" i="4"/>
  <c r="S299" i="4"/>
  <c r="T299" i="4"/>
  <c r="V299" i="4"/>
  <c r="X299" i="4"/>
  <c r="Y299" i="4"/>
  <c r="S300" i="4"/>
  <c r="AA300" i="4" s="1"/>
  <c r="T300" i="4"/>
  <c r="V300" i="4"/>
  <c r="X300" i="4"/>
  <c r="Y300" i="4"/>
  <c r="S301" i="4"/>
  <c r="T301" i="4"/>
  <c r="V301" i="4"/>
  <c r="X301" i="4"/>
  <c r="Y301" i="4"/>
  <c r="S302" i="4"/>
  <c r="T302" i="4"/>
  <c r="V302" i="4"/>
  <c r="X302" i="4"/>
  <c r="Y302" i="4"/>
  <c r="S303" i="4"/>
  <c r="T303" i="4"/>
  <c r="V303" i="4"/>
  <c r="X303" i="4"/>
  <c r="Y303" i="4"/>
  <c r="S304" i="4"/>
  <c r="T304" i="4"/>
  <c r="V304" i="4"/>
  <c r="X304" i="4"/>
  <c r="Y304" i="4"/>
  <c r="S305" i="4"/>
  <c r="T305" i="4"/>
  <c r="V305" i="4"/>
  <c r="X305" i="4"/>
  <c r="Y305" i="4"/>
  <c r="S306" i="4"/>
  <c r="T306" i="4"/>
  <c r="V306" i="4"/>
  <c r="X306" i="4"/>
  <c r="Y306" i="4"/>
  <c r="S307" i="4"/>
  <c r="T307" i="4"/>
  <c r="V307" i="4"/>
  <c r="X307" i="4"/>
  <c r="Y307" i="4"/>
  <c r="S308" i="4"/>
  <c r="T308" i="4"/>
  <c r="V308" i="4"/>
  <c r="X308" i="4"/>
  <c r="Y308" i="4"/>
  <c r="S309" i="4"/>
  <c r="T309" i="4"/>
  <c r="V309" i="4"/>
  <c r="X309" i="4"/>
  <c r="Y309" i="4"/>
  <c r="S310" i="4"/>
  <c r="T310" i="4"/>
  <c r="V310" i="4"/>
  <c r="X310" i="4"/>
  <c r="Y310" i="4"/>
  <c r="S311" i="4"/>
  <c r="T311" i="4"/>
  <c r="V311" i="4"/>
  <c r="X311" i="4"/>
  <c r="Y311" i="4"/>
  <c r="S312" i="4"/>
  <c r="T312" i="4"/>
  <c r="V312" i="4"/>
  <c r="X312" i="4"/>
  <c r="Y312" i="4"/>
  <c r="S313" i="4"/>
  <c r="T313" i="4"/>
  <c r="V313" i="4"/>
  <c r="X313" i="4"/>
  <c r="Y313" i="4"/>
  <c r="S314" i="4"/>
  <c r="T314" i="4"/>
  <c r="V314" i="4"/>
  <c r="X314" i="4"/>
  <c r="Y314" i="4"/>
  <c r="S315" i="4"/>
  <c r="T315" i="4"/>
  <c r="V315" i="4"/>
  <c r="X315" i="4"/>
  <c r="Y315" i="4"/>
  <c r="S316" i="4"/>
  <c r="T316" i="4"/>
  <c r="V316" i="4"/>
  <c r="X316" i="4"/>
  <c r="Y316" i="4"/>
  <c r="S317" i="4"/>
  <c r="T317" i="4"/>
  <c r="V317" i="4"/>
  <c r="X317" i="4"/>
  <c r="Y317" i="4"/>
  <c r="S318" i="4"/>
  <c r="T318" i="4"/>
  <c r="V318" i="4"/>
  <c r="X318" i="4"/>
  <c r="Y318" i="4"/>
  <c r="S319" i="4"/>
  <c r="T319" i="4"/>
  <c r="V319" i="4"/>
  <c r="X319" i="4"/>
  <c r="Y319" i="4"/>
  <c r="S320" i="4"/>
  <c r="T320" i="4"/>
  <c r="V320" i="4"/>
  <c r="X320" i="4"/>
  <c r="Y320" i="4"/>
  <c r="S321" i="4"/>
  <c r="AA321" i="4" s="1"/>
  <c r="T321" i="4"/>
  <c r="V321" i="4"/>
  <c r="X321" i="4"/>
  <c r="Y321" i="4"/>
  <c r="S322" i="4"/>
  <c r="T322" i="4"/>
  <c r="V322" i="4"/>
  <c r="X322" i="4"/>
  <c r="Y322" i="4"/>
  <c r="S323" i="4"/>
  <c r="T323" i="4"/>
  <c r="V323" i="4"/>
  <c r="X323" i="4"/>
  <c r="Y323" i="4"/>
  <c r="S324" i="4"/>
  <c r="T324" i="4"/>
  <c r="V324" i="4"/>
  <c r="X324" i="4"/>
  <c r="Y324" i="4"/>
  <c r="S325" i="4"/>
  <c r="T325" i="4"/>
  <c r="V325" i="4"/>
  <c r="X325" i="4"/>
  <c r="Y325" i="4"/>
  <c r="S326" i="4"/>
  <c r="T326" i="4"/>
  <c r="V326" i="4"/>
  <c r="AA326" i="4" s="1"/>
  <c r="X326" i="4"/>
  <c r="Y326" i="4"/>
  <c r="S327" i="4"/>
  <c r="T327" i="4"/>
  <c r="V327" i="4"/>
  <c r="X327" i="4"/>
  <c r="Y327" i="4"/>
  <c r="S328" i="4"/>
  <c r="T328" i="4"/>
  <c r="V328" i="4"/>
  <c r="X328" i="4"/>
  <c r="Y328" i="4"/>
  <c r="S329" i="4"/>
  <c r="T329" i="4"/>
  <c r="V329" i="4"/>
  <c r="X329" i="4"/>
  <c r="Y329" i="4"/>
  <c r="S330" i="4"/>
  <c r="T330" i="4"/>
  <c r="V330" i="4"/>
  <c r="X330" i="4"/>
  <c r="Y330" i="4"/>
  <c r="S331" i="4"/>
  <c r="T331" i="4"/>
  <c r="V331" i="4"/>
  <c r="X331" i="4"/>
  <c r="Y331" i="4"/>
  <c r="S332" i="4"/>
  <c r="T332" i="4"/>
  <c r="V332" i="4"/>
  <c r="X332" i="4"/>
  <c r="Y332" i="4"/>
  <c r="S333" i="4"/>
  <c r="T333" i="4"/>
  <c r="V333" i="4"/>
  <c r="X333" i="4"/>
  <c r="Y333" i="4"/>
  <c r="S334" i="4"/>
  <c r="T334" i="4"/>
  <c r="V334" i="4"/>
  <c r="X334" i="4"/>
  <c r="Y334" i="4"/>
  <c r="S335" i="4"/>
  <c r="T335" i="4"/>
  <c r="V335" i="4"/>
  <c r="X335" i="4"/>
  <c r="Y335" i="4"/>
  <c r="S336" i="4"/>
  <c r="AA336" i="4" s="1"/>
  <c r="BG336" i="4" s="1"/>
  <c r="T336" i="4"/>
  <c r="V336" i="4"/>
  <c r="X336" i="4"/>
  <c r="Y336" i="4"/>
  <c r="S337" i="4"/>
  <c r="T337" i="4"/>
  <c r="V337" i="4"/>
  <c r="X337" i="4"/>
  <c r="Y337" i="4"/>
  <c r="S338" i="4"/>
  <c r="T338" i="4"/>
  <c r="V338" i="4"/>
  <c r="X338" i="4"/>
  <c r="Y338" i="4"/>
  <c r="S339" i="4"/>
  <c r="T339" i="4"/>
  <c r="AA339" i="4" s="1"/>
  <c r="V339" i="4"/>
  <c r="X339" i="4"/>
  <c r="Y339" i="4"/>
  <c r="S340" i="4"/>
  <c r="T340" i="4"/>
  <c r="V340" i="4"/>
  <c r="X340" i="4"/>
  <c r="Y340" i="4"/>
  <c r="S341" i="4"/>
  <c r="T341" i="4"/>
  <c r="V341" i="4"/>
  <c r="X341" i="4"/>
  <c r="Y341" i="4"/>
  <c r="S342" i="4"/>
  <c r="T342" i="4"/>
  <c r="V342" i="4"/>
  <c r="X342" i="4"/>
  <c r="Y342" i="4"/>
  <c r="S343" i="4"/>
  <c r="T343" i="4"/>
  <c r="V343" i="4"/>
  <c r="X343" i="4"/>
  <c r="Y343" i="4"/>
  <c r="S344" i="4"/>
  <c r="T344" i="4"/>
  <c r="V344" i="4"/>
  <c r="X344" i="4"/>
  <c r="Y344" i="4"/>
  <c r="S345" i="4"/>
  <c r="T345" i="4"/>
  <c r="V345" i="4"/>
  <c r="X345" i="4"/>
  <c r="Y345" i="4"/>
  <c r="S346" i="4"/>
  <c r="T346" i="4"/>
  <c r="V346" i="4"/>
  <c r="AA346" i="4" s="1"/>
  <c r="X346" i="4"/>
  <c r="Y346" i="4"/>
  <c r="S347" i="4"/>
  <c r="T347" i="4"/>
  <c r="V347" i="4"/>
  <c r="X347" i="4"/>
  <c r="Y347" i="4"/>
  <c r="S348" i="4"/>
  <c r="T348" i="4"/>
  <c r="V348" i="4"/>
  <c r="X348" i="4"/>
  <c r="Y348" i="4"/>
  <c r="S349" i="4"/>
  <c r="T349" i="4"/>
  <c r="V349" i="4"/>
  <c r="X349" i="4"/>
  <c r="Y349" i="4"/>
  <c r="S350" i="4"/>
  <c r="T350" i="4"/>
  <c r="V350" i="4"/>
  <c r="X350" i="4"/>
  <c r="Y350" i="4"/>
  <c r="S351" i="4"/>
  <c r="T351" i="4"/>
  <c r="V351" i="4"/>
  <c r="X351" i="4"/>
  <c r="Y351" i="4"/>
  <c r="S352" i="4"/>
  <c r="T352" i="4"/>
  <c r="V352" i="4"/>
  <c r="X352" i="4"/>
  <c r="Y352" i="4"/>
  <c r="S353" i="4"/>
  <c r="T353" i="4"/>
  <c r="V353" i="4"/>
  <c r="X353" i="4"/>
  <c r="Y353" i="4"/>
  <c r="S354" i="4"/>
  <c r="T354" i="4"/>
  <c r="V354" i="4"/>
  <c r="X354" i="4"/>
  <c r="Y354" i="4"/>
  <c r="S355" i="4"/>
  <c r="T355" i="4"/>
  <c r="V355" i="4"/>
  <c r="X355" i="4"/>
  <c r="Y355" i="4"/>
  <c r="S356" i="4"/>
  <c r="T356" i="4"/>
  <c r="V356" i="4"/>
  <c r="X356" i="4"/>
  <c r="Y356" i="4"/>
  <c r="S357" i="4"/>
  <c r="T357" i="4"/>
  <c r="V357" i="4"/>
  <c r="X357" i="4"/>
  <c r="Y357" i="4"/>
  <c r="S358" i="4"/>
  <c r="T358" i="4"/>
  <c r="V358" i="4"/>
  <c r="X358" i="4"/>
  <c r="Y358" i="4"/>
  <c r="S359" i="4"/>
  <c r="T359" i="4"/>
  <c r="V359" i="4"/>
  <c r="X359" i="4"/>
  <c r="Y359" i="4"/>
  <c r="S360" i="4"/>
  <c r="T360" i="4"/>
  <c r="V360" i="4"/>
  <c r="X360" i="4"/>
  <c r="Y360" i="4"/>
  <c r="S361" i="4"/>
  <c r="T361" i="4"/>
  <c r="V361" i="4"/>
  <c r="X361" i="4"/>
  <c r="Y361" i="4"/>
  <c r="S362" i="4"/>
  <c r="T362" i="4"/>
  <c r="V362" i="4"/>
  <c r="X362" i="4"/>
  <c r="Y362" i="4"/>
  <c r="S363" i="4"/>
  <c r="T363" i="4"/>
  <c r="V363" i="4"/>
  <c r="X363" i="4"/>
  <c r="Y363" i="4"/>
  <c r="S364" i="4"/>
  <c r="T364" i="4"/>
  <c r="V364" i="4"/>
  <c r="X364" i="4"/>
  <c r="Y364" i="4"/>
  <c r="S365" i="4"/>
  <c r="T365" i="4"/>
  <c r="V365" i="4"/>
  <c r="X365" i="4"/>
  <c r="Y365" i="4"/>
  <c r="S366" i="4"/>
  <c r="T366" i="4"/>
  <c r="V366" i="4"/>
  <c r="X366" i="4"/>
  <c r="Y366" i="4"/>
  <c r="S367" i="4"/>
  <c r="T367" i="4"/>
  <c r="V367" i="4"/>
  <c r="X367" i="4"/>
  <c r="Y367" i="4"/>
  <c r="S368" i="4"/>
  <c r="T368" i="4"/>
  <c r="V368" i="4"/>
  <c r="X368" i="4"/>
  <c r="Y368" i="4"/>
  <c r="S369" i="4"/>
  <c r="AA369" i="4" s="1"/>
  <c r="T369" i="4"/>
  <c r="V369" i="4"/>
  <c r="X369" i="4"/>
  <c r="Y369" i="4"/>
  <c r="S370" i="4"/>
  <c r="T370" i="4"/>
  <c r="V370" i="4"/>
  <c r="X370" i="4"/>
  <c r="Y370" i="4"/>
  <c r="S371" i="4"/>
  <c r="T371" i="4"/>
  <c r="V371" i="4"/>
  <c r="X371" i="4"/>
  <c r="Y371" i="4"/>
  <c r="S372" i="4"/>
  <c r="T372" i="4"/>
  <c r="V372" i="4"/>
  <c r="X372" i="4"/>
  <c r="Y372" i="4"/>
  <c r="S373" i="4"/>
  <c r="T373" i="4"/>
  <c r="V373" i="4"/>
  <c r="X373" i="4"/>
  <c r="Y373" i="4"/>
  <c r="S374" i="4"/>
  <c r="T374" i="4"/>
  <c r="V374" i="4"/>
  <c r="AA374" i="4" s="1"/>
  <c r="X374" i="4"/>
  <c r="Y374" i="4"/>
  <c r="S375" i="4"/>
  <c r="T375" i="4"/>
  <c r="V375" i="4"/>
  <c r="X375" i="4"/>
  <c r="Y375" i="4"/>
  <c r="S376" i="4"/>
  <c r="T376" i="4"/>
  <c r="V376" i="4"/>
  <c r="X376" i="4"/>
  <c r="Y376" i="4"/>
  <c r="S377" i="4"/>
  <c r="T377" i="4"/>
  <c r="V377" i="4"/>
  <c r="X377" i="4"/>
  <c r="Y377" i="4"/>
  <c r="S378" i="4"/>
  <c r="T378" i="4"/>
  <c r="V378" i="4"/>
  <c r="X378" i="4"/>
  <c r="Y378" i="4"/>
  <c r="S379" i="4"/>
  <c r="T379" i="4"/>
  <c r="V379" i="4"/>
  <c r="X379" i="4"/>
  <c r="Y379" i="4"/>
  <c r="S380" i="4"/>
  <c r="T380" i="4"/>
  <c r="AA380" i="4" s="1"/>
  <c r="V380" i="4"/>
  <c r="X380" i="4"/>
  <c r="Y380" i="4"/>
  <c r="S381" i="4"/>
  <c r="T381" i="4"/>
  <c r="V381" i="4"/>
  <c r="X381" i="4"/>
  <c r="Y381" i="4"/>
  <c r="S382" i="4"/>
  <c r="T382" i="4"/>
  <c r="V382" i="4"/>
  <c r="X382" i="4"/>
  <c r="Y382" i="4"/>
  <c r="S383" i="4"/>
  <c r="T383" i="4"/>
  <c r="AA383" i="4" s="1"/>
  <c r="BG383" i="4" s="1"/>
  <c r="V383" i="4"/>
  <c r="X383" i="4"/>
  <c r="Y383" i="4"/>
  <c r="S384" i="4"/>
  <c r="T384" i="4"/>
  <c r="AA384" i="4" s="1"/>
  <c r="V384" i="4"/>
  <c r="X384" i="4"/>
  <c r="Y384" i="4"/>
  <c r="S385" i="4"/>
  <c r="T385" i="4"/>
  <c r="V385" i="4"/>
  <c r="X385" i="4"/>
  <c r="Y385" i="4"/>
  <c r="S386" i="4"/>
  <c r="T386" i="4"/>
  <c r="V386" i="4"/>
  <c r="X386" i="4"/>
  <c r="Y386" i="4"/>
  <c r="S387" i="4"/>
  <c r="T387" i="4"/>
  <c r="V387" i="4"/>
  <c r="X387" i="4"/>
  <c r="Y387" i="4"/>
  <c r="S388" i="4"/>
  <c r="T388" i="4"/>
  <c r="AA388" i="4" s="1"/>
  <c r="V388" i="4"/>
  <c r="X388" i="4"/>
  <c r="Y388" i="4"/>
  <c r="S389" i="4"/>
  <c r="T389" i="4"/>
  <c r="V389" i="4"/>
  <c r="X389" i="4"/>
  <c r="Y389" i="4"/>
  <c r="S390" i="4"/>
  <c r="T390" i="4"/>
  <c r="V390" i="4"/>
  <c r="X390" i="4"/>
  <c r="Y390" i="4"/>
  <c r="S391" i="4"/>
  <c r="T391" i="4"/>
  <c r="V391" i="4"/>
  <c r="X391" i="4"/>
  <c r="Y391" i="4"/>
  <c r="S392" i="4"/>
  <c r="T392" i="4"/>
  <c r="V392" i="4"/>
  <c r="X392" i="4"/>
  <c r="Y392" i="4"/>
  <c r="S393" i="4"/>
  <c r="T393" i="4"/>
  <c r="V393" i="4"/>
  <c r="X393" i="4"/>
  <c r="Y393" i="4"/>
  <c r="S394" i="4"/>
  <c r="T394" i="4"/>
  <c r="V394" i="4"/>
  <c r="AA394" i="4" s="1"/>
  <c r="BG394" i="4" s="1"/>
  <c r="X394" i="4"/>
  <c r="Y394" i="4"/>
  <c r="S395" i="4"/>
  <c r="T395" i="4"/>
  <c r="V395" i="4"/>
  <c r="X395" i="4"/>
  <c r="Y395" i="4"/>
  <c r="S396" i="4"/>
  <c r="T396" i="4"/>
  <c r="AA396" i="4" s="1"/>
  <c r="V396" i="4"/>
  <c r="X396" i="4"/>
  <c r="Y396" i="4"/>
  <c r="S397" i="4"/>
  <c r="T397" i="4"/>
  <c r="V397" i="4"/>
  <c r="X397" i="4"/>
  <c r="Y397" i="4"/>
  <c r="S398" i="4"/>
  <c r="T398" i="4"/>
  <c r="V398" i="4"/>
  <c r="X398" i="4"/>
  <c r="Y398" i="4"/>
  <c r="S399" i="4"/>
  <c r="T399" i="4"/>
  <c r="V399" i="4"/>
  <c r="X399" i="4"/>
  <c r="Y399" i="4"/>
  <c r="S400" i="4"/>
  <c r="AA400" i="4" s="1"/>
  <c r="T400" i="4"/>
  <c r="V400" i="4"/>
  <c r="X400" i="4"/>
  <c r="Y400" i="4"/>
  <c r="S401" i="4"/>
  <c r="T401" i="4"/>
  <c r="V401" i="4"/>
  <c r="X401" i="4"/>
  <c r="Y401" i="4"/>
  <c r="S402" i="4"/>
  <c r="T402" i="4"/>
  <c r="V402" i="4"/>
  <c r="X402" i="4"/>
  <c r="Y402" i="4"/>
  <c r="S403" i="4"/>
  <c r="T403" i="4"/>
  <c r="V403" i="4"/>
  <c r="X403" i="4"/>
  <c r="Y403" i="4"/>
  <c r="S404" i="4"/>
  <c r="AA404" i="4" s="1"/>
  <c r="BG404" i="4" s="1"/>
  <c r="T404" i="4"/>
  <c r="V404" i="4"/>
  <c r="X404" i="4"/>
  <c r="Y404" i="4"/>
  <c r="S405" i="4"/>
  <c r="T405" i="4"/>
  <c r="V405" i="4"/>
  <c r="X405" i="4"/>
  <c r="Y405" i="4"/>
  <c r="S406" i="4"/>
  <c r="T406" i="4"/>
  <c r="V406" i="4"/>
  <c r="X406" i="4"/>
  <c r="Y406" i="4"/>
  <c r="S407" i="4"/>
  <c r="T407" i="4"/>
  <c r="AA407" i="4" s="1"/>
  <c r="V407" i="4"/>
  <c r="X407" i="4"/>
  <c r="Y407" i="4"/>
  <c r="S408" i="4"/>
  <c r="T408" i="4"/>
  <c r="AA408" i="4" s="1"/>
  <c r="V408" i="4"/>
  <c r="X408" i="4"/>
  <c r="Y408" i="4"/>
  <c r="S409" i="4"/>
  <c r="T409" i="4"/>
  <c r="V409" i="4"/>
  <c r="X409" i="4"/>
  <c r="Y409" i="4"/>
  <c r="S410" i="4"/>
  <c r="T410" i="4"/>
  <c r="V410" i="4"/>
  <c r="X410" i="4"/>
  <c r="Y410" i="4"/>
  <c r="N30" i="4"/>
  <c r="AA30" i="4"/>
  <c r="N31" i="4"/>
  <c r="AA31" i="4"/>
  <c r="N32" i="4"/>
  <c r="AA32" i="4"/>
  <c r="N33" i="4"/>
  <c r="AA33" i="4"/>
  <c r="N34" i="4"/>
  <c r="AA34" i="4"/>
  <c r="N35" i="4"/>
  <c r="AA35" i="4"/>
  <c r="N36" i="4"/>
  <c r="AA36" i="4"/>
  <c r="N37" i="4"/>
  <c r="AA37" i="4"/>
  <c r="N38" i="4"/>
  <c r="AA38" i="4"/>
  <c r="N39" i="4"/>
  <c r="AA39" i="4"/>
  <c r="N40" i="4"/>
  <c r="AA40" i="4"/>
  <c r="N41" i="4"/>
  <c r="AA41" i="4"/>
  <c r="N42" i="4"/>
  <c r="AA42" i="4"/>
  <c r="N43" i="4"/>
  <c r="AA43" i="4"/>
  <c r="N44" i="4"/>
  <c r="AA44" i="4"/>
  <c r="N45" i="4"/>
  <c r="AA45" i="4"/>
  <c r="N46" i="4"/>
  <c r="AA46" i="4"/>
  <c r="N47" i="4"/>
  <c r="AA47" i="4"/>
  <c r="N48" i="4"/>
  <c r="AA48" i="4"/>
  <c r="N49" i="4"/>
  <c r="AA49" i="4"/>
  <c r="N50" i="4"/>
  <c r="AA50" i="4"/>
  <c r="N51" i="4"/>
  <c r="AA51" i="4"/>
  <c r="N52" i="4"/>
  <c r="AA52" i="4"/>
  <c r="N53" i="4"/>
  <c r="AA53" i="4"/>
  <c r="N54" i="4"/>
  <c r="AA54" i="4"/>
  <c r="N55" i="4"/>
  <c r="AA55" i="4"/>
  <c r="N56" i="4"/>
  <c r="AA56" i="4"/>
  <c r="N57" i="4"/>
  <c r="AA57" i="4"/>
  <c r="N58" i="4"/>
  <c r="AA58" i="4"/>
  <c r="N59" i="4"/>
  <c r="AA59" i="4"/>
  <c r="N60" i="4"/>
  <c r="AA60" i="4"/>
  <c r="N61" i="4"/>
  <c r="AA61" i="4"/>
  <c r="N62" i="4"/>
  <c r="AA62" i="4"/>
  <c r="N63" i="4"/>
  <c r="AA63" i="4"/>
  <c r="N64" i="4"/>
  <c r="AA64" i="4"/>
  <c r="N65" i="4"/>
  <c r="AA65" i="4"/>
  <c r="N66" i="4"/>
  <c r="AA66" i="4"/>
  <c r="N67" i="4"/>
  <c r="AA67" i="4"/>
  <c r="N68" i="4"/>
  <c r="AA68" i="4"/>
  <c r="N69" i="4"/>
  <c r="AA69" i="4"/>
  <c r="N70" i="4"/>
  <c r="AA70" i="4"/>
  <c r="N71" i="4"/>
  <c r="AA71" i="4"/>
  <c r="N72" i="4"/>
  <c r="AA72" i="4"/>
  <c r="N73" i="4"/>
  <c r="AA73" i="4"/>
  <c r="N74" i="4"/>
  <c r="AA74" i="4"/>
  <c r="N75" i="4"/>
  <c r="AA75" i="4"/>
  <c r="N76" i="4"/>
  <c r="AA76" i="4"/>
  <c r="N77" i="4"/>
  <c r="AA77" i="4"/>
  <c r="N78" i="4"/>
  <c r="AA78" i="4"/>
  <c r="N79" i="4"/>
  <c r="AA79" i="4"/>
  <c r="N80" i="4"/>
  <c r="AA80" i="4"/>
  <c r="N81" i="4"/>
  <c r="AA81" i="4"/>
  <c r="N82" i="4"/>
  <c r="AA82" i="4"/>
  <c r="N83" i="4"/>
  <c r="AA83" i="4"/>
  <c r="N84" i="4"/>
  <c r="AA84" i="4"/>
  <c r="N85" i="4"/>
  <c r="AA85" i="4"/>
  <c r="N86" i="4"/>
  <c r="AA86" i="4"/>
  <c r="N87" i="4"/>
  <c r="AA87" i="4"/>
  <c r="N88" i="4"/>
  <c r="AA88" i="4"/>
  <c r="N89" i="4"/>
  <c r="AA89" i="4"/>
  <c r="N90" i="4"/>
  <c r="AA90" i="4"/>
  <c r="N91" i="4"/>
  <c r="AA91" i="4"/>
  <c r="N92" i="4"/>
  <c r="AA92" i="4"/>
  <c r="N93" i="4"/>
  <c r="AA93" i="4"/>
  <c r="N94" i="4"/>
  <c r="AA94" i="4"/>
  <c r="N95" i="4"/>
  <c r="AA95" i="4"/>
  <c r="N96" i="4"/>
  <c r="AA96" i="4"/>
  <c r="N97" i="4"/>
  <c r="AA97" i="4"/>
  <c r="N98" i="4"/>
  <c r="AA98" i="4"/>
  <c r="N99" i="4"/>
  <c r="AA99" i="4"/>
  <c r="N100" i="4"/>
  <c r="AA100" i="4"/>
  <c r="N101" i="4"/>
  <c r="AA101" i="4"/>
  <c r="N102" i="4"/>
  <c r="AA102" i="4"/>
  <c r="N103" i="4"/>
  <c r="AA103" i="4"/>
  <c r="N104" i="4"/>
  <c r="AA104" i="4"/>
  <c r="N105" i="4"/>
  <c r="AA105" i="4"/>
  <c r="N106" i="4"/>
  <c r="AA106" i="4"/>
  <c r="N107" i="4"/>
  <c r="AA107" i="4"/>
  <c r="N108" i="4"/>
  <c r="AA108" i="4"/>
  <c r="N109" i="4"/>
  <c r="AA109" i="4"/>
  <c r="N110" i="4"/>
  <c r="AA110" i="4"/>
  <c r="N111" i="4"/>
  <c r="AA111" i="4"/>
  <c r="N112" i="4"/>
  <c r="AA112" i="4"/>
  <c r="N113" i="4"/>
  <c r="AA113" i="4"/>
  <c r="N114" i="4"/>
  <c r="AA114" i="4"/>
  <c r="N115" i="4"/>
  <c r="AA115" i="4"/>
  <c r="N116" i="4"/>
  <c r="AA116" i="4"/>
  <c r="N117" i="4"/>
  <c r="AA117" i="4"/>
  <c r="N118" i="4"/>
  <c r="AA118" i="4"/>
  <c r="N119" i="4"/>
  <c r="AA119" i="4"/>
  <c r="N120" i="4"/>
  <c r="AA120" i="4"/>
  <c r="N121" i="4"/>
  <c r="AA121" i="4"/>
  <c r="N122" i="4"/>
  <c r="AA122" i="4"/>
  <c r="N123" i="4"/>
  <c r="AA123" i="4"/>
  <c r="N124" i="4"/>
  <c r="AA124" i="4"/>
  <c r="N125" i="4"/>
  <c r="AA125" i="4"/>
  <c r="N126" i="4"/>
  <c r="AA126" i="4"/>
  <c r="N127" i="4"/>
  <c r="AA127" i="4"/>
  <c r="N128" i="4"/>
  <c r="AA128" i="4"/>
  <c r="N129" i="4"/>
  <c r="AA129" i="4"/>
  <c r="N130" i="4"/>
  <c r="AA130" i="4"/>
  <c r="N131" i="4"/>
  <c r="AA131" i="4"/>
  <c r="N132" i="4"/>
  <c r="AA132" i="4"/>
  <c r="N133" i="4"/>
  <c r="AA133" i="4"/>
  <c r="N134" i="4"/>
  <c r="AA134" i="4"/>
  <c r="N135" i="4"/>
  <c r="AA135" i="4"/>
  <c r="N136" i="4"/>
  <c r="AA136" i="4"/>
  <c r="N137" i="4"/>
  <c r="AA137" i="4"/>
  <c r="N138" i="4"/>
  <c r="AA138" i="4"/>
  <c r="N139" i="4"/>
  <c r="AA139" i="4"/>
  <c r="N140" i="4"/>
  <c r="AA140" i="4"/>
  <c r="N141" i="4"/>
  <c r="AA141" i="4"/>
  <c r="N142" i="4"/>
  <c r="AA142" i="4"/>
  <c r="N143" i="4"/>
  <c r="AA143" i="4"/>
  <c r="N144" i="4"/>
  <c r="AA144" i="4"/>
  <c r="N145" i="4"/>
  <c r="AA145" i="4"/>
  <c r="N146" i="4"/>
  <c r="AA146" i="4"/>
  <c r="N147" i="4"/>
  <c r="AA147" i="4"/>
  <c r="N148" i="4"/>
  <c r="AA148" i="4"/>
  <c r="N149" i="4"/>
  <c r="AA149" i="4"/>
  <c r="N150" i="4"/>
  <c r="AA150" i="4"/>
  <c r="N151" i="4"/>
  <c r="AA151" i="4"/>
  <c r="N152" i="4"/>
  <c r="AA152" i="4"/>
  <c r="N153" i="4"/>
  <c r="AA153" i="4"/>
  <c r="N154" i="4"/>
  <c r="AA154" i="4"/>
  <c r="N155" i="4"/>
  <c r="AA155" i="4"/>
  <c r="N156" i="4"/>
  <c r="AA156" i="4"/>
  <c r="N157" i="4"/>
  <c r="AA157" i="4"/>
  <c r="N158" i="4"/>
  <c r="AA158" i="4"/>
  <c r="N159" i="4"/>
  <c r="AA159" i="4"/>
  <c r="N160" i="4"/>
  <c r="AA160" i="4"/>
  <c r="N161" i="4"/>
  <c r="AA161" i="4"/>
  <c r="N162" i="4"/>
  <c r="AA162" i="4"/>
  <c r="N163" i="4"/>
  <c r="AA163" i="4"/>
  <c r="N164" i="4"/>
  <c r="AA164" i="4"/>
  <c r="N165" i="4"/>
  <c r="AA165" i="4"/>
  <c r="N166" i="4"/>
  <c r="AA166" i="4"/>
  <c r="N167" i="4"/>
  <c r="AA167" i="4"/>
  <c r="N168" i="4"/>
  <c r="AA168" i="4"/>
  <c r="N169" i="4"/>
  <c r="AA169" i="4"/>
  <c r="N170" i="4"/>
  <c r="AA170" i="4"/>
  <c r="N171" i="4"/>
  <c r="AA171" i="4"/>
  <c r="N172" i="4"/>
  <c r="AA172" i="4"/>
  <c r="N173" i="4"/>
  <c r="AA173" i="4"/>
  <c r="N174" i="4"/>
  <c r="AA174" i="4"/>
  <c r="N175" i="4"/>
  <c r="AA175" i="4"/>
  <c r="N176" i="4"/>
  <c r="AA176" i="4"/>
  <c r="N177" i="4"/>
  <c r="AA177" i="4"/>
  <c r="N178" i="4"/>
  <c r="AA178" i="4"/>
  <c r="N179" i="4"/>
  <c r="AA179" i="4"/>
  <c r="N180" i="4"/>
  <c r="AA180" i="4"/>
  <c r="N181" i="4"/>
  <c r="AA181" i="4"/>
  <c r="N182" i="4"/>
  <c r="AA182" i="4"/>
  <c r="N183" i="4"/>
  <c r="AA183" i="4"/>
  <c r="N184" i="4"/>
  <c r="AA184" i="4"/>
  <c r="N185" i="4"/>
  <c r="AA185" i="4"/>
  <c r="N186" i="4"/>
  <c r="AA186" i="4"/>
  <c r="N187" i="4"/>
  <c r="AA187" i="4"/>
  <c r="N188" i="4"/>
  <c r="AA188" i="4"/>
  <c r="N189" i="4"/>
  <c r="AA189" i="4"/>
  <c r="N190" i="4"/>
  <c r="AA190" i="4"/>
  <c r="N191" i="4"/>
  <c r="AA191" i="4"/>
  <c r="N192" i="4"/>
  <c r="AA192" i="4"/>
  <c r="N193" i="4"/>
  <c r="AA193" i="4"/>
  <c r="N194" i="4"/>
  <c r="AA194" i="4"/>
  <c r="N195" i="4"/>
  <c r="AA195" i="4"/>
  <c r="N196" i="4"/>
  <c r="AA196" i="4"/>
  <c r="N197" i="4"/>
  <c r="AA197" i="4"/>
  <c r="N198" i="4"/>
  <c r="AA198" i="4"/>
  <c r="N199" i="4"/>
  <c r="AA199" i="4"/>
  <c r="N200" i="4"/>
  <c r="AA200" i="4"/>
  <c r="N201" i="4"/>
  <c r="AA201" i="4"/>
  <c r="N202" i="4"/>
  <c r="AA202" i="4"/>
  <c r="N203" i="4"/>
  <c r="AA203" i="4"/>
  <c r="N204" i="4"/>
  <c r="AA204" i="4"/>
  <c r="N205" i="4"/>
  <c r="AA205" i="4"/>
  <c r="N206" i="4"/>
  <c r="AA206" i="4"/>
  <c r="N207" i="4"/>
  <c r="AA207" i="4"/>
  <c r="N208" i="4"/>
  <c r="AA208" i="4"/>
  <c r="N209" i="4"/>
  <c r="AA209" i="4"/>
  <c r="N210" i="4"/>
  <c r="AA210" i="4"/>
  <c r="N211" i="4"/>
  <c r="AA211" i="4"/>
  <c r="N212" i="4"/>
  <c r="AA212" i="4"/>
  <c r="N213" i="4"/>
  <c r="AA213" i="4"/>
  <c r="N214" i="4"/>
  <c r="AA214" i="4"/>
  <c r="N215" i="4"/>
  <c r="AA215" i="4"/>
  <c r="N216" i="4"/>
  <c r="AA216" i="4"/>
  <c r="N217" i="4"/>
  <c r="AA217" i="4"/>
  <c r="N218" i="4"/>
  <c r="AA218" i="4"/>
  <c r="N219" i="4"/>
  <c r="AA219" i="4"/>
  <c r="N220" i="4"/>
  <c r="AA220" i="4"/>
  <c r="N221" i="4"/>
  <c r="AA221" i="4"/>
  <c r="N222" i="4"/>
  <c r="AA222" i="4"/>
  <c r="N223" i="4"/>
  <c r="AA223" i="4"/>
  <c r="N224" i="4"/>
  <c r="AA224" i="4"/>
  <c r="N225" i="4"/>
  <c r="AA225" i="4"/>
  <c r="N226" i="4"/>
  <c r="AA226" i="4"/>
  <c r="N227" i="4"/>
  <c r="AA227" i="4"/>
  <c r="N228" i="4"/>
  <c r="AA228" i="4"/>
  <c r="N229" i="4"/>
  <c r="AA229" i="4"/>
  <c r="N230" i="4"/>
  <c r="AA230" i="4"/>
  <c r="N231" i="4"/>
  <c r="AA231" i="4"/>
  <c r="N232" i="4"/>
  <c r="AA232" i="4"/>
  <c r="N233" i="4"/>
  <c r="AA233" i="4"/>
  <c r="N234" i="4"/>
  <c r="AA234" i="4"/>
  <c r="N235" i="4"/>
  <c r="AA235" i="4"/>
  <c r="N236" i="4"/>
  <c r="AA236" i="4"/>
  <c r="N237" i="4"/>
  <c r="AA237" i="4"/>
  <c r="N238" i="4"/>
  <c r="AA238" i="4"/>
  <c r="N239" i="4"/>
  <c r="AA239" i="4"/>
  <c r="N240" i="4"/>
  <c r="AA240" i="4"/>
  <c r="N241" i="4"/>
  <c r="AA241" i="4"/>
  <c r="N242" i="4"/>
  <c r="AA242" i="4"/>
  <c r="N243" i="4"/>
  <c r="AA243" i="4"/>
  <c r="N244" i="4"/>
  <c r="AA244" i="4"/>
  <c r="N245" i="4"/>
  <c r="AA245" i="4"/>
  <c r="N246" i="4"/>
  <c r="AA246" i="4"/>
  <c r="N247" i="4"/>
  <c r="AA247" i="4"/>
  <c r="N248" i="4"/>
  <c r="AA248" i="4"/>
  <c r="N249" i="4"/>
  <c r="AA249" i="4"/>
  <c r="N250" i="4"/>
  <c r="AA250" i="4"/>
  <c r="N251" i="4"/>
  <c r="AA251" i="4"/>
  <c r="N252" i="4"/>
  <c r="AA252" i="4"/>
  <c r="N253" i="4"/>
  <c r="AA253" i="4"/>
  <c r="N254" i="4"/>
  <c r="AA254" i="4"/>
  <c r="N255" i="4"/>
  <c r="AA255" i="4"/>
  <c r="N256" i="4"/>
  <c r="AA256" i="4"/>
  <c r="N257" i="4"/>
  <c r="AA257" i="4"/>
  <c r="N258" i="4"/>
  <c r="AA258" i="4"/>
  <c r="N259" i="4"/>
  <c r="AA259" i="4"/>
  <c r="N260" i="4"/>
  <c r="AA260" i="4"/>
  <c r="N261" i="4"/>
  <c r="AA261" i="4"/>
  <c r="N262" i="4"/>
  <c r="AA262" i="4"/>
  <c r="N263" i="4"/>
  <c r="AA263" i="4"/>
  <c r="N264" i="4"/>
  <c r="AA264" i="4"/>
  <c r="N265" i="4"/>
  <c r="AA265" i="4"/>
  <c r="N266" i="4"/>
  <c r="AA266" i="4"/>
  <c r="N267" i="4"/>
  <c r="AA267" i="4"/>
  <c r="N268" i="4"/>
  <c r="AA268" i="4"/>
  <c r="N269" i="4"/>
  <c r="AA269" i="4"/>
  <c r="N270" i="4"/>
  <c r="AA270" i="4"/>
  <c r="N271" i="4"/>
  <c r="AA271" i="4"/>
  <c r="N272" i="4"/>
  <c r="AA272" i="4"/>
  <c r="N273" i="4"/>
  <c r="AA273" i="4"/>
  <c r="N274" i="4"/>
  <c r="AA274" i="4"/>
  <c r="N275" i="4"/>
  <c r="AA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AO12" i="4"/>
  <c r="AA392" i="4"/>
  <c r="AA328" i="4"/>
  <c r="AA402" i="4"/>
  <c r="AA348" i="4"/>
  <c r="AA282" i="4"/>
  <c r="AA398" i="4"/>
  <c r="AA370" i="4"/>
  <c r="AA350" i="4"/>
  <c r="AA322" i="4"/>
  <c r="AA302" i="4"/>
  <c r="AA401" i="4"/>
  <c r="AA387" i="4"/>
  <c r="AA363" i="4"/>
  <c r="AA345" i="4"/>
  <c r="AA315" i="4"/>
  <c r="AA297" i="4"/>
  <c r="AA280" i="4"/>
  <c r="B7" i="35"/>
  <c r="A23" i="35"/>
  <c r="AK1" i="30"/>
  <c r="Z1" i="30"/>
  <c r="D1" i="30"/>
  <c r="AZ166" i="27"/>
  <c r="AJ166" i="27"/>
  <c r="T166" i="27"/>
  <c r="D166" i="27"/>
  <c r="AZ125" i="27"/>
  <c r="AJ125" i="27"/>
  <c r="T125" i="27"/>
  <c r="D125" i="27"/>
  <c r="AZ84" i="27"/>
  <c r="AJ84" i="27"/>
  <c r="T84" i="27"/>
  <c r="D84" i="27"/>
  <c r="AZ44" i="27"/>
  <c r="AJ44" i="27"/>
  <c r="T44" i="27"/>
  <c r="D44" i="27"/>
  <c r="AZ1" i="27"/>
  <c r="AJ1" i="27"/>
  <c r="T1" i="27"/>
  <c r="D1" i="27"/>
  <c r="Y3" i="31"/>
  <c r="AP14" i="30"/>
  <c r="AP13" i="30"/>
  <c r="AI2" i="30"/>
  <c r="AE14" i="30"/>
  <c r="AE13" i="30"/>
  <c r="X2" i="30"/>
  <c r="W974" i="31"/>
  <c r="B973" i="31"/>
  <c r="S972" i="31"/>
  <c r="F972" i="31"/>
  <c r="B972" i="31"/>
  <c r="W928" i="31"/>
  <c r="B927" i="31"/>
  <c r="S926" i="31"/>
  <c r="F926" i="31"/>
  <c r="B926" i="31"/>
  <c r="W882" i="31"/>
  <c r="B881" i="31"/>
  <c r="S880" i="31"/>
  <c r="F880" i="31"/>
  <c r="B880" i="31"/>
  <c r="W836" i="31"/>
  <c r="B835" i="31"/>
  <c r="S834" i="31"/>
  <c r="F834" i="31"/>
  <c r="B834" i="31"/>
  <c r="W790" i="31"/>
  <c r="B789" i="31"/>
  <c r="S788" i="31"/>
  <c r="F788" i="31"/>
  <c r="B788" i="31"/>
  <c r="W744" i="31"/>
  <c r="B743" i="31"/>
  <c r="S742" i="31"/>
  <c r="F742" i="31"/>
  <c r="B742" i="31"/>
  <c r="W698" i="31"/>
  <c r="B697" i="31"/>
  <c r="S696" i="31"/>
  <c r="F696" i="31"/>
  <c r="B696" i="31"/>
  <c r="W652" i="31"/>
  <c r="B651" i="31"/>
  <c r="S650" i="31"/>
  <c r="F650" i="31"/>
  <c r="B650" i="31"/>
  <c r="W606" i="31"/>
  <c r="B605" i="31"/>
  <c r="S604" i="31"/>
  <c r="F604" i="31"/>
  <c r="B604" i="31"/>
  <c r="W560" i="31"/>
  <c r="B559" i="31"/>
  <c r="S558" i="31"/>
  <c r="F558" i="31"/>
  <c r="B558" i="31"/>
  <c r="W514" i="31"/>
  <c r="B513" i="31"/>
  <c r="S512" i="31"/>
  <c r="F512" i="31"/>
  <c r="B512" i="31"/>
  <c r="W468" i="31"/>
  <c r="B467" i="31"/>
  <c r="S466" i="31"/>
  <c r="F466" i="31"/>
  <c r="B466" i="31"/>
  <c r="W422" i="31"/>
  <c r="B421" i="31"/>
  <c r="S420" i="31"/>
  <c r="F420" i="31"/>
  <c r="B420" i="31"/>
  <c r="W376" i="31"/>
  <c r="B375" i="31"/>
  <c r="S374" i="31"/>
  <c r="F374" i="31"/>
  <c r="B374" i="31"/>
  <c r="W330" i="31"/>
  <c r="B329" i="31"/>
  <c r="S328" i="31"/>
  <c r="F328" i="31"/>
  <c r="B328" i="31"/>
  <c r="W284" i="31"/>
  <c r="B283" i="31"/>
  <c r="S282" i="31"/>
  <c r="F282" i="31"/>
  <c r="B282" i="31"/>
  <c r="W238" i="31"/>
  <c r="B237" i="31"/>
  <c r="S236" i="31"/>
  <c r="F236" i="31"/>
  <c r="B236" i="31"/>
  <c r="W192" i="31"/>
  <c r="B191" i="31"/>
  <c r="S190" i="31"/>
  <c r="F190" i="31"/>
  <c r="B190" i="31"/>
  <c r="W146" i="31"/>
  <c r="B145" i="31"/>
  <c r="S144" i="31"/>
  <c r="F144" i="31"/>
  <c r="B144" i="31"/>
  <c r="W100" i="31"/>
  <c r="B99" i="31"/>
  <c r="S98" i="31"/>
  <c r="F98" i="31"/>
  <c r="B98" i="31"/>
  <c r="S52" i="31"/>
  <c r="M8" i="35"/>
  <c r="B53" i="31"/>
  <c r="B52" i="31"/>
  <c r="F52" i="31"/>
  <c r="I13" i="30"/>
  <c r="B2" i="30"/>
  <c r="BI188" i="27"/>
  <c r="BG187" i="27"/>
  <c r="AX167" i="27"/>
  <c r="AS188" i="27"/>
  <c r="AQ187" i="27"/>
  <c r="AH167" i="27"/>
  <c r="AC188" i="27"/>
  <c r="AA187" i="27"/>
  <c r="R167" i="27"/>
  <c r="M188" i="27"/>
  <c r="K187" i="27"/>
  <c r="B167" i="27"/>
  <c r="BI147" i="27"/>
  <c r="BG146" i="27"/>
  <c r="AX126" i="27"/>
  <c r="AS147" i="27"/>
  <c r="AQ146" i="27"/>
  <c r="AH126" i="27"/>
  <c r="AC147" i="27"/>
  <c r="AA146" i="27"/>
  <c r="R126" i="27"/>
  <c r="M147" i="27"/>
  <c r="K146" i="27"/>
  <c r="B126" i="27"/>
  <c r="BI106" i="27"/>
  <c r="BG105" i="27"/>
  <c r="AX85" i="27"/>
  <c r="AS106" i="27"/>
  <c r="AQ105" i="27"/>
  <c r="AH85" i="27"/>
  <c r="AC106" i="27"/>
  <c r="AA105" i="27"/>
  <c r="R85" i="27"/>
  <c r="M106" i="27"/>
  <c r="K105" i="27"/>
  <c r="B85" i="27"/>
  <c r="BI66" i="27"/>
  <c r="BG65" i="27"/>
  <c r="AX45" i="27"/>
  <c r="AS66" i="27"/>
  <c r="AQ65" i="27"/>
  <c r="AH45" i="27"/>
  <c r="AC66" i="27"/>
  <c r="AA65" i="27"/>
  <c r="R45" i="27"/>
  <c r="M66" i="27"/>
  <c r="K65" i="27"/>
  <c r="B45" i="27"/>
  <c r="BI25" i="27"/>
  <c r="BG24" i="27"/>
  <c r="AX2" i="27"/>
  <c r="AS25" i="27"/>
  <c r="AQ24" i="27"/>
  <c r="AH2" i="27"/>
  <c r="AC25" i="27"/>
  <c r="AA24" i="27"/>
  <c r="R2" i="27"/>
  <c r="B2" i="27"/>
  <c r="K24" i="27"/>
  <c r="BV12" i="4"/>
  <c r="BW12" i="4"/>
  <c r="BX12" i="4"/>
  <c r="BY12" i="4"/>
  <c r="BZ12" i="4"/>
  <c r="CA12" i="4"/>
  <c r="CB12" i="4"/>
  <c r="CC12" i="4"/>
  <c r="CD12" i="4"/>
  <c r="CE12" i="4"/>
  <c r="CF12" i="4"/>
  <c r="CG12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BV40" i="4"/>
  <c r="BW40" i="4"/>
  <c r="BX40" i="4"/>
  <c r="BY40" i="4"/>
  <c r="BZ40" i="4"/>
  <c r="CA40" i="4"/>
  <c r="CB40" i="4"/>
  <c r="CC40" i="4"/>
  <c r="CD40" i="4"/>
  <c r="CE40" i="4"/>
  <c r="CF40" i="4"/>
  <c r="CG40" i="4"/>
  <c r="BV41" i="4"/>
  <c r="BW41" i="4"/>
  <c r="BX41" i="4"/>
  <c r="BY41" i="4"/>
  <c r="BZ41" i="4"/>
  <c r="CA41" i="4"/>
  <c r="CB41" i="4"/>
  <c r="CC41" i="4"/>
  <c r="CD41" i="4"/>
  <c r="CE41" i="4"/>
  <c r="CF41" i="4"/>
  <c r="CG41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BV43" i="4"/>
  <c r="BW43" i="4"/>
  <c r="BX43" i="4"/>
  <c r="BY43" i="4"/>
  <c r="BZ43" i="4"/>
  <c r="CA43" i="4"/>
  <c r="CB43" i="4"/>
  <c r="CC43" i="4"/>
  <c r="CD43" i="4"/>
  <c r="CE43" i="4"/>
  <c r="CF43" i="4"/>
  <c r="CG43" i="4"/>
  <c r="BV44" i="4"/>
  <c r="BW44" i="4"/>
  <c r="BX44" i="4"/>
  <c r="BY44" i="4"/>
  <c r="BZ44" i="4"/>
  <c r="CA44" i="4"/>
  <c r="CB44" i="4"/>
  <c r="CC44" i="4"/>
  <c r="CD44" i="4"/>
  <c r="CE44" i="4"/>
  <c r="CF44" i="4"/>
  <c r="CG44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BV46" i="4"/>
  <c r="BW46" i="4"/>
  <c r="BX46" i="4"/>
  <c r="BY46" i="4"/>
  <c r="BZ46" i="4"/>
  <c r="CA46" i="4"/>
  <c r="CB46" i="4"/>
  <c r="CC46" i="4"/>
  <c r="CD46" i="4"/>
  <c r="CE46" i="4"/>
  <c r="CF46" i="4"/>
  <c r="CG46" i="4"/>
  <c r="BV47" i="4"/>
  <c r="BW47" i="4"/>
  <c r="BX47" i="4"/>
  <c r="BY47" i="4"/>
  <c r="BZ47" i="4"/>
  <c r="CA47" i="4"/>
  <c r="CB47" i="4"/>
  <c r="CC47" i="4"/>
  <c r="CD47" i="4"/>
  <c r="CE47" i="4"/>
  <c r="CF47" i="4"/>
  <c r="CG47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BV49" i="4"/>
  <c r="BW49" i="4"/>
  <c r="BX49" i="4"/>
  <c r="BY49" i="4"/>
  <c r="BZ49" i="4"/>
  <c r="CA49" i="4"/>
  <c r="CB49" i="4"/>
  <c r="CC49" i="4"/>
  <c r="CD49" i="4"/>
  <c r="CE49" i="4"/>
  <c r="CF49" i="4"/>
  <c r="CG49" i="4"/>
  <c r="BV50" i="4"/>
  <c r="BW50" i="4"/>
  <c r="BX50" i="4"/>
  <c r="BY50" i="4"/>
  <c r="BZ50" i="4"/>
  <c r="CA50" i="4"/>
  <c r="CB50" i="4"/>
  <c r="CC50" i="4"/>
  <c r="CD50" i="4"/>
  <c r="CE50" i="4"/>
  <c r="CF50" i="4"/>
  <c r="CG50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BV52" i="4"/>
  <c r="BW52" i="4"/>
  <c r="BX52" i="4"/>
  <c r="BY52" i="4"/>
  <c r="BZ52" i="4"/>
  <c r="CA52" i="4"/>
  <c r="CB52" i="4"/>
  <c r="CC52" i="4"/>
  <c r="CD52" i="4"/>
  <c r="CE52" i="4"/>
  <c r="CF52" i="4"/>
  <c r="CG52" i="4"/>
  <c r="BV53" i="4"/>
  <c r="BW53" i="4"/>
  <c r="BX53" i="4"/>
  <c r="BY53" i="4"/>
  <c r="BZ53" i="4"/>
  <c r="CA53" i="4"/>
  <c r="CB53" i="4"/>
  <c r="CC53" i="4"/>
  <c r="CD53" i="4"/>
  <c r="CE53" i="4"/>
  <c r="CF53" i="4"/>
  <c r="CG53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BV55" i="4"/>
  <c r="BW55" i="4"/>
  <c r="BX55" i="4"/>
  <c r="BY55" i="4"/>
  <c r="BZ55" i="4"/>
  <c r="CA55" i="4"/>
  <c r="CB55" i="4"/>
  <c r="CC55" i="4"/>
  <c r="CD55" i="4"/>
  <c r="CE55" i="4"/>
  <c r="CF55" i="4"/>
  <c r="CG55" i="4"/>
  <c r="BV56" i="4"/>
  <c r="BW56" i="4"/>
  <c r="BX56" i="4"/>
  <c r="BY56" i="4"/>
  <c r="BZ56" i="4"/>
  <c r="CA56" i="4"/>
  <c r="CB56" i="4"/>
  <c r="CC56" i="4"/>
  <c r="CD56" i="4"/>
  <c r="CE56" i="4"/>
  <c r="CF56" i="4"/>
  <c r="CG56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BV58" i="4"/>
  <c r="BW58" i="4"/>
  <c r="BX58" i="4"/>
  <c r="BY58" i="4"/>
  <c r="BZ58" i="4"/>
  <c r="CA58" i="4"/>
  <c r="CB58" i="4"/>
  <c r="CC58" i="4"/>
  <c r="CD58" i="4"/>
  <c r="CE58" i="4"/>
  <c r="CF58" i="4"/>
  <c r="CG58" i="4"/>
  <c r="BV59" i="4"/>
  <c r="BW59" i="4"/>
  <c r="BX59" i="4"/>
  <c r="BY59" i="4"/>
  <c r="BZ59" i="4"/>
  <c r="CA59" i="4"/>
  <c r="CB59" i="4"/>
  <c r="CC59" i="4"/>
  <c r="CD59" i="4"/>
  <c r="CE59" i="4"/>
  <c r="CF59" i="4"/>
  <c r="CG59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BV61" i="4"/>
  <c r="BW61" i="4"/>
  <c r="BX61" i="4"/>
  <c r="BY61" i="4"/>
  <c r="BZ61" i="4"/>
  <c r="CA61" i="4"/>
  <c r="CB61" i="4"/>
  <c r="CC61" i="4"/>
  <c r="CD61" i="4"/>
  <c r="CE61" i="4"/>
  <c r="CF61" i="4"/>
  <c r="CG61" i="4"/>
  <c r="BV62" i="4"/>
  <c r="BW62" i="4"/>
  <c r="BX62" i="4"/>
  <c r="BY62" i="4"/>
  <c r="BZ62" i="4"/>
  <c r="CA62" i="4"/>
  <c r="CB62" i="4"/>
  <c r="CC62" i="4"/>
  <c r="CD62" i="4"/>
  <c r="CE62" i="4"/>
  <c r="CF62" i="4"/>
  <c r="CG62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BV64" i="4"/>
  <c r="BW64" i="4"/>
  <c r="BX64" i="4"/>
  <c r="BY64" i="4"/>
  <c r="BZ64" i="4"/>
  <c r="CA64" i="4"/>
  <c r="CB64" i="4"/>
  <c r="CC64" i="4"/>
  <c r="CD64" i="4"/>
  <c r="CE64" i="4"/>
  <c r="CF64" i="4"/>
  <c r="CG64" i="4"/>
  <c r="BV65" i="4"/>
  <c r="BW65" i="4"/>
  <c r="BX65" i="4"/>
  <c r="BY65" i="4"/>
  <c r="BZ65" i="4"/>
  <c r="CA65" i="4"/>
  <c r="CB65" i="4"/>
  <c r="CC65" i="4"/>
  <c r="CD65" i="4"/>
  <c r="CE65" i="4"/>
  <c r="CF65" i="4"/>
  <c r="CG65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BV67" i="4"/>
  <c r="BW67" i="4"/>
  <c r="BX67" i="4"/>
  <c r="BY67" i="4"/>
  <c r="BZ67" i="4"/>
  <c r="CA67" i="4"/>
  <c r="CB67" i="4"/>
  <c r="CC67" i="4"/>
  <c r="CD67" i="4"/>
  <c r="CE67" i="4"/>
  <c r="CF67" i="4"/>
  <c r="CG67" i="4"/>
  <c r="BV68" i="4"/>
  <c r="BW68" i="4"/>
  <c r="BX68" i="4"/>
  <c r="BY68" i="4"/>
  <c r="BZ68" i="4"/>
  <c r="CA68" i="4"/>
  <c r="CB68" i="4"/>
  <c r="CC68" i="4"/>
  <c r="CD68" i="4"/>
  <c r="CE68" i="4"/>
  <c r="CF68" i="4"/>
  <c r="CG68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BV70" i="4"/>
  <c r="BW70" i="4"/>
  <c r="BX70" i="4"/>
  <c r="BY70" i="4"/>
  <c r="BZ70" i="4"/>
  <c r="CA70" i="4"/>
  <c r="CB70" i="4"/>
  <c r="CC70" i="4"/>
  <c r="CD70" i="4"/>
  <c r="CE70" i="4"/>
  <c r="CF70" i="4"/>
  <c r="CG70" i="4"/>
  <c r="BV71" i="4"/>
  <c r="BW71" i="4"/>
  <c r="BX71" i="4"/>
  <c r="BY71" i="4"/>
  <c r="BZ71" i="4"/>
  <c r="CA71" i="4"/>
  <c r="CB71" i="4"/>
  <c r="CC71" i="4"/>
  <c r="CD71" i="4"/>
  <c r="CE71" i="4"/>
  <c r="CF71" i="4"/>
  <c r="CG71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BV73" i="4"/>
  <c r="BW73" i="4"/>
  <c r="BX73" i="4"/>
  <c r="BY73" i="4"/>
  <c r="BZ73" i="4"/>
  <c r="CA73" i="4"/>
  <c r="CB73" i="4"/>
  <c r="CC73" i="4"/>
  <c r="CD73" i="4"/>
  <c r="CE73" i="4"/>
  <c r="CF73" i="4"/>
  <c r="CG73" i="4"/>
  <c r="BV74" i="4"/>
  <c r="BW74" i="4"/>
  <c r="BX74" i="4"/>
  <c r="BY74" i="4"/>
  <c r="BZ74" i="4"/>
  <c r="CA74" i="4"/>
  <c r="CB74" i="4"/>
  <c r="CC74" i="4"/>
  <c r="CD74" i="4"/>
  <c r="CE74" i="4"/>
  <c r="CF74" i="4"/>
  <c r="CG74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BV76" i="4"/>
  <c r="BW76" i="4"/>
  <c r="BX76" i="4"/>
  <c r="BY76" i="4"/>
  <c r="BZ76" i="4"/>
  <c r="CA76" i="4"/>
  <c r="CB76" i="4"/>
  <c r="CC76" i="4"/>
  <c r="CD76" i="4"/>
  <c r="CE76" i="4"/>
  <c r="CF76" i="4"/>
  <c r="CG76" i="4"/>
  <c r="BV77" i="4"/>
  <c r="BW77" i="4"/>
  <c r="BX77" i="4"/>
  <c r="BY77" i="4"/>
  <c r="BZ77" i="4"/>
  <c r="CA77" i="4"/>
  <c r="CB77" i="4"/>
  <c r="CC77" i="4"/>
  <c r="CD77" i="4"/>
  <c r="CE77" i="4"/>
  <c r="CF77" i="4"/>
  <c r="CG77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BV79" i="4"/>
  <c r="BW79" i="4"/>
  <c r="BX79" i="4"/>
  <c r="BY79" i="4"/>
  <c r="BZ79" i="4"/>
  <c r="CA79" i="4"/>
  <c r="CB79" i="4"/>
  <c r="CC79" i="4"/>
  <c r="CD79" i="4"/>
  <c r="CE79" i="4"/>
  <c r="CF79" i="4"/>
  <c r="CG79" i="4"/>
  <c r="BV80" i="4"/>
  <c r="BW80" i="4"/>
  <c r="BX80" i="4"/>
  <c r="BY80" i="4"/>
  <c r="BZ80" i="4"/>
  <c r="CA80" i="4"/>
  <c r="CB80" i="4"/>
  <c r="CC80" i="4"/>
  <c r="CD80" i="4"/>
  <c r="CE80" i="4"/>
  <c r="CF80" i="4"/>
  <c r="CG80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BV82" i="4"/>
  <c r="BW82" i="4"/>
  <c r="BX82" i="4"/>
  <c r="BY82" i="4"/>
  <c r="BZ82" i="4"/>
  <c r="CA82" i="4"/>
  <c r="CB82" i="4"/>
  <c r="CC82" i="4"/>
  <c r="CD82" i="4"/>
  <c r="CE82" i="4"/>
  <c r="CF82" i="4"/>
  <c r="CG82" i="4"/>
  <c r="BV83" i="4"/>
  <c r="BW83" i="4"/>
  <c r="BX83" i="4"/>
  <c r="BY83" i="4"/>
  <c r="BZ83" i="4"/>
  <c r="CA83" i="4"/>
  <c r="CB83" i="4"/>
  <c r="CC83" i="4"/>
  <c r="CD83" i="4"/>
  <c r="CE83" i="4"/>
  <c r="CF83" i="4"/>
  <c r="CG83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BV85" i="4"/>
  <c r="BW85" i="4"/>
  <c r="BX85" i="4"/>
  <c r="BY85" i="4"/>
  <c r="BZ85" i="4"/>
  <c r="CA85" i="4"/>
  <c r="CB85" i="4"/>
  <c r="CC85" i="4"/>
  <c r="CD85" i="4"/>
  <c r="CE85" i="4"/>
  <c r="CF85" i="4"/>
  <c r="CG85" i="4"/>
  <c r="BV86" i="4"/>
  <c r="BW86" i="4"/>
  <c r="BX86" i="4"/>
  <c r="BY86" i="4"/>
  <c r="BZ86" i="4"/>
  <c r="CA86" i="4"/>
  <c r="CB86" i="4"/>
  <c r="CC86" i="4"/>
  <c r="CD86" i="4"/>
  <c r="CE86" i="4"/>
  <c r="CF86" i="4"/>
  <c r="CG86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BV88" i="4"/>
  <c r="BW88" i="4"/>
  <c r="BX88" i="4"/>
  <c r="BY88" i="4"/>
  <c r="BZ88" i="4"/>
  <c r="CA88" i="4"/>
  <c r="CB88" i="4"/>
  <c r="CC88" i="4"/>
  <c r="CD88" i="4"/>
  <c r="CE88" i="4"/>
  <c r="CF88" i="4"/>
  <c r="CG88" i="4"/>
  <c r="BV89" i="4"/>
  <c r="BW89" i="4"/>
  <c r="BX89" i="4"/>
  <c r="BY89" i="4"/>
  <c r="BZ89" i="4"/>
  <c r="CA89" i="4"/>
  <c r="CB89" i="4"/>
  <c r="CC89" i="4"/>
  <c r="CD89" i="4"/>
  <c r="CE89" i="4"/>
  <c r="CF89" i="4"/>
  <c r="CG89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BV92" i="4"/>
  <c r="BW92" i="4"/>
  <c r="BX92" i="4"/>
  <c r="BY92" i="4"/>
  <c r="BZ92" i="4"/>
  <c r="CA92" i="4"/>
  <c r="CB92" i="4"/>
  <c r="CC92" i="4"/>
  <c r="CD92" i="4"/>
  <c r="CE92" i="4"/>
  <c r="CF92" i="4"/>
  <c r="CG92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BV94" i="4"/>
  <c r="BW94" i="4"/>
  <c r="BX94" i="4"/>
  <c r="BY94" i="4"/>
  <c r="BZ94" i="4"/>
  <c r="CA94" i="4"/>
  <c r="CB94" i="4"/>
  <c r="CC94" i="4"/>
  <c r="CD94" i="4"/>
  <c r="CE94" i="4"/>
  <c r="CF94" i="4"/>
  <c r="CG94" i="4"/>
  <c r="BV95" i="4"/>
  <c r="BW95" i="4"/>
  <c r="BX95" i="4"/>
  <c r="BY95" i="4"/>
  <c r="BZ95" i="4"/>
  <c r="CA95" i="4"/>
  <c r="CB95" i="4"/>
  <c r="CC95" i="4"/>
  <c r="CD95" i="4"/>
  <c r="CE95" i="4"/>
  <c r="CF95" i="4"/>
  <c r="CG95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BV97" i="4"/>
  <c r="BW97" i="4"/>
  <c r="BX97" i="4"/>
  <c r="BY97" i="4"/>
  <c r="BZ97" i="4"/>
  <c r="CA97" i="4"/>
  <c r="CB97" i="4"/>
  <c r="CC97" i="4"/>
  <c r="CD97" i="4"/>
  <c r="CE97" i="4"/>
  <c r="CF97" i="4"/>
  <c r="CG97" i="4"/>
  <c r="BV98" i="4"/>
  <c r="BW98" i="4"/>
  <c r="BX98" i="4"/>
  <c r="BY98" i="4"/>
  <c r="BZ98" i="4"/>
  <c r="CA98" i="4"/>
  <c r="CB98" i="4"/>
  <c r="CC98" i="4"/>
  <c r="CD98" i="4"/>
  <c r="CE98" i="4"/>
  <c r="CF98" i="4"/>
  <c r="CG98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BV100" i="4"/>
  <c r="BW100" i="4"/>
  <c r="BX100" i="4"/>
  <c r="BY100" i="4"/>
  <c r="BZ100" i="4"/>
  <c r="CA100" i="4"/>
  <c r="CB100" i="4"/>
  <c r="CC100" i="4"/>
  <c r="CD100" i="4"/>
  <c r="CE100" i="4"/>
  <c r="CF100" i="4"/>
  <c r="CG100" i="4"/>
  <c r="BV101" i="4"/>
  <c r="BW101" i="4"/>
  <c r="BX101" i="4"/>
  <c r="BY101" i="4"/>
  <c r="BZ101" i="4"/>
  <c r="CA101" i="4"/>
  <c r="CB101" i="4"/>
  <c r="CC101" i="4"/>
  <c r="CD101" i="4"/>
  <c r="CE101" i="4"/>
  <c r="CF101" i="4"/>
  <c r="CG101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BV103" i="4"/>
  <c r="BW103" i="4"/>
  <c r="BX103" i="4"/>
  <c r="BY103" i="4"/>
  <c r="BZ103" i="4"/>
  <c r="CA103" i="4"/>
  <c r="CB103" i="4"/>
  <c r="CC103" i="4"/>
  <c r="CD103" i="4"/>
  <c r="CE103" i="4"/>
  <c r="CF103" i="4"/>
  <c r="CG103" i="4"/>
  <c r="BV104" i="4"/>
  <c r="BW104" i="4"/>
  <c r="BX104" i="4"/>
  <c r="BY104" i="4"/>
  <c r="BZ104" i="4"/>
  <c r="CA104" i="4"/>
  <c r="CB104" i="4"/>
  <c r="CC104" i="4"/>
  <c r="CD104" i="4"/>
  <c r="CE104" i="4"/>
  <c r="CF104" i="4"/>
  <c r="CG104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BV106" i="4"/>
  <c r="BW106" i="4"/>
  <c r="BX106" i="4"/>
  <c r="BY106" i="4"/>
  <c r="BZ106" i="4"/>
  <c r="CA106" i="4"/>
  <c r="CB106" i="4"/>
  <c r="CC106" i="4"/>
  <c r="CD106" i="4"/>
  <c r="CE106" i="4"/>
  <c r="CF106" i="4"/>
  <c r="CG106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BV109" i="4"/>
  <c r="BW109" i="4"/>
  <c r="BX109" i="4"/>
  <c r="BY109" i="4"/>
  <c r="BZ109" i="4"/>
  <c r="CA109" i="4"/>
  <c r="CB109" i="4"/>
  <c r="CC109" i="4"/>
  <c r="CD109" i="4"/>
  <c r="CE109" i="4"/>
  <c r="CF109" i="4"/>
  <c r="CG109" i="4"/>
  <c r="BV110" i="4"/>
  <c r="BW110" i="4"/>
  <c r="BX110" i="4"/>
  <c r="BY110" i="4"/>
  <c r="BZ110" i="4"/>
  <c r="CA110" i="4"/>
  <c r="CB110" i="4"/>
  <c r="CC110" i="4"/>
  <c r="CD110" i="4"/>
  <c r="CE110" i="4"/>
  <c r="CF110" i="4"/>
  <c r="CG110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BV112" i="4"/>
  <c r="BW112" i="4"/>
  <c r="BX112" i="4"/>
  <c r="BY112" i="4"/>
  <c r="BZ112" i="4"/>
  <c r="CA112" i="4"/>
  <c r="CB112" i="4"/>
  <c r="CC112" i="4"/>
  <c r="CD112" i="4"/>
  <c r="CE112" i="4"/>
  <c r="CF112" i="4"/>
  <c r="CG112" i="4"/>
  <c r="BV113" i="4"/>
  <c r="BW113" i="4"/>
  <c r="BX113" i="4"/>
  <c r="BY113" i="4"/>
  <c r="BZ113" i="4"/>
  <c r="CA113" i="4"/>
  <c r="CB113" i="4"/>
  <c r="CC113" i="4"/>
  <c r="CD113" i="4"/>
  <c r="CE113" i="4"/>
  <c r="CF113" i="4"/>
  <c r="CG113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BV115" i="4"/>
  <c r="BW115" i="4"/>
  <c r="BX115" i="4"/>
  <c r="BY115" i="4"/>
  <c r="BZ115" i="4"/>
  <c r="CA115" i="4"/>
  <c r="CB115" i="4"/>
  <c r="CC115" i="4"/>
  <c r="CD115" i="4"/>
  <c r="CE115" i="4"/>
  <c r="CF115" i="4"/>
  <c r="CG115" i="4"/>
  <c r="BV116" i="4"/>
  <c r="BW116" i="4"/>
  <c r="BX116" i="4"/>
  <c r="BY116" i="4"/>
  <c r="BZ116" i="4"/>
  <c r="CA116" i="4"/>
  <c r="CB116" i="4"/>
  <c r="CC116" i="4"/>
  <c r="CD116" i="4"/>
  <c r="CE116" i="4"/>
  <c r="CF116" i="4"/>
  <c r="CG116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BV118" i="4"/>
  <c r="BW118" i="4"/>
  <c r="BX118" i="4"/>
  <c r="BY118" i="4"/>
  <c r="BZ118" i="4"/>
  <c r="CA118" i="4"/>
  <c r="CB118" i="4"/>
  <c r="CC118" i="4"/>
  <c r="CD118" i="4"/>
  <c r="CE118" i="4"/>
  <c r="CF118" i="4"/>
  <c r="CG118" i="4"/>
  <c r="BV119" i="4"/>
  <c r="BW119" i="4"/>
  <c r="BX119" i="4"/>
  <c r="BY119" i="4"/>
  <c r="BZ119" i="4"/>
  <c r="CA119" i="4"/>
  <c r="CB119" i="4"/>
  <c r="CC119" i="4"/>
  <c r="CD119" i="4"/>
  <c r="CE119" i="4"/>
  <c r="CF119" i="4"/>
  <c r="CG119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BV121" i="4"/>
  <c r="BW121" i="4"/>
  <c r="BX121" i="4"/>
  <c r="BY121" i="4"/>
  <c r="BZ121" i="4"/>
  <c r="CA121" i="4"/>
  <c r="CB121" i="4"/>
  <c r="CC121" i="4"/>
  <c r="CD121" i="4"/>
  <c r="CE121" i="4"/>
  <c r="CF121" i="4"/>
  <c r="CG121" i="4"/>
  <c r="BV122" i="4"/>
  <c r="BW122" i="4"/>
  <c r="BX122" i="4"/>
  <c r="BY122" i="4"/>
  <c r="BZ122" i="4"/>
  <c r="CA122" i="4"/>
  <c r="CB122" i="4"/>
  <c r="CC122" i="4"/>
  <c r="CD122" i="4"/>
  <c r="CE122" i="4"/>
  <c r="CF122" i="4"/>
  <c r="CG122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BV124" i="4"/>
  <c r="BW124" i="4"/>
  <c r="BX124" i="4"/>
  <c r="BY124" i="4"/>
  <c r="BZ124" i="4"/>
  <c r="CA124" i="4"/>
  <c r="CB124" i="4"/>
  <c r="CC124" i="4"/>
  <c r="CD124" i="4"/>
  <c r="CE124" i="4"/>
  <c r="CF124" i="4"/>
  <c r="CG124" i="4"/>
  <c r="BV125" i="4"/>
  <c r="BW125" i="4"/>
  <c r="BX125" i="4"/>
  <c r="BY125" i="4"/>
  <c r="BZ125" i="4"/>
  <c r="CA125" i="4"/>
  <c r="CB125" i="4"/>
  <c r="CC125" i="4"/>
  <c r="CD125" i="4"/>
  <c r="CE125" i="4"/>
  <c r="CF125" i="4"/>
  <c r="CG125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BV127" i="4"/>
  <c r="BW127" i="4"/>
  <c r="BX127" i="4"/>
  <c r="BY127" i="4"/>
  <c r="BZ127" i="4"/>
  <c r="CA127" i="4"/>
  <c r="CB127" i="4"/>
  <c r="CC127" i="4"/>
  <c r="CD127" i="4"/>
  <c r="CE127" i="4"/>
  <c r="CF127" i="4"/>
  <c r="CG127" i="4"/>
  <c r="BV128" i="4"/>
  <c r="BW128" i="4"/>
  <c r="BX128" i="4"/>
  <c r="BY128" i="4"/>
  <c r="BZ128" i="4"/>
  <c r="CA128" i="4"/>
  <c r="CB128" i="4"/>
  <c r="CC128" i="4"/>
  <c r="CD128" i="4"/>
  <c r="CE128" i="4"/>
  <c r="CF128" i="4"/>
  <c r="CG128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BV130" i="4"/>
  <c r="BW130" i="4"/>
  <c r="BX130" i="4"/>
  <c r="BY130" i="4"/>
  <c r="BZ130" i="4"/>
  <c r="CA130" i="4"/>
  <c r="CB130" i="4"/>
  <c r="CC130" i="4"/>
  <c r="CD130" i="4"/>
  <c r="CE130" i="4"/>
  <c r="CF130" i="4"/>
  <c r="CG130" i="4"/>
  <c r="BV131" i="4"/>
  <c r="BW131" i="4"/>
  <c r="BX131" i="4"/>
  <c r="BY131" i="4"/>
  <c r="BZ131" i="4"/>
  <c r="CA131" i="4"/>
  <c r="CB131" i="4"/>
  <c r="CC131" i="4"/>
  <c r="CD131" i="4"/>
  <c r="CE131" i="4"/>
  <c r="CF131" i="4"/>
  <c r="CG131" i="4"/>
  <c r="BV132" i="4"/>
  <c r="BW132" i="4"/>
  <c r="BX132" i="4"/>
  <c r="BY132" i="4"/>
  <c r="BZ132" i="4"/>
  <c r="CA132" i="4"/>
  <c r="CB132" i="4"/>
  <c r="CC132" i="4"/>
  <c r="CD132" i="4"/>
  <c r="CE132" i="4"/>
  <c r="CF132" i="4"/>
  <c r="CG132" i="4"/>
  <c r="BV133" i="4"/>
  <c r="BW133" i="4"/>
  <c r="BX133" i="4"/>
  <c r="BY133" i="4"/>
  <c r="BZ133" i="4"/>
  <c r="CA133" i="4"/>
  <c r="CB133" i="4"/>
  <c r="CC133" i="4"/>
  <c r="CD133" i="4"/>
  <c r="CE133" i="4"/>
  <c r="CF133" i="4"/>
  <c r="CG133" i="4"/>
  <c r="BV134" i="4"/>
  <c r="BW134" i="4"/>
  <c r="BX134" i="4"/>
  <c r="BY134" i="4"/>
  <c r="BZ134" i="4"/>
  <c r="CA134" i="4"/>
  <c r="CB134" i="4"/>
  <c r="CC134" i="4"/>
  <c r="CD134" i="4"/>
  <c r="CE134" i="4"/>
  <c r="CF134" i="4"/>
  <c r="CG134" i="4"/>
  <c r="BV135" i="4"/>
  <c r="BW135" i="4"/>
  <c r="BX135" i="4"/>
  <c r="BY135" i="4"/>
  <c r="BZ135" i="4"/>
  <c r="CA135" i="4"/>
  <c r="CB135" i="4"/>
  <c r="CC135" i="4"/>
  <c r="CD135" i="4"/>
  <c r="CE135" i="4"/>
  <c r="CF135" i="4"/>
  <c r="CG135" i="4"/>
  <c r="BV136" i="4"/>
  <c r="BW136" i="4"/>
  <c r="BX136" i="4"/>
  <c r="BY136" i="4"/>
  <c r="BZ136" i="4"/>
  <c r="CA136" i="4"/>
  <c r="CB136" i="4"/>
  <c r="CC136" i="4"/>
  <c r="CD136" i="4"/>
  <c r="CE136" i="4"/>
  <c r="CF136" i="4"/>
  <c r="CG136" i="4"/>
  <c r="BV137" i="4"/>
  <c r="BW137" i="4"/>
  <c r="BX137" i="4"/>
  <c r="BY137" i="4"/>
  <c r="BZ137" i="4"/>
  <c r="CA137" i="4"/>
  <c r="CB137" i="4"/>
  <c r="CC137" i="4"/>
  <c r="CD137" i="4"/>
  <c r="CE137" i="4"/>
  <c r="CF137" i="4"/>
  <c r="CG137" i="4"/>
  <c r="BV138" i="4"/>
  <c r="BW138" i="4"/>
  <c r="BX138" i="4"/>
  <c r="BY138" i="4"/>
  <c r="BZ138" i="4"/>
  <c r="CA138" i="4"/>
  <c r="CB138" i="4"/>
  <c r="CC138" i="4"/>
  <c r="CD138" i="4"/>
  <c r="CE138" i="4"/>
  <c r="CF138" i="4"/>
  <c r="CG138" i="4"/>
  <c r="BV139" i="4"/>
  <c r="BW139" i="4"/>
  <c r="BX139" i="4"/>
  <c r="BY139" i="4"/>
  <c r="BZ139" i="4"/>
  <c r="CA139" i="4"/>
  <c r="CB139" i="4"/>
  <c r="CC139" i="4"/>
  <c r="CD139" i="4"/>
  <c r="CE139" i="4"/>
  <c r="CF139" i="4"/>
  <c r="CG139" i="4"/>
  <c r="BV140" i="4"/>
  <c r="BW140" i="4"/>
  <c r="BX140" i="4"/>
  <c r="BY140" i="4"/>
  <c r="BZ140" i="4"/>
  <c r="CA140" i="4"/>
  <c r="CB140" i="4"/>
  <c r="CC140" i="4"/>
  <c r="CD140" i="4"/>
  <c r="CE140" i="4"/>
  <c r="CF140" i="4"/>
  <c r="CG140" i="4"/>
  <c r="BV141" i="4"/>
  <c r="BW141" i="4"/>
  <c r="BX141" i="4"/>
  <c r="BY141" i="4"/>
  <c r="BZ141" i="4"/>
  <c r="CA141" i="4"/>
  <c r="CB141" i="4"/>
  <c r="CC141" i="4"/>
  <c r="CD141" i="4"/>
  <c r="CE141" i="4"/>
  <c r="CF141" i="4"/>
  <c r="CG141" i="4"/>
  <c r="BV142" i="4"/>
  <c r="BW142" i="4"/>
  <c r="BX142" i="4"/>
  <c r="BY142" i="4"/>
  <c r="BZ142" i="4"/>
  <c r="CA142" i="4"/>
  <c r="CB142" i="4"/>
  <c r="CC142" i="4"/>
  <c r="CD142" i="4"/>
  <c r="CE142" i="4"/>
  <c r="CF142" i="4"/>
  <c r="CG142" i="4"/>
  <c r="BV143" i="4"/>
  <c r="BW143" i="4"/>
  <c r="BX143" i="4"/>
  <c r="BY143" i="4"/>
  <c r="BZ143" i="4"/>
  <c r="CA143" i="4"/>
  <c r="CB143" i="4"/>
  <c r="CC143" i="4"/>
  <c r="CD143" i="4"/>
  <c r="CE143" i="4"/>
  <c r="CF143" i="4"/>
  <c r="CG143" i="4"/>
  <c r="BV144" i="4"/>
  <c r="BW144" i="4"/>
  <c r="BX144" i="4"/>
  <c r="BY144" i="4"/>
  <c r="BZ144" i="4"/>
  <c r="CA144" i="4"/>
  <c r="CB144" i="4"/>
  <c r="CC144" i="4"/>
  <c r="CD144" i="4"/>
  <c r="CE144" i="4"/>
  <c r="CF144" i="4"/>
  <c r="CG144" i="4"/>
  <c r="BV145" i="4"/>
  <c r="BW145" i="4"/>
  <c r="BX145" i="4"/>
  <c r="BY145" i="4"/>
  <c r="BZ145" i="4"/>
  <c r="CA145" i="4"/>
  <c r="CB145" i="4"/>
  <c r="CC145" i="4"/>
  <c r="CD145" i="4"/>
  <c r="CE145" i="4"/>
  <c r="CF145" i="4"/>
  <c r="CG145" i="4"/>
  <c r="BV146" i="4"/>
  <c r="BW146" i="4"/>
  <c r="BX146" i="4"/>
  <c r="BY146" i="4"/>
  <c r="BZ146" i="4"/>
  <c r="CA146" i="4"/>
  <c r="CB146" i="4"/>
  <c r="CC146" i="4"/>
  <c r="CD146" i="4"/>
  <c r="CE146" i="4"/>
  <c r="CF146" i="4"/>
  <c r="CG146" i="4"/>
  <c r="BV147" i="4"/>
  <c r="BW147" i="4"/>
  <c r="BX147" i="4"/>
  <c r="BY147" i="4"/>
  <c r="BZ147" i="4"/>
  <c r="CA147" i="4"/>
  <c r="CB147" i="4"/>
  <c r="CC147" i="4"/>
  <c r="CD147" i="4"/>
  <c r="CE147" i="4"/>
  <c r="CF147" i="4"/>
  <c r="CG147" i="4"/>
  <c r="BV148" i="4"/>
  <c r="BW148" i="4"/>
  <c r="BX148" i="4"/>
  <c r="BY148" i="4"/>
  <c r="BZ148" i="4"/>
  <c r="CA148" i="4"/>
  <c r="CB148" i="4"/>
  <c r="CC148" i="4"/>
  <c r="CD148" i="4"/>
  <c r="CE148" i="4"/>
  <c r="CF148" i="4"/>
  <c r="CG148" i="4"/>
  <c r="BV149" i="4"/>
  <c r="BW149" i="4"/>
  <c r="BX149" i="4"/>
  <c r="BY149" i="4"/>
  <c r="BZ149" i="4"/>
  <c r="CA149" i="4"/>
  <c r="CB149" i="4"/>
  <c r="CC149" i="4"/>
  <c r="CD149" i="4"/>
  <c r="CE149" i="4"/>
  <c r="CF149" i="4"/>
  <c r="CG149" i="4"/>
  <c r="BV150" i="4"/>
  <c r="BW150" i="4"/>
  <c r="BX150" i="4"/>
  <c r="BY150" i="4"/>
  <c r="BZ150" i="4"/>
  <c r="CA150" i="4"/>
  <c r="CB150" i="4"/>
  <c r="CC150" i="4"/>
  <c r="CD150" i="4"/>
  <c r="CE150" i="4"/>
  <c r="CF150" i="4"/>
  <c r="CG150" i="4"/>
  <c r="BV151" i="4"/>
  <c r="BW151" i="4"/>
  <c r="BX151" i="4"/>
  <c r="BY151" i="4"/>
  <c r="BZ151" i="4"/>
  <c r="CA151" i="4"/>
  <c r="CB151" i="4"/>
  <c r="CC151" i="4"/>
  <c r="CD151" i="4"/>
  <c r="CE151" i="4"/>
  <c r="CF151" i="4"/>
  <c r="CG151" i="4"/>
  <c r="BV152" i="4"/>
  <c r="BW152" i="4"/>
  <c r="BX152" i="4"/>
  <c r="BY152" i="4"/>
  <c r="BZ152" i="4"/>
  <c r="CA152" i="4"/>
  <c r="CB152" i="4"/>
  <c r="CC152" i="4"/>
  <c r="CD152" i="4"/>
  <c r="CE152" i="4"/>
  <c r="CF152" i="4"/>
  <c r="CG152" i="4"/>
  <c r="BV153" i="4"/>
  <c r="BW153" i="4"/>
  <c r="BX153" i="4"/>
  <c r="BY153" i="4"/>
  <c r="BZ153" i="4"/>
  <c r="CA153" i="4"/>
  <c r="CB153" i="4"/>
  <c r="CC153" i="4"/>
  <c r="CD153" i="4"/>
  <c r="CE153" i="4"/>
  <c r="CF153" i="4"/>
  <c r="CG153" i="4"/>
  <c r="BV154" i="4"/>
  <c r="BW154" i="4"/>
  <c r="BX154" i="4"/>
  <c r="BY154" i="4"/>
  <c r="BZ154" i="4"/>
  <c r="CA154" i="4"/>
  <c r="CB154" i="4"/>
  <c r="CC154" i="4"/>
  <c r="CD154" i="4"/>
  <c r="CE154" i="4"/>
  <c r="CF154" i="4"/>
  <c r="CG154" i="4"/>
  <c r="BV155" i="4"/>
  <c r="BW155" i="4"/>
  <c r="BX155" i="4"/>
  <c r="BY155" i="4"/>
  <c r="BZ155" i="4"/>
  <c r="CA155" i="4"/>
  <c r="CB155" i="4"/>
  <c r="CC155" i="4"/>
  <c r="CD155" i="4"/>
  <c r="CE155" i="4"/>
  <c r="CF155" i="4"/>
  <c r="CG155" i="4"/>
  <c r="BV156" i="4"/>
  <c r="BW156" i="4"/>
  <c r="BX156" i="4"/>
  <c r="BY156" i="4"/>
  <c r="BZ156" i="4"/>
  <c r="CA156" i="4"/>
  <c r="CB156" i="4"/>
  <c r="CC156" i="4"/>
  <c r="CD156" i="4"/>
  <c r="CE156" i="4"/>
  <c r="CF156" i="4"/>
  <c r="CG156" i="4"/>
  <c r="BV157" i="4"/>
  <c r="BW157" i="4"/>
  <c r="BX157" i="4"/>
  <c r="BY157" i="4"/>
  <c r="BZ157" i="4"/>
  <c r="CA157" i="4"/>
  <c r="CB157" i="4"/>
  <c r="CC157" i="4"/>
  <c r="CD157" i="4"/>
  <c r="CE157" i="4"/>
  <c r="CF157" i="4"/>
  <c r="CG157" i="4"/>
  <c r="BV158" i="4"/>
  <c r="BW158" i="4"/>
  <c r="BX158" i="4"/>
  <c r="BY158" i="4"/>
  <c r="BZ158" i="4"/>
  <c r="CA158" i="4"/>
  <c r="CB158" i="4"/>
  <c r="CC158" i="4"/>
  <c r="CD158" i="4"/>
  <c r="CE158" i="4"/>
  <c r="CF158" i="4"/>
  <c r="CG158" i="4"/>
  <c r="BV159" i="4"/>
  <c r="BW159" i="4"/>
  <c r="BX159" i="4"/>
  <c r="BY159" i="4"/>
  <c r="BZ159" i="4"/>
  <c r="CA159" i="4"/>
  <c r="CB159" i="4"/>
  <c r="CC159" i="4"/>
  <c r="CD159" i="4"/>
  <c r="CE159" i="4"/>
  <c r="CF159" i="4"/>
  <c r="CG159" i="4"/>
  <c r="BV160" i="4"/>
  <c r="BW160" i="4"/>
  <c r="BX160" i="4"/>
  <c r="BY160" i="4"/>
  <c r="BZ160" i="4"/>
  <c r="CA160" i="4"/>
  <c r="CB160" i="4"/>
  <c r="CC160" i="4"/>
  <c r="CD160" i="4"/>
  <c r="CE160" i="4"/>
  <c r="CF160" i="4"/>
  <c r="CG160" i="4"/>
  <c r="BV161" i="4"/>
  <c r="BW161" i="4"/>
  <c r="BX161" i="4"/>
  <c r="BY161" i="4"/>
  <c r="BZ161" i="4"/>
  <c r="CA161" i="4"/>
  <c r="CB161" i="4"/>
  <c r="CC161" i="4"/>
  <c r="CD161" i="4"/>
  <c r="CE161" i="4"/>
  <c r="CF161" i="4"/>
  <c r="CG161" i="4"/>
  <c r="BV162" i="4"/>
  <c r="BW162" i="4"/>
  <c r="BX162" i="4"/>
  <c r="BY162" i="4"/>
  <c r="BZ162" i="4"/>
  <c r="CA162" i="4"/>
  <c r="CB162" i="4"/>
  <c r="CC162" i="4"/>
  <c r="CD162" i="4"/>
  <c r="CE162" i="4"/>
  <c r="CF162" i="4"/>
  <c r="CG162" i="4"/>
  <c r="BV163" i="4"/>
  <c r="BW163" i="4"/>
  <c r="BX163" i="4"/>
  <c r="BY163" i="4"/>
  <c r="BZ163" i="4"/>
  <c r="CA163" i="4"/>
  <c r="CB163" i="4"/>
  <c r="CC163" i="4"/>
  <c r="CD163" i="4"/>
  <c r="CE163" i="4"/>
  <c r="CF163" i="4"/>
  <c r="CG163" i="4"/>
  <c r="BV164" i="4"/>
  <c r="BW164" i="4"/>
  <c r="BX164" i="4"/>
  <c r="BY164" i="4"/>
  <c r="BZ164" i="4"/>
  <c r="CA164" i="4"/>
  <c r="CB164" i="4"/>
  <c r="CC164" i="4"/>
  <c r="CD164" i="4"/>
  <c r="CE164" i="4"/>
  <c r="CF164" i="4"/>
  <c r="CG164" i="4"/>
  <c r="BV165" i="4"/>
  <c r="BW165" i="4"/>
  <c r="BX165" i="4"/>
  <c r="BY165" i="4"/>
  <c r="BZ165" i="4"/>
  <c r="CA165" i="4"/>
  <c r="CB165" i="4"/>
  <c r="CC165" i="4"/>
  <c r="CD165" i="4"/>
  <c r="CE165" i="4"/>
  <c r="CF165" i="4"/>
  <c r="CG165" i="4"/>
  <c r="BV166" i="4"/>
  <c r="BW166" i="4"/>
  <c r="BX166" i="4"/>
  <c r="BY166" i="4"/>
  <c r="BZ166" i="4"/>
  <c r="CA166" i="4"/>
  <c r="CB166" i="4"/>
  <c r="CC166" i="4"/>
  <c r="CD166" i="4"/>
  <c r="CE166" i="4"/>
  <c r="CF166" i="4"/>
  <c r="CG166" i="4"/>
  <c r="BV167" i="4"/>
  <c r="BW167" i="4"/>
  <c r="BX167" i="4"/>
  <c r="BY167" i="4"/>
  <c r="BZ167" i="4"/>
  <c r="CA167" i="4"/>
  <c r="CB167" i="4"/>
  <c r="CC167" i="4"/>
  <c r="CD167" i="4"/>
  <c r="CE167" i="4"/>
  <c r="CF167" i="4"/>
  <c r="CG167" i="4"/>
  <c r="BV168" i="4"/>
  <c r="BW168" i="4"/>
  <c r="BX168" i="4"/>
  <c r="BY168" i="4"/>
  <c r="BZ168" i="4"/>
  <c r="CA168" i="4"/>
  <c r="CB168" i="4"/>
  <c r="CC168" i="4"/>
  <c r="CD168" i="4"/>
  <c r="CE168" i="4"/>
  <c r="CF168" i="4"/>
  <c r="CG168" i="4"/>
  <c r="BV169" i="4"/>
  <c r="BW169" i="4"/>
  <c r="BX169" i="4"/>
  <c r="BY169" i="4"/>
  <c r="BZ169" i="4"/>
  <c r="CA169" i="4"/>
  <c r="CB169" i="4"/>
  <c r="CC169" i="4"/>
  <c r="CD169" i="4"/>
  <c r="CE169" i="4"/>
  <c r="CF169" i="4"/>
  <c r="CG169" i="4"/>
  <c r="BV170" i="4"/>
  <c r="BW170" i="4"/>
  <c r="BX170" i="4"/>
  <c r="BY170" i="4"/>
  <c r="BZ170" i="4"/>
  <c r="CA170" i="4"/>
  <c r="CB170" i="4"/>
  <c r="CC170" i="4"/>
  <c r="CD170" i="4"/>
  <c r="CE170" i="4"/>
  <c r="CF170" i="4"/>
  <c r="CG170" i="4"/>
  <c r="BV171" i="4"/>
  <c r="BW171" i="4"/>
  <c r="BX171" i="4"/>
  <c r="BY171" i="4"/>
  <c r="BZ171" i="4"/>
  <c r="CA171" i="4"/>
  <c r="CB171" i="4"/>
  <c r="CC171" i="4"/>
  <c r="CD171" i="4"/>
  <c r="CE171" i="4"/>
  <c r="CF171" i="4"/>
  <c r="CG171" i="4"/>
  <c r="BV172" i="4"/>
  <c r="BW172" i="4"/>
  <c r="BX172" i="4"/>
  <c r="BY172" i="4"/>
  <c r="BZ172" i="4"/>
  <c r="CA172" i="4"/>
  <c r="CB172" i="4"/>
  <c r="CC172" i="4"/>
  <c r="CD172" i="4"/>
  <c r="CE172" i="4"/>
  <c r="CF172" i="4"/>
  <c r="CG172" i="4"/>
  <c r="BV173" i="4"/>
  <c r="BW173" i="4"/>
  <c r="BX173" i="4"/>
  <c r="BY173" i="4"/>
  <c r="BZ173" i="4"/>
  <c r="CA173" i="4"/>
  <c r="CB173" i="4"/>
  <c r="CC173" i="4"/>
  <c r="CD173" i="4"/>
  <c r="CE173" i="4"/>
  <c r="CF173" i="4"/>
  <c r="CG173" i="4"/>
  <c r="BV174" i="4"/>
  <c r="BW174" i="4"/>
  <c r="BX174" i="4"/>
  <c r="BY174" i="4"/>
  <c r="BZ174" i="4"/>
  <c r="CA174" i="4"/>
  <c r="CB174" i="4"/>
  <c r="CC174" i="4"/>
  <c r="CD174" i="4"/>
  <c r="CE174" i="4"/>
  <c r="CF174" i="4"/>
  <c r="CG174" i="4"/>
  <c r="BV175" i="4"/>
  <c r="BW175" i="4"/>
  <c r="BX175" i="4"/>
  <c r="BY175" i="4"/>
  <c r="BZ175" i="4"/>
  <c r="CA175" i="4"/>
  <c r="CB175" i="4"/>
  <c r="CC175" i="4"/>
  <c r="CD175" i="4"/>
  <c r="CE175" i="4"/>
  <c r="CF175" i="4"/>
  <c r="CG175" i="4"/>
  <c r="BV176" i="4"/>
  <c r="BW176" i="4"/>
  <c r="BX176" i="4"/>
  <c r="BY176" i="4"/>
  <c r="BZ176" i="4"/>
  <c r="CA176" i="4"/>
  <c r="CB176" i="4"/>
  <c r="CC176" i="4"/>
  <c r="CD176" i="4"/>
  <c r="CE176" i="4"/>
  <c r="CF176" i="4"/>
  <c r="CG176" i="4"/>
  <c r="BV177" i="4"/>
  <c r="BW177" i="4"/>
  <c r="BX177" i="4"/>
  <c r="BY177" i="4"/>
  <c r="BZ177" i="4"/>
  <c r="CA177" i="4"/>
  <c r="CB177" i="4"/>
  <c r="CC177" i="4"/>
  <c r="CD177" i="4"/>
  <c r="CE177" i="4"/>
  <c r="CF177" i="4"/>
  <c r="CG177" i="4"/>
  <c r="BV178" i="4"/>
  <c r="BW178" i="4"/>
  <c r="BX178" i="4"/>
  <c r="BY178" i="4"/>
  <c r="BZ178" i="4"/>
  <c r="CA178" i="4"/>
  <c r="CB178" i="4"/>
  <c r="CC178" i="4"/>
  <c r="CD178" i="4"/>
  <c r="CE178" i="4"/>
  <c r="CF178" i="4"/>
  <c r="CG178" i="4"/>
  <c r="BV179" i="4"/>
  <c r="BW179" i="4"/>
  <c r="BX179" i="4"/>
  <c r="BY179" i="4"/>
  <c r="BZ179" i="4"/>
  <c r="CA179" i="4"/>
  <c r="CB179" i="4"/>
  <c r="CC179" i="4"/>
  <c r="CD179" i="4"/>
  <c r="CE179" i="4"/>
  <c r="CF179" i="4"/>
  <c r="CG179" i="4"/>
  <c r="BV180" i="4"/>
  <c r="BW180" i="4"/>
  <c r="BX180" i="4"/>
  <c r="BY180" i="4"/>
  <c r="BZ180" i="4"/>
  <c r="CA180" i="4"/>
  <c r="CB180" i="4"/>
  <c r="CC180" i="4"/>
  <c r="CD180" i="4"/>
  <c r="CE180" i="4"/>
  <c r="CF180" i="4"/>
  <c r="CG180" i="4"/>
  <c r="BV181" i="4"/>
  <c r="BW181" i="4"/>
  <c r="BX181" i="4"/>
  <c r="BY181" i="4"/>
  <c r="BZ181" i="4"/>
  <c r="CA181" i="4"/>
  <c r="CB181" i="4"/>
  <c r="CC181" i="4"/>
  <c r="CD181" i="4"/>
  <c r="CE181" i="4"/>
  <c r="CF181" i="4"/>
  <c r="CG181" i="4"/>
  <c r="BV182" i="4"/>
  <c r="BW182" i="4"/>
  <c r="BX182" i="4"/>
  <c r="BY182" i="4"/>
  <c r="BZ182" i="4"/>
  <c r="CA182" i="4"/>
  <c r="CB182" i="4"/>
  <c r="CC182" i="4"/>
  <c r="CD182" i="4"/>
  <c r="CE182" i="4"/>
  <c r="CF182" i="4"/>
  <c r="CG182" i="4"/>
  <c r="BV183" i="4"/>
  <c r="BW183" i="4"/>
  <c r="BX183" i="4"/>
  <c r="BY183" i="4"/>
  <c r="BZ183" i="4"/>
  <c r="CA183" i="4"/>
  <c r="CB183" i="4"/>
  <c r="CC183" i="4"/>
  <c r="CD183" i="4"/>
  <c r="CE183" i="4"/>
  <c r="CF183" i="4"/>
  <c r="CG183" i="4"/>
  <c r="BV184" i="4"/>
  <c r="BW184" i="4"/>
  <c r="BX184" i="4"/>
  <c r="BY184" i="4"/>
  <c r="BZ184" i="4"/>
  <c r="CA184" i="4"/>
  <c r="CB184" i="4"/>
  <c r="CC184" i="4"/>
  <c r="CD184" i="4"/>
  <c r="CE184" i="4"/>
  <c r="CF184" i="4"/>
  <c r="CG184" i="4"/>
  <c r="BV185" i="4"/>
  <c r="BW185" i="4"/>
  <c r="BX185" i="4"/>
  <c r="BY185" i="4"/>
  <c r="BZ185" i="4"/>
  <c r="CA185" i="4"/>
  <c r="CB185" i="4"/>
  <c r="CC185" i="4"/>
  <c r="CD185" i="4"/>
  <c r="CE185" i="4"/>
  <c r="CF185" i="4"/>
  <c r="CG185" i="4"/>
  <c r="BV186" i="4"/>
  <c r="BW186" i="4"/>
  <c r="BX186" i="4"/>
  <c r="BY186" i="4"/>
  <c r="BZ186" i="4"/>
  <c r="CA186" i="4"/>
  <c r="CB186" i="4"/>
  <c r="CC186" i="4"/>
  <c r="CD186" i="4"/>
  <c r="CE186" i="4"/>
  <c r="CF186" i="4"/>
  <c r="CG186" i="4"/>
  <c r="BV187" i="4"/>
  <c r="BW187" i="4"/>
  <c r="BX187" i="4"/>
  <c r="BY187" i="4"/>
  <c r="BZ187" i="4"/>
  <c r="CA187" i="4"/>
  <c r="CB187" i="4"/>
  <c r="CC187" i="4"/>
  <c r="CD187" i="4"/>
  <c r="CE187" i="4"/>
  <c r="CF187" i="4"/>
  <c r="CG187" i="4"/>
  <c r="BV188" i="4"/>
  <c r="BW188" i="4"/>
  <c r="BX188" i="4"/>
  <c r="BY188" i="4"/>
  <c r="BZ188" i="4"/>
  <c r="CA188" i="4"/>
  <c r="CB188" i="4"/>
  <c r="CC188" i="4"/>
  <c r="CD188" i="4"/>
  <c r="CE188" i="4"/>
  <c r="CF188" i="4"/>
  <c r="CG188" i="4"/>
  <c r="BV189" i="4"/>
  <c r="BW189" i="4"/>
  <c r="BX189" i="4"/>
  <c r="BY189" i="4"/>
  <c r="BZ189" i="4"/>
  <c r="CA189" i="4"/>
  <c r="CB189" i="4"/>
  <c r="CC189" i="4"/>
  <c r="CD189" i="4"/>
  <c r="CE189" i="4"/>
  <c r="CF189" i="4"/>
  <c r="CG189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BV191" i="4"/>
  <c r="BW191" i="4"/>
  <c r="BX191" i="4"/>
  <c r="BY191" i="4"/>
  <c r="BZ191" i="4"/>
  <c r="CA191" i="4"/>
  <c r="CB191" i="4"/>
  <c r="CC191" i="4"/>
  <c r="CD191" i="4"/>
  <c r="CE191" i="4"/>
  <c r="CF191" i="4"/>
  <c r="CG191" i="4"/>
  <c r="BV192" i="4"/>
  <c r="BW192" i="4"/>
  <c r="BX192" i="4"/>
  <c r="BY192" i="4"/>
  <c r="BZ192" i="4"/>
  <c r="CA192" i="4"/>
  <c r="CB192" i="4"/>
  <c r="CC192" i="4"/>
  <c r="CD192" i="4"/>
  <c r="CE192" i="4"/>
  <c r="CF192" i="4"/>
  <c r="CG192" i="4"/>
  <c r="BV193" i="4"/>
  <c r="BW193" i="4"/>
  <c r="BX193" i="4"/>
  <c r="BY193" i="4"/>
  <c r="BZ193" i="4"/>
  <c r="CA193" i="4"/>
  <c r="CB193" i="4"/>
  <c r="CC193" i="4"/>
  <c r="CD193" i="4"/>
  <c r="CE193" i="4"/>
  <c r="CF193" i="4"/>
  <c r="CG193" i="4"/>
  <c r="BV194" i="4"/>
  <c r="BW194" i="4"/>
  <c r="BX194" i="4"/>
  <c r="BY194" i="4"/>
  <c r="BZ194" i="4"/>
  <c r="CA194" i="4"/>
  <c r="CB194" i="4"/>
  <c r="CC194" i="4"/>
  <c r="CD194" i="4"/>
  <c r="CE194" i="4"/>
  <c r="CF194" i="4"/>
  <c r="CG194" i="4"/>
  <c r="BV195" i="4"/>
  <c r="BW195" i="4"/>
  <c r="BX195" i="4"/>
  <c r="BY195" i="4"/>
  <c r="BZ195" i="4"/>
  <c r="CA195" i="4"/>
  <c r="CB195" i="4"/>
  <c r="CC195" i="4"/>
  <c r="CD195" i="4"/>
  <c r="CE195" i="4"/>
  <c r="CF195" i="4"/>
  <c r="CG195" i="4"/>
  <c r="BV196" i="4"/>
  <c r="BW196" i="4"/>
  <c r="BX196" i="4"/>
  <c r="BY196" i="4"/>
  <c r="BZ196" i="4"/>
  <c r="CA196" i="4"/>
  <c r="CB196" i="4"/>
  <c r="CC196" i="4"/>
  <c r="CD196" i="4"/>
  <c r="CE196" i="4"/>
  <c r="CF196" i="4"/>
  <c r="CG196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BV314" i="4"/>
  <c r="BW314" i="4"/>
  <c r="BX314" i="4"/>
  <c r="BY314" i="4"/>
  <c r="BZ314" i="4"/>
  <c r="CA314" i="4"/>
  <c r="CB314" i="4"/>
  <c r="CC314" i="4"/>
  <c r="CD314" i="4"/>
  <c r="CE314" i="4"/>
  <c r="CF314" i="4"/>
  <c r="CG314" i="4"/>
  <c r="BV315" i="4"/>
  <c r="BW315" i="4"/>
  <c r="BX315" i="4"/>
  <c r="BY315" i="4"/>
  <c r="BZ315" i="4"/>
  <c r="CA315" i="4"/>
  <c r="CB315" i="4"/>
  <c r="CC315" i="4"/>
  <c r="CD315" i="4"/>
  <c r="CE315" i="4"/>
  <c r="CF315" i="4"/>
  <c r="CG315" i="4"/>
  <c r="BV316" i="4"/>
  <c r="BW316" i="4"/>
  <c r="BX316" i="4"/>
  <c r="BY316" i="4"/>
  <c r="BZ316" i="4"/>
  <c r="CA316" i="4"/>
  <c r="CB316" i="4"/>
  <c r="CC316" i="4"/>
  <c r="CD316" i="4"/>
  <c r="CE316" i="4"/>
  <c r="CF316" i="4"/>
  <c r="CG316" i="4"/>
  <c r="BV317" i="4"/>
  <c r="BW317" i="4"/>
  <c r="BX317" i="4"/>
  <c r="BY317" i="4"/>
  <c r="BZ317" i="4"/>
  <c r="CA317" i="4"/>
  <c r="CB317" i="4"/>
  <c r="CC317" i="4"/>
  <c r="CD317" i="4"/>
  <c r="CE317" i="4"/>
  <c r="CF317" i="4"/>
  <c r="CG317" i="4"/>
  <c r="BV318" i="4"/>
  <c r="BW318" i="4"/>
  <c r="BX318" i="4"/>
  <c r="BY318" i="4"/>
  <c r="BZ318" i="4"/>
  <c r="CA318" i="4"/>
  <c r="CB318" i="4"/>
  <c r="CC318" i="4"/>
  <c r="CD318" i="4"/>
  <c r="CE318" i="4"/>
  <c r="CF318" i="4"/>
  <c r="CG318" i="4"/>
  <c r="BV319" i="4"/>
  <c r="BW319" i="4"/>
  <c r="BX319" i="4"/>
  <c r="BY319" i="4"/>
  <c r="BZ319" i="4"/>
  <c r="CA319" i="4"/>
  <c r="CB319" i="4"/>
  <c r="CC319" i="4"/>
  <c r="CD319" i="4"/>
  <c r="CE319" i="4"/>
  <c r="CF319" i="4"/>
  <c r="CG319" i="4"/>
  <c r="BV320" i="4"/>
  <c r="BW320" i="4"/>
  <c r="BX320" i="4"/>
  <c r="BY320" i="4"/>
  <c r="BZ320" i="4"/>
  <c r="CA320" i="4"/>
  <c r="CB320" i="4"/>
  <c r="CC320" i="4"/>
  <c r="CD320" i="4"/>
  <c r="CE320" i="4"/>
  <c r="CF320" i="4"/>
  <c r="CG320" i="4"/>
  <c r="BV321" i="4"/>
  <c r="BW321" i="4"/>
  <c r="BX321" i="4"/>
  <c r="BY321" i="4"/>
  <c r="BZ321" i="4"/>
  <c r="CA321" i="4"/>
  <c r="CB321" i="4"/>
  <c r="CC321" i="4"/>
  <c r="CD321" i="4"/>
  <c r="CE321" i="4"/>
  <c r="CF321" i="4"/>
  <c r="CG321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BV323" i="4"/>
  <c r="BW323" i="4"/>
  <c r="BX323" i="4"/>
  <c r="BY323" i="4"/>
  <c r="BZ323" i="4"/>
  <c r="CA323" i="4"/>
  <c r="CB323" i="4"/>
  <c r="CC323" i="4"/>
  <c r="CD323" i="4"/>
  <c r="CE323" i="4"/>
  <c r="CF323" i="4"/>
  <c r="CG323" i="4"/>
  <c r="BV324" i="4"/>
  <c r="BW324" i="4"/>
  <c r="BX324" i="4"/>
  <c r="BY324" i="4"/>
  <c r="BZ324" i="4"/>
  <c r="CA324" i="4"/>
  <c r="CB324" i="4"/>
  <c r="CC324" i="4"/>
  <c r="CD324" i="4"/>
  <c r="CE324" i="4"/>
  <c r="CF324" i="4"/>
  <c r="CG324" i="4"/>
  <c r="BV325" i="4"/>
  <c r="BW325" i="4"/>
  <c r="BX325" i="4"/>
  <c r="BY325" i="4"/>
  <c r="BZ325" i="4"/>
  <c r="CA325" i="4"/>
  <c r="CB325" i="4"/>
  <c r="CC325" i="4"/>
  <c r="CD325" i="4"/>
  <c r="CE325" i="4"/>
  <c r="CF325" i="4"/>
  <c r="CG325" i="4"/>
  <c r="BV326" i="4"/>
  <c r="BW326" i="4"/>
  <c r="BX326" i="4"/>
  <c r="BY326" i="4"/>
  <c r="BZ326" i="4"/>
  <c r="CA326" i="4"/>
  <c r="CB326" i="4"/>
  <c r="CC326" i="4"/>
  <c r="CD326" i="4"/>
  <c r="CE326" i="4"/>
  <c r="CF326" i="4"/>
  <c r="CG326" i="4"/>
  <c r="BV327" i="4"/>
  <c r="BW327" i="4"/>
  <c r="BX327" i="4"/>
  <c r="BY327" i="4"/>
  <c r="BZ327" i="4"/>
  <c r="CA327" i="4"/>
  <c r="CB327" i="4"/>
  <c r="CC327" i="4"/>
  <c r="CD327" i="4"/>
  <c r="CE327" i="4"/>
  <c r="CF327" i="4"/>
  <c r="CG327" i="4"/>
  <c r="BV328" i="4"/>
  <c r="BW328" i="4"/>
  <c r="BX328" i="4"/>
  <c r="BY328" i="4"/>
  <c r="BZ328" i="4"/>
  <c r="CA328" i="4"/>
  <c r="CB328" i="4"/>
  <c r="CC328" i="4"/>
  <c r="CD328" i="4"/>
  <c r="CE328" i="4"/>
  <c r="CF328" i="4"/>
  <c r="CG328" i="4"/>
  <c r="BV329" i="4"/>
  <c r="BW329" i="4"/>
  <c r="BX329" i="4"/>
  <c r="BY329" i="4"/>
  <c r="BZ329" i="4"/>
  <c r="CA329" i="4"/>
  <c r="CB329" i="4"/>
  <c r="CC329" i="4"/>
  <c r="CD329" i="4"/>
  <c r="CE329" i="4"/>
  <c r="CF329" i="4"/>
  <c r="CG329" i="4"/>
  <c r="BV330" i="4"/>
  <c r="BW330" i="4"/>
  <c r="BX330" i="4"/>
  <c r="BY330" i="4"/>
  <c r="BZ330" i="4"/>
  <c r="CA330" i="4"/>
  <c r="CB330" i="4"/>
  <c r="CC330" i="4"/>
  <c r="CD330" i="4"/>
  <c r="CE330" i="4"/>
  <c r="CF330" i="4"/>
  <c r="CG330" i="4"/>
  <c r="BV331" i="4"/>
  <c r="BW331" i="4"/>
  <c r="BX331" i="4"/>
  <c r="BY331" i="4"/>
  <c r="BZ331" i="4"/>
  <c r="CA331" i="4"/>
  <c r="CB331" i="4"/>
  <c r="CC331" i="4"/>
  <c r="CD331" i="4"/>
  <c r="CE331" i="4"/>
  <c r="CF331" i="4"/>
  <c r="CG331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BV333" i="4"/>
  <c r="BW333" i="4"/>
  <c r="BX333" i="4"/>
  <c r="BY333" i="4"/>
  <c r="BZ333" i="4"/>
  <c r="CA333" i="4"/>
  <c r="CB333" i="4"/>
  <c r="CC333" i="4"/>
  <c r="CD333" i="4"/>
  <c r="CE333" i="4"/>
  <c r="CF333" i="4"/>
  <c r="CG333" i="4"/>
  <c r="BV334" i="4"/>
  <c r="BW334" i="4"/>
  <c r="BX334" i="4"/>
  <c r="BY334" i="4"/>
  <c r="BZ334" i="4"/>
  <c r="CA334" i="4"/>
  <c r="CB334" i="4"/>
  <c r="CC334" i="4"/>
  <c r="CD334" i="4"/>
  <c r="CE334" i="4"/>
  <c r="CF334" i="4"/>
  <c r="CG334" i="4"/>
  <c r="BV335" i="4"/>
  <c r="BW335" i="4"/>
  <c r="BX335" i="4"/>
  <c r="BY335" i="4"/>
  <c r="BZ335" i="4"/>
  <c r="CA335" i="4"/>
  <c r="CB335" i="4"/>
  <c r="CC335" i="4"/>
  <c r="CD335" i="4"/>
  <c r="CE335" i="4"/>
  <c r="CF335" i="4"/>
  <c r="CG335" i="4"/>
  <c r="BV336" i="4"/>
  <c r="BW336" i="4"/>
  <c r="BX336" i="4"/>
  <c r="BY336" i="4"/>
  <c r="BZ336" i="4"/>
  <c r="CA336" i="4"/>
  <c r="CB336" i="4"/>
  <c r="CC336" i="4"/>
  <c r="CD336" i="4"/>
  <c r="CE336" i="4"/>
  <c r="CF336" i="4"/>
  <c r="CG336" i="4"/>
  <c r="BV337" i="4"/>
  <c r="BW337" i="4"/>
  <c r="BX337" i="4"/>
  <c r="BY337" i="4"/>
  <c r="BZ337" i="4"/>
  <c r="CA337" i="4"/>
  <c r="CB337" i="4"/>
  <c r="CC337" i="4"/>
  <c r="CD337" i="4"/>
  <c r="CE337" i="4"/>
  <c r="CF337" i="4"/>
  <c r="CG337" i="4"/>
  <c r="BV338" i="4"/>
  <c r="BW338" i="4"/>
  <c r="BX338" i="4"/>
  <c r="BY338" i="4"/>
  <c r="BZ338" i="4"/>
  <c r="CA338" i="4"/>
  <c r="CB338" i="4"/>
  <c r="CC338" i="4"/>
  <c r="CD338" i="4"/>
  <c r="CE338" i="4"/>
  <c r="CF338" i="4"/>
  <c r="CG338" i="4"/>
  <c r="BV339" i="4"/>
  <c r="BW339" i="4"/>
  <c r="BX339" i="4"/>
  <c r="BY339" i="4"/>
  <c r="BZ339" i="4"/>
  <c r="CA339" i="4"/>
  <c r="CB339" i="4"/>
  <c r="CC339" i="4"/>
  <c r="CD339" i="4"/>
  <c r="CE339" i="4"/>
  <c r="CF339" i="4"/>
  <c r="CG339" i="4"/>
  <c r="BV340" i="4"/>
  <c r="BW340" i="4"/>
  <c r="BX340" i="4"/>
  <c r="BY340" i="4"/>
  <c r="BZ340" i="4"/>
  <c r="CA340" i="4"/>
  <c r="CB340" i="4"/>
  <c r="CC340" i="4"/>
  <c r="CD340" i="4"/>
  <c r="CE340" i="4"/>
  <c r="CF340" i="4"/>
  <c r="CG340" i="4"/>
  <c r="BV341" i="4"/>
  <c r="BW341" i="4"/>
  <c r="BX341" i="4"/>
  <c r="BY341" i="4"/>
  <c r="BZ341" i="4"/>
  <c r="CA341" i="4"/>
  <c r="CB341" i="4"/>
  <c r="CC341" i="4"/>
  <c r="CD341" i="4"/>
  <c r="CE341" i="4"/>
  <c r="CF341" i="4"/>
  <c r="CG341" i="4"/>
  <c r="BV342" i="4"/>
  <c r="BW342" i="4"/>
  <c r="BX342" i="4"/>
  <c r="BY342" i="4"/>
  <c r="BZ342" i="4"/>
  <c r="CA342" i="4"/>
  <c r="CB342" i="4"/>
  <c r="CC342" i="4"/>
  <c r="CD342" i="4"/>
  <c r="CE342" i="4"/>
  <c r="CF342" i="4"/>
  <c r="CG342" i="4"/>
  <c r="BV343" i="4"/>
  <c r="BW343" i="4"/>
  <c r="BX343" i="4"/>
  <c r="BY343" i="4"/>
  <c r="BZ343" i="4"/>
  <c r="CA343" i="4"/>
  <c r="CB343" i="4"/>
  <c r="CC343" i="4"/>
  <c r="CD343" i="4"/>
  <c r="CE343" i="4"/>
  <c r="CF343" i="4"/>
  <c r="CG343" i="4"/>
  <c r="BV344" i="4"/>
  <c r="BW344" i="4"/>
  <c r="BX344" i="4"/>
  <c r="BY344" i="4"/>
  <c r="BZ344" i="4"/>
  <c r="CA344" i="4"/>
  <c r="CB344" i="4"/>
  <c r="CC344" i="4"/>
  <c r="CD344" i="4"/>
  <c r="CE344" i="4"/>
  <c r="CF344" i="4"/>
  <c r="CG344" i="4"/>
  <c r="BV345" i="4"/>
  <c r="BW345" i="4"/>
  <c r="BX345" i="4"/>
  <c r="BY345" i="4"/>
  <c r="BZ345" i="4"/>
  <c r="CA345" i="4"/>
  <c r="CB345" i="4"/>
  <c r="CC345" i="4"/>
  <c r="CD345" i="4"/>
  <c r="CE345" i="4"/>
  <c r="CF345" i="4"/>
  <c r="CG345" i="4"/>
  <c r="BV346" i="4"/>
  <c r="BW346" i="4"/>
  <c r="BX346" i="4"/>
  <c r="BY346" i="4"/>
  <c r="BZ346" i="4"/>
  <c r="CA346" i="4"/>
  <c r="CB346" i="4"/>
  <c r="CC346" i="4"/>
  <c r="CD346" i="4"/>
  <c r="CE346" i="4"/>
  <c r="CF346" i="4"/>
  <c r="CG346" i="4"/>
  <c r="BV347" i="4"/>
  <c r="BW347" i="4"/>
  <c r="BX347" i="4"/>
  <c r="BY347" i="4"/>
  <c r="BZ347" i="4"/>
  <c r="CA347" i="4"/>
  <c r="CB347" i="4"/>
  <c r="CC347" i="4"/>
  <c r="CD347" i="4"/>
  <c r="CE347" i="4"/>
  <c r="CF347" i="4"/>
  <c r="CG347" i="4"/>
  <c r="BV348" i="4"/>
  <c r="BW348" i="4"/>
  <c r="BX348" i="4"/>
  <c r="BY348" i="4"/>
  <c r="BZ348" i="4"/>
  <c r="CA348" i="4"/>
  <c r="CB348" i="4"/>
  <c r="CC348" i="4"/>
  <c r="CD348" i="4"/>
  <c r="CE348" i="4"/>
  <c r="CF348" i="4"/>
  <c r="CG348" i="4"/>
  <c r="BV349" i="4"/>
  <c r="BW349" i="4"/>
  <c r="BX349" i="4"/>
  <c r="BY349" i="4"/>
  <c r="BZ349" i="4"/>
  <c r="CA349" i="4"/>
  <c r="CB349" i="4"/>
  <c r="CC349" i="4"/>
  <c r="CD349" i="4"/>
  <c r="CE349" i="4"/>
  <c r="CF349" i="4"/>
  <c r="CG349" i="4"/>
  <c r="BV350" i="4"/>
  <c r="BW350" i="4"/>
  <c r="BX350" i="4"/>
  <c r="BY350" i="4"/>
  <c r="BZ350" i="4"/>
  <c r="CA350" i="4"/>
  <c r="CB350" i="4"/>
  <c r="CC350" i="4"/>
  <c r="CD350" i="4"/>
  <c r="CE350" i="4"/>
  <c r="CF350" i="4"/>
  <c r="CG350" i="4"/>
  <c r="BV351" i="4"/>
  <c r="BW351" i="4"/>
  <c r="BX351" i="4"/>
  <c r="BY351" i="4"/>
  <c r="BZ351" i="4"/>
  <c r="CA351" i="4"/>
  <c r="CB351" i="4"/>
  <c r="CC351" i="4"/>
  <c r="CD351" i="4"/>
  <c r="CE351" i="4"/>
  <c r="CF351" i="4"/>
  <c r="CG351" i="4"/>
  <c r="BV352" i="4"/>
  <c r="BW352" i="4"/>
  <c r="BX352" i="4"/>
  <c r="BY352" i="4"/>
  <c r="BZ352" i="4"/>
  <c r="CA352" i="4"/>
  <c r="CB352" i="4"/>
  <c r="CC352" i="4"/>
  <c r="CD352" i="4"/>
  <c r="CE352" i="4"/>
  <c r="CF352" i="4"/>
  <c r="CG352" i="4"/>
  <c r="BV353" i="4"/>
  <c r="BW353" i="4"/>
  <c r="BX353" i="4"/>
  <c r="BY353" i="4"/>
  <c r="BZ353" i="4"/>
  <c r="CA353" i="4"/>
  <c r="CB353" i="4"/>
  <c r="CC353" i="4"/>
  <c r="CD353" i="4"/>
  <c r="CE353" i="4"/>
  <c r="CF353" i="4"/>
  <c r="CG353" i="4"/>
  <c r="BV354" i="4"/>
  <c r="BW354" i="4"/>
  <c r="BX354" i="4"/>
  <c r="BY354" i="4"/>
  <c r="BZ354" i="4"/>
  <c r="CA354" i="4"/>
  <c r="CB354" i="4"/>
  <c r="CC354" i="4"/>
  <c r="CD354" i="4"/>
  <c r="CE354" i="4"/>
  <c r="CF354" i="4"/>
  <c r="CG354" i="4"/>
  <c r="BV355" i="4"/>
  <c r="BW355" i="4"/>
  <c r="BX355" i="4"/>
  <c r="BY355" i="4"/>
  <c r="BZ355" i="4"/>
  <c r="CA355" i="4"/>
  <c r="CB355" i="4"/>
  <c r="CC355" i="4"/>
  <c r="CD355" i="4"/>
  <c r="CE355" i="4"/>
  <c r="CF355" i="4"/>
  <c r="CG355" i="4"/>
  <c r="BV356" i="4"/>
  <c r="BW356" i="4"/>
  <c r="BX356" i="4"/>
  <c r="BY356" i="4"/>
  <c r="BZ356" i="4"/>
  <c r="CA356" i="4"/>
  <c r="CB356" i="4"/>
  <c r="CC356" i="4"/>
  <c r="CD356" i="4"/>
  <c r="CE356" i="4"/>
  <c r="CF356" i="4"/>
  <c r="CG356" i="4"/>
  <c r="BV357" i="4"/>
  <c r="BW357" i="4"/>
  <c r="BX357" i="4"/>
  <c r="BY357" i="4"/>
  <c r="BZ357" i="4"/>
  <c r="CA357" i="4"/>
  <c r="CB357" i="4"/>
  <c r="CC357" i="4"/>
  <c r="CD357" i="4"/>
  <c r="CE357" i="4"/>
  <c r="CF357" i="4"/>
  <c r="CG357" i="4"/>
  <c r="BV358" i="4"/>
  <c r="BW358" i="4"/>
  <c r="BX358" i="4"/>
  <c r="BY358" i="4"/>
  <c r="BZ358" i="4"/>
  <c r="CA358" i="4"/>
  <c r="CB358" i="4"/>
  <c r="CC358" i="4"/>
  <c r="CD358" i="4"/>
  <c r="CE358" i="4"/>
  <c r="CF358" i="4"/>
  <c r="CG358" i="4"/>
  <c r="BV359" i="4"/>
  <c r="BW359" i="4"/>
  <c r="BX359" i="4"/>
  <c r="BY359" i="4"/>
  <c r="BZ359" i="4"/>
  <c r="CA359" i="4"/>
  <c r="CB359" i="4"/>
  <c r="CC359" i="4"/>
  <c r="CD359" i="4"/>
  <c r="CE359" i="4"/>
  <c r="CF359" i="4"/>
  <c r="CG359" i="4"/>
  <c r="BV360" i="4"/>
  <c r="BW360" i="4"/>
  <c r="BX360" i="4"/>
  <c r="BY360" i="4"/>
  <c r="BZ360" i="4"/>
  <c r="CA360" i="4"/>
  <c r="CB360" i="4"/>
  <c r="CC360" i="4"/>
  <c r="CD360" i="4"/>
  <c r="CE360" i="4"/>
  <c r="CF360" i="4"/>
  <c r="CG360" i="4"/>
  <c r="BV361" i="4"/>
  <c r="BW361" i="4"/>
  <c r="BX361" i="4"/>
  <c r="BY361" i="4"/>
  <c r="BZ361" i="4"/>
  <c r="CA361" i="4"/>
  <c r="CB361" i="4"/>
  <c r="CC361" i="4"/>
  <c r="CD361" i="4"/>
  <c r="CE361" i="4"/>
  <c r="CF361" i="4"/>
  <c r="CG361" i="4"/>
  <c r="BV362" i="4"/>
  <c r="BW362" i="4"/>
  <c r="BX362" i="4"/>
  <c r="BY362" i="4"/>
  <c r="BZ362" i="4"/>
  <c r="CA362" i="4"/>
  <c r="CB362" i="4"/>
  <c r="CC362" i="4"/>
  <c r="CD362" i="4"/>
  <c r="CE362" i="4"/>
  <c r="CF362" i="4"/>
  <c r="CG362" i="4"/>
  <c r="BV363" i="4"/>
  <c r="BW363" i="4"/>
  <c r="BX363" i="4"/>
  <c r="BY363" i="4"/>
  <c r="BZ363" i="4"/>
  <c r="CA363" i="4"/>
  <c r="CB363" i="4"/>
  <c r="CC363" i="4"/>
  <c r="CD363" i="4"/>
  <c r="CE363" i="4"/>
  <c r="CF363" i="4"/>
  <c r="CG363" i="4"/>
  <c r="BV364" i="4"/>
  <c r="BW364" i="4"/>
  <c r="BX364" i="4"/>
  <c r="BY364" i="4"/>
  <c r="BZ364" i="4"/>
  <c r="CA364" i="4"/>
  <c r="CB364" i="4"/>
  <c r="CC364" i="4"/>
  <c r="CD364" i="4"/>
  <c r="CE364" i="4"/>
  <c r="CF364" i="4"/>
  <c r="CG364" i="4"/>
  <c r="BV365" i="4"/>
  <c r="BW365" i="4"/>
  <c r="BX365" i="4"/>
  <c r="BY365" i="4"/>
  <c r="BZ365" i="4"/>
  <c r="CA365" i="4"/>
  <c r="CB365" i="4"/>
  <c r="CC365" i="4"/>
  <c r="CD365" i="4"/>
  <c r="CE365" i="4"/>
  <c r="CF365" i="4"/>
  <c r="CG365" i="4"/>
  <c r="BV366" i="4"/>
  <c r="BW366" i="4"/>
  <c r="BX366" i="4"/>
  <c r="BY366" i="4"/>
  <c r="BZ366" i="4"/>
  <c r="CA366" i="4"/>
  <c r="CB366" i="4"/>
  <c r="CC366" i="4"/>
  <c r="CD366" i="4"/>
  <c r="CE366" i="4"/>
  <c r="CF366" i="4"/>
  <c r="CG366" i="4"/>
  <c r="BV367" i="4"/>
  <c r="BW367" i="4"/>
  <c r="BX367" i="4"/>
  <c r="BY367" i="4"/>
  <c r="BZ367" i="4"/>
  <c r="CA367" i="4"/>
  <c r="CB367" i="4"/>
  <c r="CC367" i="4"/>
  <c r="CD367" i="4"/>
  <c r="CE367" i="4"/>
  <c r="CF367" i="4"/>
  <c r="CG367" i="4"/>
  <c r="BV368" i="4"/>
  <c r="BW368" i="4"/>
  <c r="BX368" i="4"/>
  <c r="BY368" i="4"/>
  <c r="BZ368" i="4"/>
  <c r="CA368" i="4"/>
  <c r="CB368" i="4"/>
  <c r="CC368" i="4"/>
  <c r="CD368" i="4"/>
  <c r="CE368" i="4"/>
  <c r="CF368" i="4"/>
  <c r="CG368" i="4"/>
  <c r="BV369" i="4"/>
  <c r="BW369" i="4"/>
  <c r="BX369" i="4"/>
  <c r="BY369" i="4"/>
  <c r="BZ369" i="4"/>
  <c r="CA369" i="4"/>
  <c r="CB369" i="4"/>
  <c r="CC369" i="4"/>
  <c r="CD369" i="4"/>
  <c r="CE369" i="4"/>
  <c r="CF369" i="4"/>
  <c r="CG369" i="4"/>
  <c r="BV370" i="4"/>
  <c r="BW370" i="4"/>
  <c r="BX370" i="4"/>
  <c r="BY370" i="4"/>
  <c r="BZ370" i="4"/>
  <c r="CA370" i="4"/>
  <c r="CB370" i="4"/>
  <c r="CC370" i="4"/>
  <c r="CD370" i="4"/>
  <c r="CE370" i="4"/>
  <c r="CF370" i="4"/>
  <c r="CG370" i="4"/>
  <c r="BV371" i="4"/>
  <c r="BW371" i="4"/>
  <c r="BX371" i="4"/>
  <c r="BY371" i="4"/>
  <c r="BZ371" i="4"/>
  <c r="CA371" i="4"/>
  <c r="CB371" i="4"/>
  <c r="CC371" i="4"/>
  <c r="CD371" i="4"/>
  <c r="CE371" i="4"/>
  <c r="CF371" i="4"/>
  <c r="CG371" i="4"/>
  <c r="BV372" i="4"/>
  <c r="BW372" i="4"/>
  <c r="BX372" i="4"/>
  <c r="BY372" i="4"/>
  <c r="BZ372" i="4"/>
  <c r="CA372" i="4"/>
  <c r="CB372" i="4"/>
  <c r="CC372" i="4"/>
  <c r="CD372" i="4"/>
  <c r="CE372" i="4"/>
  <c r="CF372" i="4"/>
  <c r="CG372" i="4"/>
  <c r="BV373" i="4"/>
  <c r="BW373" i="4"/>
  <c r="BX373" i="4"/>
  <c r="BY373" i="4"/>
  <c r="BZ373" i="4"/>
  <c r="CA373" i="4"/>
  <c r="CB373" i="4"/>
  <c r="CC373" i="4"/>
  <c r="CD373" i="4"/>
  <c r="CE373" i="4"/>
  <c r="CF373" i="4"/>
  <c r="CG373" i="4"/>
  <c r="BV374" i="4"/>
  <c r="BW374" i="4"/>
  <c r="BX374" i="4"/>
  <c r="BY374" i="4"/>
  <c r="BZ374" i="4"/>
  <c r="CA374" i="4"/>
  <c r="CB374" i="4"/>
  <c r="CC374" i="4"/>
  <c r="CD374" i="4"/>
  <c r="CE374" i="4"/>
  <c r="CF374" i="4"/>
  <c r="CG374" i="4"/>
  <c r="BV375" i="4"/>
  <c r="BW375" i="4"/>
  <c r="BX375" i="4"/>
  <c r="BY375" i="4"/>
  <c r="BZ375" i="4"/>
  <c r="CA375" i="4"/>
  <c r="CB375" i="4"/>
  <c r="CC375" i="4"/>
  <c r="CD375" i="4"/>
  <c r="CE375" i="4"/>
  <c r="CF375" i="4"/>
  <c r="CG375" i="4"/>
  <c r="BV376" i="4"/>
  <c r="BW376" i="4"/>
  <c r="BX376" i="4"/>
  <c r="BY376" i="4"/>
  <c r="BZ376" i="4"/>
  <c r="CA376" i="4"/>
  <c r="CB376" i="4"/>
  <c r="CC376" i="4"/>
  <c r="CD376" i="4"/>
  <c r="CE376" i="4"/>
  <c r="CF376" i="4"/>
  <c r="CG376" i="4"/>
  <c r="BV377" i="4"/>
  <c r="BW377" i="4"/>
  <c r="BX377" i="4"/>
  <c r="BY377" i="4"/>
  <c r="BZ377" i="4"/>
  <c r="CA377" i="4"/>
  <c r="CB377" i="4"/>
  <c r="CC377" i="4"/>
  <c r="CD377" i="4"/>
  <c r="CE377" i="4"/>
  <c r="CF377" i="4"/>
  <c r="CG377" i="4"/>
  <c r="BV378" i="4"/>
  <c r="BW378" i="4"/>
  <c r="BX378" i="4"/>
  <c r="BY378" i="4"/>
  <c r="BZ378" i="4"/>
  <c r="CA378" i="4"/>
  <c r="CB378" i="4"/>
  <c r="CC378" i="4"/>
  <c r="CD378" i="4"/>
  <c r="CE378" i="4"/>
  <c r="CF378" i="4"/>
  <c r="CG378" i="4"/>
  <c r="BV379" i="4"/>
  <c r="BW379" i="4"/>
  <c r="BX379" i="4"/>
  <c r="BY379" i="4"/>
  <c r="BZ379" i="4"/>
  <c r="CA379" i="4"/>
  <c r="CB379" i="4"/>
  <c r="CC379" i="4"/>
  <c r="CD379" i="4"/>
  <c r="CE379" i="4"/>
  <c r="CF379" i="4"/>
  <c r="CG379" i="4"/>
  <c r="BV380" i="4"/>
  <c r="BW380" i="4"/>
  <c r="BX380" i="4"/>
  <c r="BY380" i="4"/>
  <c r="BZ380" i="4"/>
  <c r="CA380" i="4"/>
  <c r="CB380" i="4"/>
  <c r="CC380" i="4"/>
  <c r="CD380" i="4"/>
  <c r="CE380" i="4"/>
  <c r="CF380" i="4"/>
  <c r="CG380" i="4"/>
  <c r="BV381" i="4"/>
  <c r="BW381" i="4"/>
  <c r="BX381" i="4"/>
  <c r="BY381" i="4"/>
  <c r="BZ381" i="4"/>
  <c r="CA381" i="4"/>
  <c r="CB381" i="4"/>
  <c r="CC381" i="4"/>
  <c r="CD381" i="4"/>
  <c r="CE381" i="4"/>
  <c r="CF381" i="4"/>
  <c r="CG381" i="4"/>
  <c r="BV382" i="4"/>
  <c r="BW382" i="4"/>
  <c r="BX382" i="4"/>
  <c r="BY382" i="4"/>
  <c r="BZ382" i="4"/>
  <c r="CA382" i="4"/>
  <c r="CB382" i="4"/>
  <c r="CC382" i="4"/>
  <c r="CD382" i="4"/>
  <c r="CE382" i="4"/>
  <c r="CF382" i="4"/>
  <c r="CG382" i="4"/>
  <c r="BV383" i="4"/>
  <c r="BW383" i="4"/>
  <c r="BX383" i="4"/>
  <c r="BY383" i="4"/>
  <c r="BZ383" i="4"/>
  <c r="CA383" i="4"/>
  <c r="CB383" i="4"/>
  <c r="CC383" i="4"/>
  <c r="CD383" i="4"/>
  <c r="CE383" i="4"/>
  <c r="CF383" i="4"/>
  <c r="CG383" i="4"/>
  <c r="BV384" i="4"/>
  <c r="BW384" i="4"/>
  <c r="BX384" i="4"/>
  <c r="BY384" i="4"/>
  <c r="BZ384" i="4"/>
  <c r="CA384" i="4"/>
  <c r="CB384" i="4"/>
  <c r="CC384" i="4"/>
  <c r="CD384" i="4"/>
  <c r="CE384" i="4"/>
  <c r="CF384" i="4"/>
  <c r="CG384" i="4"/>
  <c r="BV385" i="4"/>
  <c r="BW385" i="4"/>
  <c r="BX385" i="4"/>
  <c r="BY385" i="4"/>
  <c r="BZ385" i="4"/>
  <c r="CA385" i="4"/>
  <c r="CB385" i="4"/>
  <c r="CC385" i="4"/>
  <c r="CD385" i="4"/>
  <c r="CE385" i="4"/>
  <c r="CF385" i="4"/>
  <c r="CG385" i="4"/>
  <c r="BV386" i="4"/>
  <c r="BW386" i="4"/>
  <c r="BX386" i="4"/>
  <c r="BY386" i="4"/>
  <c r="BZ386" i="4"/>
  <c r="CA386" i="4"/>
  <c r="CB386" i="4"/>
  <c r="CC386" i="4"/>
  <c r="CD386" i="4"/>
  <c r="CE386" i="4"/>
  <c r="CF386" i="4"/>
  <c r="CG386" i="4"/>
  <c r="BV387" i="4"/>
  <c r="BW387" i="4"/>
  <c r="BX387" i="4"/>
  <c r="BY387" i="4"/>
  <c r="BZ387" i="4"/>
  <c r="CA387" i="4"/>
  <c r="CB387" i="4"/>
  <c r="CC387" i="4"/>
  <c r="CD387" i="4"/>
  <c r="CE387" i="4"/>
  <c r="CF387" i="4"/>
  <c r="CG387" i="4"/>
  <c r="BV388" i="4"/>
  <c r="BW388" i="4"/>
  <c r="BX388" i="4"/>
  <c r="BY388" i="4"/>
  <c r="BZ388" i="4"/>
  <c r="CA388" i="4"/>
  <c r="CB388" i="4"/>
  <c r="CC388" i="4"/>
  <c r="CD388" i="4"/>
  <c r="CE388" i="4"/>
  <c r="CF388" i="4"/>
  <c r="CG388" i="4"/>
  <c r="BV389" i="4"/>
  <c r="BW389" i="4"/>
  <c r="BX389" i="4"/>
  <c r="BY389" i="4"/>
  <c r="BZ389" i="4"/>
  <c r="CA389" i="4"/>
  <c r="CB389" i="4"/>
  <c r="CC389" i="4"/>
  <c r="CD389" i="4"/>
  <c r="CE389" i="4"/>
  <c r="CF389" i="4"/>
  <c r="CG389" i="4"/>
  <c r="BV390" i="4"/>
  <c r="BW390" i="4"/>
  <c r="BX390" i="4"/>
  <c r="BY390" i="4"/>
  <c r="BZ390" i="4"/>
  <c r="CA390" i="4"/>
  <c r="CB390" i="4"/>
  <c r="CC390" i="4"/>
  <c r="CD390" i="4"/>
  <c r="CE390" i="4"/>
  <c r="CF390" i="4"/>
  <c r="CG390" i="4"/>
  <c r="BV391" i="4"/>
  <c r="BW391" i="4"/>
  <c r="BX391" i="4"/>
  <c r="BY391" i="4"/>
  <c r="BZ391" i="4"/>
  <c r="CA391" i="4"/>
  <c r="CB391" i="4"/>
  <c r="CC391" i="4"/>
  <c r="CD391" i="4"/>
  <c r="CE391" i="4"/>
  <c r="CF391" i="4"/>
  <c r="CG391" i="4"/>
  <c r="BV392" i="4"/>
  <c r="BW392" i="4"/>
  <c r="BX392" i="4"/>
  <c r="BY392" i="4"/>
  <c r="BZ392" i="4"/>
  <c r="CA392" i="4"/>
  <c r="CB392" i="4"/>
  <c r="CC392" i="4"/>
  <c r="CD392" i="4"/>
  <c r="CE392" i="4"/>
  <c r="CF392" i="4"/>
  <c r="CG392" i="4"/>
  <c r="BV393" i="4"/>
  <c r="BW393" i="4"/>
  <c r="BX393" i="4"/>
  <c r="BY393" i="4"/>
  <c r="BZ393" i="4"/>
  <c r="CA393" i="4"/>
  <c r="CB393" i="4"/>
  <c r="CC393" i="4"/>
  <c r="CD393" i="4"/>
  <c r="CE393" i="4"/>
  <c r="CF393" i="4"/>
  <c r="CG393" i="4"/>
  <c r="BV394" i="4"/>
  <c r="BW394" i="4"/>
  <c r="BX394" i="4"/>
  <c r="BY394" i="4"/>
  <c r="BZ394" i="4"/>
  <c r="CA394" i="4"/>
  <c r="CB394" i="4"/>
  <c r="CC394" i="4"/>
  <c r="CD394" i="4"/>
  <c r="CE394" i="4"/>
  <c r="CF394" i="4"/>
  <c r="CG394" i="4"/>
  <c r="BV395" i="4"/>
  <c r="BW395" i="4"/>
  <c r="BX395" i="4"/>
  <c r="BY395" i="4"/>
  <c r="BZ395" i="4"/>
  <c r="CA395" i="4"/>
  <c r="CB395" i="4"/>
  <c r="CC395" i="4"/>
  <c r="CD395" i="4"/>
  <c r="CE395" i="4"/>
  <c r="CF395" i="4"/>
  <c r="CG395" i="4"/>
  <c r="BV396" i="4"/>
  <c r="BW396" i="4"/>
  <c r="BX396" i="4"/>
  <c r="BY396" i="4"/>
  <c r="BZ396" i="4"/>
  <c r="CA396" i="4"/>
  <c r="CB396" i="4"/>
  <c r="CC396" i="4"/>
  <c r="CD396" i="4"/>
  <c r="CE396" i="4"/>
  <c r="CF396" i="4"/>
  <c r="CG396" i="4"/>
  <c r="BV397" i="4"/>
  <c r="BW397" i="4"/>
  <c r="BX397" i="4"/>
  <c r="BY397" i="4"/>
  <c r="BZ397" i="4"/>
  <c r="CA397" i="4"/>
  <c r="CB397" i="4"/>
  <c r="CC397" i="4"/>
  <c r="CD397" i="4"/>
  <c r="CE397" i="4"/>
  <c r="CF397" i="4"/>
  <c r="CG397" i="4"/>
  <c r="BV398" i="4"/>
  <c r="BW398" i="4"/>
  <c r="BX398" i="4"/>
  <c r="BY398" i="4"/>
  <c r="BZ398" i="4"/>
  <c r="CA398" i="4"/>
  <c r="CB398" i="4"/>
  <c r="CC398" i="4"/>
  <c r="CD398" i="4"/>
  <c r="CE398" i="4"/>
  <c r="CF398" i="4"/>
  <c r="CG398" i="4"/>
  <c r="BV399" i="4"/>
  <c r="BW399" i="4"/>
  <c r="BX399" i="4"/>
  <c r="BY399" i="4"/>
  <c r="BZ399" i="4"/>
  <c r="CA399" i="4"/>
  <c r="CB399" i="4"/>
  <c r="CC399" i="4"/>
  <c r="CD399" i="4"/>
  <c r="CE399" i="4"/>
  <c r="CF399" i="4"/>
  <c r="CG399" i="4"/>
  <c r="BV400" i="4"/>
  <c r="BW400" i="4"/>
  <c r="BX400" i="4"/>
  <c r="BY400" i="4"/>
  <c r="BZ400" i="4"/>
  <c r="CA400" i="4"/>
  <c r="CB400" i="4"/>
  <c r="CC400" i="4"/>
  <c r="CD400" i="4"/>
  <c r="CE400" i="4"/>
  <c r="CF400" i="4"/>
  <c r="CG400" i="4"/>
  <c r="BV401" i="4"/>
  <c r="BW401" i="4"/>
  <c r="BX401" i="4"/>
  <c r="BY401" i="4"/>
  <c r="BZ401" i="4"/>
  <c r="CA401" i="4"/>
  <c r="CB401" i="4"/>
  <c r="CC401" i="4"/>
  <c r="CD401" i="4"/>
  <c r="CE401" i="4"/>
  <c r="CF401" i="4"/>
  <c r="CG401" i="4"/>
  <c r="BV402" i="4"/>
  <c r="BW402" i="4"/>
  <c r="BX402" i="4"/>
  <c r="BY402" i="4"/>
  <c r="BZ402" i="4"/>
  <c r="CA402" i="4"/>
  <c r="CB402" i="4"/>
  <c r="CC402" i="4"/>
  <c r="CD402" i="4"/>
  <c r="CE402" i="4"/>
  <c r="CF402" i="4"/>
  <c r="CG402" i="4"/>
  <c r="BV403" i="4"/>
  <c r="BW403" i="4"/>
  <c r="BX403" i="4"/>
  <c r="BY403" i="4"/>
  <c r="BZ403" i="4"/>
  <c r="CA403" i="4"/>
  <c r="CB403" i="4"/>
  <c r="CC403" i="4"/>
  <c r="CD403" i="4"/>
  <c r="CE403" i="4"/>
  <c r="CF403" i="4"/>
  <c r="CG403" i="4"/>
  <c r="BV404" i="4"/>
  <c r="BW404" i="4"/>
  <c r="BX404" i="4"/>
  <c r="BY404" i="4"/>
  <c r="BZ404" i="4"/>
  <c r="CA404" i="4"/>
  <c r="CB404" i="4"/>
  <c r="CC404" i="4"/>
  <c r="CD404" i="4"/>
  <c r="CE404" i="4"/>
  <c r="CF404" i="4"/>
  <c r="CG404" i="4"/>
  <c r="BV405" i="4"/>
  <c r="BW405" i="4"/>
  <c r="BX405" i="4"/>
  <c r="BY405" i="4"/>
  <c r="BZ405" i="4"/>
  <c r="CA405" i="4"/>
  <c r="CB405" i="4"/>
  <c r="CC405" i="4"/>
  <c r="CD405" i="4"/>
  <c r="CE405" i="4"/>
  <c r="CF405" i="4"/>
  <c r="CG405" i="4"/>
  <c r="BV406" i="4"/>
  <c r="BW406" i="4"/>
  <c r="BX406" i="4"/>
  <c r="BY406" i="4"/>
  <c r="BZ406" i="4"/>
  <c r="CA406" i="4"/>
  <c r="CB406" i="4"/>
  <c r="CC406" i="4"/>
  <c r="CD406" i="4"/>
  <c r="CE406" i="4"/>
  <c r="CF406" i="4"/>
  <c r="CG406" i="4"/>
  <c r="BV407" i="4"/>
  <c r="BW407" i="4"/>
  <c r="BX407" i="4"/>
  <c r="BY407" i="4"/>
  <c r="BZ407" i="4"/>
  <c r="CA407" i="4"/>
  <c r="CB407" i="4"/>
  <c r="CC407" i="4"/>
  <c r="CD407" i="4"/>
  <c r="CE407" i="4"/>
  <c r="CF407" i="4"/>
  <c r="CG407" i="4"/>
  <c r="BV408" i="4"/>
  <c r="BW408" i="4"/>
  <c r="BX408" i="4"/>
  <c r="BY408" i="4"/>
  <c r="BZ408" i="4"/>
  <c r="CA408" i="4"/>
  <c r="CB408" i="4"/>
  <c r="CC408" i="4"/>
  <c r="CD408" i="4"/>
  <c r="CE408" i="4"/>
  <c r="CF408" i="4"/>
  <c r="CG408" i="4"/>
  <c r="BV409" i="4"/>
  <c r="BW409" i="4"/>
  <c r="BX409" i="4"/>
  <c r="BY409" i="4"/>
  <c r="BZ409" i="4"/>
  <c r="CA409" i="4"/>
  <c r="CB409" i="4"/>
  <c r="CC409" i="4"/>
  <c r="CD409" i="4"/>
  <c r="CE409" i="4"/>
  <c r="CF409" i="4"/>
  <c r="CG409" i="4"/>
  <c r="BW11" i="4"/>
  <c r="BX11" i="4"/>
  <c r="BY11" i="4"/>
  <c r="BZ11" i="4"/>
  <c r="CA11" i="4"/>
  <c r="CB11" i="4"/>
  <c r="CC11" i="4"/>
  <c r="CD11" i="4"/>
  <c r="CE11" i="4"/>
  <c r="CF11" i="4"/>
  <c r="CG11" i="4"/>
  <c r="BV11" i="4"/>
  <c r="BB12" i="4"/>
  <c r="BB13" i="4"/>
  <c r="BH13" i="4" s="1"/>
  <c r="BB14" i="4"/>
  <c r="BH14" i="4" s="1"/>
  <c r="BB15" i="4"/>
  <c r="BB16" i="4"/>
  <c r="BH16" i="4" s="1"/>
  <c r="BB17" i="4"/>
  <c r="BB18" i="4"/>
  <c r="BH18" i="4" s="1"/>
  <c r="BB19" i="4"/>
  <c r="BH19" i="4" s="1"/>
  <c r="BB20" i="4"/>
  <c r="BH20" i="4" s="1"/>
  <c r="BB21" i="4"/>
  <c r="BB22" i="4"/>
  <c r="BB23" i="4"/>
  <c r="BH23" i="4" s="1"/>
  <c r="BM23" i="4" s="1"/>
  <c r="BB24" i="4"/>
  <c r="BB25" i="4"/>
  <c r="BH25" i="4" s="1"/>
  <c r="BM25" i="4" s="1"/>
  <c r="BB26" i="4"/>
  <c r="BH26" i="4" s="1"/>
  <c r="BB27" i="4"/>
  <c r="BH27" i="4" s="1"/>
  <c r="BB28" i="4"/>
  <c r="BB29" i="4"/>
  <c r="BH29" i="4" s="1"/>
  <c r="BM29" i="4" s="1"/>
  <c r="BB30" i="4"/>
  <c r="BH30" i="4" s="1"/>
  <c r="BM30" i="4" s="1"/>
  <c r="BB31" i="4"/>
  <c r="BH31" i="4" s="1"/>
  <c r="BM31" i="4" s="1"/>
  <c r="BB32" i="4"/>
  <c r="BH32" i="4" s="1"/>
  <c r="BM32" i="4" s="1"/>
  <c r="BB33" i="4"/>
  <c r="BH33" i="4"/>
  <c r="BM33" i="4" s="1"/>
  <c r="BB34" i="4"/>
  <c r="BH34" i="4" s="1"/>
  <c r="BM34" i="4" s="1"/>
  <c r="BB35" i="4"/>
  <c r="BH35" i="4" s="1"/>
  <c r="BM35" i="4" s="1"/>
  <c r="BB36" i="4"/>
  <c r="BH36" i="4" s="1"/>
  <c r="BM36" i="4" s="1"/>
  <c r="BB37" i="4"/>
  <c r="BH37" i="4" s="1"/>
  <c r="BM37" i="4" s="1"/>
  <c r="BB38" i="4"/>
  <c r="BH38" i="4" s="1"/>
  <c r="BM38" i="4" s="1"/>
  <c r="BB39" i="4"/>
  <c r="BH39" i="4" s="1"/>
  <c r="BM39" i="4" s="1"/>
  <c r="BB40" i="4"/>
  <c r="BH40" i="4" s="1"/>
  <c r="BM40" i="4" s="1"/>
  <c r="BB41" i="4"/>
  <c r="BH41" i="4" s="1"/>
  <c r="BM41" i="4" s="1"/>
  <c r="BB42" i="4"/>
  <c r="BH42" i="4" s="1"/>
  <c r="BM42" i="4" s="1"/>
  <c r="BB43" i="4"/>
  <c r="BH43" i="4" s="1"/>
  <c r="BM43" i="4" s="1"/>
  <c r="BB44" i="4"/>
  <c r="BH44" i="4" s="1"/>
  <c r="BM44" i="4" s="1"/>
  <c r="BB45" i="4"/>
  <c r="BH45" i="4" s="1"/>
  <c r="BM45" i="4" s="1"/>
  <c r="BB46" i="4"/>
  <c r="BH46" i="4" s="1"/>
  <c r="BM46" i="4" s="1"/>
  <c r="BB47" i="4"/>
  <c r="BH47" i="4" s="1"/>
  <c r="BM47" i="4" s="1"/>
  <c r="BB48" i="4"/>
  <c r="BH48" i="4" s="1"/>
  <c r="BM48" i="4" s="1"/>
  <c r="BB49" i="4"/>
  <c r="BH49" i="4" s="1"/>
  <c r="BM49" i="4" s="1"/>
  <c r="BB50" i="4"/>
  <c r="BH50" i="4" s="1"/>
  <c r="BM50" i="4" s="1"/>
  <c r="BB51" i="4"/>
  <c r="BH51" i="4" s="1"/>
  <c r="BB52" i="4"/>
  <c r="BH52" i="4" s="1"/>
  <c r="BM52" i="4" s="1"/>
  <c r="BB53" i="4"/>
  <c r="BH53" i="4" s="1"/>
  <c r="BB54" i="4"/>
  <c r="BH54" i="4" s="1"/>
  <c r="BM54" i="4" s="1"/>
  <c r="BB55" i="4"/>
  <c r="BH55" i="4" s="1"/>
  <c r="BB56" i="4"/>
  <c r="BH56" i="4" s="1"/>
  <c r="BM56" i="4" s="1"/>
  <c r="BB57" i="4"/>
  <c r="BH57" i="4" s="1"/>
  <c r="BB58" i="4"/>
  <c r="BH58" i="4" s="1"/>
  <c r="BM58" i="4" s="1"/>
  <c r="BB59" i="4"/>
  <c r="BH59" i="4" s="1"/>
  <c r="BB60" i="4"/>
  <c r="BH60" i="4" s="1"/>
  <c r="BM60" i="4" s="1"/>
  <c r="BB61" i="4"/>
  <c r="BH61" i="4" s="1"/>
  <c r="BB62" i="4"/>
  <c r="BH62" i="4" s="1"/>
  <c r="BM62" i="4" s="1"/>
  <c r="BB63" i="4"/>
  <c r="BH63" i="4" s="1"/>
  <c r="BB64" i="4"/>
  <c r="BH64" i="4"/>
  <c r="BM64" i="4" s="1"/>
  <c r="BB65" i="4"/>
  <c r="BH65" i="4" s="1"/>
  <c r="BB66" i="4"/>
  <c r="BH66" i="4" s="1"/>
  <c r="BM66" i="4" s="1"/>
  <c r="BB67" i="4"/>
  <c r="BH67" i="4" s="1"/>
  <c r="BB68" i="4"/>
  <c r="BH68" i="4" s="1"/>
  <c r="BM68" i="4" s="1"/>
  <c r="BB69" i="4"/>
  <c r="BH69" i="4" s="1"/>
  <c r="BB70" i="4"/>
  <c r="BH70" i="4" s="1"/>
  <c r="BM70" i="4" s="1"/>
  <c r="BB71" i="4"/>
  <c r="BH71" i="4" s="1"/>
  <c r="BB72" i="4"/>
  <c r="BH72" i="4" s="1"/>
  <c r="BM72" i="4" s="1"/>
  <c r="BB73" i="4"/>
  <c r="BH73" i="4" s="1"/>
  <c r="BB74" i="4"/>
  <c r="BH74" i="4" s="1"/>
  <c r="BM74" i="4" s="1"/>
  <c r="BB75" i="4"/>
  <c r="BH75" i="4" s="1"/>
  <c r="BM75" i="4" s="1"/>
  <c r="BB76" i="4"/>
  <c r="BH76" i="4" s="1"/>
  <c r="BM76" i="4" s="1"/>
  <c r="BB77" i="4"/>
  <c r="BH77" i="4"/>
  <c r="BM77" i="4" s="1"/>
  <c r="BB78" i="4"/>
  <c r="BH78" i="4" s="1"/>
  <c r="BM78" i="4" s="1"/>
  <c r="BB79" i="4"/>
  <c r="BH79" i="4"/>
  <c r="BM79" i="4" s="1"/>
  <c r="BB80" i="4"/>
  <c r="BH80" i="4" s="1"/>
  <c r="BM80" i="4" s="1"/>
  <c r="BB81" i="4"/>
  <c r="BH81" i="4"/>
  <c r="BM81" i="4" s="1"/>
  <c r="BB82" i="4"/>
  <c r="BH82" i="4" s="1"/>
  <c r="BM82" i="4" s="1"/>
  <c r="BB83" i="4"/>
  <c r="BH83" i="4" s="1"/>
  <c r="BM83" i="4" s="1"/>
  <c r="BB84" i="4"/>
  <c r="BH84" i="4" s="1"/>
  <c r="BM84" i="4" s="1"/>
  <c r="BB85" i="4"/>
  <c r="BH85" i="4" s="1"/>
  <c r="BM85" i="4" s="1"/>
  <c r="BB86" i="4"/>
  <c r="BH86" i="4" s="1"/>
  <c r="BM86" i="4" s="1"/>
  <c r="BB87" i="4"/>
  <c r="BH87" i="4" s="1"/>
  <c r="BM87" i="4" s="1"/>
  <c r="BB88" i="4"/>
  <c r="BH88" i="4" s="1"/>
  <c r="BM88" i="4" s="1"/>
  <c r="BB89" i="4"/>
  <c r="BH89" i="4" s="1"/>
  <c r="BM89" i="4" s="1"/>
  <c r="BB90" i="4"/>
  <c r="BH90" i="4" s="1"/>
  <c r="BM90" i="4" s="1"/>
  <c r="BB91" i="4"/>
  <c r="BH91" i="4" s="1"/>
  <c r="BM91" i="4" s="1"/>
  <c r="BB92" i="4"/>
  <c r="BH92" i="4" s="1"/>
  <c r="BM92" i="4" s="1"/>
  <c r="BB93" i="4"/>
  <c r="BH93" i="4"/>
  <c r="BM93" i="4" s="1"/>
  <c r="BB94" i="4"/>
  <c r="BH94" i="4" s="1"/>
  <c r="BM94" i="4" s="1"/>
  <c r="BB95" i="4"/>
  <c r="BH95" i="4"/>
  <c r="BM95" i="4" s="1"/>
  <c r="BB96" i="4"/>
  <c r="BH96" i="4" s="1"/>
  <c r="BM96" i="4" s="1"/>
  <c r="BB97" i="4"/>
  <c r="BH97" i="4" s="1"/>
  <c r="BM97" i="4" s="1"/>
  <c r="BB98" i="4"/>
  <c r="BH98" i="4" s="1"/>
  <c r="BM98" i="4" s="1"/>
  <c r="BB99" i="4"/>
  <c r="BH99" i="4" s="1"/>
  <c r="BM99" i="4" s="1"/>
  <c r="BB100" i="4"/>
  <c r="BH100" i="4" s="1"/>
  <c r="BM100" i="4" s="1"/>
  <c r="BB101" i="4"/>
  <c r="BH101" i="4" s="1"/>
  <c r="BM101" i="4" s="1"/>
  <c r="BB102" i="4"/>
  <c r="BH102" i="4" s="1"/>
  <c r="BM102" i="4" s="1"/>
  <c r="BB103" i="4"/>
  <c r="BH103" i="4"/>
  <c r="BM103" i="4" s="1"/>
  <c r="BB104" i="4"/>
  <c r="BH104" i="4" s="1"/>
  <c r="BM104" i="4" s="1"/>
  <c r="BB105" i="4"/>
  <c r="BH105" i="4"/>
  <c r="BM105" i="4" s="1"/>
  <c r="BB106" i="4"/>
  <c r="BH106" i="4" s="1"/>
  <c r="BM106" i="4" s="1"/>
  <c r="BB107" i="4"/>
  <c r="BH107" i="4" s="1"/>
  <c r="BM107" i="4" s="1"/>
  <c r="BB108" i="4"/>
  <c r="BH108" i="4" s="1"/>
  <c r="BM108" i="4" s="1"/>
  <c r="BB109" i="4"/>
  <c r="BH109" i="4" s="1"/>
  <c r="BM109" i="4" s="1"/>
  <c r="BB110" i="4"/>
  <c r="BH110" i="4" s="1"/>
  <c r="BM110" i="4" s="1"/>
  <c r="BB111" i="4"/>
  <c r="BH111" i="4" s="1"/>
  <c r="BM111" i="4" s="1"/>
  <c r="BB112" i="4"/>
  <c r="BH112" i="4" s="1"/>
  <c r="BM112" i="4" s="1"/>
  <c r="BB113" i="4"/>
  <c r="BH113" i="4" s="1"/>
  <c r="BM113" i="4" s="1"/>
  <c r="BB114" i="4"/>
  <c r="BH114" i="4" s="1"/>
  <c r="BM114" i="4" s="1"/>
  <c r="BB115" i="4"/>
  <c r="BH115" i="4" s="1"/>
  <c r="BM115" i="4" s="1"/>
  <c r="BB116" i="4"/>
  <c r="BH116" i="4" s="1"/>
  <c r="BM116" i="4" s="1"/>
  <c r="BB117" i="4"/>
  <c r="BH117" i="4"/>
  <c r="BM117" i="4" s="1"/>
  <c r="BB118" i="4"/>
  <c r="BH118" i="4" s="1"/>
  <c r="BM118" i="4" s="1"/>
  <c r="BB119" i="4"/>
  <c r="BH119" i="4" s="1"/>
  <c r="BM119" i="4" s="1"/>
  <c r="BB120" i="4"/>
  <c r="BH120" i="4" s="1"/>
  <c r="BM120" i="4" s="1"/>
  <c r="BB121" i="4"/>
  <c r="BH121" i="4"/>
  <c r="BM121" i="4" s="1"/>
  <c r="BB122" i="4"/>
  <c r="BH122" i="4" s="1"/>
  <c r="BM122" i="4" s="1"/>
  <c r="BB123" i="4"/>
  <c r="BH123" i="4" s="1"/>
  <c r="BM123" i="4" s="1"/>
  <c r="BB124" i="4"/>
  <c r="BH124" i="4" s="1"/>
  <c r="BM124" i="4" s="1"/>
  <c r="BB125" i="4"/>
  <c r="BH125" i="4" s="1"/>
  <c r="BM125" i="4" s="1"/>
  <c r="BB126" i="4"/>
  <c r="BH126" i="4" s="1"/>
  <c r="BM126" i="4" s="1"/>
  <c r="BB127" i="4"/>
  <c r="BH127" i="4"/>
  <c r="BM127" i="4" s="1"/>
  <c r="BB128" i="4"/>
  <c r="BH128" i="4" s="1"/>
  <c r="BM128" i="4" s="1"/>
  <c r="BB129" i="4"/>
  <c r="BH129" i="4" s="1"/>
  <c r="BM129" i="4" s="1"/>
  <c r="BB130" i="4"/>
  <c r="BH130" i="4" s="1"/>
  <c r="BM130" i="4" s="1"/>
  <c r="BB131" i="4"/>
  <c r="BH131" i="4" s="1"/>
  <c r="BM131" i="4" s="1"/>
  <c r="BB132" i="4"/>
  <c r="BH132" i="4" s="1"/>
  <c r="BM132" i="4" s="1"/>
  <c r="BB133" i="4"/>
  <c r="BH133" i="4" s="1"/>
  <c r="BM133" i="4" s="1"/>
  <c r="BB134" i="4"/>
  <c r="BH134" i="4" s="1"/>
  <c r="BM134" i="4" s="1"/>
  <c r="BB135" i="4"/>
  <c r="BH135" i="4" s="1"/>
  <c r="BM135" i="4" s="1"/>
  <c r="BB136" i="4"/>
  <c r="BH136" i="4" s="1"/>
  <c r="BM136" i="4" s="1"/>
  <c r="BB137" i="4"/>
  <c r="BH137" i="4" s="1"/>
  <c r="BM137" i="4" s="1"/>
  <c r="BB138" i="4"/>
  <c r="BH138" i="4" s="1"/>
  <c r="BM138" i="4" s="1"/>
  <c r="BB139" i="4"/>
  <c r="BH139" i="4" s="1"/>
  <c r="BM139" i="4" s="1"/>
  <c r="BB140" i="4"/>
  <c r="BH140" i="4" s="1"/>
  <c r="BM140" i="4" s="1"/>
  <c r="BB141" i="4"/>
  <c r="BH141" i="4"/>
  <c r="BM141" i="4" s="1"/>
  <c r="BB142" i="4"/>
  <c r="BH142" i="4" s="1"/>
  <c r="BM142" i="4" s="1"/>
  <c r="BB143" i="4"/>
  <c r="BH143" i="4"/>
  <c r="BM143" i="4" s="1"/>
  <c r="BB144" i="4"/>
  <c r="BH144" i="4" s="1"/>
  <c r="BM144" i="4" s="1"/>
  <c r="BB145" i="4"/>
  <c r="BH145" i="4"/>
  <c r="BM145" i="4" s="1"/>
  <c r="BB146" i="4"/>
  <c r="BH146" i="4" s="1"/>
  <c r="BM146" i="4" s="1"/>
  <c r="BB147" i="4"/>
  <c r="BH147" i="4" s="1"/>
  <c r="BM147" i="4" s="1"/>
  <c r="BB148" i="4"/>
  <c r="BH148" i="4" s="1"/>
  <c r="BM148" i="4" s="1"/>
  <c r="BB149" i="4"/>
  <c r="BH149" i="4" s="1"/>
  <c r="BM149" i="4" s="1"/>
  <c r="BB150" i="4"/>
  <c r="BH150" i="4" s="1"/>
  <c r="BM150" i="4" s="1"/>
  <c r="BB151" i="4"/>
  <c r="BH151" i="4" s="1"/>
  <c r="BM151" i="4" s="1"/>
  <c r="BB152" i="4"/>
  <c r="BH152" i="4" s="1"/>
  <c r="BM152" i="4" s="1"/>
  <c r="BB153" i="4"/>
  <c r="BH153" i="4" s="1"/>
  <c r="BM153" i="4" s="1"/>
  <c r="BB154" i="4"/>
  <c r="BH154" i="4" s="1"/>
  <c r="BM154" i="4" s="1"/>
  <c r="BB155" i="4"/>
  <c r="BH155" i="4" s="1"/>
  <c r="BM155" i="4" s="1"/>
  <c r="BB156" i="4"/>
  <c r="BH156" i="4" s="1"/>
  <c r="BM156" i="4" s="1"/>
  <c r="BB157" i="4"/>
  <c r="BH157" i="4"/>
  <c r="BM157" i="4" s="1"/>
  <c r="BB158" i="4"/>
  <c r="BH158" i="4" s="1"/>
  <c r="BM158" i="4" s="1"/>
  <c r="BB159" i="4"/>
  <c r="BH159" i="4"/>
  <c r="BM159" i="4" s="1"/>
  <c r="BB160" i="4"/>
  <c r="BH160" i="4" s="1"/>
  <c r="BM160" i="4" s="1"/>
  <c r="BB161" i="4"/>
  <c r="BH161" i="4" s="1"/>
  <c r="BM161" i="4" s="1"/>
  <c r="BB162" i="4"/>
  <c r="BH162" i="4" s="1"/>
  <c r="BM162" i="4" s="1"/>
  <c r="BB163" i="4"/>
  <c r="BH163" i="4" s="1"/>
  <c r="BM163" i="4" s="1"/>
  <c r="BB164" i="4"/>
  <c r="BH164" i="4" s="1"/>
  <c r="BM164" i="4" s="1"/>
  <c r="BB165" i="4"/>
  <c r="BH165" i="4" s="1"/>
  <c r="BM165" i="4" s="1"/>
  <c r="BB166" i="4"/>
  <c r="BH166" i="4" s="1"/>
  <c r="BM166" i="4" s="1"/>
  <c r="BB167" i="4"/>
  <c r="BH167" i="4"/>
  <c r="BM167" i="4" s="1"/>
  <c r="BB168" i="4"/>
  <c r="BH168" i="4" s="1"/>
  <c r="BM168" i="4" s="1"/>
  <c r="BB169" i="4"/>
  <c r="BH169" i="4" s="1"/>
  <c r="BM169" i="4" s="1"/>
  <c r="BB170" i="4"/>
  <c r="BH170" i="4" s="1"/>
  <c r="BM170" i="4" s="1"/>
  <c r="BB171" i="4"/>
  <c r="BH171" i="4" s="1"/>
  <c r="BM171" i="4" s="1"/>
  <c r="BB172" i="4"/>
  <c r="BH172" i="4" s="1"/>
  <c r="BM172" i="4" s="1"/>
  <c r="BB173" i="4"/>
  <c r="BH173" i="4"/>
  <c r="BM173" i="4" s="1"/>
  <c r="BB174" i="4"/>
  <c r="BH174" i="4" s="1"/>
  <c r="BM174" i="4" s="1"/>
  <c r="BB175" i="4"/>
  <c r="BH175" i="4"/>
  <c r="BM175" i="4" s="1"/>
  <c r="BB176" i="4"/>
  <c r="BH176" i="4" s="1"/>
  <c r="BM176" i="4" s="1"/>
  <c r="BB177" i="4"/>
  <c r="BH177" i="4" s="1"/>
  <c r="BM177" i="4" s="1"/>
  <c r="BB178" i="4"/>
  <c r="BH178" i="4" s="1"/>
  <c r="BM178" i="4" s="1"/>
  <c r="BB179" i="4"/>
  <c r="BH179" i="4" s="1"/>
  <c r="BM179" i="4" s="1"/>
  <c r="BB180" i="4"/>
  <c r="BH180" i="4" s="1"/>
  <c r="BM180" i="4" s="1"/>
  <c r="BB181" i="4"/>
  <c r="BH181" i="4" s="1"/>
  <c r="BM181" i="4" s="1"/>
  <c r="BB182" i="4"/>
  <c r="BH182" i="4" s="1"/>
  <c r="BM182" i="4" s="1"/>
  <c r="BB183" i="4"/>
  <c r="BH183" i="4"/>
  <c r="BM183" i="4" s="1"/>
  <c r="BB184" i="4"/>
  <c r="BH184" i="4" s="1"/>
  <c r="BM184" i="4" s="1"/>
  <c r="BB185" i="4"/>
  <c r="BH185" i="4" s="1"/>
  <c r="BM185" i="4" s="1"/>
  <c r="BB186" i="4"/>
  <c r="BH186" i="4" s="1"/>
  <c r="BM186" i="4" s="1"/>
  <c r="BB187" i="4"/>
  <c r="BH187" i="4" s="1"/>
  <c r="BM187" i="4" s="1"/>
  <c r="BB188" i="4"/>
  <c r="BH188" i="4" s="1"/>
  <c r="BM188" i="4" s="1"/>
  <c r="BB189" i="4"/>
  <c r="BH189" i="4" s="1"/>
  <c r="BM189" i="4" s="1"/>
  <c r="BB190" i="4"/>
  <c r="BH190" i="4" s="1"/>
  <c r="BM190" i="4" s="1"/>
  <c r="BB191" i="4"/>
  <c r="BH191" i="4" s="1"/>
  <c r="BM191" i="4" s="1"/>
  <c r="BB192" i="4"/>
  <c r="BH192" i="4" s="1"/>
  <c r="BM192" i="4" s="1"/>
  <c r="BB193" i="4"/>
  <c r="BH193" i="4" s="1"/>
  <c r="BM193" i="4" s="1"/>
  <c r="BB194" i="4"/>
  <c r="BH194" i="4" s="1"/>
  <c r="BM194" i="4" s="1"/>
  <c r="BB195" i="4"/>
  <c r="BH195" i="4" s="1"/>
  <c r="BM195" i="4" s="1"/>
  <c r="BB196" i="4"/>
  <c r="BH196" i="4" s="1"/>
  <c r="BM196" i="4" s="1"/>
  <c r="BB197" i="4"/>
  <c r="BH197" i="4" s="1"/>
  <c r="BM197" i="4" s="1"/>
  <c r="BB198" i="4"/>
  <c r="BH198" i="4" s="1"/>
  <c r="BM198" i="4" s="1"/>
  <c r="BB199" i="4"/>
  <c r="BH199" i="4"/>
  <c r="BM199" i="4" s="1"/>
  <c r="BB200" i="4"/>
  <c r="BH200" i="4" s="1"/>
  <c r="BM200" i="4" s="1"/>
  <c r="BB201" i="4"/>
  <c r="BH201" i="4" s="1"/>
  <c r="BM201" i="4" s="1"/>
  <c r="BB202" i="4"/>
  <c r="BH202" i="4" s="1"/>
  <c r="BM202" i="4" s="1"/>
  <c r="BB203" i="4"/>
  <c r="BH203" i="4" s="1"/>
  <c r="BM203" i="4" s="1"/>
  <c r="BB204" i="4"/>
  <c r="BH204" i="4" s="1"/>
  <c r="BM204" i="4" s="1"/>
  <c r="BB205" i="4"/>
  <c r="BH205" i="4" s="1"/>
  <c r="BM205" i="4" s="1"/>
  <c r="BB206" i="4"/>
  <c r="BH206" i="4" s="1"/>
  <c r="BM206" i="4" s="1"/>
  <c r="BB207" i="4"/>
  <c r="BH207" i="4"/>
  <c r="BM207" i="4" s="1"/>
  <c r="BB208" i="4"/>
  <c r="BH208" i="4" s="1"/>
  <c r="BM208" i="4" s="1"/>
  <c r="BB209" i="4"/>
  <c r="BH209" i="4" s="1"/>
  <c r="BM209" i="4" s="1"/>
  <c r="BB210" i="4"/>
  <c r="BH210" i="4" s="1"/>
  <c r="BM210" i="4" s="1"/>
  <c r="BB211" i="4"/>
  <c r="BH211" i="4" s="1"/>
  <c r="BM211" i="4" s="1"/>
  <c r="BB212" i="4"/>
  <c r="BH212" i="4" s="1"/>
  <c r="BM212" i="4" s="1"/>
  <c r="BB213" i="4"/>
  <c r="BH213" i="4" s="1"/>
  <c r="BM213" i="4" s="1"/>
  <c r="BB214" i="4"/>
  <c r="BH214" i="4" s="1"/>
  <c r="BM214" i="4" s="1"/>
  <c r="BB215" i="4"/>
  <c r="BH215" i="4" s="1"/>
  <c r="BM215" i="4" s="1"/>
  <c r="BB216" i="4"/>
  <c r="BH216" i="4" s="1"/>
  <c r="BM216" i="4" s="1"/>
  <c r="BB217" i="4"/>
  <c r="BH217" i="4" s="1"/>
  <c r="BM217" i="4" s="1"/>
  <c r="BB218" i="4"/>
  <c r="BH218" i="4" s="1"/>
  <c r="BM218" i="4" s="1"/>
  <c r="BB219" i="4"/>
  <c r="BH219" i="4" s="1"/>
  <c r="BM219" i="4" s="1"/>
  <c r="BB220" i="4"/>
  <c r="BH220" i="4" s="1"/>
  <c r="BM220" i="4" s="1"/>
  <c r="BB221" i="4"/>
  <c r="BH221" i="4" s="1"/>
  <c r="BM221" i="4" s="1"/>
  <c r="BB222" i="4"/>
  <c r="BH222" i="4" s="1"/>
  <c r="BM222" i="4" s="1"/>
  <c r="BB223" i="4"/>
  <c r="BH223" i="4"/>
  <c r="BM223" i="4" s="1"/>
  <c r="BB224" i="4"/>
  <c r="BH224" i="4" s="1"/>
  <c r="BM224" i="4" s="1"/>
  <c r="BB225" i="4"/>
  <c r="BH225" i="4"/>
  <c r="BM225" i="4" s="1"/>
  <c r="BB226" i="4"/>
  <c r="BH226" i="4" s="1"/>
  <c r="BM226" i="4" s="1"/>
  <c r="BB227" i="4"/>
  <c r="BH227" i="4" s="1"/>
  <c r="BM227" i="4" s="1"/>
  <c r="BB228" i="4"/>
  <c r="BH228" i="4" s="1"/>
  <c r="BM228" i="4" s="1"/>
  <c r="BB229" i="4"/>
  <c r="BH229" i="4"/>
  <c r="BM229" i="4" s="1"/>
  <c r="BB230" i="4"/>
  <c r="BH230" i="4" s="1"/>
  <c r="BM230" i="4" s="1"/>
  <c r="BB231" i="4"/>
  <c r="BH231" i="4"/>
  <c r="BM231" i="4" s="1"/>
  <c r="BB232" i="4"/>
  <c r="BH232" i="4" s="1"/>
  <c r="BM232" i="4" s="1"/>
  <c r="BB233" i="4"/>
  <c r="BH233" i="4" s="1"/>
  <c r="BM233" i="4" s="1"/>
  <c r="BB234" i="4"/>
  <c r="BH234" i="4" s="1"/>
  <c r="BM234" i="4" s="1"/>
  <c r="BB235" i="4"/>
  <c r="BH235" i="4" s="1"/>
  <c r="BM235" i="4" s="1"/>
  <c r="BB236" i="4"/>
  <c r="BH236" i="4" s="1"/>
  <c r="BM236" i="4" s="1"/>
  <c r="BB237" i="4"/>
  <c r="BH237" i="4"/>
  <c r="BM237" i="4" s="1"/>
  <c r="BB238" i="4"/>
  <c r="BH238" i="4" s="1"/>
  <c r="BM238" i="4" s="1"/>
  <c r="BB239" i="4"/>
  <c r="BH239" i="4" s="1"/>
  <c r="BM239" i="4" s="1"/>
  <c r="BB240" i="4"/>
  <c r="BH240" i="4" s="1"/>
  <c r="BM240" i="4" s="1"/>
  <c r="BB241" i="4"/>
  <c r="BH241" i="4" s="1"/>
  <c r="BM241" i="4" s="1"/>
  <c r="BB242" i="4"/>
  <c r="BH242" i="4" s="1"/>
  <c r="BM242" i="4" s="1"/>
  <c r="BB243" i="4"/>
  <c r="BH243" i="4" s="1"/>
  <c r="BM243" i="4" s="1"/>
  <c r="BB244" i="4"/>
  <c r="BH244" i="4" s="1"/>
  <c r="BM244" i="4" s="1"/>
  <c r="BB245" i="4"/>
  <c r="BH245" i="4" s="1"/>
  <c r="BM245" i="4" s="1"/>
  <c r="BB246" i="4"/>
  <c r="BH246" i="4" s="1"/>
  <c r="BM246" i="4" s="1"/>
  <c r="BB247" i="4"/>
  <c r="BH247" i="4"/>
  <c r="BM247" i="4" s="1"/>
  <c r="BB248" i="4"/>
  <c r="BH248" i="4" s="1"/>
  <c r="BM248" i="4" s="1"/>
  <c r="BB249" i="4"/>
  <c r="BH249" i="4" s="1"/>
  <c r="BM249" i="4" s="1"/>
  <c r="BB250" i="4"/>
  <c r="BH250" i="4" s="1"/>
  <c r="BM250" i="4" s="1"/>
  <c r="BB251" i="4"/>
  <c r="BH251" i="4" s="1"/>
  <c r="BM251" i="4" s="1"/>
  <c r="BB252" i="4"/>
  <c r="BH252" i="4" s="1"/>
  <c r="BM252" i="4" s="1"/>
  <c r="BB253" i="4"/>
  <c r="BH253" i="4"/>
  <c r="BM253" i="4" s="1"/>
  <c r="BB254" i="4"/>
  <c r="BH254" i="4" s="1"/>
  <c r="BM254" i="4" s="1"/>
  <c r="BB255" i="4"/>
  <c r="BH255" i="4" s="1"/>
  <c r="BM255" i="4" s="1"/>
  <c r="BB256" i="4"/>
  <c r="BH256" i="4" s="1"/>
  <c r="BM256" i="4" s="1"/>
  <c r="BB257" i="4"/>
  <c r="BH257" i="4" s="1"/>
  <c r="BM257" i="4" s="1"/>
  <c r="BB258" i="4"/>
  <c r="BH258" i="4" s="1"/>
  <c r="BM258" i="4" s="1"/>
  <c r="BB259" i="4"/>
  <c r="BH259" i="4" s="1"/>
  <c r="BM259" i="4" s="1"/>
  <c r="BB260" i="4"/>
  <c r="BH260" i="4" s="1"/>
  <c r="BM260" i="4" s="1"/>
  <c r="BB261" i="4"/>
  <c r="BH261" i="4" s="1"/>
  <c r="BM261" i="4" s="1"/>
  <c r="BB262" i="4"/>
  <c r="BH262" i="4" s="1"/>
  <c r="BM262" i="4" s="1"/>
  <c r="BB263" i="4"/>
  <c r="BH263" i="4"/>
  <c r="BM263" i="4" s="1"/>
  <c r="BB264" i="4"/>
  <c r="BH264" i="4" s="1"/>
  <c r="BM264" i="4" s="1"/>
  <c r="BB265" i="4"/>
  <c r="BH265" i="4" s="1"/>
  <c r="BM265" i="4" s="1"/>
  <c r="BB266" i="4"/>
  <c r="BH266" i="4" s="1"/>
  <c r="BM266" i="4" s="1"/>
  <c r="BB267" i="4"/>
  <c r="BH267" i="4" s="1"/>
  <c r="BM267" i="4" s="1"/>
  <c r="BB268" i="4"/>
  <c r="BH268" i="4" s="1"/>
  <c r="BM268" i="4" s="1"/>
  <c r="BB269" i="4"/>
  <c r="BH269" i="4" s="1"/>
  <c r="BM269" i="4" s="1"/>
  <c r="BB270" i="4"/>
  <c r="BH270" i="4" s="1"/>
  <c r="BM270" i="4" s="1"/>
  <c r="BB271" i="4"/>
  <c r="BH271" i="4" s="1"/>
  <c r="BM271" i="4" s="1"/>
  <c r="BB272" i="4"/>
  <c r="BH272" i="4" s="1"/>
  <c r="BM272" i="4" s="1"/>
  <c r="BB273" i="4"/>
  <c r="BH273" i="4"/>
  <c r="BM273" i="4" s="1"/>
  <c r="BB274" i="4"/>
  <c r="BH274" i="4" s="1"/>
  <c r="BM274" i="4" s="1"/>
  <c r="BB275" i="4"/>
  <c r="BH275" i="4" s="1"/>
  <c r="BM275" i="4" s="1"/>
  <c r="BB276" i="4"/>
  <c r="BH276" i="4" s="1"/>
  <c r="BM276" i="4" s="1"/>
  <c r="BB277" i="4"/>
  <c r="BH277" i="4" s="1"/>
  <c r="BM277" i="4" s="1"/>
  <c r="BB278" i="4"/>
  <c r="BH278" i="4" s="1"/>
  <c r="BM278" i="4" s="1"/>
  <c r="BB279" i="4"/>
  <c r="BH279" i="4"/>
  <c r="BM279" i="4" s="1"/>
  <c r="BB280" i="4"/>
  <c r="BH280" i="4" s="1"/>
  <c r="BM280" i="4" s="1"/>
  <c r="BB281" i="4"/>
  <c r="BH281" i="4"/>
  <c r="BM281" i="4" s="1"/>
  <c r="BB282" i="4"/>
  <c r="BH282" i="4" s="1"/>
  <c r="BM282" i="4" s="1"/>
  <c r="BB283" i="4"/>
  <c r="BH283" i="4" s="1"/>
  <c r="BM283" i="4" s="1"/>
  <c r="BB284" i="4"/>
  <c r="BH284" i="4" s="1"/>
  <c r="BM284" i="4" s="1"/>
  <c r="BB285" i="4"/>
  <c r="BH285" i="4" s="1"/>
  <c r="BM285" i="4" s="1"/>
  <c r="BB286" i="4"/>
  <c r="BH286" i="4" s="1"/>
  <c r="BM286" i="4" s="1"/>
  <c r="BB287" i="4"/>
  <c r="BH287" i="4" s="1"/>
  <c r="BM287" i="4" s="1"/>
  <c r="BB288" i="4"/>
  <c r="BH288" i="4" s="1"/>
  <c r="BM288" i="4" s="1"/>
  <c r="BB289" i="4"/>
  <c r="BH289" i="4"/>
  <c r="BM289" i="4" s="1"/>
  <c r="BB290" i="4"/>
  <c r="BH290" i="4" s="1"/>
  <c r="BM290" i="4" s="1"/>
  <c r="BB291" i="4"/>
  <c r="BH291" i="4" s="1"/>
  <c r="BM291" i="4" s="1"/>
  <c r="BB292" i="4"/>
  <c r="BH292" i="4" s="1"/>
  <c r="BM292" i="4" s="1"/>
  <c r="BB293" i="4"/>
  <c r="BH293" i="4" s="1"/>
  <c r="BM293" i="4" s="1"/>
  <c r="BB294" i="4"/>
  <c r="BH294" i="4" s="1"/>
  <c r="BM294" i="4" s="1"/>
  <c r="BB295" i="4"/>
  <c r="BH295" i="4"/>
  <c r="BM295" i="4" s="1"/>
  <c r="BB296" i="4"/>
  <c r="BH296" i="4" s="1"/>
  <c r="BM296" i="4" s="1"/>
  <c r="BB297" i="4"/>
  <c r="BH297" i="4"/>
  <c r="BM297" i="4" s="1"/>
  <c r="BB298" i="4"/>
  <c r="BH298" i="4" s="1"/>
  <c r="BM298" i="4" s="1"/>
  <c r="BB299" i="4"/>
  <c r="BH299" i="4" s="1"/>
  <c r="BM299" i="4" s="1"/>
  <c r="BB300" i="4"/>
  <c r="BH300" i="4" s="1"/>
  <c r="BM300" i="4" s="1"/>
  <c r="BB301" i="4"/>
  <c r="BH301" i="4"/>
  <c r="BM301" i="4" s="1"/>
  <c r="BB302" i="4"/>
  <c r="BH302" i="4" s="1"/>
  <c r="BM302" i="4" s="1"/>
  <c r="BB303" i="4"/>
  <c r="BH303" i="4"/>
  <c r="BM303" i="4" s="1"/>
  <c r="BB304" i="4"/>
  <c r="BH304" i="4" s="1"/>
  <c r="BM304" i="4" s="1"/>
  <c r="BB305" i="4"/>
  <c r="BH305" i="4" s="1"/>
  <c r="BM305" i="4" s="1"/>
  <c r="BB306" i="4"/>
  <c r="BH306" i="4" s="1"/>
  <c r="BM306" i="4" s="1"/>
  <c r="BB307" i="4"/>
  <c r="BH307" i="4" s="1"/>
  <c r="BM307" i="4" s="1"/>
  <c r="BB308" i="4"/>
  <c r="BH308" i="4" s="1"/>
  <c r="BM308" i="4" s="1"/>
  <c r="BB309" i="4"/>
  <c r="BH309" i="4"/>
  <c r="BM309" i="4" s="1"/>
  <c r="BB310" i="4"/>
  <c r="BH310" i="4" s="1"/>
  <c r="BM310" i="4" s="1"/>
  <c r="BB311" i="4"/>
  <c r="BH311" i="4" s="1"/>
  <c r="BM311" i="4" s="1"/>
  <c r="BB312" i="4"/>
  <c r="BH312" i="4" s="1"/>
  <c r="BM312" i="4" s="1"/>
  <c r="BB313" i="4"/>
  <c r="BH313" i="4"/>
  <c r="BM313" i="4" s="1"/>
  <c r="BB314" i="4"/>
  <c r="BH314" i="4" s="1"/>
  <c r="BM314" i="4" s="1"/>
  <c r="BB315" i="4"/>
  <c r="BH315" i="4" s="1"/>
  <c r="BM315" i="4" s="1"/>
  <c r="BB316" i="4"/>
  <c r="BH316" i="4" s="1"/>
  <c r="BM316" i="4" s="1"/>
  <c r="BB317" i="4"/>
  <c r="BH317" i="4" s="1"/>
  <c r="BM317" i="4" s="1"/>
  <c r="BB318" i="4"/>
  <c r="BH318" i="4" s="1"/>
  <c r="BM318" i="4" s="1"/>
  <c r="BB319" i="4"/>
  <c r="BH319" i="4" s="1"/>
  <c r="BM319" i="4" s="1"/>
  <c r="BB320" i="4"/>
  <c r="BH320" i="4" s="1"/>
  <c r="BM320" i="4" s="1"/>
  <c r="BB321" i="4"/>
  <c r="BH321" i="4"/>
  <c r="BM321" i="4" s="1"/>
  <c r="BB322" i="4"/>
  <c r="BH322" i="4" s="1"/>
  <c r="BM322" i="4" s="1"/>
  <c r="BB323" i="4"/>
  <c r="BH323" i="4" s="1"/>
  <c r="BM323" i="4" s="1"/>
  <c r="BB324" i="4"/>
  <c r="BH324" i="4" s="1"/>
  <c r="BM324" i="4" s="1"/>
  <c r="BB325" i="4"/>
  <c r="BH325" i="4" s="1"/>
  <c r="BM325" i="4" s="1"/>
  <c r="BB326" i="4"/>
  <c r="BH326" i="4" s="1"/>
  <c r="BM326" i="4" s="1"/>
  <c r="BB327" i="4"/>
  <c r="BH327" i="4" s="1"/>
  <c r="BM327" i="4" s="1"/>
  <c r="BB328" i="4"/>
  <c r="BH328" i="4" s="1"/>
  <c r="BM328" i="4" s="1"/>
  <c r="BB329" i="4"/>
  <c r="BH329" i="4"/>
  <c r="BM329" i="4" s="1"/>
  <c r="BB330" i="4"/>
  <c r="BH330" i="4" s="1"/>
  <c r="BM330" i="4" s="1"/>
  <c r="BB331" i="4"/>
  <c r="BH331" i="4" s="1"/>
  <c r="BM331" i="4" s="1"/>
  <c r="BB332" i="4"/>
  <c r="BH332" i="4" s="1"/>
  <c r="BM332" i="4" s="1"/>
  <c r="BB333" i="4"/>
  <c r="BH333" i="4" s="1"/>
  <c r="BM333" i="4" s="1"/>
  <c r="BB334" i="4"/>
  <c r="BH334" i="4" s="1"/>
  <c r="BM334" i="4" s="1"/>
  <c r="BB335" i="4"/>
  <c r="BH335" i="4"/>
  <c r="BM335" i="4" s="1"/>
  <c r="BB336" i="4"/>
  <c r="BH336" i="4" s="1"/>
  <c r="BM336" i="4" s="1"/>
  <c r="BB337" i="4"/>
  <c r="BH337" i="4" s="1"/>
  <c r="BM337" i="4" s="1"/>
  <c r="BB338" i="4"/>
  <c r="BH338" i="4" s="1"/>
  <c r="BM338" i="4" s="1"/>
  <c r="BB339" i="4"/>
  <c r="BH339" i="4" s="1"/>
  <c r="BM339" i="4" s="1"/>
  <c r="BB340" i="4"/>
  <c r="BH340" i="4" s="1"/>
  <c r="BM340" i="4" s="1"/>
  <c r="BB341" i="4"/>
  <c r="BH341" i="4"/>
  <c r="BM341" i="4" s="1"/>
  <c r="BB342" i="4"/>
  <c r="BH342" i="4" s="1"/>
  <c r="BM342" i="4" s="1"/>
  <c r="BB343" i="4"/>
  <c r="BH343" i="4" s="1"/>
  <c r="BM343" i="4" s="1"/>
  <c r="BB344" i="4"/>
  <c r="BH344" i="4" s="1"/>
  <c r="BM344" i="4" s="1"/>
  <c r="BB345" i="4"/>
  <c r="BH345" i="4"/>
  <c r="BM345" i="4" s="1"/>
  <c r="BB346" i="4"/>
  <c r="BH346" i="4" s="1"/>
  <c r="BM346" i="4" s="1"/>
  <c r="BB347" i="4"/>
  <c r="BH347" i="4" s="1"/>
  <c r="BM347" i="4" s="1"/>
  <c r="BB348" i="4"/>
  <c r="BH348" i="4" s="1"/>
  <c r="BM348" i="4" s="1"/>
  <c r="BB349" i="4"/>
  <c r="BH349" i="4" s="1"/>
  <c r="BM349" i="4" s="1"/>
  <c r="BB350" i="4"/>
  <c r="BH350" i="4" s="1"/>
  <c r="BM350" i="4" s="1"/>
  <c r="BB351" i="4"/>
  <c r="BH351" i="4" s="1"/>
  <c r="BM351" i="4" s="1"/>
  <c r="BB352" i="4"/>
  <c r="BH352" i="4" s="1"/>
  <c r="BM352" i="4" s="1"/>
  <c r="BB353" i="4"/>
  <c r="BH353" i="4" s="1"/>
  <c r="BM353" i="4" s="1"/>
  <c r="BB354" i="4"/>
  <c r="BH354" i="4" s="1"/>
  <c r="BM354" i="4" s="1"/>
  <c r="BB355" i="4"/>
  <c r="BH355" i="4" s="1"/>
  <c r="BM355" i="4" s="1"/>
  <c r="BB356" i="4"/>
  <c r="BH356" i="4" s="1"/>
  <c r="BM356" i="4" s="1"/>
  <c r="BB357" i="4"/>
  <c r="BH357" i="4"/>
  <c r="BM357" i="4" s="1"/>
  <c r="BB358" i="4"/>
  <c r="BH358" i="4" s="1"/>
  <c r="BM358" i="4" s="1"/>
  <c r="BB359" i="4"/>
  <c r="BH359" i="4" s="1"/>
  <c r="BM359" i="4" s="1"/>
  <c r="BB360" i="4"/>
  <c r="BH360" i="4" s="1"/>
  <c r="BM360" i="4" s="1"/>
  <c r="BB361" i="4"/>
  <c r="BH361" i="4"/>
  <c r="BM361" i="4" s="1"/>
  <c r="BB362" i="4"/>
  <c r="BH362" i="4" s="1"/>
  <c r="BM362" i="4" s="1"/>
  <c r="BB363" i="4"/>
  <c r="BH363" i="4" s="1"/>
  <c r="BM363" i="4" s="1"/>
  <c r="BB364" i="4"/>
  <c r="BH364" i="4" s="1"/>
  <c r="BM364" i="4" s="1"/>
  <c r="BB365" i="4"/>
  <c r="BH365" i="4" s="1"/>
  <c r="BM365" i="4" s="1"/>
  <c r="BB366" i="4"/>
  <c r="BH366" i="4" s="1"/>
  <c r="BM366" i="4" s="1"/>
  <c r="BB367" i="4"/>
  <c r="BH367" i="4"/>
  <c r="BM367" i="4" s="1"/>
  <c r="BB368" i="4"/>
  <c r="BH368" i="4" s="1"/>
  <c r="BM368" i="4" s="1"/>
  <c r="BB369" i="4"/>
  <c r="BH369" i="4" s="1"/>
  <c r="BM369" i="4" s="1"/>
  <c r="BB370" i="4"/>
  <c r="BH370" i="4" s="1"/>
  <c r="BM370" i="4" s="1"/>
  <c r="BB371" i="4"/>
  <c r="BH371" i="4" s="1"/>
  <c r="BM371" i="4" s="1"/>
  <c r="BB372" i="4"/>
  <c r="BH372" i="4" s="1"/>
  <c r="BM372" i="4" s="1"/>
  <c r="BB373" i="4"/>
  <c r="BH373" i="4" s="1"/>
  <c r="BM373" i="4" s="1"/>
  <c r="BB374" i="4"/>
  <c r="BH374" i="4" s="1"/>
  <c r="BM374" i="4" s="1"/>
  <c r="BB375" i="4"/>
  <c r="BH375" i="4"/>
  <c r="BM375" i="4" s="1"/>
  <c r="BB376" i="4"/>
  <c r="BH376" i="4" s="1"/>
  <c r="BM376" i="4" s="1"/>
  <c r="BB377" i="4"/>
  <c r="BH377" i="4" s="1"/>
  <c r="BM377" i="4" s="1"/>
  <c r="BB378" i="4"/>
  <c r="BH378" i="4" s="1"/>
  <c r="BM378" i="4" s="1"/>
  <c r="BB379" i="4"/>
  <c r="BH379" i="4" s="1"/>
  <c r="BM379" i="4" s="1"/>
  <c r="BB380" i="4"/>
  <c r="BH380" i="4" s="1"/>
  <c r="BM380" i="4" s="1"/>
  <c r="BB381" i="4"/>
  <c r="BH381" i="4" s="1"/>
  <c r="BM381" i="4" s="1"/>
  <c r="BB382" i="4"/>
  <c r="BH382" i="4" s="1"/>
  <c r="BM382" i="4" s="1"/>
  <c r="BB383" i="4"/>
  <c r="BH383" i="4"/>
  <c r="BM383" i="4" s="1"/>
  <c r="BB384" i="4"/>
  <c r="BH384" i="4" s="1"/>
  <c r="BM384" i="4" s="1"/>
  <c r="BB385" i="4"/>
  <c r="BH385" i="4" s="1"/>
  <c r="BM385" i="4" s="1"/>
  <c r="BB386" i="4"/>
  <c r="BH386" i="4" s="1"/>
  <c r="BM386" i="4" s="1"/>
  <c r="BB387" i="4"/>
  <c r="BH387" i="4" s="1"/>
  <c r="BM387" i="4" s="1"/>
  <c r="BB388" i="4"/>
  <c r="BH388" i="4" s="1"/>
  <c r="BM388" i="4" s="1"/>
  <c r="BB389" i="4"/>
  <c r="BH389" i="4" s="1"/>
  <c r="BM389" i="4" s="1"/>
  <c r="BB390" i="4"/>
  <c r="BH390" i="4" s="1"/>
  <c r="BM390" i="4" s="1"/>
  <c r="BB391" i="4"/>
  <c r="BH391" i="4"/>
  <c r="BM391" i="4" s="1"/>
  <c r="BB392" i="4"/>
  <c r="BH392" i="4" s="1"/>
  <c r="BM392" i="4" s="1"/>
  <c r="BB393" i="4"/>
  <c r="BH393" i="4" s="1"/>
  <c r="BM393" i="4" s="1"/>
  <c r="BB394" i="4"/>
  <c r="BH394" i="4" s="1"/>
  <c r="BM394" i="4" s="1"/>
  <c r="BB395" i="4"/>
  <c r="BH395" i="4" s="1"/>
  <c r="BM395" i="4" s="1"/>
  <c r="BB396" i="4"/>
  <c r="BH396" i="4" s="1"/>
  <c r="BM396" i="4" s="1"/>
  <c r="BB397" i="4"/>
  <c r="BH397" i="4" s="1"/>
  <c r="BM397" i="4" s="1"/>
  <c r="BB398" i="4"/>
  <c r="BH398" i="4" s="1"/>
  <c r="BM398" i="4" s="1"/>
  <c r="BB399" i="4"/>
  <c r="BH399" i="4" s="1"/>
  <c r="BM399" i="4" s="1"/>
  <c r="BB400" i="4"/>
  <c r="BH400" i="4" s="1"/>
  <c r="BM400" i="4" s="1"/>
  <c r="BB401" i="4"/>
  <c r="BH401" i="4" s="1"/>
  <c r="BM401" i="4" s="1"/>
  <c r="BB402" i="4"/>
  <c r="BH402" i="4" s="1"/>
  <c r="BM402" i="4" s="1"/>
  <c r="BB403" i="4"/>
  <c r="BH403" i="4" s="1"/>
  <c r="BM403" i="4" s="1"/>
  <c r="BB404" i="4"/>
  <c r="BH404" i="4" s="1"/>
  <c r="BM404" i="4" s="1"/>
  <c r="BB405" i="4"/>
  <c r="BH405" i="4"/>
  <c r="BM405" i="4" s="1"/>
  <c r="BB406" i="4"/>
  <c r="BH406" i="4" s="1"/>
  <c r="BM406" i="4" s="1"/>
  <c r="BB407" i="4"/>
  <c r="BH407" i="4" s="1"/>
  <c r="BM407" i="4" s="1"/>
  <c r="BB408" i="4"/>
  <c r="BH408" i="4" s="1"/>
  <c r="BM408" i="4" s="1"/>
  <c r="BB409" i="4"/>
  <c r="BH409" i="4" s="1"/>
  <c r="BM409" i="4" s="1"/>
  <c r="BB410" i="4"/>
  <c r="BB11" i="4"/>
  <c r="BH11" i="4" s="1"/>
  <c r="BM11" i="4" s="1"/>
  <c r="BG11" i="4"/>
  <c r="BA410" i="4"/>
  <c r="BH28" i="4"/>
  <c r="BM28" i="4" s="1"/>
  <c r="AO7" i="4"/>
  <c r="AQ7" i="4"/>
  <c r="AO8" i="4"/>
  <c r="AQ8" i="4"/>
  <c r="AF9" i="4"/>
  <c r="AG9" i="4"/>
  <c r="AI9" i="4"/>
  <c r="AK9" i="4"/>
  <c r="AL9" i="4"/>
  <c r="AO10" i="4"/>
  <c r="AQ10" i="4"/>
  <c r="S7" i="4"/>
  <c r="T7" i="4"/>
  <c r="V7" i="4"/>
  <c r="X7" i="4"/>
  <c r="Y7" i="4"/>
  <c r="AB7" i="4"/>
  <c r="AD7" i="4"/>
  <c r="AB8" i="4"/>
  <c r="AD8" i="4"/>
  <c r="S9" i="4"/>
  <c r="T9" i="4"/>
  <c r="V9" i="4"/>
  <c r="X9" i="4"/>
  <c r="Y9" i="4"/>
  <c r="AB10" i="4"/>
  <c r="AD10" i="4"/>
  <c r="AN4" i="4"/>
  <c r="AL4" i="4"/>
  <c r="AK4" i="4"/>
  <c r="AI4" i="4"/>
  <c r="AG4" i="4"/>
  <c r="AF4" i="4"/>
  <c r="AE4" i="4"/>
  <c r="BG408" i="4"/>
  <c r="BG407" i="4"/>
  <c r="BG402" i="4"/>
  <c r="BG401" i="4"/>
  <c r="BG400" i="4"/>
  <c r="BG398" i="4"/>
  <c r="BG396" i="4"/>
  <c r="BG392" i="4"/>
  <c r="BG388" i="4"/>
  <c r="BG387" i="4"/>
  <c r="BG384" i="4"/>
  <c r="BG380" i="4"/>
  <c r="BG374" i="4"/>
  <c r="BG370" i="4"/>
  <c r="BG369" i="4"/>
  <c r="BG363" i="4"/>
  <c r="BG350" i="4"/>
  <c r="BG348" i="4"/>
  <c r="BG346" i="4"/>
  <c r="BG345" i="4"/>
  <c r="BG339" i="4"/>
  <c r="BG328" i="4"/>
  <c r="BG326" i="4"/>
  <c r="BG322" i="4"/>
  <c r="BG321" i="4"/>
  <c r="BG315" i="4"/>
  <c r="BG302" i="4"/>
  <c r="BG300" i="4"/>
  <c r="BG297" i="4"/>
  <c r="BG296" i="4"/>
  <c r="BG283" i="4"/>
  <c r="BG282" i="4"/>
  <c r="BG280" i="4"/>
  <c r="BG275" i="4"/>
  <c r="BG274" i="4"/>
  <c r="BG273" i="4"/>
  <c r="BG272" i="4"/>
  <c r="BG271" i="4"/>
  <c r="BG270" i="4"/>
  <c r="BG269" i="4"/>
  <c r="BG268" i="4"/>
  <c r="BG267" i="4"/>
  <c r="BG266" i="4"/>
  <c r="BG265" i="4"/>
  <c r="BG264" i="4"/>
  <c r="BG263" i="4"/>
  <c r="BG262" i="4"/>
  <c r="BG261" i="4"/>
  <c r="BG260" i="4"/>
  <c r="BG259" i="4"/>
  <c r="BG258" i="4"/>
  <c r="BG257" i="4"/>
  <c r="BG256" i="4"/>
  <c r="BG255" i="4"/>
  <c r="BG254" i="4"/>
  <c r="BG253" i="4"/>
  <c r="BG252" i="4"/>
  <c r="BG251" i="4"/>
  <c r="BG250" i="4"/>
  <c r="BG249" i="4"/>
  <c r="BG248" i="4"/>
  <c r="BG247" i="4"/>
  <c r="BG246" i="4"/>
  <c r="BG245" i="4"/>
  <c r="BG244" i="4"/>
  <c r="BG243" i="4"/>
  <c r="BG242" i="4"/>
  <c r="BG241" i="4"/>
  <c r="BG240" i="4"/>
  <c r="BG239" i="4"/>
  <c r="BG238" i="4"/>
  <c r="BG237" i="4"/>
  <c r="BG236" i="4"/>
  <c r="BG235" i="4"/>
  <c r="BG234" i="4"/>
  <c r="BG233" i="4"/>
  <c r="BG232" i="4"/>
  <c r="BG231" i="4"/>
  <c r="BG230" i="4"/>
  <c r="BG229" i="4"/>
  <c r="BG228" i="4"/>
  <c r="BG227" i="4"/>
  <c r="BG226" i="4"/>
  <c r="BG225" i="4"/>
  <c r="BG224" i="4"/>
  <c r="BG223" i="4"/>
  <c r="BG222" i="4"/>
  <c r="BG221" i="4"/>
  <c r="BG220" i="4"/>
  <c r="BG219" i="4"/>
  <c r="BG218" i="4"/>
  <c r="BG217" i="4"/>
  <c r="BG216" i="4"/>
  <c r="BG215" i="4"/>
  <c r="BG214" i="4"/>
  <c r="BG213" i="4"/>
  <c r="BG212" i="4"/>
  <c r="BG211" i="4"/>
  <c r="BG210" i="4"/>
  <c r="BG209" i="4"/>
  <c r="BG208" i="4"/>
  <c r="BG207" i="4"/>
  <c r="BG206" i="4"/>
  <c r="BG205" i="4"/>
  <c r="BG204" i="4"/>
  <c r="BG203" i="4"/>
  <c r="BG202" i="4"/>
  <c r="BG201" i="4"/>
  <c r="BG200" i="4"/>
  <c r="BG199" i="4"/>
  <c r="BG198" i="4"/>
  <c r="BG197" i="4"/>
  <c r="BG196" i="4"/>
  <c r="BG195" i="4"/>
  <c r="BG194" i="4"/>
  <c r="BG193" i="4"/>
  <c r="BG192" i="4"/>
  <c r="BG191" i="4"/>
  <c r="BG190" i="4"/>
  <c r="BG189" i="4"/>
  <c r="BG188" i="4"/>
  <c r="BG187" i="4"/>
  <c r="BG186" i="4"/>
  <c r="BG185" i="4"/>
  <c r="BG184" i="4"/>
  <c r="BG183" i="4"/>
  <c r="BG182" i="4"/>
  <c r="BG181" i="4"/>
  <c r="BG180" i="4"/>
  <c r="BG179" i="4"/>
  <c r="BG178" i="4"/>
  <c r="BG177" i="4"/>
  <c r="BG176" i="4"/>
  <c r="BG175" i="4"/>
  <c r="BG174" i="4"/>
  <c r="BG173" i="4"/>
  <c r="BG172" i="4"/>
  <c r="BG171" i="4"/>
  <c r="BG170" i="4"/>
  <c r="BG169" i="4"/>
  <c r="BG168" i="4"/>
  <c r="BG167" i="4"/>
  <c r="BG166" i="4"/>
  <c r="BG165" i="4"/>
  <c r="BG164" i="4"/>
  <c r="BG163" i="4"/>
  <c r="BG162" i="4"/>
  <c r="BG161" i="4"/>
  <c r="BG160" i="4"/>
  <c r="BG159" i="4"/>
  <c r="BG158" i="4"/>
  <c r="BG157" i="4"/>
  <c r="BG156" i="4"/>
  <c r="BG155" i="4"/>
  <c r="BG154" i="4"/>
  <c r="BG153" i="4"/>
  <c r="BG152" i="4"/>
  <c r="BG151" i="4"/>
  <c r="BG150" i="4"/>
  <c r="BG149" i="4"/>
  <c r="BG148" i="4"/>
  <c r="BG147" i="4"/>
  <c r="BG146" i="4"/>
  <c r="BG145" i="4"/>
  <c r="BG144" i="4"/>
  <c r="BG143" i="4"/>
  <c r="BG142" i="4"/>
  <c r="BG141" i="4"/>
  <c r="BG140" i="4"/>
  <c r="BG139" i="4"/>
  <c r="BG138" i="4"/>
  <c r="BG137" i="4"/>
  <c r="BG136" i="4"/>
  <c r="BG135" i="4"/>
  <c r="BG134" i="4"/>
  <c r="BG133" i="4"/>
  <c r="BG132" i="4"/>
  <c r="BG131" i="4"/>
  <c r="BG130" i="4"/>
  <c r="BG129" i="4"/>
  <c r="BG128" i="4"/>
  <c r="BG127" i="4"/>
  <c r="BG126" i="4"/>
  <c r="BG125" i="4"/>
  <c r="BG124" i="4"/>
  <c r="BG123" i="4"/>
  <c r="BG122" i="4"/>
  <c r="BG121" i="4"/>
  <c r="BG120" i="4"/>
  <c r="BG119" i="4"/>
  <c r="BG118" i="4"/>
  <c r="BG117" i="4"/>
  <c r="BG116" i="4"/>
  <c r="BG115" i="4"/>
  <c r="BG114" i="4"/>
  <c r="BG113" i="4"/>
  <c r="BG112" i="4"/>
  <c r="BG111" i="4"/>
  <c r="BG110" i="4"/>
  <c r="BG109" i="4"/>
  <c r="BG108" i="4"/>
  <c r="BG107" i="4"/>
  <c r="BG106" i="4"/>
  <c r="BG105" i="4"/>
  <c r="BG104" i="4"/>
  <c r="BG103" i="4"/>
  <c r="BG102" i="4"/>
  <c r="BG101" i="4"/>
  <c r="BG100" i="4"/>
  <c r="BG99" i="4"/>
  <c r="BG98" i="4"/>
  <c r="BG97" i="4"/>
  <c r="BG96" i="4"/>
  <c r="BG95" i="4"/>
  <c r="BG94" i="4"/>
  <c r="BG93" i="4"/>
  <c r="BG92" i="4"/>
  <c r="BG91" i="4"/>
  <c r="BG90" i="4"/>
  <c r="BG89" i="4"/>
  <c r="BG88" i="4"/>
  <c r="BG87" i="4"/>
  <c r="BG86" i="4"/>
  <c r="BG85" i="4"/>
  <c r="BG84" i="4"/>
  <c r="BG83" i="4"/>
  <c r="BG82" i="4"/>
  <c r="BG81" i="4"/>
  <c r="BG80" i="4"/>
  <c r="BG79" i="4"/>
  <c r="BG78" i="4"/>
  <c r="BG77" i="4"/>
  <c r="BG76" i="4"/>
  <c r="BG75" i="4"/>
  <c r="BG74" i="4"/>
  <c r="BG73" i="4"/>
  <c r="BG72" i="4"/>
  <c r="BG71" i="4"/>
  <c r="BG70" i="4"/>
  <c r="BG69" i="4"/>
  <c r="BG68" i="4"/>
  <c r="BG67" i="4"/>
  <c r="BG66" i="4"/>
  <c r="BG65" i="4"/>
  <c r="BG64" i="4"/>
  <c r="BG63" i="4"/>
  <c r="BG62" i="4"/>
  <c r="BG61" i="4"/>
  <c r="BG60" i="4"/>
  <c r="BG59" i="4"/>
  <c r="BG58" i="4"/>
  <c r="BG57" i="4"/>
  <c r="BG56" i="4"/>
  <c r="BG55" i="4"/>
  <c r="BG54" i="4"/>
  <c r="BG53" i="4"/>
  <c r="BG52" i="4"/>
  <c r="BG51" i="4"/>
  <c r="BG50" i="4"/>
  <c r="BG49" i="4"/>
  <c r="BG48" i="4"/>
  <c r="BG47" i="4"/>
  <c r="BG46" i="4"/>
  <c r="BG45" i="4"/>
  <c r="BG44" i="4"/>
  <c r="BG43" i="4"/>
  <c r="BG42" i="4"/>
  <c r="BG41" i="4"/>
  <c r="BG40" i="4"/>
  <c r="BG39" i="4"/>
  <c r="BG38" i="4"/>
  <c r="BG37" i="4"/>
  <c r="BG36" i="4"/>
  <c r="BG35" i="4"/>
  <c r="BG34" i="4"/>
  <c r="BG33" i="4"/>
  <c r="BG32" i="4"/>
  <c r="BG31" i="4"/>
  <c r="BG30" i="4"/>
  <c r="AA4" i="4"/>
  <c r="Y4" i="4"/>
  <c r="X4" i="4"/>
  <c r="V4" i="4"/>
  <c r="T4" i="4"/>
  <c r="S4" i="4"/>
  <c r="R4" i="4"/>
  <c r="AL285" i="4"/>
  <c r="AL289" i="4"/>
  <c r="AL293" i="4"/>
  <c r="AL297" i="4"/>
  <c r="AL301" i="4"/>
  <c r="AL305" i="4"/>
  <c r="AL309" i="4"/>
  <c r="AL313" i="4"/>
  <c r="AL317" i="4"/>
  <c r="AL321" i="4"/>
  <c r="AL325" i="4"/>
  <c r="AL329" i="4"/>
  <c r="AL333" i="4"/>
  <c r="AL337" i="4"/>
  <c r="AL341" i="4"/>
  <c r="AL345" i="4"/>
  <c r="AL349" i="4"/>
  <c r="AL286" i="4"/>
  <c r="AL290" i="4"/>
  <c r="AL294" i="4"/>
  <c r="AL298" i="4"/>
  <c r="AL302" i="4"/>
  <c r="AL306" i="4"/>
  <c r="AL310" i="4"/>
  <c r="AL314" i="4"/>
  <c r="AL318" i="4"/>
  <c r="AL322" i="4"/>
  <c r="AL326" i="4"/>
  <c r="AL330" i="4"/>
  <c r="AL334" i="4"/>
  <c r="AL338" i="4"/>
  <c r="AL342" i="4"/>
  <c r="AL346" i="4"/>
  <c r="AL350" i="4"/>
  <c r="AL287" i="4"/>
  <c r="AL291" i="4"/>
  <c r="AL295" i="4"/>
  <c r="AL299" i="4"/>
  <c r="AL303" i="4"/>
  <c r="AL307" i="4"/>
  <c r="AL311" i="4"/>
  <c r="AL315" i="4"/>
  <c r="AL319" i="4"/>
  <c r="AL323" i="4"/>
  <c r="AL327" i="4"/>
  <c r="AL331" i="4"/>
  <c r="AL335" i="4"/>
  <c r="AL339" i="4"/>
  <c r="AL343" i="4"/>
  <c r="AL347" i="4"/>
  <c r="AL351" i="4"/>
  <c r="AL284" i="4"/>
  <c r="AL288" i="4"/>
  <c r="AL292" i="4"/>
  <c r="AL296" i="4"/>
  <c r="AL300" i="4"/>
  <c r="AL304" i="4"/>
  <c r="AL308" i="4"/>
  <c r="AL312" i="4"/>
  <c r="AL316" i="4"/>
  <c r="AL320" i="4"/>
  <c r="AL324" i="4"/>
  <c r="AL328" i="4"/>
  <c r="AL332" i="4"/>
  <c r="AL336" i="4"/>
  <c r="AL340" i="4"/>
  <c r="AL344" i="4"/>
  <c r="AL348" i="4"/>
  <c r="AL352" i="4"/>
  <c r="AL353" i="4"/>
  <c r="AL357" i="4"/>
  <c r="AL361" i="4"/>
  <c r="AL365" i="4"/>
  <c r="AL369" i="4"/>
  <c r="AL373" i="4"/>
  <c r="AL377" i="4"/>
  <c r="AL381" i="4"/>
  <c r="AL385" i="4"/>
  <c r="AL389" i="4"/>
  <c r="AL393" i="4"/>
  <c r="AL397" i="4"/>
  <c r="AL401" i="4"/>
  <c r="AL405" i="4"/>
  <c r="AL409" i="4"/>
  <c r="AL360" i="4"/>
  <c r="AL368" i="4"/>
  <c r="AL372" i="4"/>
  <c r="AL380" i="4"/>
  <c r="AL388" i="4"/>
  <c r="AL396" i="4"/>
  <c r="AL404" i="4"/>
  <c r="AL354" i="4"/>
  <c r="AL358" i="4"/>
  <c r="AL362" i="4"/>
  <c r="AL366" i="4"/>
  <c r="AL370" i="4"/>
  <c r="AL374" i="4"/>
  <c r="AL378" i="4"/>
  <c r="AL382" i="4"/>
  <c r="AL386" i="4"/>
  <c r="AL390" i="4"/>
  <c r="AL394" i="4"/>
  <c r="AL398" i="4"/>
  <c r="AL402" i="4"/>
  <c r="AL406" i="4"/>
  <c r="AL410" i="4"/>
  <c r="AL355" i="4"/>
  <c r="AL359" i="4"/>
  <c r="AL363" i="4"/>
  <c r="AL367" i="4"/>
  <c r="AL371" i="4"/>
  <c r="AL375" i="4"/>
  <c r="AL379" i="4"/>
  <c r="AL383" i="4"/>
  <c r="AL387" i="4"/>
  <c r="AL391" i="4"/>
  <c r="AL395" i="4"/>
  <c r="AL399" i="4"/>
  <c r="AL403" i="4"/>
  <c r="AL407" i="4"/>
  <c r="AL356" i="4"/>
  <c r="AL364" i="4"/>
  <c r="AL376" i="4"/>
  <c r="AL384" i="4"/>
  <c r="AL392" i="4"/>
  <c r="AL400" i="4"/>
  <c r="AL408" i="4"/>
  <c r="AK284" i="4"/>
  <c r="AK286" i="4"/>
  <c r="AK288" i="4"/>
  <c r="AK290" i="4"/>
  <c r="AK292" i="4"/>
  <c r="AK294" i="4"/>
  <c r="AK296" i="4"/>
  <c r="AK298" i="4"/>
  <c r="AK300" i="4"/>
  <c r="AK302" i="4"/>
  <c r="AK304" i="4"/>
  <c r="AK306" i="4"/>
  <c r="AK308" i="4"/>
  <c r="AK310" i="4"/>
  <c r="AK312" i="4"/>
  <c r="AK314" i="4"/>
  <c r="AK316" i="4"/>
  <c r="AK318" i="4"/>
  <c r="AK320" i="4"/>
  <c r="AK322" i="4"/>
  <c r="AK324" i="4"/>
  <c r="AK326" i="4"/>
  <c r="AK328" i="4"/>
  <c r="AK330" i="4"/>
  <c r="AK332" i="4"/>
  <c r="AK334" i="4"/>
  <c r="AK336" i="4"/>
  <c r="AK338" i="4"/>
  <c r="AK340" i="4"/>
  <c r="AK342" i="4"/>
  <c r="AK344" i="4"/>
  <c r="AK346" i="4"/>
  <c r="AK348" i="4"/>
  <c r="AK350" i="4"/>
  <c r="AK352" i="4"/>
  <c r="AK285" i="4"/>
  <c r="AK287" i="4"/>
  <c r="AK289" i="4"/>
  <c r="AK291" i="4"/>
  <c r="AK293" i="4"/>
  <c r="AK295" i="4"/>
  <c r="AK297" i="4"/>
  <c r="AK299" i="4"/>
  <c r="AK301" i="4"/>
  <c r="AK303" i="4"/>
  <c r="AK305" i="4"/>
  <c r="AK307" i="4"/>
  <c r="AK309" i="4"/>
  <c r="AK311" i="4"/>
  <c r="AK313" i="4"/>
  <c r="AK315" i="4"/>
  <c r="AK317" i="4"/>
  <c r="AK319" i="4"/>
  <c r="AK321" i="4"/>
  <c r="AK323" i="4"/>
  <c r="AK325" i="4"/>
  <c r="AK327" i="4"/>
  <c r="AK329" i="4"/>
  <c r="AK331" i="4"/>
  <c r="AK333" i="4"/>
  <c r="AK335" i="4"/>
  <c r="AK337" i="4"/>
  <c r="AK339" i="4"/>
  <c r="AK341" i="4"/>
  <c r="AK343" i="4"/>
  <c r="AK345" i="4"/>
  <c r="AK347" i="4"/>
  <c r="AK349" i="4"/>
  <c r="AK351" i="4"/>
  <c r="AK353" i="4"/>
  <c r="AK355" i="4"/>
  <c r="AK357" i="4"/>
  <c r="AK359" i="4"/>
  <c r="AK361" i="4"/>
  <c r="AK363" i="4"/>
  <c r="AK365" i="4"/>
  <c r="AK367" i="4"/>
  <c r="AK369" i="4"/>
  <c r="AK371" i="4"/>
  <c r="AK373" i="4"/>
  <c r="AK375" i="4"/>
  <c r="AK377" i="4"/>
  <c r="AK379" i="4"/>
  <c r="AK381" i="4"/>
  <c r="AK383" i="4"/>
  <c r="AK385" i="4"/>
  <c r="AK387" i="4"/>
  <c r="AK389" i="4"/>
  <c r="AK391" i="4"/>
  <c r="AK393" i="4"/>
  <c r="AK395" i="4"/>
  <c r="AK397" i="4"/>
  <c r="AK399" i="4"/>
  <c r="AK401" i="4"/>
  <c r="AK403" i="4"/>
  <c r="AK405" i="4"/>
  <c r="AK407" i="4"/>
  <c r="AK409" i="4"/>
  <c r="AK354" i="4"/>
  <c r="AK356" i="4"/>
  <c r="AK358" i="4"/>
  <c r="AK360" i="4"/>
  <c r="AK362" i="4"/>
  <c r="AK364" i="4"/>
  <c r="AK366" i="4"/>
  <c r="AK368" i="4"/>
  <c r="AK370" i="4"/>
  <c r="AK372" i="4"/>
  <c r="AK374" i="4"/>
  <c r="AK376" i="4"/>
  <c r="AK378" i="4"/>
  <c r="AK380" i="4"/>
  <c r="AK382" i="4"/>
  <c r="AK384" i="4"/>
  <c r="AK386" i="4"/>
  <c r="AK388" i="4"/>
  <c r="AK390" i="4"/>
  <c r="AK392" i="4"/>
  <c r="AK394" i="4"/>
  <c r="AK396" i="4"/>
  <c r="AK398" i="4"/>
  <c r="AK400" i="4"/>
  <c r="AK402" i="4"/>
  <c r="AK404" i="4"/>
  <c r="AK406" i="4"/>
  <c r="AK408" i="4"/>
  <c r="AK410" i="4"/>
  <c r="AI285" i="4"/>
  <c r="AI289" i="4"/>
  <c r="AI293" i="4"/>
  <c r="AI297" i="4"/>
  <c r="AI301" i="4"/>
  <c r="AI305" i="4"/>
  <c r="AI309" i="4"/>
  <c r="AI313" i="4"/>
  <c r="AI317" i="4"/>
  <c r="AI321" i="4"/>
  <c r="AI325" i="4"/>
  <c r="AI329" i="4"/>
  <c r="AI333" i="4"/>
  <c r="AI337" i="4"/>
  <c r="AI341" i="4"/>
  <c r="AI345" i="4"/>
  <c r="AI349" i="4"/>
  <c r="AI284" i="4"/>
  <c r="AI288" i="4"/>
  <c r="AI292" i="4"/>
  <c r="AI296" i="4"/>
  <c r="AI300" i="4"/>
  <c r="AI304" i="4"/>
  <c r="AI308" i="4"/>
  <c r="AI312" i="4"/>
  <c r="AI316" i="4"/>
  <c r="AI320" i="4"/>
  <c r="AI324" i="4"/>
  <c r="AI328" i="4"/>
  <c r="AI332" i="4"/>
  <c r="AI336" i="4"/>
  <c r="AI340" i="4"/>
  <c r="AI344" i="4"/>
  <c r="AI348" i="4"/>
  <c r="AI287" i="4"/>
  <c r="AI291" i="4"/>
  <c r="AI295" i="4"/>
  <c r="AI299" i="4"/>
  <c r="AI303" i="4"/>
  <c r="AI307" i="4"/>
  <c r="AI311" i="4"/>
  <c r="AI315" i="4"/>
  <c r="AI319" i="4"/>
  <c r="AI323" i="4"/>
  <c r="AI327" i="4"/>
  <c r="AI331" i="4"/>
  <c r="AI335" i="4"/>
  <c r="AI339" i="4"/>
  <c r="AI343" i="4"/>
  <c r="AI347" i="4"/>
  <c r="AI351" i="4"/>
  <c r="AI286" i="4"/>
  <c r="AI290" i="4"/>
  <c r="AI294" i="4"/>
  <c r="AI298" i="4"/>
  <c r="AI302" i="4"/>
  <c r="AI306" i="4"/>
  <c r="AI310" i="4"/>
  <c r="AI314" i="4"/>
  <c r="AI318" i="4"/>
  <c r="AI322" i="4"/>
  <c r="AI326" i="4"/>
  <c r="AI330" i="4"/>
  <c r="AI334" i="4"/>
  <c r="AI338" i="4"/>
  <c r="AI342" i="4"/>
  <c r="AI346" i="4"/>
  <c r="AI350" i="4"/>
  <c r="AI354" i="4"/>
  <c r="AI358" i="4"/>
  <c r="AI362" i="4"/>
  <c r="AI366" i="4"/>
  <c r="AI370" i="4"/>
  <c r="AI374" i="4"/>
  <c r="AI378" i="4"/>
  <c r="AI382" i="4"/>
  <c r="AI386" i="4"/>
  <c r="AI390" i="4"/>
  <c r="AI394" i="4"/>
  <c r="AI398" i="4"/>
  <c r="AI402" i="4"/>
  <c r="AI406" i="4"/>
  <c r="AI410" i="4"/>
  <c r="AI355" i="4"/>
  <c r="AI363" i="4"/>
  <c r="AI375" i="4"/>
  <c r="AI379" i="4"/>
  <c r="AI391" i="4"/>
  <c r="AI399" i="4"/>
  <c r="AI407" i="4"/>
  <c r="AI353" i="4"/>
  <c r="AI357" i="4"/>
  <c r="AI361" i="4"/>
  <c r="AI365" i="4"/>
  <c r="AI369" i="4"/>
  <c r="AI373" i="4"/>
  <c r="AI377" i="4"/>
  <c r="AI381" i="4"/>
  <c r="AI385" i="4"/>
  <c r="AI389" i="4"/>
  <c r="AI393" i="4"/>
  <c r="AI397" i="4"/>
  <c r="AI401" i="4"/>
  <c r="AI405" i="4"/>
  <c r="AI409" i="4"/>
  <c r="AI352" i="4"/>
  <c r="AI356" i="4"/>
  <c r="AI360" i="4"/>
  <c r="AI364" i="4"/>
  <c r="AI368" i="4"/>
  <c r="AI372" i="4"/>
  <c r="AI376" i="4"/>
  <c r="AI380" i="4"/>
  <c r="AI384" i="4"/>
  <c r="AI388" i="4"/>
  <c r="AI392" i="4"/>
  <c r="AI396" i="4"/>
  <c r="AI400" i="4"/>
  <c r="AI404" i="4"/>
  <c r="AI408" i="4"/>
  <c r="AI359" i="4"/>
  <c r="AI367" i="4"/>
  <c r="AI371" i="4"/>
  <c r="AI383" i="4"/>
  <c r="AI387" i="4"/>
  <c r="AI395" i="4"/>
  <c r="AI403" i="4"/>
  <c r="BG20" i="4"/>
  <c r="BG14" i="4"/>
  <c r="BG16" i="4"/>
  <c r="BG18" i="4"/>
  <c r="BG22" i="4"/>
  <c r="BG26" i="4"/>
  <c r="BG15" i="4"/>
  <c r="BG19" i="4"/>
  <c r="BG23" i="4"/>
  <c r="BG27" i="4"/>
  <c r="BG28" i="4"/>
  <c r="BG12" i="4"/>
  <c r="BG24" i="4"/>
  <c r="BG13" i="4"/>
  <c r="BG17" i="4"/>
  <c r="BG21" i="4"/>
  <c r="BG25" i="4"/>
  <c r="BG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242" i="4"/>
  <c r="BA243" i="4"/>
  <c r="BA244" i="4"/>
  <c r="BA245" i="4"/>
  <c r="BA246" i="4"/>
  <c r="BA247" i="4"/>
  <c r="BA248" i="4"/>
  <c r="BA249" i="4"/>
  <c r="BA250" i="4"/>
  <c r="BA251" i="4"/>
  <c r="BA252" i="4"/>
  <c r="BA253" i="4"/>
  <c r="BA254" i="4"/>
  <c r="BA255" i="4"/>
  <c r="BA256" i="4"/>
  <c r="BA257" i="4"/>
  <c r="BA258" i="4"/>
  <c r="BA259" i="4"/>
  <c r="BA260" i="4"/>
  <c r="BA261" i="4"/>
  <c r="BA262" i="4"/>
  <c r="BA263" i="4"/>
  <c r="BA264" i="4"/>
  <c r="BA265" i="4"/>
  <c r="BA266" i="4"/>
  <c r="BA267" i="4"/>
  <c r="BA268" i="4"/>
  <c r="BA269" i="4"/>
  <c r="BA270" i="4"/>
  <c r="BA271" i="4"/>
  <c r="BA272" i="4"/>
  <c r="BA273" i="4"/>
  <c r="BA274" i="4"/>
  <c r="BA275" i="4"/>
  <c r="BA276" i="4"/>
  <c r="BA277" i="4"/>
  <c r="BA278" i="4"/>
  <c r="BA279" i="4"/>
  <c r="BA280" i="4"/>
  <c r="BA281" i="4"/>
  <c r="BA282" i="4"/>
  <c r="BA283" i="4"/>
  <c r="BA284" i="4"/>
  <c r="BA285" i="4"/>
  <c r="BA286" i="4"/>
  <c r="BA287" i="4"/>
  <c r="BA288" i="4"/>
  <c r="BA289" i="4"/>
  <c r="BA290" i="4"/>
  <c r="BA291" i="4"/>
  <c r="BA292" i="4"/>
  <c r="BA293" i="4"/>
  <c r="BA294" i="4"/>
  <c r="BA295" i="4"/>
  <c r="BA296" i="4"/>
  <c r="BA297" i="4"/>
  <c r="BA298" i="4"/>
  <c r="BA299" i="4"/>
  <c r="BA300" i="4"/>
  <c r="BA301" i="4"/>
  <c r="BA302" i="4"/>
  <c r="BA303" i="4"/>
  <c r="BA304" i="4"/>
  <c r="BA305" i="4"/>
  <c r="BA306" i="4"/>
  <c r="BA307" i="4"/>
  <c r="BA308" i="4"/>
  <c r="BA309" i="4"/>
  <c r="BA310" i="4"/>
  <c r="BA311" i="4"/>
  <c r="BA312" i="4"/>
  <c r="BA313" i="4"/>
  <c r="BA314" i="4"/>
  <c r="BA315" i="4"/>
  <c r="BA316" i="4"/>
  <c r="BA317" i="4"/>
  <c r="BA318" i="4"/>
  <c r="BA319" i="4"/>
  <c r="BA320" i="4"/>
  <c r="BA321" i="4"/>
  <c r="BA322" i="4"/>
  <c r="BA323" i="4"/>
  <c r="BA324" i="4"/>
  <c r="BA325" i="4"/>
  <c r="BA326" i="4"/>
  <c r="BA327" i="4"/>
  <c r="BA328" i="4"/>
  <c r="BA329" i="4"/>
  <c r="BA330" i="4"/>
  <c r="BA331" i="4"/>
  <c r="BA332" i="4"/>
  <c r="BA333" i="4"/>
  <c r="BA334" i="4"/>
  <c r="BA335" i="4"/>
  <c r="BA336" i="4"/>
  <c r="BA337" i="4"/>
  <c r="BA338" i="4"/>
  <c r="BA339" i="4"/>
  <c r="BA340" i="4"/>
  <c r="BA341" i="4"/>
  <c r="BA342" i="4"/>
  <c r="BA343" i="4"/>
  <c r="BA344" i="4"/>
  <c r="BA345" i="4"/>
  <c r="BA346" i="4"/>
  <c r="BA347" i="4"/>
  <c r="BA348" i="4"/>
  <c r="BA349" i="4"/>
  <c r="BA350" i="4"/>
  <c r="BA351" i="4"/>
  <c r="BA352" i="4"/>
  <c r="BA353" i="4"/>
  <c r="BA354" i="4"/>
  <c r="BA355" i="4"/>
  <c r="BA356" i="4"/>
  <c r="BA357" i="4"/>
  <c r="BA358" i="4"/>
  <c r="BA359" i="4"/>
  <c r="BA360" i="4"/>
  <c r="BA361" i="4"/>
  <c r="BA362" i="4"/>
  <c r="BA363" i="4"/>
  <c r="BA364" i="4"/>
  <c r="BA365" i="4"/>
  <c r="BA366" i="4"/>
  <c r="BA367" i="4"/>
  <c r="BA368" i="4"/>
  <c r="BA369" i="4"/>
  <c r="BA370" i="4"/>
  <c r="BA371" i="4"/>
  <c r="BA372" i="4"/>
  <c r="BA373" i="4"/>
  <c r="BA374" i="4"/>
  <c r="BA375" i="4"/>
  <c r="BA376" i="4"/>
  <c r="BA377" i="4"/>
  <c r="BA378" i="4"/>
  <c r="BA379" i="4"/>
  <c r="BA380" i="4"/>
  <c r="BA381" i="4"/>
  <c r="BA382" i="4"/>
  <c r="BA383" i="4"/>
  <c r="BA384" i="4"/>
  <c r="BA385" i="4"/>
  <c r="BA386" i="4"/>
  <c r="BA387" i="4"/>
  <c r="BA388" i="4"/>
  <c r="BA389" i="4"/>
  <c r="BA390" i="4"/>
  <c r="BA391" i="4"/>
  <c r="BA392" i="4"/>
  <c r="BA393" i="4"/>
  <c r="BA394" i="4"/>
  <c r="BA395" i="4"/>
  <c r="BA396" i="4"/>
  <c r="BA397" i="4"/>
  <c r="BA398" i="4"/>
  <c r="BA399" i="4"/>
  <c r="BA400" i="4"/>
  <c r="BA401" i="4"/>
  <c r="BA402" i="4"/>
  <c r="BA403" i="4"/>
  <c r="BA404" i="4"/>
  <c r="BA405" i="4"/>
  <c r="BA406" i="4"/>
  <c r="BA407" i="4"/>
  <c r="BA408" i="4"/>
  <c r="BA409" i="4"/>
  <c r="BA28" i="4"/>
  <c r="BA20" i="4"/>
  <c r="BA26" i="4"/>
  <c r="BA22" i="4"/>
  <c r="BA18" i="4"/>
  <c r="I14" i="30"/>
  <c r="E17" i="30"/>
  <c r="D17" i="30"/>
  <c r="C17" i="30"/>
  <c r="W54" i="31"/>
  <c r="M25" i="27"/>
  <c r="J6" i="35"/>
  <c r="B6" i="35"/>
  <c r="G5" i="35"/>
  <c r="K4" i="35"/>
  <c r="B9" i="35"/>
  <c r="A5" i="27"/>
  <c r="B5" i="27"/>
  <c r="C5" i="27" s="1"/>
  <c r="A6" i="27"/>
  <c r="B6" i="27"/>
  <c r="A8" i="27"/>
  <c r="B8" i="27"/>
  <c r="C8" i="27" s="1"/>
  <c r="A10" i="27"/>
  <c r="B10" i="27"/>
  <c r="E10" i="27" s="1"/>
  <c r="A11" i="27"/>
  <c r="B11" i="27"/>
  <c r="C11" i="27" s="1"/>
  <c r="A15" i="27"/>
  <c r="B15" i="27"/>
  <c r="G11" i="27"/>
  <c r="M19" i="27"/>
  <c r="E19" i="27" s="1"/>
  <c r="V6" i="31"/>
  <c r="W9" i="31"/>
  <c r="AG287" i="4"/>
  <c r="AG291" i="4"/>
  <c r="AG295" i="4"/>
  <c r="AG299" i="4"/>
  <c r="AG303" i="4"/>
  <c r="AG307" i="4"/>
  <c r="AG311" i="4"/>
  <c r="AG315" i="4"/>
  <c r="AG319" i="4"/>
  <c r="AG323" i="4"/>
  <c r="AG327" i="4"/>
  <c r="AG331" i="4"/>
  <c r="AG335" i="4"/>
  <c r="AG339" i="4"/>
  <c r="AG343" i="4"/>
  <c r="AG347" i="4"/>
  <c r="AG351" i="4"/>
  <c r="AG355" i="4"/>
  <c r="AG359" i="4"/>
  <c r="AG363" i="4"/>
  <c r="AG367" i="4"/>
  <c r="AG371" i="4"/>
  <c r="AG375" i="4"/>
  <c r="AG379" i="4"/>
  <c r="AG383" i="4"/>
  <c r="AG387" i="4"/>
  <c r="AG391" i="4"/>
  <c r="AG395" i="4"/>
  <c r="AG399" i="4"/>
  <c r="AG403" i="4"/>
  <c r="AG407" i="4"/>
  <c r="AG320" i="4"/>
  <c r="AG344" i="4"/>
  <c r="AG352" i="4"/>
  <c r="AG356" i="4"/>
  <c r="AG364" i="4"/>
  <c r="AG368" i="4"/>
  <c r="AN368" i="4" s="1"/>
  <c r="BL368" i="4" s="1"/>
  <c r="AG376" i="4"/>
  <c r="AG380" i="4"/>
  <c r="AG388" i="4"/>
  <c r="AG392" i="4"/>
  <c r="AG284" i="4"/>
  <c r="AG288" i="4"/>
  <c r="AG292" i="4"/>
  <c r="AG296" i="4"/>
  <c r="AG300" i="4"/>
  <c r="AG304" i="4"/>
  <c r="AG308" i="4"/>
  <c r="AG312" i="4"/>
  <c r="AG316" i="4"/>
  <c r="AN316" i="4" s="1"/>
  <c r="BL316" i="4" s="1"/>
  <c r="AG324" i="4"/>
  <c r="AG328" i="4"/>
  <c r="AG332" i="4"/>
  <c r="AG336" i="4"/>
  <c r="AG340" i="4"/>
  <c r="AG348" i="4"/>
  <c r="AG360" i="4"/>
  <c r="AG372" i="4"/>
  <c r="AG285" i="4"/>
  <c r="AG289" i="4"/>
  <c r="AG293" i="4"/>
  <c r="AG297" i="4"/>
  <c r="AG301" i="4"/>
  <c r="AG305" i="4"/>
  <c r="AG309" i="4"/>
  <c r="AG313" i="4"/>
  <c r="AG317" i="4"/>
  <c r="AG321" i="4"/>
  <c r="AG325" i="4"/>
  <c r="AG329" i="4"/>
  <c r="AG333" i="4"/>
  <c r="AG337" i="4"/>
  <c r="AG341" i="4"/>
  <c r="AG345" i="4"/>
  <c r="AG349" i="4"/>
  <c r="AG353" i="4"/>
  <c r="AG357" i="4"/>
  <c r="AG361" i="4"/>
  <c r="AN361" i="4" s="1"/>
  <c r="BL361" i="4" s="1"/>
  <c r="AG365" i="4"/>
  <c r="AG369" i="4"/>
  <c r="AG373" i="4"/>
  <c r="AG377" i="4"/>
  <c r="AG381" i="4"/>
  <c r="AG385" i="4"/>
  <c r="AG389" i="4"/>
  <c r="AG393" i="4"/>
  <c r="AG397" i="4"/>
  <c r="AG401" i="4"/>
  <c r="AG405" i="4"/>
  <c r="AG409" i="4"/>
  <c r="AG290" i="4"/>
  <c r="AG306" i="4"/>
  <c r="AG322" i="4"/>
  <c r="AG338" i="4"/>
  <c r="AG354" i="4"/>
  <c r="AG370" i="4"/>
  <c r="AG384" i="4"/>
  <c r="AG396" i="4"/>
  <c r="AG404" i="4"/>
  <c r="AG382" i="4"/>
  <c r="AG294" i="4"/>
  <c r="AG310" i="4"/>
  <c r="AG326" i="4"/>
  <c r="AG342" i="4"/>
  <c r="AG358" i="4"/>
  <c r="AG374" i="4"/>
  <c r="AG386" i="4"/>
  <c r="AG398" i="4"/>
  <c r="AG406" i="4"/>
  <c r="AG286" i="4"/>
  <c r="AG318" i="4"/>
  <c r="AG350" i="4"/>
  <c r="AG394" i="4"/>
  <c r="AG410" i="4"/>
  <c r="AG298" i="4"/>
  <c r="AG314" i="4"/>
  <c r="AG330" i="4"/>
  <c r="AG346" i="4"/>
  <c r="AN346" i="4" s="1"/>
  <c r="BL346" i="4" s="1"/>
  <c r="AG362" i="4"/>
  <c r="AG378" i="4"/>
  <c r="AG390" i="4"/>
  <c r="AG400" i="4"/>
  <c r="AG408" i="4"/>
  <c r="AG302" i="4"/>
  <c r="AG334" i="4"/>
  <c r="AG366" i="4"/>
  <c r="AG402" i="4"/>
  <c r="AN13" i="4"/>
  <c r="BL13" i="4" s="1"/>
  <c r="AN29" i="4"/>
  <c r="BL29" i="4" s="1"/>
  <c r="AN45" i="4"/>
  <c r="BL45" i="4" s="1"/>
  <c r="AN61" i="4"/>
  <c r="BL61" i="4" s="1"/>
  <c r="AN77" i="4"/>
  <c r="BL77" i="4" s="1"/>
  <c r="AN93" i="4"/>
  <c r="BL93" i="4" s="1"/>
  <c r="AN109" i="4"/>
  <c r="BL109" i="4" s="1"/>
  <c r="AN125" i="4"/>
  <c r="BL125" i="4" s="1"/>
  <c r="AN141" i="4"/>
  <c r="BL141" i="4" s="1"/>
  <c r="AN157" i="4"/>
  <c r="BL157" i="4" s="1"/>
  <c r="AN173" i="4"/>
  <c r="BL173" i="4" s="1"/>
  <c r="AN189" i="4"/>
  <c r="BL189" i="4" s="1"/>
  <c r="AN205" i="4"/>
  <c r="BL205" i="4" s="1"/>
  <c r="AN221" i="4"/>
  <c r="BL221" i="4" s="1"/>
  <c r="AN237" i="4"/>
  <c r="BL237" i="4" s="1"/>
  <c r="AN269" i="4"/>
  <c r="BL269" i="4" s="1"/>
  <c r="AF285" i="4"/>
  <c r="AF301" i="4"/>
  <c r="AN301" i="4" s="1"/>
  <c r="BL301" i="4" s="1"/>
  <c r="AF317" i="4"/>
  <c r="AF333" i="4"/>
  <c r="AN333" i="4" s="1"/>
  <c r="BL333" i="4" s="1"/>
  <c r="AF349" i="4"/>
  <c r="AN26" i="4"/>
  <c r="BL26" i="4" s="1"/>
  <c r="AN42" i="4"/>
  <c r="BL42" i="4" s="1"/>
  <c r="AN58" i="4"/>
  <c r="BL58" i="4" s="1"/>
  <c r="AN74" i="4"/>
  <c r="BL74" i="4" s="1"/>
  <c r="AN90" i="4"/>
  <c r="BL90" i="4" s="1"/>
  <c r="AN138" i="4"/>
  <c r="BL138" i="4" s="1"/>
  <c r="AN154" i="4"/>
  <c r="BL154" i="4" s="1"/>
  <c r="AN170" i="4"/>
  <c r="BL170" i="4" s="1"/>
  <c r="AN186" i="4"/>
  <c r="BL186" i="4" s="1"/>
  <c r="AN202" i="4"/>
  <c r="BL202" i="4" s="1"/>
  <c r="AN218" i="4"/>
  <c r="BL218" i="4" s="1"/>
  <c r="AN234" i="4"/>
  <c r="BL234" i="4" s="1"/>
  <c r="AN250" i="4"/>
  <c r="BL250" i="4" s="1"/>
  <c r="AN266" i="4"/>
  <c r="BL266" i="4" s="1"/>
  <c r="AN282" i="4"/>
  <c r="BL282" i="4" s="1"/>
  <c r="AF298" i="4"/>
  <c r="AF314" i="4"/>
  <c r="AN314" i="4" s="1"/>
  <c r="BL314" i="4" s="1"/>
  <c r="AF330" i="4"/>
  <c r="AF346" i="4"/>
  <c r="AN23" i="4"/>
  <c r="BL23" i="4" s="1"/>
  <c r="AN39" i="4"/>
  <c r="BL39" i="4" s="1"/>
  <c r="AN55" i="4"/>
  <c r="BL55" i="4" s="1"/>
  <c r="AN71" i="4"/>
  <c r="BL71" i="4" s="1"/>
  <c r="AN87" i="4"/>
  <c r="BL87" i="4" s="1"/>
  <c r="AN103" i="4"/>
  <c r="BL103" i="4" s="1"/>
  <c r="AN119" i="4"/>
  <c r="BL119" i="4" s="1"/>
  <c r="AN135" i="4"/>
  <c r="BL135" i="4" s="1"/>
  <c r="AN151" i="4"/>
  <c r="BL151" i="4" s="1"/>
  <c r="AN167" i="4"/>
  <c r="BL167" i="4" s="1"/>
  <c r="AN183" i="4"/>
  <c r="BL183" i="4" s="1"/>
  <c r="AN199" i="4"/>
  <c r="BL199" i="4" s="1"/>
  <c r="AN231" i="4"/>
  <c r="BL231" i="4" s="1"/>
  <c r="AN263" i="4"/>
  <c r="BL263" i="4" s="1"/>
  <c r="AF295" i="4"/>
  <c r="AF311" i="4"/>
  <c r="AF327" i="4"/>
  <c r="AF343" i="4"/>
  <c r="AN20" i="4"/>
  <c r="BL20" i="4" s="1"/>
  <c r="AN36" i="4"/>
  <c r="BL36" i="4" s="1"/>
  <c r="AN52" i="4"/>
  <c r="BL52" i="4" s="1"/>
  <c r="AN84" i="4"/>
  <c r="BL84" i="4" s="1"/>
  <c r="AN100" i="4"/>
  <c r="BL100" i="4" s="1"/>
  <c r="AN116" i="4"/>
  <c r="BL116" i="4" s="1"/>
  <c r="AN132" i="4"/>
  <c r="BL132" i="4" s="1"/>
  <c r="AN164" i="4"/>
  <c r="BL164" i="4" s="1"/>
  <c r="AN180" i="4"/>
  <c r="BL180" i="4" s="1"/>
  <c r="AN196" i="4"/>
  <c r="BL196" i="4" s="1"/>
  <c r="AN212" i="4"/>
  <c r="BL212" i="4" s="1"/>
  <c r="AN228" i="4"/>
  <c r="BL228" i="4" s="1"/>
  <c r="AN244" i="4"/>
  <c r="BL244" i="4" s="1"/>
  <c r="AN260" i="4"/>
  <c r="BL260" i="4" s="1"/>
  <c r="AN276" i="4"/>
  <c r="BL276" i="4" s="1"/>
  <c r="AF292" i="4"/>
  <c r="AF308" i="4"/>
  <c r="AN308" i="4" s="1"/>
  <c r="BL308" i="4" s="1"/>
  <c r="AF324" i="4"/>
  <c r="AN324" i="4" s="1"/>
  <c r="BL324" i="4" s="1"/>
  <c r="AF340" i="4"/>
  <c r="AF356" i="4"/>
  <c r="AN356" i="4" s="1"/>
  <c r="BL356" i="4" s="1"/>
  <c r="AF372" i="4"/>
  <c r="AN372" i="4" s="1"/>
  <c r="BL372" i="4" s="1"/>
  <c r="AF388" i="4"/>
  <c r="AF404" i="4"/>
  <c r="AF357" i="4"/>
  <c r="AN357" i="4" s="1"/>
  <c r="BL357" i="4" s="1"/>
  <c r="AF373" i="4"/>
  <c r="AF389" i="4"/>
  <c r="AF405" i="4"/>
  <c r="AF358" i="4"/>
  <c r="AN358" i="4" s="1"/>
  <c r="BL358" i="4" s="1"/>
  <c r="AF374" i="4"/>
  <c r="AN374" i="4" s="1"/>
  <c r="BL374" i="4" s="1"/>
  <c r="AF390" i="4"/>
  <c r="AF406" i="4"/>
  <c r="AF387" i="4"/>
  <c r="AF391" i="4"/>
  <c r="AF363" i="4"/>
  <c r="AN363" i="4" s="1"/>
  <c r="BL363" i="4" s="1"/>
  <c r="AF367" i="4"/>
  <c r="AN38" i="4"/>
  <c r="BL38" i="4" s="1"/>
  <c r="AF339" i="4"/>
  <c r="AN176" i="4"/>
  <c r="BL176" i="4" s="1"/>
  <c r="AN256" i="4"/>
  <c r="BL256" i="4" s="1"/>
  <c r="AF336" i="4"/>
  <c r="AF400" i="4"/>
  <c r="AF385" i="4"/>
  <c r="AN385" i="4" s="1"/>
  <c r="BL385" i="4" s="1"/>
  <c r="AF402" i="4"/>
  <c r="AN402" i="4" s="1"/>
  <c r="BL402" i="4" s="1"/>
  <c r="AF399" i="4"/>
  <c r="AN17" i="4"/>
  <c r="BL17" i="4" s="1"/>
  <c r="AN33" i="4"/>
  <c r="BL33" i="4" s="1"/>
  <c r="AN49" i="4"/>
  <c r="BL49" i="4" s="1"/>
  <c r="AN65" i="4"/>
  <c r="BL65" i="4" s="1"/>
  <c r="AN81" i="4"/>
  <c r="BL81" i="4" s="1"/>
  <c r="AN97" i="4"/>
  <c r="BL97" i="4" s="1"/>
  <c r="AN113" i="4"/>
  <c r="BL113" i="4" s="1"/>
  <c r="AN129" i="4"/>
  <c r="BL129" i="4" s="1"/>
  <c r="AN145" i="4"/>
  <c r="BL145" i="4" s="1"/>
  <c r="AN161" i="4"/>
  <c r="BL161" i="4" s="1"/>
  <c r="AN177" i="4"/>
  <c r="BL177" i="4" s="1"/>
  <c r="AN193" i="4"/>
  <c r="BL193" i="4" s="1"/>
  <c r="AN209" i="4"/>
  <c r="BL209" i="4" s="1"/>
  <c r="AN225" i="4"/>
  <c r="BL225" i="4" s="1"/>
  <c r="AN257" i="4"/>
  <c r="BL257" i="4" s="1"/>
  <c r="AN273" i="4"/>
  <c r="BL273" i="4" s="1"/>
  <c r="AF289" i="4"/>
  <c r="AF305" i="4"/>
  <c r="AN305" i="4" s="1"/>
  <c r="BL305" i="4" s="1"/>
  <c r="AF321" i="4"/>
  <c r="AF337" i="4"/>
  <c r="AN337" i="4" s="1"/>
  <c r="BL337" i="4" s="1"/>
  <c r="AN62" i="4"/>
  <c r="BL62" i="4" s="1"/>
  <c r="AN110" i="4"/>
  <c r="BL110" i="4" s="1"/>
  <c r="AN126" i="4"/>
  <c r="BL126" i="4" s="1"/>
  <c r="AN142" i="4"/>
  <c r="BL142" i="4" s="1"/>
  <c r="AN158" i="4"/>
  <c r="BL158" i="4" s="1"/>
  <c r="AN174" i="4"/>
  <c r="BL174" i="4" s="1"/>
  <c r="AN190" i="4"/>
  <c r="BL190" i="4" s="1"/>
  <c r="AN206" i="4"/>
  <c r="BL206" i="4" s="1"/>
  <c r="AN238" i="4"/>
  <c r="BL238" i="4" s="1"/>
  <c r="AN254" i="4"/>
  <c r="BL254" i="4" s="1"/>
  <c r="AN270" i="4"/>
  <c r="BL270" i="4" s="1"/>
  <c r="AF286" i="4"/>
  <c r="AF302" i="4"/>
  <c r="AN302" i="4" s="1"/>
  <c r="BL302" i="4" s="1"/>
  <c r="AF318" i="4"/>
  <c r="AN318" i="4" s="1"/>
  <c r="BL318" i="4" s="1"/>
  <c r="AF334" i="4"/>
  <c r="AF350" i="4"/>
  <c r="AN350" i="4" s="1"/>
  <c r="BL350" i="4" s="1"/>
  <c r="AN43" i="4"/>
  <c r="BL43" i="4" s="1"/>
  <c r="AN107" i="4"/>
  <c r="BL107" i="4"/>
  <c r="AN123" i="4"/>
  <c r="BL123" i="4" s="1"/>
  <c r="AN155" i="4"/>
  <c r="BL155" i="4"/>
  <c r="AN171" i="4"/>
  <c r="BL171" i="4" s="1"/>
  <c r="AN187" i="4"/>
  <c r="BL187" i="4"/>
  <c r="AN203" i="4"/>
  <c r="BL203" i="4" s="1"/>
  <c r="AN219" i="4"/>
  <c r="BL219" i="4"/>
  <c r="AN235" i="4"/>
  <c r="BL235" i="4" s="1"/>
  <c r="AN251" i="4"/>
  <c r="BL251" i="4"/>
  <c r="AN283" i="4"/>
  <c r="BL283" i="4" s="1"/>
  <c r="AF299" i="4"/>
  <c r="AN299" i="4" s="1"/>
  <c r="BL299" i="4" s="1"/>
  <c r="AF315" i="4"/>
  <c r="AN315" i="4" s="1"/>
  <c r="BL315" i="4" s="1"/>
  <c r="AF331" i="4"/>
  <c r="AN331" i="4" s="1"/>
  <c r="BL331" i="4" s="1"/>
  <c r="AF347" i="4"/>
  <c r="AN24" i="4"/>
  <c r="BL24" i="4" s="1"/>
  <c r="AN56" i="4"/>
  <c r="BL56" i="4" s="1"/>
  <c r="AN72" i="4"/>
  <c r="BL72" i="4" s="1"/>
  <c r="AN88" i="4"/>
  <c r="BL88" i="4" s="1"/>
  <c r="AN104" i="4"/>
  <c r="BL104" i="4" s="1"/>
  <c r="AN120" i="4"/>
  <c r="BL120" i="4" s="1"/>
  <c r="AN136" i="4"/>
  <c r="BL136" i="4" s="1"/>
  <c r="AN152" i="4"/>
  <c r="BL152" i="4" s="1"/>
  <c r="AN168" i="4"/>
  <c r="BL168" i="4" s="1"/>
  <c r="AN200" i="4"/>
  <c r="BL200" i="4" s="1"/>
  <c r="AN216" i="4"/>
  <c r="BL216" i="4" s="1"/>
  <c r="AN232" i="4"/>
  <c r="BL232" i="4" s="1"/>
  <c r="AN248" i="4"/>
  <c r="BL248" i="4" s="1"/>
  <c r="AN264" i="4"/>
  <c r="BL264" i="4" s="1"/>
  <c r="AN280" i="4"/>
  <c r="BL280" i="4" s="1"/>
  <c r="AF296" i="4"/>
  <c r="AF312" i="4"/>
  <c r="AF328" i="4"/>
  <c r="AN328" i="4" s="1"/>
  <c r="BL328" i="4" s="1"/>
  <c r="AF344" i="4"/>
  <c r="AF360" i="4"/>
  <c r="AF376" i="4"/>
  <c r="AN376" i="4" s="1"/>
  <c r="BL376" i="4" s="1"/>
  <c r="AF392" i="4"/>
  <c r="AF408" i="4"/>
  <c r="AN408" i="4" s="1"/>
  <c r="BL408" i="4" s="1"/>
  <c r="AF361" i="4"/>
  <c r="AF377" i="4"/>
  <c r="AN377" i="4" s="1"/>
  <c r="BL377" i="4" s="1"/>
  <c r="AF393" i="4"/>
  <c r="AF409" i="4"/>
  <c r="AF362" i="4"/>
  <c r="AF378" i="4"/>
  <c r="AN378" i="4" s="1"/>
  <c r="BL378" i="4" s="1"/>
  <c r="AF394" i="4"/>
  <c r="AF410" i="4"/>
  <c r="AF403" i="4"/>
  <c r="AF407" i="4"/>
  <c r="AF379" i="4"/>
  <c r="AN379" i="4" s="1"/>
  <c r="BL379" i="4" s="1"/>
  <c r="AN41" i="4"/>
  <c r="BL41" i="4" s="1"/>
  <c r="AN121" i="4"/>
  <c r="BL121" i="4" s="1"/>
  <c r="AN153" i="4"/>
  <c r="BL153" i="4" s="1"/>
  <c r="AN217" i="4"/>
  <c r="BL217" i="4" s="1"/>
  <c r="AN249" i="4"/>
  <c r="BL249" i="4" s="1"/>
  <c r="AF297" i="4"/>
  <c r="AF329" i="4"/>
  <c r="AN22" i="4"/>
  <c r="BL22" i="4" s="1"/>
  <c r="AN70" i="4"/>
  <c r="BL70" i="4" s="1"/>
  <c r="AN102" i="4"/>
  <c r="BL102" i="4" s="1"/>
  <c r="AN166" i="4"/>
  <c r="BL166" i="4" s="1"/>
  <c r="AN198" i="4"/>
  <c r="BL198" i="4" s="1"/>
  <c r="AN230" i="4"/>
  <c r="BL230" i="4" s="1"/>
  <c r="AN262" i="4"/>
  <c r="BL262" i="4" s="1"/>
  <c r="AF310" i="4"/>
  <c r="AF342" i="4"/>
  <c r="AN342" i="4" s="1"/>
  <c r="BL342" i="4" s="1"/>
  <c r="AN35" i="4"/>
  <c r="BL35" i="4" s="1"/>
  <c r="AN67" i="4"/>
  <c r="BL67" i="4" s="1"/>
  <c r="AN131" i="4"/>
  <c r="BL131" i="4" s="1"/>
  <c r="AN163" i="4"/>
  <c r="BL163" i="4" s="1"/>
  <c r="AN195" i="4"/>
  <c r="BL195" i="4" s="1"/>
  <c r="AN227" i="4"/>
  <c r="BL227" i="4" s="1"/>
  <c r="AF307" i="4"/>
  <c r="AN16" i="4"/>
  <c r="BL16" i="4" s="1"/>
  <c r="AN48" i="4"/>
  <c r="BL48" i="4"/>
  <c r="AN80" i="4"/>
  <c r="BL80" i="4" s="1"/>
  <c r="AN112" i="4"/>
  <c r="BL112" i="4"/>
  <c r="AF288" i="4"/>
  <c r="AF320" i="4"/>
  <c r="AN320" i="4" s="1"/>
  <c r="AF368" i="4"/>
  <c r="AF353" i="4"/>
  <c r="AN353" i="4" s="1"/>
  <c r="BL353" i="4" s="1"/>
  <c r="AF401" i="4"/>
  <c r="AN401" i="4" s="1"/>
  <c r="BL401" i="4" s="1"/>
  <c r="AF386" i="4"/>
  <c r="AF375" i="4"/>
  <c r="AN21" i="4"/>
  <c r="BL21" i="4" s="1"/>
  <c r="AN37" i="4"/>
  <c r="BL37" i="4" s="1"/>
  <c r="AN53" i="4"/>
  <c r="BL53" i="4" s="1"/>
  <c r="AN69" i="4"/>
  <c r="BL69" i="4" s="1"/>
  <c r="AN85" i="4"/>
  <c r="BL85" i="4" s="1"/>
  <c r="AN101" i="4"/>
  <c r="BL101" i="4" s="1"/>
  <c r="AN133" i="4"/>
  <c r="BL133" i="4" s="1"/>
  <c r="AN165" i="4"/>
  <c r="BL165" i="4" s="1"/>
  <c r="AN197" i="4"/>
  <c r="BL197" i="4" s="1"/>
  <c r="AN213" i="4"/>
  <c r="BL213" i="4" s="1"/>
  <c r="AN229" i="4"/>
  <c r="BL229" i="4" s="1"/>
  <c r="AN245" i="4"/>
  <c r="BL245" i="4" s="1"/>
  <c r="AN261" i="4"/>
  <c r="BL261" i="4" s="1"/>
  <c r="AN277" i="4"/>
  <c r="BL277" i="4" s="1"/>
  <c r="AF293" i="4"/>
  <c r="AF309" i="4"/>
  <c r="AF325" i="4"/>
  <c r="AN325" i="4" s="1"/>
  <c r="AF341" i="4"/>
  <c r="AN18" i="4"/>
  <c r="BL18" i="4" s="1"/>
  <c r="AN34" i="4"/>
  <c r="BL34" i="4" s="1"/>
  <c r="AN50" i="4"/>
  <c r="BL50" i="4" s="1"/>
  <c r="AN66" i="4"/>
  <c r="BL66" i="4" s="1"/>
  <c r="AN82" i="4"/>
  <c r="BL82" i="4" s="1"/>
  <c r="AN98" i="4"/>
  <c r="BL98" i="4" s="1"/>
  <c r="AN114" i="4"/>
  <c r="BL114" i="4" s="1"/>
  <c r="AN130" i="4"/>
  <c r="BL130" i="4" s="1"/>
  <c r="AN146" i="4"/>
  <c r="BL146" i="4" s="1"/>
  <c r="AN162" i="4"/>
  <c r="BL162" i="4" s="1"/>
  <c r="AN194" i="4"/>
  <c r="BL194" i="4" s="1"/>
  <c r="AN210" i="4"/>
  <c r="BL210" i="4" s="1"/>
  <c r="AN226" i="4"/>
  <c r="BL226" i="4" s="1"/>
  <c r="AN242" i="4"/>
  <c r="BL242" i="4" s="1"/>
  <c r="AN274" i="4"/>
  <c r="BL274" i="4" s="1"/>
  <c r="AF290" i="4"/>
  <c r="AF306" i="4"/>
  <c r="AF322" i="4"/>
  <c r="AF338" i="4"/>
  <c r="AN338" i="4" s="1"/>
  <c r="BL338" i="4" s="1"/>
  <c r="AN15" i="4"/>
  <c r="BL15" i="4" s="1"/>
  <c r="AN31" i="4"/>
  <c r="BL31" i="4" s="1"/>
  <c r="AN47" i="4"/>
  <c r="BL47" i="4" s="1"/>
  <c r="AN63" i="4"/>
  <c r="BL63" i="4" s="1"/>
  <c r="AN79" i="4"/>
  <c r="BL79" i="4" s="1"/>
  <c r="AN95" i="4"/>
  <c r="BL95" i="4" s="1"/>
  <c r="AN127" i="4"/>
  <c r="BL127" i="4" s="1"/>
  <c r="AN159" i="4"/>
  <c r="BL159" i="4" s="1"/>
  <c r="AN191" i="4"/>
  <c r="BL191" i="4" s="1"/>
  <c r="AN207" i="4"/>
  <c r="BL207" i="4" s="1"/>
  <c r="AN223" i="4"/>
  <c r="BL223" i="4" s="1"/>
  <c r="AN239" i="4"/>
  <c r="BL239" i="4" s="1"/>
  <c r="AN255" i="4"/>
  <c r="BL255" i="4" s="1"/>
  <c r="AN271" i="4"/>
  <c r="BL271" i="4" s="1"/>
  <c r="AF287" i="4"/>
  <c r="AF303" i="4"/>
  <c r="AF319" i="4"/>
  <c r="AF335" i="4"/>
  <c r="AN335" i="4"/>
  <c r="BL335" i="4" s="1"/>
  <c r="AF351" i="4"/>
  <c r="AN44" i="4"/>
  <c r="BL44" i="4" s="1"/>
  <c r="AN60" i="4"/>
  <c r="BL60" i="4" s="1"/>
  <c r="AN76" i="4"/>
  <c r="BL76" i="4" s="1"/>
  <c r="AN108" i="4"/>
  <c r="BL108" i="4" s="1"/>
  <c r="AN124" i="4"/>
  <c r="BL124" i="4" s="1"/>
  <c r="AN140" i="4"/>
  <c r="BL140" i="4" s="1"/>
  <c r="AN172" i="4"/>
  <c r="BL172" i="4" s="1"/>
  <c r="AN220" i="4"/>
  <c r="BL220" i="4" s="1"/>
  <c r="AN236" i="4"/>
  <c r="BL236" i="4" s="1"/>
  <c r="AN252" i="4"/>
  <c r="BL252" i="4" s="1"/>
  <c r="AF284" i="4"/>
  <c r="AN284" i="4" s="1"/>
  <c r="BL284" i="4" s="1"/>
  <c r="AF300" i="4"/>
  <c r="AF316" i="4"/>
  <c r="AF332" i="4"/>
  <c r="AF348" i="4"/>
  <c r="AN348" i="4" s="1"/>
  <c r="BL348" i="4" s="1"/>
  <c r="AF364" i="4"/>
  <c r="AF380" i="4"/>
  <c r="AF396" i="4"/>
  <c r="AN12" i="4"/>
  <c r="BL12" i="4"/>
  <c r="AF365" i="4"/>
  <c r="AF381" i="4"/>
  <c r="AF397" i="4"/>
  <c r="AF366" i="4"/>
  <c r="AF382" i="4"/>
  <c r="AF398" i="4"/>
  <c r="AN398" i="4" s="1"/>
  <c r="BL398" i="4" s="1"/>
  <c r="AF355" i="4"/>
  <c r="AF359" i="4"/>
  <c r="AN359" i="4" s="1"/>
  <c r="BL359" i="4" s="1"/>
  <c r="AF383" i="4"/>
  <c r="AN383" i="4" s="1"/>
  <c r="BL383" i="4" s="1"/>
  <c r="AF395" i="4"/>
  <c r="AN73" i="4"/>
  <c r="BL73" i="4" s="1"/>
  <c r="AN105" i="4"/>
  <c r="BL105" i="4" s="1"/>
  <c r="AN137" i="4"/>
  <c r="BL137" i="4" s="1"/>
  <c r="AN201" i="4"/>
  <c r="BL201" i="4" s="1"/>
  <c r="AN233" i="4"/>
  <c r="BL233" i="4" s="1"/>
  <c r="AN265" i="4"/>
  <c r="BL265" i="4" s="1"/>
  <c r="AF313" i="4"/>
  <c r="AF345" i="4"/>
  <c r="AN345" i="4" s="1"/>
  <c r="BL345" i="4" s="1"/>
  <c r="AN54" i="4"/>
  <c r="BL54" i="4" s="1"/>
  <c r="AN86" i="4"/>
  <c r="BL86" i="4"/>
  <c r="AN118" i="4"/>
  <c r="BL118" i="4" s="1"/>
  <c r="AN150" i="4"/>
  <c r="BL150" i="4"/>
  <c r="AN246" i="4"/>
  <c r="BL246" i="4" s="1"/>
  <c r="AN278" i="4"/>
  <c r="BL278" i="4"/>
  <c r="AF294" i="4"/>
  <c r="AF326" i="4"/>
  <c r="AN326" i="4" s="1"/>
  <c r="BL326" i="4" s="1"/>
  <c r="AN19" i="4"/>
  <c r="BL19" i="4"/>
  <c r="AN51" i="4"/>
  <c r="BL51" i="4" s="1"/>
  <c r="AN83" i="4"/>
  <c r="BL83" i="4"/>
  <c r="AN115" i="4"/>
  <c r="BL115" i="4" s="1"/>
  <c r="AN147" i="4"/>
  <c r="BL147" i="4"/>
  <c r="AN179" i="4"/>
  <c r="BL179" i="4" s="1"/>
  <c r="AN211" i="4"/>
  <c r="BL211" i="4"/>
  <c r="AN243" i="4"/>
  <c r="BL243" i="4" s="1"/>
  <c r="AN275" i="4"/>
  <c r="BL275" i="4"/>
  <c r="AF291" i="4"/>
  <c r="AF323" i="4"/>
  <c r="AN32" i="4"/>
  <c r="BL32" i="4"/>
  <c r="AN64" i="4"/>
  <c r="BL64" i="4" s="1"/>
  <c r="AN96" i="4"/>
  <c r="BL96" i="4"/>
  <c r="AN128" i="4"/>
  <c r="BL128" i="4" s="1"/>
  <c r="AN160" i="4"/>
  <c r="BL160" i="4"/>
  <c r="AN192" i="4"/>
  <c r="BL192" i="4" s="1"/>
  <c r="AN224" i="4"/>
  <c r="BL224" i="4"/>
  <c r="AN272" i="4"/>
  <c r="BL272" i="4" s="1"/>
  <c r="AF304" i="4"/>
  <c r="AF352" i="4"/>
  <c r="AN352" i="4" s="1"/>
  <c r="BL352" i="4" s="1"/>
  <c r="AF384" i="4"/>
  <c r="AF369" i="4"/>
  <c r="AN369" i="4" s="1"/>
  <c r="AF354" i="4"/>
  <c r="AF370" i="4"/>
  <c r="AN370" i="4" s="1"/>
  <c r="BL370" i="4" s="1"/>
  <c r="AF371" i="4"/>
  <c r="T8" i="4"/>
  <c r="Y8" i="4"/>
  <c r="X8" i="4"/>
  <c r="V8" i="4"/>
  <c r="S8" i="4"/>
  <c r="A10" i="30"/>
  <c r="A8" i="30"/>
  <c r="A6" i="30"/>
  <c r="A5" i="30"/>
  <c r="BL11" i="4"/>
  <c r="BL369" i="4"/>
  <c r="BL325" i="4"/>
  <c r="AN291" i="4"/>
  <c r="BL291" i="4" s="1"/>
  <c r="BL320" i="4"/>
  <c r="AN371" i="4"/>
  <c r="BL371" i="4" s="1"/>
  <c r="AN214" i="4"/>
  <c r="BL214" i="4"/>
  <c r="AN281" i="4"/>
  <c r="BL281" i="4" s="1"/>
  <c r="AN169" i="4"/>
  <c r="BL169" i="4"/>
  <c r="AN25" i="4"/>
  <c r="BL25" i="4" s="1"/>
  <c r="AN156" i="4"/>
  <c r="BL156" i="4"/>
  <c r="AN92" i="4"/>
  <c r="BL92" i="4" s="1"/>
  <c r="AN28" i="4"/>
  <c r="BL28" i="4"/>
  <c r="AN175" i="4"/>
  <c r="BL175" i="4" s="1"/>
  <c r="AN111" i="4"/>
  <c r="BL111" i="4"/>
  <c r="AN258" i="4"/>
  <c r="BL258" i="4" s="1"/>
  <c r="AN149" i="4"/>
  <c r="BL149" i="4"/>
  <c r="AN240" i="4"/>
  <c r="BL240" i="4" s="1"/>
  <c r="AN259" i="4"/>
  <c r="BL259" i="4"/>
  <c r="AN91" i="4"/>
  <c r="BL91" i="4" s="1"/>
  <c r="AN27" i="4"/>
  <c r="BL27" i="4"/>
  <c r="AN46" i="4"/>
  <c r="BL46" i="4" s="1"/>
  <c r="AN247" i="4"/>
  <c r="BL247" i="4" s="1"/>
  <c r="AN182" i="4"/>
  <c r="BL182" i="4" s="1"/>
  <c r="AN268" i="4"/>
  <c r="BL268" i="4" s="1"/>
  <c r="AN178" i="4"/>
  <c r="BL178" i="4" s="1"/>
  <c r="AN99" i="4"/>
  <c r="BL99" i="4"/>
  <c r="AN89" i="4"/>
  <c r="BL89" i="4" s="1"/>
  <c r="AN184" i="4"/>
  <c r="BL184" i="4" s="1"/>
  <c r="AN267" i="4"/>
  <c r="BL267" i="4" s="1"/>
  <c r="AN139" i="4"/>
  <c r="BL139" i="4" s="1"/>
  <c r="AN75" i="4"/>
  <c r="BL75" i="4" s="1"/>
  <c r="AN222" i="4"/>
  <c r="BL222" i="4"/>
  <c r="AN94" i="4"/>
  <c r="BL94" i="4" s="1"/>
  <c r="AN30" i="4"/>
  <c r="BL30" i="4"/>
  <c r="AN241" i="4"/>
  <c r="BL241" i="4" s="1"/>
  <c r="AN148" i="4"/>
  <c r="BL148" i="4"/>
  <c r="AN122" i="4"/>
  <c r="BL122" i="4" s="1"/>
  <c r="AN204" i="4"/>
  <c r="BL204" i="4"/>
  <c r="AN208" i="4"/>
  <c r="BL208" i="4" s="1"/>
  <c r="AN188" i="4"/>
  <c r="BL188" i="4" s="1"/>
  <c r="AN143" i="4"/>
  <c r="BL143" i="4" s="1"/>
  <c r="AN181" i="4"/>
  <c r="BL181" i="4" s="1"/>
  <c r="AN117" i="4"/>
  <c r="BL117" i="4" s="1"/>
  <c r="AN144" i="4"/>
  <c r="BL144" i="4" s="1"/>
  <c r="AN134" i="4"/>
  <c r="BL134" i="4" s="1"/>
  <c r="AN329" i="4"/>
  <c r="BL329" i="4" s="1"/>
  <c r="AN185" i="4"/>
  <c r="BL185" i="4" s="1"/>
  <c r="AN57" i="4"/>
  <c r="BL57" i="4" s="1"/>
  <c r="AN40" i="4"/>
  <c r="BL40" i="4" s="1"/>
  <c r="AN59" i="4"/>
  <c r="BL59" i="4" s="1"/>
  <c r="AN78" i="4"/>
  <c r="BL78" i="4" s="1"/>
  <c r="AN14" i="4"/>
  <c r="BL14" i="4" s="1"/>
  <c r="AN68" i="4"/>
  <c r="BL68" i="4" s="1"/>
  <c r="AN279" i="4"/>
  <c r="BL279" i="4" s="1"/>
  <c r="AN215" i="4"/>
  <c r="BL215" i="4"/>
  <c r="AN106" i="4"/>
  <c r="BL106" i="4" s="1"/>
  <c r="AN253" i="4"/>
  <c r="BL253" i="4"/>
  <c r="B979" i="31"/>
  <c r="B978" i="31" s="1"/>
  <c r="H17" i="30"/>
  <c r="G2" i="30" s="1"/>
  <c r="B10" i="30"/>
  <c r="E10" i="30" s="1"/>
  <c r="B5" i="30"/>
  <c r="E5" i="30" s="1"/>
  <c r="B8" i="30"/>
  <c r="E8" i="30" s="1"/>
  <c r="E12" i="30"/>
  <c r="B6" i="30"/>
  <c r="E6" i="30"/>
  <c r="J45" i="27"/>
  <c r="B14" i="31"/>
  <c r="B46" i="31"/>
  <c r="AC46" i="31" s="1"/>
  <c r="B42" i="31"/>
  <c r="B38" i="31"/>
  <c r="D38" i="31" s="1"/>
  <c r="B34" i="31"/>
  <c r="B30" i="31"/>
  <c r="B26" i="31"/>
  <c r="C26" i="31" s="1"/>
  <c r="B22" i="31"/>
  <c r="B18" i="31"/>
  <c r="F20" i="31" s="1"/>
  <c r="R7" i="31"/>
  <c r="P7" i="31"/>
  <c r="H7" i="31"/>
  <c r="F7" i="31"/>
  <c r="B10" i="31"/>
  <c r="Z45" i="27"/>
  <c r="J85" i="27"/>
  <c r="AP45" i="27"/>
  <c r="BF45" i="27"/>
  <c r="Z85" i="27"/>
  <c r="J126" i="27"/>
  <c r="BF85" i="27"/>
  <c r="AP85" i="27"/>
  <c r="J167" i="27"/>
  <c r="Z126" i="27"/>
  <c r="AP126" i="27"/>
  <c r="AP167" i="27"/>
  <c r="BF126" i="27"/>
  <c r="Z167" i="27"/>
  <c r="A1" i="31"/>
  <c r="D1" i="31"/>
  <c r="A2" i="31"/>
  <c r="D2" i="31"/>
  <c r="E2" i="31"/>
  <c r="F2" i="31"/>
  <c r="W2" i="31"/>
  <c r="A3" i="31"/>
  <c r="D3" i="31"/>
  <c r="F3" i="31"/>
  <c r="L3" i="31"/>
  <c r="A4" i="31"/>
  <c r="B4" i="31"/>
  <c r="E4" i="31"/>
  <c r="X9" i="31"/>
  <c r="BF167" i="27"/>
  <c r="B56" i="31"/>
  <c r="T56" i="31" s="1"/>
  <c r="B60" i="31"/>
  <c r="D60" i="31" s="1"/>
  <c r="B64" i="31"/>
  <c r="J64" i="31" s="1"/>
  <c r="B68" i="31"/>
  <c r="H70" i="31" s="1"/>
  <c r="B72" i="31"/>
  <c r="J73" i="31" s="1"/>
  <c r="B76" i="31"/>
  <c r="C76" i="31" s="1"/>
  <c r="B80" i="31"/>
  <c r="X81" i="31" s="1"/>
  <c r="B84" i="31"/>
  <c r="D84" i="31" s="1"/>
  <c r="B88" i="31"/>
  <c r="D88" i="31" s="1"/>
  <c r="B92" i="31"/>
  <c r="H93" i="31" s="1"/>
  <c r="B102" i="31"/>
  <c r="P104" i="31" s="1"/>
  <c r="B106" i="31"/>
  <c r="P107" i="31" s="1"/>
  <c r="B110" i="31"/>
  <c r="AO110" i="31" s="1"/>
  <c r="B114" i="31"/>
  <c r="AO114" i="31" s="1"/>
  <c r="B118" i="31"/>
  <c r="R119" i="31" s="1"/>
  <c r="B122" i="31"/>
  <c r="R123" i="31" s="1"/>
  <c r="B126" i="31"/>
  <c r="T126" i="31" s="1"/>
  <c r="B130" i="31"/>
  <c r="C130" i="31" s="1"/>
  <c r="B134" i="31"/>
  <c r="X134" i="31" s="1"/>
  <c r="B138" i="31"/>
  <c r="N138" i="31" s="1"/>
  <c r="B148" i="31"/>
  <c r="C148" i="31" s="1"/>
  <c r="B152" i="31"/>
  <c r="L154" i="31" s="1"/>
  <c r="B156" i="31"/>
  <c r="X157" i="31" s="1"/>
  <c r="B160" i="31"/>
  <c r="B164" i="31"/>
  <c r="C164" i="31" s="1"/>
  <c r="B168" i="31"/>
  <c r="B172" i="31"/>
  <c r="X174" i="31" s="1"/>
  <c r="B176" i="31"/>
  <c r="B180" i="31"/>
  <c r="H182" i="31" s="1"/>
  <c r="B184" i="31"/>
  <c r="D184" i="31" s="1"/>
  <c r="B194" i="31"/>
  <c r="W196" i="31" s="1"/>
  <c r="B198" i="31"/>
  <c r="B202" i="31"/>
  <c r="C202" i="31" s="1"/>
  <c r="B206" i="31"/>
  <c r="N208" i="31" s="1"/>
  <c r="B210" i="31"/>
  <c r="H212" i="31" s="1"/>
  <c r="B214" i="31"/>
  <c r="X215" i="31" s="1"/>
  <c r="B218" i="31"/>
  <c r="AO218" i="31" s="1"/>
  <c r="B222" i="31"/>
  <c r="D222" i="31" s="1"/>
  <c r="B226" i="31"/>
  <c r="AC226" i="31" s="1"/>
  <c r="B230" i="31"/>
  <c r="R230" i="31" s="1"/>
  <c r="B240" i="31"/>
  <c r="H240" i="31" s="1"/>
  <c r="B244" i="31"/>
  <c r="B248" i="31"/>
  <c r="J249" i="31" s="1"/>
  <c r="B252" i="31"/>
  <c r="X253" i="31" s="1"/>
  <c r="B256" i="31"/>
  <c r="D256" i="31" s="1"/>
  <c r="B260" i="31"/>
  <c r="W261" i="31" s="1"/>
  <c r="B264" i="31"/>
  <c r="J266" i="31" s="1"/>
  <c r="B268" i="31"/>
  <c r="B272" i="31"/>
  <c r="AO272" i="31" s="1"/>
  <c r="B276" i="31"/>
  <c r="C276" i="31" s="1"/>
  <c r="B286" i="31"/>
  <c r="C286" i="31" s="1"/>
  <c r="B290" i="31"/>
  <c r="R292" i="31" s="1"/>
  <c r="B294" i="31"/>
  <c r="H295" i="31" s="1"/>
  <c r="B298" i="31"/>
  <c r="AO298" i="31" s="1"/>
  <c r="B302" i="31"/>
  <c r="X304" i="31" s="1"/>
  <c r="B306" i="31"/>
  <c r="AO306" i="31" s="1"/>
  <c r="B310" i="31"/>
  <c r="C310" i="31" s="1"/>
  <c r="B314" i="31"/>
  <c r="B318" i="31"/>
  <c r="R319" i="31" s="1"/>
  <c r="B322" i="31"/>
  <c r="F324" i="31" s="1"/>
  <c r="B332" i="31"/>
  <c r="AO332" i="31" s="1"/>
  <c r="B336" i="31"/>
  <c r="D336" i="31" s="1"/>
  <c r="B340" i="31"/>
  <c r="AO340" i="31" s="1"/>
  <c r="B344" i="31"/>
  <c r="N344" i="31" s="1"/>
  <c r="B348" i="31"/>
  <c r="AO348" i="31" s="1"/>
  <c r="B352" i="31"/>
  <c r="L354" i="31" s="1"/>
  <c r="B356" i="31"/>
  <c r="L357" i="31" s="1"/>
  <c r="B360" i="31"/>
  <c r="H360" i="31" s="1"/>
  <c r="B364" i="31"/>
  <c r="J366" i="31" s="1"/>
  <c r="B368" i="31"/>
  <c r="J369" i="31" s="1"/>
  <c r="B378" i="31"/>
  <c r="X380" i="31" s="1"/>
  <c r="B382" i="31"/>
  <c r="B386" i="31"/>
  <c r="AO386" i="31" s="1"/>
  <c r="B390" i="31"/>
  <c r="B394" i="31"/>
  <c r="D394" i="31" s="1"/>
  <c r="B398" i="31"/>
  <c r="C398" i="31" s="1"/>
  <c r="B402" i="31"/>
  <c r="AO402" i="31" s="1"/>
  <c r="B406" i="31"/>
  <c r="C406" i="31" s="1"/>
  <c r="B410" i="31"/>
  <c r="AO410" i="31" s="1"/>
  <c r="B414" i="31"/>
  <c r="B424" i="31"/>
  <c r="H425" i="31" s="1"/>
  <c r="B428" i="31"/>
  <c r="C428" i="31" s="1"/>
  <c r="B432" i="31"/>
  <c r="AC432" i="31" s="1"/>
  <c r="B436" i="31"/>
  <c r="P437" i="31" s="1"/>
  <c r="B440" i="31"/>
  <c r="AO440" i="31" s="1"/>
  <c r="B444" i="31"/>
  <c r="AO444" i="31" s="1"/>
  <c r="B448" i="31"/>
  <c r="AO448" i="31" s="1"/>
  <c r="B452" i="31"/>
  <c r="C452" i="31" s="1"/>
  <c r="B456" i="31"/>
  <c r="N456" i="31" s="1"/>
  <c r="B460" i="31"/>
  <c r="B470" i="31"/>
  <c r="X470" i="31" s="1"/>
  <c r="B474" i="31"/>
  <c r="D474" i="31" s="1"/>
  <c r="B478" i="31"/>
  <c r="C478" i="31" s="1"/>
  <c r="B482" i="31"/>
  <c r="D482" i="31" s="1"/>
  <c r="B486" i="31"/>
  <c r="AO486" i="31" s="1"/>
  <c r="B490" i="31"/>
  <c r="B494" i="31"/>
  <c r="AO494" i="31" s="1"/>
  <c r="B498" i="31"/>
  <c r="D498" i="31" s="1"/>
  <c r="B502" i="31"/>
  <c r="AO502" i="31" s="1"/>
  <c r="B506" i="31"/>
  <c r="W507" i="31" s="1"/>
  <c r="B516" i="31"/>
  <c r="C516" i="31" s="1"/>
  <c r="B520" i="31"/>
  <c r="AO520" i="31" s="1"/>
  <c r="B524" i="31"/>
  <c r="D524" i="31" s="1"/>
  <c r="B528" i="31"/>
  <c r="B532" i="31"/>
  <c r="AO532" i="31" s="1"/>
  <c r="B536" i="31"/>
  <c r="B540" i="31"/>
  <c r="AO540" i="31" s="1"/>
  <c r="B544" i="31"/>
  <c r="C544" i="31" s="1"/>
  <c r="B548" i="31"/>
  <c r="AO548" i="31" s="1"/>
  <c r="B552" i="31"/>
  <c r="D552" i="31" s="1"/>
  <c r="B562" i="31"/>
  <c r="AO562" i="31" s="1"/>
  <c r="B566" i="31"/>
  <c r="B570" i="31"/>
  <c r="H570" i="31" s="1"/>
  <c r="B574" i="31"/>
  <c r="C574" i="31" s="1"/>
  <c r="B578" i="31"/>
  <c r="AO578" i="31" s="1"/>
  <c r="B582" i="31"/>
  <c r="C582" i="31" s="1"/>
  <c r="B586" i="31"/>
  <c r="C586" i="31" s="1"/>
  <c r="B590" i="31"/>
  <c r="D590" i="31" s="1"/>
  <c r="B594" i="31"/>
  <c r="D594" i="31" s="1"/>
  <c r="B598" i="31"/>
  <c r="B608" i="31"/>
  <c r="D608" i="31" s="1"/>
  <c r="B612" i="31"/>
  <c r="B616" i="31"/>
  <c r="AO616" i="31" s="1"/>
  <c r="B620" i="31"/>
  <c r="C620" i="31" s="1"/>
  <c r="B624" i="31"/>
  <c r="C624" i="31" s="1"/>
  <c r="B628" i="31"/>
  <c r="C628" i="31" s="1"/>
  <c r="B632" i="31"/>
  <c r="AO632" i="31" s="1"/>
  <c r="B636" i="31"/>
  <c r="B640" i="31"/>
  <c r="D640" i="31" s="1"/>
  <c r="B644" i="31"/>
  <c r="F645" i="31" s="1"/>
  <c r="B654" i="31"/>
  <c r="AO654" i="31" s="1"/>
  <c r="B658" i="31"/>
  <c r="AO658" i="31" s="1"/>
  <c r="B662" i="31"/>
  <c r="AO662" i="31" s="1"/>
  <c r="B666" i="31"/>
  <c r="AO666" i="31" s="1"/>
  <c r="B670" i="31"/>
  <c r="D670" i="31" s="1"/>
  <c r="B674" i="31"/>
  <c r="J675" i="31" s="1"/>
  <c r="B678" i="31"/>
  <c r="L678" i="31" s="1"/>
  <c r="B682" i="31"/>
  <c r="B686" i="31"/>
  <c r="AO686" i="31" s="1"/>
  <c r="B690" i="31"/>
  <c r="D690" i="31" s="1"/>
  <c r="B700" i="31"/>
  <c r="D700" i="31" s="1"/>
  <c r="B704" i="31"/>
  <c r="C704" i="31" s="1"/>
  <c r="B708" i="31"/>
  <c r="AO708" i="31" s="1"/>
  <c r="B712" i="31"/>
  <c r="B716" i="31"/>
  <c r="AO716" i="31" s="1"/>
  <c r="B720" i="31"/>
  <c r="C720" i="31" s="1"/>
  <c r="B724" i="31"/>
  <c r="AO724" i="31" s="1"/>
  <c r="B728" i="31"/>
  <c r="C728" i="31" s="1"/>
  <c r="B732" i="31"/>
  <c r="D732" i="31" s="1"/>
  <c r="B736" i="31"/>
  <c r="AO736" i="31" s="1"/>
  <c r="B746" i="31"/>
  <c r="W746" i="31" s="1"/>
  <c r="B750" i="31"/>
  <c r="AO750" i="31" s="1"/>
  <c r="B754" i="31"/>
  <c r="AO754" i="31" s="1"/>
  <c r="B758" i="31"/>
  <c r="B762" i="31"/>
  <c r="D762" i="31" s="1"/>
  <c r="B766" i="31"/>
  <c r="AO766" i="31" s="1"/>
  <c r="B770" i="31"/>
  <c r="AO770" i="31" s="1"/>
  <c r="B774" i="31"/>
  <c r="AO774" i="31" s="1"/>
  <c r="B778" i="31"/>
  <c r="AO778" i="31" s="1"/>
  <c r="B782" i="31"/>
  <c r="B792" i="31"/>
  <c r="H793" i="31" s="1"/>
  <c r="B796" i="31"/>
  <c r="C796" i="31" s="1"/>
  <c r="B800" i="31"/>
  <c r="C800" i="31" s="1"/>
  <c r="B804" i="31"/>
  <c r="AO804" i="31" s="1"/>
  <c r="B808" i="31"/>
  <c r="D808" i="31" s="1"/>
  <c r="B812" i="31"/>
  <c r="AO812" i="31" s="1"/>
  <c r="B816" i="31"/>
  <c r="R818" i="31" s="1"/>
  <c r="B820" i="31"/>
  <c r="B824" i="31"/>
  <c r="C824" i="31" s="1"/>
  <c r="B828" i="31"/>
  <c r="B838" i="31"/>
  <c r="AO838" i="31" s="1"/>
  <c r="B842" i="31"/>
  <c r="C842" i="31" s="1"/>
  <c r="B846" i="31"/>
  <c r="L846" i="31" s="1"/>
  <c r="B850" i="31"/>
  <c r="AO850" i="31" s="1"/>
  <c r="B854" i="31"/>
  <c r="J856" i="31" s="1"/>
  <c r="B858" i="31"/>
  <c r="B862" i="31"/>
  <c r="C862" i="31" s="1"/>
  <c r="B866" i="31"/>
  <c r="C866" i="31" s="1"/>
  <c r="B870" i="31"/>
  <c r="C870" i="31" s="1"/>
  <c r="B874" i="31"/>
  <c r="D874" i="31" s="1"/>
  <c r="B884" i="31"/>
  <c r="P886" i="31" s="1"/>
  <c r="B888" i="31"/>
  <c r="AO888" i="31" s="1"/>
  <c r="B892" i="31"/>
  <c r="D892" i="31" s="1"/>
  <c r="B896" i="31"/>
  <c r="B900" i="31"/>
  <c r="D900" i="31" s="1"/>
  <c r="B904" i="31"/>
  <c r="B908" i="31"/>
  <c r="AO908" i="31" s="1"/>
  <c r="B912" i="31"/>
  <c r="AO912" i="31" s="1"/>
  <c r="B916" i="31"/>
  <c r="AO916" i="31" s="1"/>
  <c r="B920" i="31"/>
  <c r="C920" i="31" s="1"/>
  <c r="B930" i="31"/>
  <c r="J932" i="31" s="1"/>
  <c r="B934" i="31"/>
  <c r="B938" i="31"/>
  <c r="W938" i="31" s="1"/>
  <c r="B942" i="31"/>
  <c r="AC942" i="31" s="1"/>
  <c r="B946" i="31"/>
  <c r="R947" i="31" s="1"/>
  <c r="B950" i="31"/>
  <c r="AO950" i="31" s="1"/>
  <c r="B954" i="31"/>
  <c r="N956" i="31" s="1"/>
  <c r="B958" i="31"/>
  <c r="C958" i="31" s="1"/>
  <c r="B962" i="31"/>
  <c r="J962" i="31" s="1"/>
  <c r="B966" i="31"/>
  <c r="N918" i="31"/>
  <c r="X943" i="31"/>
  <c r="B14" i="30"/>
  <c r="A14" i="30"/>
  <c r="C12" i="30"/>
  <c r="C6" i="30"/>
  <c r="C10" i="30"/>
  <c r="C8" i="30"/>
  <c r="AN313" i="4" l="1"/>
  <c r="BL313" i="4" s="1"/>
  <c r="AN396" i="4"/>
  <c r="BL396" i="4" s="1"/>
  <c r="AN403" i="4"/>
  <c r="BL403" i="4" s="1"/>
  <c r="AN382" i="4"/>
  <c r="BL382" i="4" s="1"/>
  <c r="AN306" i="4"/>
  <c r="BL306" i="4" s="1"/>
  <c r="C10" i="27"/>
  <c r="AN319" i="4"/>
  <c r="BL319" i="4" s="1"/>
  <c r="AN344" i="4"/>
  <c r="BL344" i="4" s="1"/>
  <c r="G10" i="27"/>
  <c r="M143" i="27"/>
  <c r="D136" i="27" s="1"/>
  <c r="O166" i="27"/>
  <c r="M184" i="27" s="1"/>
  <c r="AN393" i="4"/>
  <c r="BL393" i="4" s="1"/>
  <c r="AN355" i="4"/>
  <c r="BL355" i="4" s="1"/>
  <c r="AN336" i="4"/>
  <c r="BL336" i="4" s="1"/>
  <c r="AN387" i="4"/>
  <c r="BL387" i="4" s="1"/>
  <c r="AN294" i="4"/>
  <c r="BL294" i="4" s="1"/>
  <c r="AN384" i="4"/>
  <c r="BL384" i="4" s="1"/>
  <c r="AN392" i="4"/>
  <c r="BL392" i="4" s="1"/>
  <c r="AU44" i="27"/>
  <c r="BK1" i="27"/>
  <c r="AS19" i="27"/>
  <c r="AI21" i="27" s="1"/>
  <c r="AA357" i="4"/>
  <c r="BG357" i="4" s="1"/>
  <c r="AA333" i="4"/>
  <c r="BG333" i="4" s="1"/>
  <c r="AA309" i="4"/>
  <c r="BG309" i="4" s="1"/>
  <c r="AA289" i="4"/>
  <c r="BG289" i="4" s="1"/>
  <c r="AA277" i="4"/>
  <c r="BG277" i="4" s="1"/>
  <c r="BC172" i="27"/>
  <c r="AM8" i="27"/>
  <c r="C94" i="27"/>
  <c r="I94" i="27" s="1"/>
  <c r="J94" i="27" s="1"/>
  <c r="M102" i="27"/>
  <c r="F89" i="27" s="1"/>
  <c r="N92" i="27" s="1"/>
  <c r="U91" i="27"/>
  <c r="AA362" i="4"/>
  <c r="BG362" i="4" s="1"/>
  <c r="AA358" i="4"/>
  <c r="BG358" i="4" s="1"/>
  <c r="AA351" i="4"/>
  <c r="BG351" i="4" s="1"/>
  <c r="AA338" i="4"/>
  <c r="BG338" i="4" s="1"/>
  <c r="AA334" i="4"/>
  <c r="BG334" i="4" s="1"/>
  <c r="AA327" i="4"/>
  <c r="BG327" i="4" s="1"/>
  <c r="AA314" i="4"/>
  <c r="BG314" i="4" s="1"/>
  <c r="AA310" i="4"/>
  <c r="BG310" i="4" s="1"/>
  <c r="AA303" i="4"/>
  <c r="BG303" i="4" s="1"/>
  <c r="AA290" i="4"/>
  <c r="BG290" i="4" s="1"/>
  <c r="AA286" i="4"/>
  <c r="BG286" i="4" s="1"/>
  <c r="AL5" i="30"/>
  <c r="P36" i="30"/>
  <c r="C78" i="30"/>
  <c r="Y99" i="30"/>
  <c r="BC48" i="27"/>
  <c r="E94" i="27"/>
  <c r="S91" i="27"/>
  <c r="C37" i="30"/>
  <c r="N79" i="30"/>
  <c r="AJ58" i="30"/>
  <c r="Y94" i="30"/>
  <c r="AJ77" i="30"/>
  <c r="P7" i="30"/>
  <c r="G12" i="27"/>
  <c r="N10" i="4"/>
  <c r="AO55" i="27"/>
  <c r="AP55" i="27" s="1"/>
  <c r="AY48" i="27"/>
  <c r="BA93" i="27"/>
  <c r="AY130" i="27"/>
  <c r="G8" i="31"/>
  <c r="AL9" i="30"/>
  <c r="C33" i="30"/>
  <c r="AJ96" i="30"/>
  <c r="N94" i="30"/>
  <c r="N77" i="30"/>
  <c r="AL37" i="30"/>
  <c r="E12" i="27"/>
  <c r="C174" i="27"/>
  <c r="I174" i="27" s="1"/>
  <c r="J174" i="27" s="1"/>
  <c r="AM173" i="27"/>
  <c r="AY172" i="27"/>
  <c r="AP2" i="27"/>
  <c r="AN12" i="27"/>
  <c r="P30" i="30"/>
  <c r="N30" i="30"/>
  <c r="N57" i="30"/>
  <c r="P57" i="30"/>
  <c r="N72" i="30"/>
  <c r="P72" i="30"/>
  <c r="P5" i="30"/>
  <c r="N5" i="30"/>
  <c r="S5" i="30" s="1"/>
  <c r="E173" i="27"/>
  <c r="C173" i="27"/>
  <c r="U170" i="27"/>
  <c r="S170" i="27"/>
  <c r="BC173" i="27"/>
  <c r="AY173" i="27"/>
  <c r="U8" i="27"/>
  <c r="W8" i="27"/>
  <c r="AI6" i="27"/>
  <c r="AM6" i="27"/>
  <c r="BC7" i="27"/>
  <c r="AY7" i="27"/>
  <c r="AY11" i="27"/>
  <c r="BA11" i="27"/>
  <c r="G54" i="27"/>
  <c r="E54" i="27"/>
  <c r="AK51" i="27"/>
  <c r="AI51" i="27"/>
  <c r="BA50" i="27"/>
  <c r="AY50" i="27"/>
  <c r="BC50" i="27"/>
  <c r="C93" i="27"/>
  <c r="E93" i="27"/>
  <c r="U88" i="27"/>
  <c r="Y88" i="27" s="1"/>
  <c r="Z88" i="27" s="1"/>
  <c r="W88" i="27"/>
  <c r="U90" i="27"/>
  <c r="W90" i="27"/>
  <c r="G134" i="27"/>
  <c r="C134" i="27"/>
  <c r="BA132" i="27"/>
  <c r="AY132" i="27"/>
  <c r="Q7" i="31"/>
  <c r="Q6" i="31"/>
  <c r="K7" i="31"/>
  <c r="K6" i="31"/>
  <c r="C5" i="30"/>
  <c r="G8" i="27"/>
  <c r="E11" i="27"/>
  <c r="I11" i="27" s="1"/>
  <c r="J11" i="27" s="1"/>
  <c r="N58" i="30"/>
  <c r="AJ33" i="30"/>
  <c r="AJ34" i="30"/>
  <c r="E55" i="30"/>
  <c r="C55" i="30"/>
  <c r="C56" i="30"/>
  <c r="E56" i="30"/>
  <c r="E73" i="30"/>
  <c r="C73" i="30"/>
  <c r="AA73" i="30"/>
  <c r="Y73" i="30"/>
  <c r="AA74" i="30"/>
  <c r="Y74" i="30"/>
  <c r="AJ51" i="30"/>
  <c r="AL51" i="30"/>
  <c r="AL55" i="30"/>
  <c r="AJ55" i="30"/>
  <c r="AJ73" i="30"/>
  <c r="AL73" i="30"/>
  <c r="C171" i="27"/>
  <c r="E171" i="27"/>
  <c r="AM175" i="27"/>
  <c r="AK175" i="27"/>
  <c r="AI175" i="27"/>
  <c r="BA175" i="27"/>
  <c r="BC175" i="27"/>
  <c r="S90" i="27"/>
  <c r="AM11" i="27"/>
  <c r="W12" i="27"/>
  <c r="U12" i="27"/>
  <c r="AM10" i="27"/>
  <c r="AI10" i="27"/>
  <c r="AI11" i="27"/>
  <c r="BA7" i="27"/>
  <c r="AY8" i="27"/>
  <c r="BA8" i="27"/>
  <c r="BC9" i="27"/>
  <c r="AY10" i="27"/>
  <c r="BA10" i="27"/>
  <c r="BC11" i="27"/>
  <c r="S50" i="27"/>
  <c r="U50" i="27"/>
  <c r="W50" i="27"/>
  <c r="BC54" i="27"/>
  <c r="BA54" i="27"/>
  <c r="G88" i="27"/>
  <c r="E88" i="27"/>
  <c r="E90" i="27"/>
  <c r="C90" i="27"/>
  <c r="I90" i="27" s="1"/>
  <c r="J90" i="27" s="1"/>
  <c r="AM88" i="27"/>
  <c r="AI88" i="27"/>
  <c r="C130" i="27"/>
  <c r="G130" i="27"/>
  <c r="I130" i="27" s="1"/>
  <c r="J130" i="27" s="1"/>
  <c r="C135" i="27"/>
  <c r="G135" i="27"/>
  <c r="W131" i="27"/>
  <c r="S131" i="27"/>
  <c r="AI130" i="27"/>
  <c r="AK130" i="27"/>
  <c r="AM135" i="27"/>
  <c r="AI135" i="27"/>
  <c r="S6" i="31"/>
  <c r="S7" i="31"/>
  <c r="O6" i="31"/>
  <c r="O7" i="31"/>
  <c r="Y93" i="27"/>
  <c r="Z93" i="27" s="1"/>
  <c r="BE48" i="27"/>
  <c r="BF48" i="27" s="1"/>
  <c r="Z2" i="27"/>
  <c r="Q9" i="35"/>
  <c r="X11" i="35" s="1"/>
  <c r="AT1" i="35"/>
  <c r="AU9" i="35" s="1"/>
  <c r="BD13" i="35" s="1"/>
  <c r="AF9" i="35"/>
  <c r="AJ11" i="35" s="1"/>
  <c r="V6" i="27"/>
  <c r="AF1" i="30"/>
  <c r="AQ1" i="30" s="1"/>
  <c r="AO17" i="30" s="1"/>
  <c r="AL14" i="30" s="1"/>
  <c r="BE45" i="4"/>
  <c r="BF45" i="4" s="1"/>
  <c r="BE21" i="4"/>
  <c r="BF21" i="4" s="1"/>
  <c r="BE323" i="4"/>
  <c r="BF323" i="4" s="1"/>
  <c r="BE50" i="4"/>
  <c r="BF50" i="4" s="1"/>
  <c r="BE356" i="4"/>
  <c r="BF356" i="4" s="1"/>
  <c r="BE369" i="4"/>
  <c r="BF369" i="4" s="1"/>
  <c r="BE383" i="4"/>
  <c r="BF383" i="4" s="1"/>
  <c r="BE354" i="4"/>
  <c r="BF354" i="4" s="1"/>
  <c r="BE48" i="4"/>
  <c r="BF48" i="4" s="1"/>
  <c r="BE167" i="4"/>
  <c r="BF167" i="4" s="1"/>
  <c r="BE68" i="4"/>
  <c r="BF68" i="4" s="1"/>
  <c r="BE388" i="4"/>
  <c r="BF388" i="4" s="1"/>
  <c r="BE272" i="4"/>
  <c r="BF272" i="4" s="1"/>
  <c r="BE174" i="4"/>
  <c r="BF174" i="4" s="1"/>
  <c r="BE295" i="4"/>
  <c r="BF295" i="4" s="1"/>
  <c r="BE343" i="4"/>
  <c r="BF343" i="4" s="1"/>
  <c r="BE372" i="4"/>
  <c r="BF372" i="4" s="1"/>
  <c r="BE392" i="4"/>
  <c r="BF392" i="4" s="1"/>
  <c r="BE212" i="4"/>
  <c r="BF212" i="4" s="1"/>
  <c r="BE285" i="4"/>
  <c r="BF285" i="4" s="1"/>
  <c r="BE311" i="4"/>
  <c r="BF311" i="4" s="1"/>
  <c r="BE34" i="4"/>
  <c r="BF34" i="4" s="1"/>
  <c r="BE197" i="4"/>
  <c r="BF197" i="4" s="1"/>
  <c r="BE284" i="4"/>
  <c r="BF284" i="4" s="1"/>
  <c r="BE288" i="4"/>
  <c r="BF288" i="4" s="1"/>
  <c r="BE112" i="4"/>
  <c r="BF112" i="4" s="1"/>
  <c r="BE178" i="4"/>
  <c r="BF178" i="4" s="1"/>
  <c r="BE216" i="4"/>
  <c r="BF216" i="4" s="1"/>
  <c r="BE296" i="4"/>
  <c r="BF296" i="4" s="1"/>
  <c r="BE226" i="4"/>
  <c r="BF226" i="4" s="1"/>
  <c r="BE357" i="4"/>
  <c r="BF357" i="4" s="1"/>
  <c r="BE246" i="4"/>
  <c r="BF246" i="4" s="1"/>
  <c r="BE196" i="4"/>
  <c r="BF196" i="4" s="1"/>
  <c r="BE262" i="4"/>
  <c r="BF262" i="4" s="1"/>
  <c r="BE40" i="4"/>
  <c r="BF40" i="4" s="1"/>
  <c r="BE148" i="4"/>
  <c r="BF148" i="4" s="1"/>
  <c r="BE80" i="4"/>
  <c r="BF80" i="4" s="1"/>
  <c r="BE340" i="4"/>
  <c r="BF340" i="4" s="1"/>
  <c r="BE324" i="4"/>
  <c r="BF324" i="4" s="1"/>
  <c r="BE228" i="4"/>
  <c r="BF228" i="4" s="1"/>
  <c r="BE264" i="4"/>
  <c r="BF264" i="4" s="1"/>
  <c r="BE348" i="4"/>
  <c r="BF348" i="4" s="1"/>
  <c r="BE43" i="4"/>
  <c r="BF43" i="4" s="1"/>
  <c r="BE49" i="4"/>
  <c r="BF49" i="4" s="1"/>
  <c r="BE335" i="4"/>
  <c r="BF335" i="4" s="1"/>
  <c r="BE280" i="4"/>
  <c r="BF280" i="4" s="1"/>
  <c r="BE316" i="4"/>
  <c r="BF316" i="4" s="1"/>
  <c r="BE243" i="4"/>
  <c r="BF243" i="4" s="1"/>
  <c r="BE229" i="4"/>
  <c r="BF229" i="4" s="1"/>
  <c r="BE333" i="4"/>
  <c r="BF333" i="4" s="1"/>
  <c r="BE70" i="4"/>
  <c r="BF70" i="4" s="1"/>
  <c r="BE332" i="4"/>
  <c r="BF332" i="4" s="1"/>
  <c r="BE379" i="4"/>
  <c r="BF379" i="4" s="1"/>
  <c r="BE54" i="4"/>
  <c r="BF54" i="4" s="1"/>
  <c r="BE36" i="4"/>
  <c r="BF36" i="4" s="1"/>
  <c r="BE394" i="4"/>
  <c r="BF394" i="4" s="1"/>
  <c r="BE56" i="4"/>
  <c r="BF56" i="4" s="1"/>
  <c r="BE368" i="4"/>
  <c r="BF368" i="4" s="1"/>
  <c r="BE220" i="4"/>
  <c r="BF220" i="4" s="1"/>
  <c r="BE256" i="4"/>
  <c r="BF256" i="4" s="1"/>
  <c r="BE159" i="4"/>
  <c r="BF159" i="4" s="1"/>
  <c r="BE292" i="4"/>
  <c r="BF292" i="4" s="1"/>
  <c r="BE328" i="4"/>
  <c r="BF328" i="4" s="1"/>
  <c r="BE240" i="4"/>
  <c r="BF240" i="4" s="1"/>
  <c r="BE171" i="4"/>
  <c r="BF171" i="4" s="1"/>
  <c r="BE113" i="4"/>
  <c r="BF113" i="4" s="1"/>
  <c r="BE244" i="4"/>
  <c r="BF244" i="4" s="1"/>
  <c r="BE260" i="4"/>
  <c r="BF260" i="4" s="1"/>
  <c r="BE399" i="4"/>
  <c r="BE313" i="4"/>
  <c r="BF313" i="4" s="1"/>
  <c r="BE109" i="4"/>
  <c r="BF109" i="4" s="1"/>
  <c r="BE63" i="4"/>
  <c r="BF63" i="4" s="1"/>
  <c r="BE24" i="4"/>
  <c r="BF24" i="4" s="1"/>
  <c r="BE274" i="4"/>
  <c r="BF274" i="4" s="1"/>
  <c r="BE374" i="4"/>
  <c r="BF374" i="4" s="1"/>
  <c r="BE137" i="4"/>
  <c r="BF137" i="4" s="1"/>
  <c r="BE179" i="4"/>
  <c r="BF179" i="4" s="1"/>
  <c r="BE261" i="4"/>
  <c r="BF261" i="4" s="1"/>
  <c r="N37" i="30"/>
  <c r="C177" i="27"/>
  <c r="BC136" i="27"/>
  <c r="N12" i="30"/>
  <c r="AM177" i="27"/>
  <c r="E177" i="27"/>
  <c r="AY95" i="27"/>
  <c r="U8" i="31"/>
  <c r="AI177" i="27"/>
  <c r="U7" i="31"/>
  <c r="AN323" i="4"/>
  <c r="BL323" i="4" s="1"/>
  <c r="AN366" i="4"/>
  <c r="BL366" i="4" s="1"/>
  <c r="AN409" i="4"/>
  <c r="BL409" i="4" s="1"/>
  <c r="AD17" i="30"/>
  <c r="AA18" i="30" s="1"/>
  <c r="J2" i="27"/>
  <c r="C732" i="31"/>
  <c r="AN395" i="4"/>
  <c r="BL395" i="4" s="1"/>
  <c r="AN364" i="4"/>
  <c r="BL364" i="4" s="1"/>
  <c r="AN300" i="4"/>
  <c r="BL300" i="4" s="1"/>
  <c r="AN293" i="4"/>
  <c r="BL293" i="4" s="1"/>
  <c r="AN297" i="4"/>
  <c r="BL297" i="4" s="1"/>
  <c r="AN321" i="4"/>
  <c r="BL321" i="4" s="1"/>
  <c r="AN339" i="4"/>
  <c r="BL339" i="4" s="1"/>
  <c r="AN388" i="4"/>
  <c r="BL388" i="4" s="1"/>
  <c r="AN362" i="4"/>
  <c r="BL362" i="4" s="1"/>
  <c r="AN404" i="4"/>
  <c r="BL404" i="4" s="1"/>
  <c r="AN354" i="4"/>
  <c r="BL354" i="4" s="1"/>
  <c r="AN397" i="4"/>
  <c r="BL397" i="4" s="1"/>
  <c r="AN365" i="4"/>
  <c r="BL365" i="4" s="1"/>
  <c r="AN349" i="4"/>
  <c r="BL349" i="4" s="1"/>
  <c r="AN317" i="4"/>
  <c r="BL317" i="4" s="1"/>
  <c r="AN285" i="4"/>
  <c r="BL285" i="4" s="1"/>
  <c r="AN340" i="4"/>
  <c r="BL340" i="4" s="1"/>
  <c r="AN304" i="4"/>
  <c r="BL304" i="4" s="1"/>
  <c r="AN288" i="4"/>
  <c r="BL288" i="4" s="1"/>
  <c r="AN380" i="4"/>
  <c r="BL380" i="4" s="1"/>
  <c r="AN391" i="4"/>
  <c r="BL391" i="4" s="1"/>
  <c r="AN375" i="4"/>
  <c r="BL375" i="4" s="1"/>
  <c r="AN343" i="4"/>
  <c r="BL343" i="4" s="1"/>
  <c r="AN311" i="4"/>
  <c r="BL311" i="4" s="1"/>
  <c r="BE107" i="4"/>
  <c r="BF107" i="4" s="1"/>
  <c r="BE176" i="4"/>
  <c r="BF176" i="4" s="1"/>
  <c r="BE114" i="4"/>
  <c r="BF114" i="4" s="1"/>
  <c r="BE308" i="4"/>
  <c r="BF308" i="4" s="1"/>
  <c r="BE344" i="4"/>
  <c r="BF344" i="4" s="1"/>
  <c r="BE149" i="4"/>
  <c r="BF149" i="4" s="1"/>
  <c r="BE193" i="4"/>
  <c r="BF193" i="4" s="1"/>
  <c r="BE363" i="4"/>
  <c r="BF363" i="4" s="1"/>
  <c r="BE249" i="4"/>
  <c r="BF249" i="4" s="1"/>
  <c r="BE293" i="4"/>
  <c r="BF293" i="4" s="1"/>
  <c r="BE110" i="4"/>
  <c r="BF110" i="4" s="1"/>
  <c r="BE279" i="4"/>
  <c r="BF279" i="4" s="1"/>
  <c r="BE127" i="4"/>
  <c r="BF127" i="4" s="1"/>
  <c r="BE133" i="4"/>
  <c r="BF133" i="4" s="1"/>
  <c r="BE89" i="4"/>
  <c r="BF89" i="4" s="1"/>
  <c r="BE276" i="4"/>
  <c r="BF276" i="4" s="1"/>
  <c r="BE233" i="4"/>
  <c r="BF233" i="4" s="1"/>
  <c r="BE170" i="4"/>
  <c r="BF170" i="4" s="1"/>
  <c r="BE98" i="4"/>
  <c r="BF98" i="4" s="1"/>
  <c r="BE47" i="4"/>
  <c r="BF47" i="4" s="1"/>
  <c r="BE201" i="4"/>
  <c r="BF201" i="4" s="1"/>
  <c r="BE173" i="4"/>
  <c r="BF173" i="4" s="1"/>
  <c r="BE186" i="4"/>
  <c r="BF186" i="4" s="1"/>
  <c r="BE389" i="4"/>
  <c r="BF389" i="4" s="1"/>
  <c r="AN410" i="4"/>
  <c r="BL410" i="4" s="1"/>
  <c r="AN347" i="4"/>
  <c r="BL347" i="4" s="1"/>
  <c r="AN286" i="4"/>
  <c r="BL286" i="4" s="1"/>
  <c r="AN289" i="4"/>
  <c r="BL289" i="4" s="1"/>
  <c r="AN400" i="4"/>
  <c r="BL400" i="4" s="1"/>
  <c r="AN292" i="4"/>
  <c r="BL292" i="4" s="1"/>
  <c r="AN334" i="4"/>
  <c r="BL334" i="4" s="1"/>
  <c r="AN394" i="4"/>
  <c r="BL394" i="4" s="1"/>
  <c r="AN406" i="4"/>
  <c r="BL406" i="4" s="1"/>
  <c r="AN405" i="4"/>
  <c r="BL405" i="4" s="1"/>
  <c r="AN373" i="4"/>
  <c r="BL373" i="4" s="1"/>
  <c r="AN341" i="4"/>
  <c r="BL341" i="4" s="1"/>
  <c r="AN309" i="4"/>
  <c r="BL309" i="4" s="1"/>
  <c r="AN360" i="4"/>
  <c r="BL360" i="4" s="1"/>
  <c r="AN296" i="4"/>
  <c r="BL296" i="4" s="1"/>
  <c r="AN399" i="4"/>
  <c r="BL399" i="4" s="1"/>
  <c r="AN367" i="4"/>
  <c r="BL367" i="4" s="1"/>
  <c r="AN303" i="4"/>
  <c r="BL303" i="4" s="1"/>
  <c r="BE290" i="4"/>
  <c r="BF290" i="4" s="1"/>
  <c r="BE377" i="4"/>
  <c r="BF377" i="4" s="1"/>
  <c r="BE203" i="4"/>
  <c r="BF203" i="4" s="1"/>
  <c r="BE156" i="4"/>
  <c r="BF156" i="4" s="1"/>
  <c r="BE358" i="4"/>
  <c r="BF358" i="4" s="1"/>
  <c r="BE205" i="4"/>
  <c r="BF205" i="4" s="1"/>
  <c r="BE132" i="4"/>
  <c r="BF132" i="4" s="1"/>
  <c r="BE134" i="4"/>
  <c r="BF134" i="4" s="1"/>
  <c r="BE250" i="4"/>
  <c r="BF250" i="4" s="1"/>
  <c r="BE160" i="4"/>
  <c r="BF160" i="4" s="1"/>
  <c r="BE259" i="4"/>
  <c r="BF259" i="4" s="1"/>
  <c r="BE135" i="4"/>
  <c r="BF135" i="4" s="1"/>
  <c r="BE342" i="4"/>
  <c r="BF342" i="4" s="1"/>
  <c r="BE351" i="4"/>
  <c r="BF351" i="4" s="1"/>
  <c r="BE371" i="4"/>
  <c r="BF371" i="4" s="1"/>
  <c r="BE359" i="4"/>
  <c r="BF359" i="4" s="1"/>
  <c r="BE188" i="4"/>
  <c r="BF188" i="4" s="1"/>
  <c r="BE225" i="4"/>
  <c r="BF225" i="4" s="1"/>
  <c r="BE121" i="4"/>
  <c r="BF121" i="4" s="1"/>
  <c r="BE303" i="4"/>
  <c r="BF303" i="4" s="1"/>
  <c r="BE384" i="4"/>
  <c r="BF384" i="4" s="1"/>
  <c r="BE217" i="4"/>
  <c r="BF217" i="4" s="1"/>
  <c r="BE115" i="4"/>
  <c r="BF115" i="4" s="1"/>
  <c r="BE346" i="4"/>
  <c r="BF346" i="4" s="1"/>
  <c r="BE125" i="4"/>
  <c r="BF125" i="4" s="1"/>
  <c r="BE223" i="4"/>
  <c r="BF223" i="4" s="1"/>
  <c r="BE258" i="4"/>
  <c r="BF258" i="4" s="1"/>
  <c r="BE189" i="4"/>
  <c r="BF189" i="4" s="1"/>
  <c r="BE387" i="4"/>
  <c r="BF387" i="4" s="1"/>
  <c r="BE345" i="4"/>
  <c r="BF345" i="4" s="1"/>
  <c r="BE23" i="4"/>
  <c r="BF23" i="4" s="1"/>
  <c r="BE17" i="4"/>
  <c r="BF17" i="4" s="1"/>
  <c r="BE353" i="4"/>
  <c r="BF353" i="4" s="1"/>
  <c r="BE395" i="4"/>
  <c r="BE96" i="4"/>
  <c r="BF96" i="4" s="1"/>
  <c r="BE161" i="4"/>
  <c r="BF161" i="4" s="1"/>
  <c r="BE28" i="4"/>
  <c r="BF28" i="4" s="1"/>
  <c r="BE347" i="4"/>
  <c r="BF347" i="4" s="1"/>
  <c r="BE58" i="4"/>
  <c r="BF58" i="4" s="1"/>
  <c r="BE51" i="4"/>
  <c r="BF51" i="4" s="1"/>
  <c r="BE102" i="4"/>
  <c r="BF102" i="4" s="1"/>
  <c r="BE95" i="4"/>
  <c r="BF95" i="4" s="1"/>
  <c r="BE322" i="4"/>
  <c r="BF322" i="4" s="1"/>
  <c r="BE380" i="4"/>
  <c r="BF380" i="4" s="1"/>
  <c r="BE239" i="4"/>
  <c r="BF239" i="4" s="1"/>
  <c r="BE39" i="4"/>
  <c r="BF39" i="4" s="1"/>
  <c r="BE330" i="4"/>
  <c r="BF330" i="4" s="1"/>
  <c r="BE200" i="4"/>
  <c r="BF200" i="4" s="1"/>
  <c r="BE286" i="4"/>
  <c r="BF286" i="4" s="1"/>
  <c r="BE53" i="4"/>
  <c r="BF53" i="4" s="1"/>
  <c r="BE365" i="4"/>
  <c r="BF365" i="4" s="1"/>
  <c r="BE20" i="4"/>
  <c r="BF20" i="4" s="1"/>
  <c r="BE142" i="4"/>
  <c r="BF142" i="4" s="1"/>
  <c r="BE361" i="4"/>
  <c r="BF361" i="4" s="1"/>
  <c r="BE224" i="4"/>
  <c r="BF224" i="4" s="1"/>
  <c r="BE94" i="4"/>
  <c r="BF94" i="4" s="1"/>
  <c r="BE169" i="4"/>
  <c r="BF169" i="4" s="1"/>
  <c r="BE298" i="4"/>
  <c r="BF298" i="4" s="1"/>
  <c r="BE42" i="4"/>
  <c r="BF42" i="4" s="1"/>
  <c r="BE99" i="4"/>
  <c r="BF99" i="4" s="1"/>
  <c r="BE391" i="4"/>
  <c r="BE84" i="4"/>
  <c r="BF84" i="4" s="1"/>
  <c r="BE297" i="4"/>
  <c r="BF297" i="4" s="1"/>
  <c r="BE402" i="4"/>
  <c r="BF402" i="4" s="1"/>
  <c r="BE32" i="4"/>
  <c r="BF32" i="4" s="1"/>
  <c r="BE204" i="4"/>
  <c r="BF204" i="4" s="1"/>
  <c r="BE221" i="4"/>
  <c r="BF221" i="4" s="1"/>
  <c r="BE406" i="4"/>
  <c r="BF406" i="4" s="1"/>
  <c r="BE314" i="4"/>
  <c r="BF314" i="4" s="1"/>
  <c r="BE154" i="4"/>
  <c r="BF154" i="4" s="1"/>
  <c r="BE25" i="4"/>
  <c r="BF25" i="4" s="1"/>
  <c r="BE291" i="4"/>
  <c r="BF291" i="4" s="1"/>
  <c r="BE227" i="4"/>
  <c r="BF227" i="4" s="1"/>
  <c r="BE122" i="4"/>
  <c r="BF122" i="4" s="1"/>
  <c r="BE108" i="4"/>
  <c r="BF108" i="4" s="1"/>
  <c r="BE302" i="4"/>
  <c r="BF302" i="4" s="1"/>
  <c r="BE305" i="4"/>
  <c r="BF305" i="4" s="1"/>
  <c r="BE100" i="4"/>
  <c r="BF100" i="4" s="1"/>
  <c r="BE139" i="4"/>
  <c r="BF139" i="4" s="1"/>
  <c r="BE151" i="4"/>
  <c r="BF151" i="4" s="1"/>
  <c r="BE38" i="4"/>
  <c r="BF38" i="4" s="1"/>
  <c r="BE146" i="4"/>
  <c r="BF146" i="4" s="1"/>
  <c r="BE184" i="4"/>
  <c r="BF184" i="4" s="1"/>
  <c r="BE44" i="4"/>
  <c r="BF44" i="4" s="1"/>
  <c r="BE315" i="4"/>
  <c r="BF315" i="4" s="1"/>
  <c r="BE306" i="4"/>
  <c r="BF306" i="4" s="1"/>
  <c r="BE27" i="4"/>
  <c r="BF27" i="4" s="1"/>
  <c r="BE326" i="4"/>
  <c r="BF326" i="4" s="1"/>
  <c r="BE87" i="4"/>
  <c r="BF87" i="4" s="1"/>
  <c r="BE282" i="4"/>
  <c r="BF282" i="4" s="1"/>
  <c r="BE57" i="4"/>
  <c r="BF57" i="4" s="1"/>
  <c r="BE238" i="4"/>
  <c r="BF238" i="4" s="1"/>
  <c r="BE101" i="4"/>
  <c r="BF101" i="4" s="1"/>
  <c r="BE269" i="4"/>
  <c r="BF269" i="4" s="1"/>
  <c r="BE267" i="4"/>
  <c r="BF267" i="4" s="1"/>
  <c r="BE360" i="4"/>
  <c r="BF360" i="4" s="1"/>
  <c r="BE30" i="4"/>
  <c r="BF30" i="4" s="1"/>
  <c r="BE289" i="4"/>
  <c r="BF289" i="4" s="1"/>
  <c r="BE283" i="4"/>
  <c r="BF283" i="4" s="1"/>
  <c r="BE72" i="4"/>
  <c r="BF72" i="4" s="1"/>
  <c r="BE145" i="4"/>
  <c r="BF145" i="4" s="1"/>
  <c r="BE116" i="4"/>
  <c r="BF116" i="4" s="1"/>
  <c r="BE278" i="4"/>
  <c r="BF278" i="4" s="1"/>
  <c r="BE79" i="4"/>
  <c r="BF79" i="4" s="1"/>
  <c r="BE213" i="4"/>
  <c r="BF213" i="4" s="1"/>
  <c r="BE210" i="4"/>
  <c r="BF210" i="4" s="1"/>
  <c r="BE153" i="4"/>
  <c r="BF153" i="4" s="1"/>
  <c r="BE172" i="4"/>
  <c r="BF172" i="4" s="1"/>
  <c r="BE321" i="4"/>
  <c r="BF321" i="4" s="1"/>
  <c r="BE362" i="4"/>
  <c r="BF362" i="4" s="1"/>
  <c r="BE41" i="4"/>
  <c r="BF41" i="4" s="1"/>
  <c r="BE157" i="4"/>
  <c r="BF157" i="4" s="1"/>
  <c r="BE86" i="4"/>
  <c r="BF86" i="4" s="1"/>
  <c r="BE143" i="4"/>
  <c r="BF143" i="4" s="1"/>
  <c r="BE211" i="4"/>
  <c r="BF211" i="4" s="1"/>
  <c r="BE367" i="4"/>
  <c r="BF367" i="4" s="1"/>
  <c r="BE91" i="4"/>
  <c r="BF91" i="4" s="1"/>
  <c r="BE312" i="4"/>
  <c r="BF312" i="4" s="1"/>
  <c r="BE349" i="4"/>
  <c r="BF349" i="4" s="1"/>
  <c r="BE287" i="4"/>
  <c r="BF287" i="4" s="1"/>
  <c r="BE378" i="4"/>
  <c r="BF378" i="4" s="1"/>
  <c r="BE90" i="4"/>
  <c r="BF90" i="4" s="1"/>
  <c r="BE152" i="4"/>
  <c r="BF152" i="4" s="1"/>
  <c r="BE198" i="4"/>
  <c r="BF198" i="4" s="1"/>
  <c r="BE69" i="4"/>
  <c r="BF69" i="4" s="1"/>
  <c r="BE191" i="4"/>
  <c r="BF191" i="4" s="1"/>
  <c r="BE386" i="4"/>
  <c r="BF386" i="4" s="1"/>
  <c r="BE232" i="4"/>
  <c r="BF232" i="4" s="1"/>
  <c r="BE166" i="4"/>
  <c r="BF166" i="4" s="1"/>
  <c r="BE397" i="4"/>
  <c r="BF397" i="4" s="1"/>
  <c r="BE319" i="4"/>
  <c r="BF319" i="4" s="1"/>
  <c r="BE310" i="4"/>
  <c r="BF310" i="4" s="1"/>
  <c r="BE181" i="4"/>
  <c r="BF181" i="4" s="1"/>
  <c r="BE218" i="4"/>
  <c r="BF218" i="4" s="1"/>
  <c r="BE31" i="4"/>
  <c r="BF31" i="4" s="1"/>
  <c r="BE252" i="4"/>
  <c r="BF252" i="4" s="1"/>
  <c r="BE37" i="4"/>
  <c r="BF37" i="4" s="1"/>
  <c r="BE103" i="4"/>
  <c r="BF103" i="4" s="1"/>
  <c r="BE266" i="4"/>
  <c r="BF266" i="4" s="1"/>
  <c r="BE231" i="4"/>
  <c r="BF231" i="4" s="1"/>
  <c r="BE376" i="4"/>
  <c r="BF376" i="4" s="1"/>
  <c r="BE126" i="4"/>
  <c r="BF126" i="4" s="1"/>
  <c r="BE241" i="4"/>
  <c r="BF241" i="4" s="1"/>
  <c r="BE11" i="4"/>
  <c r="BF11" i="4" s="1"/>
  <c r="BE120" i="4"/>
  <c r="BF120" i="4" s="1"/>
  <c r="BE366" i="4"/>
  <c r="BF366" i="4" s="1"/>
  <c r="BE164" i="4"/>
  <c r="BF164" i="4" s="1"/>
  <c r="BE403" i="4"/>
  <c r="BF403" i="4" s="1"/>
  <c r="BE18" i="4"/>
  <c r="BF18" i="4" s="1"/>
  <c r="BE253" i="4"/>
  <c r="BF253" i="4" s="1"/>
  <c r="BE124" i="4"/>
  <c r="BF124" i="4" s="1"/>
  <c r="BE177" i="4"/>
  <c r="BF177" i="4" s="1"/>
  <c r="BE138" i="4"/>
  <c r="BF138" i="4" s="1"/>
  <c r="BE131" i="4"/>
  <c r="BF131" i="4" s="1"/>
  <c r="BE182" i="4"/>
  <c r="BF182" i="4" s="1"/>
  <c r="BE175" i="4"/>
  <c r="BF175" i="4" s="1"/>
  <c r="BE407" i="4"/>
  <c r="BF407" i="4" s="1"/>
  <c r="BE219" i="4"/>
  <c r="BF219" i="4" s="1"/>
  <c r="BE341" i="4"/>
  <c r="BF341" i="4" s="1"/>
  <c r="BE338" i="4"/>
  <c r="BF338" i="4" s="1"/>
  <c r="BE251" i="4"/>
  <c r="BF251" i="4" s="1"/>
  <c r="BE76" i="4"/>
  <c r="BF76" i="4" s="1"/>
  <c r="BE255" i="4"/>
  <c r="BF255" i="4" s="1"/>
  <c r="BE355" i="4"/>
  <c r="BF355" i="4" s="1"/>
  <c r="BE104" i="4"/>
  <c r="BF104" i="4" s="1"/>
  <c r="BE318" i="4"/>
  <c r="BF318" i="4" s="1"/>
  <c r="BE85" i="4"/>
  <c r="BF85" i="4" s="1"/>
  <c r="BE15" i="4"/>
  <c r="BF15" i="4" s="1"/>
  <c r="BE331" i="4"/>
  <c r="BF331" i="4" s="1"/>
  <c r="BE97" i="4"/>
  <c r="BF97" i="4" s="1"/>
  <c r="BE165" i="4"/>
  <c r="BF165" i="4" s="1"/>
  <c r="BE404" i="4"/>
  <c r="BF404" i="4" s="1"/>
  <c r="BE307" i="4"/>
  <c r="BF307" i="4" s="1"/>
  <c r="BE141" i="4"/>
  <c r="BF141" i="4" s="1"/>
  <c r="BE247" i="4"/>
  <c r="BF247" i="4" s="1"/>
  <c r="BE26" i="4"/>
  <c r="BF26" i="4" s="1"/>
  <c r="BE88" i="4"/>
  <c r="BF88" i="4" s="1"/>
  <c r="AA10" i="4"/>
  <c r="AN307" i="4"/>
  <c r="BL307" i="4" s="1"/>
  <c r="AN310" i="4"/>
  <c r="BL310" i="4" s="1"/>
  <c r="A45" i="35"/>
  <c r="B31" i="35"/>
  <c r="K33" i="35" s="1"/>
  <c r="P23" i="35"/>
  <c r="AA7" i="30"/>
  <c r="Y7" i="30"/>
  <c r="AL98" i="30"/>
  <c r="AJ98" i="30"/>
  <c r="AA409" i="4"/>
  <c r="BG409" i="4" s="1"/>
  <c r="AA405" i="4"/>
  <c r="BG405" i="4" s="1"/>
  <c r="AA397" i="4"/>
  <c r="BG397" i="4" s="1"/>
  <c r="AA393" i="4"/>
  <c r="BG393" i="4" s="1"/>
  <c r="AA389" i="4"/>
  <c r="BG389" i="4" s="1"/>
  <c r="AA385" i="4"/>
  <c r="BG385" i="4" s="1"/>
  <c r="AA381" i="4"/>
  <c r="BG381" i="4" s="1"/>
  <c r="AA377" i="4"/>
  <c r="BG377" i="4" s="1"/>
  <c r="AA410" i="4"/>
  <c r="BG410" i="4" s="1"/>
  <c r="AA406" i="4"/>
  <c r="BG406" i="4" s="1"/>
  <c r="AA395" i="4"/>
  <c r="BG395" i="4" s="1"/>
  <c r="AA390" i="4"/>
  <c r="BG390" i="4" s="1"/>
  <c r="AA386" i="4"/>
  <c r="BG386" i="4" s="1"/>
  <c r="AA382" i="4"/>
  <c r="BG382" i="4" s="1"/>
  <c r="AA378" i="4"/>
  <c r="BG378" i="4" s="1"/>
  <c r="AA376" i="4"/>
  <c r="BG376" i="4" s="1"/>
  <c r="AA375" i="4"/>
  <c r="BG375" i="4" s="1"/>
  <c r="AA372" i="4"/>
  <c r="BG372" i="4" s="1"/>
  <c r="AA368" i="4"/>
  <c r="BG368" i="4" s="1"/>
  <c r="AA360" i="4"/>
  <c r="BG360" i="4" s="1"/>
  <c r="AA356" i="4"/>
  <c r="BG356" i="4" s="1"/>
  <c r="AA332" i="4"/>
  <c r="BG332" i="4" s="1"/>
  <c r="AA324" i="4"/>
  <c r="BG324" i="4" s="1"/>
  <c r="AA320" i="4"/>
  <c r="BG320" i="4" s="1"/>
  <c r="AA312" i="4"/>
  <c r="BG312" i="4" s="1"/>
  <c r="AA284" i="4"/>
  <c r="BG284" i="4" s="1"/>
  <c r="E95" i="30"/>
  <c r="C95" i="30"/>
  <c r="E97" i="30"/>
  <c r="C97" i="30"/>
  <c r="AA403" i="4"/>
  <c r="BG403" i="4" s="1"/>
  <c r="AA399" i="4"/>
  <c r="BG399" i="4" s="1"/>
  <c r="AA391" i="4"/>
  <c r="BG391" i="4" s="1"/>
  <c r="AA379" i="4"/>
  <c r="BG379" i="4" s="1"/>
  <c r="AA371" i="4"/>
  <c r="BG371" i="4" s="1"/>
  <c r="AA367" i="4"/>
  <c r="BG367" i="4" s="1"/>
  <c r="AA366" i="4"/>
  <c r="BG366" i="4" s="1"/>
  <c r="AA359" i="4"/>
  <c r="BG359" i="4" s="1"/>
  <c r="AA355" i="4"/>
  <c r="BG355" i="4" s="1"/>
  <c r="AA354" i="4"/>
  <c r="BG354" i="4" s="1"/>
  <c r="AA347" i="4"/>
  <c r="BG347" i="4" s="1"/>
  <c r="AA343" i="4"/>
  <c r="BG343" i="4" s="1"/>
  <c r="AA342" i="4"/>
  <c r="BG342" i="4" s="1"/>
  <c r="AA335" i="4"/>
  <c r="BG335" i="4" s="1"/>
  <c r="AA331" i="4"/>
  <c r="BG331" i="4" s="1"/>
  <c r="AA330" i="4"/>
  <c r="BG330" i="4" s="1"/>
  <c r="AA323" i="4"/>
  <c r="BG323" i="4" s="1"/>
  <c r="AA319" i="4"/>
  <c r="BG319" i="4" s="1"/>
  <c r="AA318" i="4"/>
  <c r="BG318" i="4" s="1"/>
  <c r="AA311" i="4"/>
  <c r="BG311" i="4" s="1"/>
  <c r="AA307" i="4"/>
  <c r="BG307" i="4" s="1"/>
  <c r="AA306" i="4"/>
  <c r="BG306" i="4" s="1"/>
  <c r="AA299" i="4"/>
  <c r="BG299" i="4" s="1"/>
  <c r="AA295" i="4"/>
  <c r="BG295" i="4" s="1"/>
  <c r="AA294" i="4"/>
  <c r="BG294" i="4" s="1"/>
  <c r="AA291" i="4"/>
  <c r="BG291" i="4" s="1"/>
  <c r="AA287" i="4"/>
  <c r="BG287" i="4" s="1"/>
  <c r="AA279" i="4"/>
  <c r="BG279" i="4" s="1"/>
  <c r="AA278" i="4"/>
  <c r="BG278" i="4" s="1"/>
  <c r="BJ248" i="4" s="1"/>
  <c r="BK248" i="4" s="1"/>
  <c r="AJ6" i="30"/>
  <c r="C32" i="30"/>
  <c r="N32" i="30"/>
  <c r="P32" i="30"/>
  <c r="P53" i="30"/>
  <c r="N53" i="30"/>
  <c r="P55" i="30"/>
  <c r="N55" i="30"/>
  <c r="AA78" i="30"/>
  <c r="Y78" i="30"/>
  <c r="AA96" i="30"/>
  <c r="Y96" i="30"/>
  <c r="AJ31" i="30"/>
  <c r="AL31" i="30"/>
  <c r="AL54" i="30"/>
  <c r="AL72" i="30"/>
  <c r="AJ72" i="30"/>
  <c r="N98" i="30"/>
  <c r="E51" i="30"/>
  <c r="C51" i="30"/>
  <c r="C77" i="30"/>
  <c r="E77" i="30"/>
  <c r="AA33" i="30"/>
  <c r="Y33" i="30"/>
  <c r="Y35" i="30"/>
  <c r="AA35" i="30"/>
  <c r="AA54" i="30"/>
  <c r="Y54" i="30"/>
  <c r="AA93" i="30"/>
  <c r="Y93" i="30"/>
  <c r="AL35" i="30"/>
  <c r="AJ35" i="30"/>
  <c r="AA373" i="4"/>
  <c r="BG373" i="4" s="1"/>
  <c r="AA365" i="4"/>
  <c r="BG365" i="4" s="1"/>
  <c r="AA364" i="4"/>
  <c r="BG364" i="4" s="1"/>
  <c r="AA361" i="4"/>
  <c r="BG361" i="4" s="1"/>
  <c r="AA353" i="4"/>
  <c r="BG353" i="4" s="1"/>
  <c r="AA352" i="4"/>
  <c r="BG352" i="4" s="1"/>
  <c r="AA349" i="4"/>
  <c r="BG349" i="4" s="1"/>
  <c r="AA344" i="4"/>
  <c r="BG344" i="4" s="1"/>
  <c r="AA341" i="4"/>
  <c r="BG341" i="4" s="1"/>
  <c r="AA340" i="4"/>
  <c r="BG340" i="4" s="1"/>
  <c r="AA337" i="4"/>
  <c r="BG337" i="4" s="1"/>
  <c r="AA329" i="4"/>
  <c r="BG329" i="4" s="1"/>
  <c r="AA325" i="4"/>
  <c r="BG325" i="4" s="1"/>
  <c r="AA317" i="4"/>
  <c r="BG317" i="4" s="1"/>
  <c r="AA316" i="4"/>
  <c r="BG316" i="4" s="1"/>
  <c r="AA313" i="4"/>
  <c r="BG313" i="4" s="1"/>
  <c r="AA308" i="4"/>
  <c r="BG308" i="4" s="1"/>
  <c r="AA305" i="4"/>
  <c r="BG305" i="4" s="1"/>
  <c r="AA304" i="4"/>
  <c r="BG304" i="4" s="1"/>
  <c r="AA301" i="4"/>
  <c r="BG301" i="4" s="1"/>
  <c r="AA293" i="4"/>
  <c r="BG293" i="4" s="1"/>
  <c r="AA288" i="4"/>
  <c r="BG288" i="4" s="1"/>
  <c r="AA285" i="4"/>
  <c r="BG285" i="4" s="1"/>
  <c r="AA281" i="4"/>
  <c r="BG281" i="4" s="1"/>
  <c r="AA276" i="4"/>
  <c r="BG276" i="4" s="1"/>
  <c r="Y5" i="30"/>
  <c r="AA5" i="30"/>
  <c r="AL8" i="30"/>
  <c r="AJ8" i="30"/>
  <c r="E72" i="30"/>
  <c r="C72" i="30"/>
  <c r="E74" i="30"/>
  <c r="C74" i="30"/>
  <c r="P76" i="30"/>
  <c r="N76" i="30"/>
  <c r="P96" i="30"/>
  <c r="N96" i="30"/>
  <c r="G9" i="27"/>
  <c r="Y8" i="30"/>
  <c r="AL11" i="30"/>
  <c r="N31" i="30"/>
  <c r="P31" i="30"/>
  <c r="E57" i="30"/>
  <c r="C57" i="30"/>
  <c r="P75" i="30"/>
  <c r="N75" i="30"/>
  <c r="U173" i="27"/>
  <c r="W173" i="27"/>
  <c r="S173" i="27"/>
  <c r="S175" i="27"/>
  <c r="W175" i="27"/>
  <c r="U175" i="27"/>
  <c r="W177" i="27"/>
  <c r="S177" i="27"/>
  <c r="AM171" i="27"/>
  <c r="AI171" i="27"/>
  <c r="AK171" i="27"/>
  <c r="AO177" i="27"/>
  <c r="AP177" i="27" s="1"/>
  <c r="AU96" i="35"/>
  <c r="B96" i="35"/>
  <c r="B52" i="35"/>
  <c r="AF74" i="35"/>
  <c r="AF30" i="35"/>
  <c r="B74" i="35"/>
  <c r="B30" i="35"/>
  <c r="G52" i="27"/>
  <c r="E52" i="27"/>
  <c r="BC52" i="27"/>
  <c r="BA52" i="27"/>
  <c r="AY52" i="27"/>
  <c r="C31" i="30"/>
  <c r="E31" i="30"/>
  <c r="H42" i="30"/>
  <c r="F34" i="30" s="1"/>
  <c r="P52" i="30"/>
  <c r="N52" i="30"/>
  <c r="P97" i="30"/>
  <c r="N97" i="30"/>
  <c r="AA51" i="30"/>
  <c r="Y51" i="30"/>
  <c r="AA53" i="30"/>
  <c r="Y53" i="30"/>
  <c r="AL95" i="30"/>
  <c r="AJ95" i="30"/>
  <c r="AL97" i="30"/>
  <c r="AJ97" i="30"/>
  <c r="J47" i="30"/>
  <c r="P11" i="30"/>
  <c r="N11" i="30"/>
  <c r="S6" i="27"/>
  <c r="U6" i="27"/>
  <c r="W6" i="27"/>
  <c r="AY5" i="27"/>
  <c r="BC5" i="27"/>
  <c r="BA5" i="27"/>
  <c r="C49" i="27"/>
  <c r="G49" i="27"/>
  <c r="E49" i="27"/>
  <c r="W51" i="27"/>
  <c r="U51" i="27"/>
  <c r="S51" i="27"/>
  <c r="BA49" i="27"/>
  <c r="AY49" i="27"/>
  <c r="BC49" i="27"/>
  <c r="U177" i="27"/>
  <c r="F175" i="27"/>
  <c r="O175" i="27" s="1"/>
  <c r="H174" i="27"/>
  <c r="W172" i="27"/>
  <c r="S172" i="27"/>
  <c r="U172" i="27"/>
  <c r="U174" i="27"/>
  <c r="Y174" i="27" s="1"/>
  <c r="Z174" i="27" s="1"/>
  <c r="S174" i="27"/>
  <c r="W176" i="27"/>
  <c r="U176" i="27"/>
  <c r="S176" i="27"/>
  <c r="AI170" i="27"/>
  <c r="AM170" i="27"/>
  <c r="BE175" i="27"/>
  <c r="BF175" i="27" s="1"/>
  <c r="AO88" i="27"/>
  <c r="AP88" i="27" s="1"/>
  <c r="BA51" i="27"/>
  <c r="AY51" i="27"/>
  <c r="C91" i="27"/>
  <c r="E91" i="27"/>
  <c r="E96" i="27" s="1"/>
  <c r="AC102" i="27"/>
  <c r="S103" i="27" s="1"/>
  <c r="AE125" i="27"/>
  <c r="AO130" i="27"/>
  <c r="AP130" i="27" s="1"/>
  <c r="AU84" i="27"/>
  <c r="AS62" i="27"/>
  <c r="AM62" i="27" s="1"/>
  <c r="AF26" i="30"/>
  <c r="S42" i="30"/>
  <c r="O32" i="30" s="1"/>
  <c r="U30" i="30" s="1"/>
  <c r="P8" i="30"/>
  <c r="N8" i="30"/>
  <c r="AN10" i="4"/>
  <c r="Y5" i="27"/>
  <c r="C48" i="27"/>
  <c r="G48" i="27"/>
  <c r="AK53" i="27"/>
  <c r="AI53" i="27"/>
  <c r="AM53" i="27"/>
  <c r="AO93" i="27"/>
  <c r="AP93" i="27" s="1"/>
  <c r="BE88" i="27"/>
  <c r="BF88" i="27" s="1"/>
  <c r="G171" i="27"/>
  <c r="I171" i="27" s="1"/>
  <c r="J171" i="27" s="1"/>
  <c r="G173" i="27"/>
  <c r="I173" i="27" s="1"/>
  <c r="J173" i="27" s="1"/>
  <c r="G175" i="27"/>
  <c r="BC89" i="27"/>
  <c r="AI89" i="27"/>
  <c r="W89" i="27"/>
  <c r="AO135" i="27"/>
  <c r="AP135" i="27" s="1"/>
  <c r="BE174" i="27"/>
  <c r="BF174" i="27" s="1"/>
  <c r="I172" i="27"/>
  <c r="J172" i="27" s="1"/>
  <c r="I12" i="27"/>
  <c r="J12" i="27" s="1"/>
  <c r="BE172" i="27"/>
  <c r="BF172" i="27" s="1"/>
  <c r="BA89" i="27"/>
  <c r="BE89" i="27" s="1"/>
  <c r="BF89" i="27" s="1"/>
  <c r="U89" i="27"/>
  <c r="I89" i="27"/>
  <c r="J89" i="27" s="1"/>
  <c r="AO11" i="27"/>
  <c r="AP11" i="27" s="1"/>
  <c r="AK6" i="27"/>
  <c r="AO6" i="27" s="1"/>
  <c r="AP6" i="27" s="1"/>
  <c r="BE9" i="27"/>
  <c r="BF9" i="27" s="1"/>
  <c r="AC62" i="27"/>
  <c r="W59" i="27" s="1"/>
  <c r="AM51" i="27"/>
  <c r="AM90" i="27"/>
  <c r="S135" i="27"/>
  <c r="BE129" i="27"/>
  <c r="BF129" i="27" s="1"/>
  <c r="BE130" i="27"/>
  <c r="BF130" i="27" s="1"/>
  <c r="G7" i="31"/>
  <c r="BA173" i="27"/>
  <c r="BE173" i="27" s="1"/>
  <c r="BF173" i="27" s="1"/>
  <c r="AY170" i="27"/>
  <c r="S8" i="27"/>
  <c r="Y8" i="27" s="1"/>
  <c r="Z8" i="27" s="1"/>
  <c r="AI90" i="27"/>
  <c r="AO90" i="27" s="1"/>
  <c r="AP90" i="27" s="1"/>
  <c r="E50" i="27"/>
  <c r="AK8" i="27"/>
  <c r="AM130" i="27"/>
  <c r="W95" i="27"/>
  <c r="Y95" i="27" s="1"/>
  <c r="Z95" i="27" s="1"/>
  <c r="W133" i="27"/>
  <c r="U135" i="27"/>
  <c r="BC132" i="27"/>
  <c r="AY136" i="27"/>
  <c r="BE136" i="27" s="1"/>
  <c r="BF136" i="27" s="1"/>
  <c r="Q8" i="31"/>
  <c r="M7" i="31"/>
  <c r="K8" i="31"/>
  <c r="I7" i="31"/>
  <c r="Y131" i="27"/>
  <c r="Z131" i="27" s="1"/>
  <c r="W16" i="27"/>
  <c r="BF391" i="4"/>
  <c r="BF395" i="4"/>
  <c r="D164" i="31"/>
  <c r="R40" i="31"/>
  <c r="C594" i="31"/>
  <c r="U16" i="27"/>
  <c r="J931" i="31"/>
  <c r="C448" i="31"/>
  <c r="AO892" i="31"/>
  <c r="D440" i="31"/>
  <c r="C754" i="31"/>
  <c r="T20" i="31"/>
  <c r="O10" i="30"/>
  <c r="AN7" i="27"/>
  <c r="D148" i="31"/>
  <c r="C456" i="31"/>
  <c r="R181" i="31"/>
  <c r="D156" i="31"/>
  <c r="D746" i="31"/>
  <c r="AO102" i="31"/>
  <c r="X946" i="31"/>
  <c r="X7" i="27"/>
  <c r="T8" i="27"/>
  <c r="AC6" i="27" s="1"/>
  <c r="V10" i="27"/>
  <c r="AE10" i="27" s="1"/>
  <c r="D302" i="31"/>
  <c r="C892" i="31"/>
  <c r="AO394" i="31"/>
  <c r="E15" i="30"/>
  <c r="S20" i="27"/>
  <c r="V7" i="27"/>
  <c r="AE9" i="27" s="1"/>
  <c r="V9" i="27"/>
  <c r="AD10" i="27" s="1"/>
  <c r="Y19" i="27"/>
  <c r="S15" i="27"/>
  <c r="V5" i="27"/>
  <c r="AC9" i="27" s="1"/>
  <c r="X11" i="27"/>
  <c r="U21" i="27"/>
  <c r="X10" i="27"/>
  <c r="W19" i="27"/>
  <c r="W20" i="27"/>
  <c r="AI19" i="27"/>
  <c r="AL5" i="27"/>
  <c r="AS9" i="27" s="1"/>
  <c r="AM20" i="27"/>
  <c r="H176" i="31"/>
  <c r="H177" i="31"/>
  <c r="J160" i="31"/>
  <c r="C160" i="31"/>
  <c r="C6" i="27"/>
  <c r="G6" i="27"/>
  <c r="AO352" i="31"/>
  <c r="AN381" i="4"/>
  <c r="BL381" i="4" s="1"/>
  <c r="AN332" i="4"/>
  <c r="BL332" i="4" s="1"/>
  <c r="AN351" i="4"/>
  <c r="BL351" i="4" s="1"/>
  <c r="AN287" i="4"/>
  <c r="BL287" i="4" s="1"/>
  <c r="AN322" i="4"/>
  <c r="BL322" i="4" s="1"/>
  <c r="AN290" i="4"/>
  <c r="BL290" i="4" s="1"/>
  <c r="AN386" i="4"/>
  <c r="BL386" i="4" s="1"/>
  <c r="AN407" i="4"/>
  <c r="BL407" i="4" s="1"/>
  <c r="AN312" i="4"/>
  <c r="BL312" i="4" s="1"/>
  <c r="AN390" i="4"/>
  <c r="BL390" i="4" s="1"/>
  <c r="AN389" i="4"/>
  <c r="BL389" i="4" s="1"/>
  <c r="AN327" i="4"/>
  <c r="BL327" i="4" s="1"/>
  <c r="AN295" i="4"/>
  <c r="BL295" i="4" s="1"/>
  <c r="AN330" i="4"/>
  <c r="BL330" i="4" s="1"/>
  <c r="AN298" i="4"/>
  <c r="BL298" i="4" s="1"/>
  <c r="G5" i="27"/>
  <c r="E6" i="27"/>
  <c r="BE381" i="4"/>
  <c r="BF381" i="4" s="1"/>
  <c r="BJ130" i="4"/>
  <c r="BK130" i="4" s="1"/>
  <c r="BJ356" i="4"/>
  <c r="BK356" i="4" s="1"/>
  <c r="BJ179" i="4"/>
  <c r="BK179" i="4" s="1"/>
  <c r="BJ225" i="4"/>
  <c r="BK225" i="4" s="1"/>
  <c r="BJ374" i="4"/>
  <c r="BK374" i="4" s="1"/>
  <c r="BJ87" i="4"/>
  <c r="BK87" i="4" s="1"/>
  <c r="BJ331" i="4"/>
  <c r="BK331" i="4" s="1"/>
  <c r="BJ255" i="4"/>
  <c r="BK255" i="4" s="1"/>
  <c r="BJ400" i="4"/>
  <c r="BJ161" i="4"/>
  <c r="BK161" i="4" s="1"/>
  <c r="BJ170" i="4"/>
  <c r="BK170" i="4" s="1"/>
  <c r="BJ269" i="4"/>
  <c r="BK269" i="4" s="1"/>
  <c r="BJ262" i="4"/>
  <c r="BK262" i="4" s="1"/>
  <c r="BJ355" i="4"/>
  <c r="BJ289" i="4"/>
  <c r="BK289" i="4" s="1"/>
  <c r="BJ343" i="4"/>
  <c r="BK343" i="4" s="1"/>
  <c r="BJ223" i="4"/>
  <c r="BK223" i="4" s="1"/>
  <c r="BJ96" i="4"/>
  <c r="BK96" i="4" s="1"/>
  <c r="BJ172" i="4"/>
  <c r="BK172" i="4" s="1"/>
  <c r="BJ78" i="4"/>
  <c r="BK78" i="4" s="1"/>
  <c r="BJ158" i="4"/>
  <c r="BK158" i="4" s="1"/>
  <c r="BJ238" i="4"/>
  <c r="BK238" i="4" s="1"/>
  <c r="BJ318" i="4"/>
  <c r="BK318" i="4" s="1"/>
  <c r="BJ43" i="4"/>
  <c r="BK43" i="4" s="1"/>
  <c r="BJ107" i="4"/>
  <c r="BK107" i="4" s="1"/>
  <c r="BJ171" i="4"/>
  <c r="BK171" i="4" s="1"/>
  <c r="BJ235" i="4"/>
  <c r="BK235" i="4" s="1"/>
  <c r="BJ299" i="4"/>
  <c r="BK299" i="4" s="1"/>
  <c r="BJ24" i="4"/>
  <c r="BK24" i="4" s="1"/>
  <c r="BJ88" i="4"/>
  <c r="BK88" i="4" s="1"/>
  <c r="BJ152" i="4"/>
  <c r="BK152" i="4" s="1"/>
  <c r="BJ216" i="4"/>
  <c r="BK216" i="4" s="1"/>
  <c r="BJ280" i="4"/>
  <c r="BK280" i="4" s="1"/>
  <c r="BJ344" i="4"/>
  <c r="BK344" i="4" s="1"/>
  <c r="BJ69" i="4"/>
  <c r="BK69" i="4" s="1"/>
  <c r="BJ133" i="4"/>
  <c r="BK133" i="4" s="1"/>
  <c r="BJ197" i="4"/>
  <c r="BK197" i="4" s="1"/>
  <c r="BJ261" i="4"/>
  <c r="BK261" i="4" s="1"/>
  <c r="BJ325" i="4"/>
  <c r="BK325" i="4" s="1"/>
  <c r="BJ386" i="4"/>
  <c r="BK386" i="4" s="1"/>
  <c r="BJ387" i="4"/>
  <c r="BK387" i="4" s="1"/>
  <c r="BJ392" i="4"/>
  <c r="BK392" i="4" s="1"/>
  <c r="BJ397" i="4"/>
  <c r="BJ38" i="4"/>
  <c r="BK38" i="4" s="1"/>
  <c r="BJ102" i="4"/>
  <c r="BK102" i="4" s="1"/>
  <c r="BJ166" i="4"/>
  <c r="BK166" i="4" s="1"/>
  <c r="BJ230" i="4"/>
  <c r="BK230" i="4" s="1"/>
  <c r="BJ294" i="4"/>
  <c r="BK294" i="4" s="1"/>
  <c r="BJ19" i="4"/>
  <c r="BK19" i="4" s="1"/>
  <c r="BJ83" i="4"/>
  <c r="BK83" i="4" s="1"/>
  <c r="BJ147" i="4"/>
  <c r="BK147" i="4" s="1"/>
  <c r="BJ211" i="4"/>
  <c r="BK211" i="4" s="1"/>
  <c r="BJ275" i="4"/>
  <c r="BK275" i="4" s="1"/>
  <c r="BJ339" i="4"/>
  <c r="BK339" i="4" s="1"/>
  <c r="BJ64" i="4"/>
  <c r="BK64" i="4" s="1"/>
  <c r="BJ128" i="4"/>
  <c r="BK128" i="4" s="1"/>
  <c r="BJ192" i="4"/>
  <c r="BK192" i="4" s="1"/>
  <c r="BJ256" i="4"/>
  <c r="BK256" i="4" s="1"/>
  <c r="BJ320" i="4"/>
  <c r="BK320" i="4" s="1"/>
  <c r="BJ45" i="4"/>
  <c r="BK45" i="4" s="1"/>
  <c r="BJ109" i="4"/>
  <c r="BK109" i="4" s="1"/>
  <c r="BJ173" i="4"/>
  <c r="BK173" i="4" s="1"/>
  <c r="BJ237" i="4"/>
  <c r="BK237" i="4" s="1"/>
  <c r="BJ301" i="4"/>
  <c r="BK301" i="4" s="1"/>
  <c r="BJ362" i="4"/>
  <c r="BK362" i="4" s="1"/>
  <c r="BJ363" i="4"/>
  <c r="BJ74" i="4"/>
  <c r="BK74" i="4" s="1"/>
  <c r="BJ138" i="4"/>
  <c r="BK138" i="4" s="1"/>
  <c r="BJ202" i="4"/>
  <c r="BK202" i="4" s="1"/>
  <c r="BJ266" i="4"/>
  <c r="BK266" i="4" s="1"/>
  <c r="BJ330" i="4"/>
  <c r="BK330" i="4" s="1"/>
  <c r="BJ55" i="4"/>
  <c r="BK55" i="4" s="1"/>
  <c r="BJ119" i="4"/>
  <c r="BK119" i="4" s="1"/>
  <c r="BJ183" i="4"/>
  <c r="BK183" i="4" s="1"/>
  <c r="BJ247" i="4"/>
  <c r="BK247" i="4" s="1"/>
  <c r="BJ311" i="4"/>
  <c r="BK311" i="4" s="1"/>
  <c r="BJ36" i="4"/>
  <c r="BK36" i="4" s="1"/>
  <c r="BJ100" i="4"/>
  <c r="BK100" i="4" s="1"/>
  <c r="BJ164" i="4"/>
  <c r="BK164" i="4" s="1"/>
  <c r="BJ228" i="4"/>
  <c r="BK228" i="4" s="1"/>
  <c r="BJ292" i="4"/>
  <c r="BK292" i="4" s="1"/>
  <c r="BJ17" i="4"/>
  <c r="BK17" i="4" s="1"/>
  <c r="BJ81" i="4"/>
  <c r="BK81" i="4" s="1"/>
  <c r="BJ145" i="4"/>
  <c r="BK145" i="4" s="1"/>
  <c r="BJ14" i="4"/>
  <c r="BK14" i="4" s="1"/>
  <c r="BJ94" i="4"/>
  <c r="BK94" i="4" s="1"/>
  <c r="BJ174" i="4"/>
  <c r="BK174" i="4" s="1"/>
  <c r="BJ270" i="4"/>
  <c r="BK270" i="4" s="1"/>
  <c r="BJ334" i="4"/>
  <c r="BK334" i="4" s="1"/>
  <c r="BJ59" i="4"/>
  <c r="BK59" i="4" s="1"/>
  <c r="BJ123" i="4"/>
  <c r="BK123" i="4" s="1"/>
  <c r="BJ187" i="4"/>
  <c r="BK187" i="4" s="1"/>
  <c r="BJ251" i="4"/>
  <c r="BK251" i="4" s="1"/>
  <c r="BJ315" i="4"/>
  <c r="BK315" i="4" s="1"/>
  <c r="BJ40" i="4"/>
  <c r="BK40" i="4" s="1"/>
  <c r="BJ104" i="4"/>
  <c r="BK104" i="4" s="1"/>
  <c r="BJ168" i="4"/>
  <c r="BK168" i="4" s="1"/>
  <c r="BJ232" i="4"/>
  <c r="BK232" i="4" s="1"/>
  <c r="BJ296" i="4"/>
  <c r="BK296" i="4" s="1"/>
  <c r="BJ21" i="4"/>
  <c r="BK21" i="4" s="1"/>
  <c r="BJ85" i="4"/>
  <c r="BK85" i="4" s="1"/>
  <c r="BJ149" i="4"/>
  <c r="BK149" i="4" s="1"/>
  <c r="BJ213" i="4"/>
  <c r="BK213" i="4" s="1"/>
  <c r="BJ277" i="4"/>
  <c r="BK277" i="4" s="1"/>
  <c r="BJ341" i="4"/>
  <c r="BK341" i="4" s="1"/>
  <c r="BJ402" i="4"/>
  <c r="BJ408" i="4"/>
  <c r="BJ54" i="4"/>
  <c r="BK54" i="4" s="1"/>
  <c r="BJ118" i="4"/>
  <c r="BK118" i="4" s="1"/>
  <c r="BJ182" i="4"/>
  <c r="BK182" i="4" s="1"/>
  <c r="BJ246" i="4"/>
  <c r="BK246" i="4" s="1"/>
  <c r="BJ310" i="4"/>
  <c r="BK310" i="4" s="1"/>
  <c r="BJ35" i="4"/>
  <c r="BK35" i="4" s="1"/>
  <c r="BJ99" i="4"/>
  <c r="BK99" i="4" s="1"/>
  <c r="BJ163" i="4"/>
  <c r="BK163" i="4" s="1"/>
  <c r="BJ227" i="4"/>
  <c r="BK227" i="4" s="1"/>
  <c r="BJ291" i="4"/>
  <c r="BK291" i="4" s="1"/>
  <c r="BJ16" i="4"/>
  <c r="BK16" i="4" s="1"/>
  <c r="BJ80" i="4"/>
  <c r="BK80" i="4" s="1"/>
  <c r="BJ144" i="4"/>
  <c r="BK144" i="4" s="1"/>
  <c r="BJ208" i="4"/>
  <c r="BK208" i="4" s="1"/>
  <c r="BJ272" i="4"/>
  <c r="BK272" i="4" s="1"/>
  <c r="BJ336" i="4"/>
  <c r="BK336" i="4" s="1"/>
  <c r="BJ61" i="4"/>
  <c r="BK61" i="4" s="1"/>
  <c r="BJ125" i="4"/>
  <c r="BK125" i="4" s="1"/>
  <c r="BJ189" i="4"/>
  <c r="BK189" i="4" s="1"/>
  <c r="BJ253" i="4"/>
  <c r="BK253" i="4" s="1"/>
  <c r="BJ317" i="4"/>
  <c r="BK317" i="4" s="1"/>
  <c r="BJ378" i="4"/>
  <c r="BK378" i="4" s="1"/>
  <c r="BJ379" i="4"/>
  <c r="BK379" i="4" s="1"/>
  <c r="BJ384" i="4"/>
  <c r="BK384" i="4" s="1"/>
  <c r="BJ389" i="4"/>
  <c r="BK389" i="4" s="1"/>
  <c r="BJ162" i="4"/>
  <c r="BK162" i="4" s="1"/>
  <c r="BJ338" i="4"/>
  <c r="BK338" i="4" s="1"/>
  <c r="BJ175" i="4"/>
  <c r="BK175" i="4" s="1"/>
  <c r="BJ28" i="4"/>
  <c r="BK28" i="4" s="1"/>
  <c r="BJ236" i="4"/>
  <c r="BK236" i="4" s="1"/>
  <c r="BJ73" i="4"/>
  <c r="BK73" i="4" s="1"/>
  <c r="BJ265" i="4"/>
  <c r="BK265" i="4" s="1"/>
  <c r="BJ391" i="4"/>
  <c r="BK391" i="4" s="1"/>
  <c r="BJ26" i="4"/>
  <c r="BK26" i="4" s="1"/>
  <c r="BJ90" i="4"/>
  <c r="BK90" i="4" s="1"/>
  <c r="BJ154" i="4"/>
  <c r="BK154" i="4" s="1"/>
  <c r="BJ218" i="4"/>
  <c r="BK218" i="4" s="1"/>
  <c r="BJ282" i="4"/>
  <c r="BK282" i="4" s="1"/>
  <c r="BJ346" i="4"/>
  <c r="BK346" i="4" s="1"/>
  <c r="BJ71" i="4"/>
  <c r="BK71" i="4" s="1"/>
  <c r="BJ135" i="4"/>
  <c r="BK135" i="4" s="1"/>
  <c r="BJ199" i="4"/>
  <c r="BK199" i="4" s="1"/>
  <c r="BJ263" i="4"/>
  <c r="BK263" i="4" s="1"/>
  <c r="BJ327" i="4"/>
  <c r="BK327" i="4" s="1"/>
  <c r="BJ52" i="4"/>
  <c r="BK52" i="4" s="1"/>
  <c r="BJ116" i="4"/>
  <c r="BK116" i="4" s="1"/>
  <c r="BJ180" i="4"/>
  <c r="BK180" i="4" s="1"/>
  <c r="BJ244" i="4"/>
  <c r="BK244" i="4" s="1"/>
  <c r="BJ308" i="4"/>
  <c r="BK308" i="4" s="1"/>
  <c r="BJ33" i="4"/>
  <c r="BK33" i="4" s="1"/>
  <c r="BJ97" i="4"/>
  <c r="BK97" i="4" s="1"/>
  <c r="BJ46" i="4"/>
  <c r="BK46" i="4" s="1"/>
  <c r="BJ142" i="4"/>
  <c r="BK142" i="4" s="1"/>
  <c r="BJ222" i="4"/>
  <c r="BK222" i="4" s="1"/>
  <c r="BJ302" i="4"/>
  <c r="BK302" i="4" s="1"/>
  <c r="BJ27" i="4"/>
  <c r="BK27" i="4" s="1"/>
  <c r="BJ91" i="4"/>
  <c r="BK91" i="4" s="1"/>
  <c r="BJ155" i="4"/>
  <c r="BK155" i="4" s="1"/>
  <c r="BJ219" i="4"/>
  <c r="BK219" i="4" s="1"/>
  <c r="BJ283" i="4"/>
  <c r="BK283" i="4" s="1"/>
  <c r="BJ347" i="4"/>
  <c r="BJ22" i="4"/>
  <c r="BK22" i="4" s="1"/>
  <c r="BJ86" i="4"/>
  <c r="BK86" i="4" s="1"/>
  <c r="BJ150" i="4"/>
  <c r="BK150" i="4" s="1"/>
  <c r="BJ214" i="4"/>
  <c r="BK214" i="4" s="1"/>
  <c r="BJ278" i="4"/>
  <c r="BK278" i="4" s="1"/>
  <c r="BJ342" i="4"/>
  <c r="BK342" i="4" s="1"/>
  <c r="BJ67" i="4"/>
  <c r="BK67" i="4" s="1"/>
  <c r="BJ131" i="4"/>
  <c r="BK131" i="4" s="1"/>
  <c r="BJ195" i="4"/>
  <c r="BK195" i="4" s="1"/>
  <c r="BJ259" i="4"/>
  <c r="BK259" i="4" s="1"/>
  <c r="BJ323" i="4"/>
  <c r="BK323" i="4" s="1"/>
  <c r="BJ48" i="4"/>
  <c r="BK48" i="4" s="1"/>
  <c r="BJ112" i="4"/>
  <c r="BK112" i="4" s="1"/>
  <c r="BJ176" i="4"/>
  <c r="BK176" i="4" s="1"/>
  <c r="BJ240" i="4"/>
  <c r="BK240" i="4" s="1"/>
  <c r="BJ304" i="4"/>
  <c r="BK304" i="4" s="1"/>
  <c r="BJ29" i="4"/>
  <c r="BK29" i="4" s="1"/>
  <c r="BJ93" i="4"/>
  <c r="BK93" i="4" s="1"/>
  <c r="BJ157" i="4"/>
  <c r="BK157" i="4" s="1"/>
  <c r="BJ221" i="4"/>
  <c r="BK221" i="4" s="1"/>
  <c r="BJ285" i="4"/>
  <c r="BK285" i="4" s="1"/>
  <c r="BJ349" i="4"/>
  <c r="BJ352" i="4"/>
  <c r="BK352" i="4" s="1"/>
  <c r="BJ357" i="4"/>
  <c r="BJ258" i="4"/>
  <c r="BK258" i="4" s="1"/>
  <c r="BJ79" i="4"/>
  <c r="BK79" i="4" s="1"/>
  <c r="BJ271" i="4"/>
  <c r="BK271" i="4" s="1"/>
  <c r="BJ124" i="4"/>
  <c r="BK124" i="4" s="1"/>
  <c r="BJ332" i="4"/>
  <c r="BK332" i="4" s="1"/>
  <c r="BJ169" i="4"/>
  <c r="BK169" i="4" s="1"/>
  <c r="BJ329" i="4"/>
  <c r="BK329" i="4" s="1"/>
  <c r="BJ353" i="4"/>
  <c r="BJ366" i="4"/>
  <c r="BK366" i="4" s="1"/>
  <c r="BJ305" i="4"/>
  <c r="BK305" i="4" s="1"/>
  <c r="BJ241" i="4"/>
  <c r="BK241" i="4" s="1"/>
  <c r="BJ177" i="4"/>
  <c r="BK177" i="4" s="1"/>
  <c r="BJ324" i="4"/>
  <c r="BK324" i="4" s="1"/>
  <c r="BJ68" i="4"/>
  <c r="BK68" i="4" s="1"/>
  <c r="BJ151" i="4"/>
  <c r="BK151" i="4" s="1"/>
  <c r="BJ234" i="4"/>
  <c r="BK234" i="4" s="1"/>
  <c r="BJ364" i="4"/>
  <c r="BK364" i="4" s="1"/>
  <c r="BJ76" i="4"/>
  <c r="BK76" i="4" s="1"/>
  <c r="BJ405" i="4"/>
  <c r="BJ345" i="4"/>
  <c r="BK345" i="4" s="1"/>
  <c r="BJ137" i="4"/>
  <c r="BK137" i="4" s="1"/>
  <c r="BJ252" i="4"/>
  <c r="BK252" i="4" s="1"/>
  <c r="BJ60" i="4"/>
  <c r="BK60" i="4" s="1"/>
  <c r="BJ191" i="4"/>
  <c r="BK191" i="4" s="1"/>
  <c r="BJ322" i="4"/>
  <c r="BK322" i="4" s="1"/>
  <c r="BJ66" i="4"/>
  <c r="BK66" i="4" s="1"/>
  <c r="BJ404" i="4"/>
  <c r="BJ398" i="4"/>
  <c r="BJ205" i="4"/>
  <c r="BK205" i="4" s="1"/>
  <c r="BJ288" i="4"/>
  <c r="BK288" i="4" s="1"/>
  <c r="BJ32" i="4"/>
  <c r="BK32" i="4" s="1"/>
  <c r="BJ115" i="4"/>
  <c r="BK115" i="4" s="1"/>
  <c r="BJ198" i="4"/>
  <c r="BK198" i="4" s="1"/>
  <c r="BJ406" i="4"/>
  <c r="BJ388" i="4"/>
  <c r="BK388" i="4" s="1"/>
  <c r="BJ383" i="4"/>
  <c r="BK383" i="4" s="1"/>
  <c r="BJ382" i="4"/>
  <c r="BK382" i="4" s="1"/>
  <c r="BJ321" i="4"/>
  <c r="BK321" i="4" s="1"/>
  <c r="BJ257" i="4"/>
  <c r="BK257" i="4" s="1"/>
  <c r="BJ193" i="4"/>
  <c r="BK193" i="4" s="1"/>
  <c r="BJ49" i="4"/>
  <c r="BK49" i="4" s="1"/>
  <c r="BJ132" i="4"/>
  <c r="BK132" i="4" s="1"/>
  <c r="BJ215" i="4"/>
  <c r="BK215" i="4" s="1"/>
  <c r="BJ298" i="4"/>
  <c r="BK298" i="4" s="1"/>
  <c r="BJ42" i="4"/>
  <c r="BK42" i="4" s="1"/>
  <c r="BJ284" i="4"/>
  <c r="BK284" i="4" s="1"/>
  <c r="BJ210" i="4"/>
  <c r="BK210" i="4" s="1"/>
  <c r="BJ394" i="4"/>
  <c r="I10" i="27"/>
  <c r="J10" i="27" s="1"/>
  <c r="BE408" i="4"/>
  <c r="BF408" i="4" s="1"/>
  <c r="BE236" i="4"/>
  <c r="BF236" i="4" s="1"/>
  <c r="BE300" i="4"/>
  <c r="BF300" i="4" s="1"/>
  <c r="BE364" i="4"/>
  <c r="BF364" i="4" s="1"/>
  <c r="BE304" i="4"/>
  <c r="BF304" i="4" s="1"/>
  <c r="BE320" i="4"/>
  <c r="BF320" i="4" s="1"/>
  <c r="BE336" i="4"/>
  <c r="BF336" i="4" s="1"/>
  <c r="BE352" i="4"/>
  <c r="BF352" i="4" s="1"/>
  <c r="BE59" i="4"/>
  <c r="BF59" i="4" s="1"/>
  <c r="BE123" i="4"/>
  <c r="BF123" i="4" s="1"/>
  <c r="BE187" i="4"/>
  <c r="BF187" i="4" s="1"/>
  <c r="BE64" i="4"/>
  <c r="BF64" i="4" s="1"/>
  <c r="BE128" i="4"/>
  <c r="BF128" i="4" s="1"/>
  <c r="BE192" i="4"/>
  <c r="BF192" i="4" s="1"/>
  <c r="BE65" i="4"/>
  <c r="BF65" i="4" s="1"/>
  <c r="BE129" i="4"/>
  <c r="BF129" i="4" s="1"/>
  <c r="BE66" i="4"/>
  <c r="BF66" i="4" s="1"/>
  <c r="BE130" i="4"/>
  <c r="BF130" i="4" s="1"/>
  <c r="BE194" i="4"/>
  <c r="BF194" i="4" s="1"/>
  <c r="BE299" i="4"/>
  <c r="BF299" i="4" s="1"/>
  <c r="BE400" i="4"/>
  <c r="BF400" i="4" s="1"/>
  <c r="BE75" i="4"/>
  <c r="BF75" i="4" s="1"/>
  <c r="BE16" i="4"/>
  <c r="BF16" i="4" s="1"/>
  <c r="BE144" i="4"/>
  <c r="BF144" i="4" s="1"/>
  <c r="BE81" i="4"/>
  <c r="BF81" i="4" s="1"/>
  <c r="BE82" i="4"/>
  <c r="BF82" i="4" s="1"/>
  <c r="BE398" i="4"/>
  <c r="BF398" i="4" s="1"/>
  <c r="BE334" i="4"/>
  <c r="BF334" i="4" s="1"/>
  <c r="BE270" i="4"/>
  <c r="BF270" i="4" s="1"/>
  <c r="BE206" i="4"/>
  <c r="BF206" i="4" s="1"/>
  <c r="BE19" i="4"/>
  <c r="BF19" i="4" s="1"/>
  <c r="BE83" i="4"/>
  <c r="BF83" i="4" s="1"/>
  <c r="BE147" i="4"/>
  <c r="BF147" i="4" s="1"/>
  <c r="BE401" i="4"/>
  <c r="BF401" i="4" s="1"/>
  <c r="BE337" i="4"/>
  <c r="BF337" i="4" s="1"/>
  <c r="BE273" i="4"/>
  <c r="BF273" i="4" s="1"/>
  <c r="BE209" i="4"/>
  <c r="BF209" i="4" s="1"/>
  <c r="BE55" i="4"/>
  <c r="BF55" i="4" s="1"/>
  <c r="BE119" i="4"/>
  <c r="BF119" i="4" s="1"/>
  <c r="BE183" i="4"/>
  <c r="BF183" i="4" s="1"/>
  <c r="BE60" i="4"/>
  <c r="BF60" i="4" s="1"/>
  <c r="BE140" i="4"/>
  <c r="BF140" i="4" s="1"/>
  <c r="BE61" i="4"/>
  <c r="BF61" i="4" s="1"/>
  <c r="BE62" i="4"/>
  <c r="BF62" i="4" s="1"/>
  <c r="BE190" i="4"/>
  <c r="BF190" i="4" s="1"/>
  <c r="BE405" i="4"/>
  <c r="BF405" i="4" s="1"/>
  <c r="BE277" i="4"/>
  <c r="BF277" i="4" s="1"/>
  <c r="BE13" i="4"/>
  <c r="BF13" i="4" s="1"/>
  <c r="BE14" i="4"/>
  <c r="BF14" i="4" s="1"/>
  <c r="BE275" i="4"/>
  <c r="BF275" i="4" s="1"/>
  <c r="BE214" i="4"/>
  <c r="BF214" i="4" s="1"/>
  <c r="BE301" i="4"/>
  <c r="BF301" i="4" s="1"/>
  <c r="BE22" i="4"/>
  <c r="BF22" i="4" s="1"/>
  <c r="BE150" i="4"/>
  <c r="BF150" i="4" s="1"/>
  <c r="BE382" i="4"/>
  <c r="BF382" i="4" s="1"/>
  <c r="BE254" i="4"/>
  <c r="BF254" i="4" s="1"/>
  <c r="BE35" i="4"/>
  <c r="BF35" i="4" s="1"/>
  <c r="BE163" i="4"/>
  <c r="BF163" i="4" s="1"/>
  <c r="BE168" i="4"/>
  <c r="BF168" i="4" s="1"/>
  <c r="BE105" i="4"/>
  <c r="BF105" i="4" s="1"/>
  <c r="BE106" i="4"/>
  <c r="BF106" i="4" s="1"/>
  <c r="BE215" i="4"/>
  <c r="BF215" i="4" s="1"/>
  <c r="BE234" i="4"/>
  <c r="BF234" i="4" s="1"/>
  <c r="BE385" i="4"/>
  <c r="BF385" i="4" s="1"/>
  <c r="BE257" i="4"/>
  <c r="BF257" i="4" s="1"/>
  <c r="BE71" i="4"/>
  <c r="BF71" i="4" s="1"/>
  <c r="BE12" i="4"/>
  <c r="BF12" i="4" s="1"/>
  <c r="BE93" i="4"/>
  <c r="BF93" i="4" s="1"/>
  <c r="BE375" i="4"/>
  <c r="BF375" i="4" s="1"/>
  <c r="BE230" i="4"/>
  <c r="BF230" i="4" s="1"/>
  <c r="BE317" i="4"/>
  <c r="BF317" i="4" s="1"/>
  <c r="BE248" i="4"/>
  <c r="BF248" i="4" s="1"/>
  <c r="BE268" i="4"/>
  <c r="BF268" i="4" s="1"/>
  <c r="BE208" i="4"/>
  <c r="BF208" i="4" s="1"/>
  <c r="BE155" i="4"/>
  <c r="BF155" i="4" s="1"/>
  <c r="BE33" i="4"/>
  <c r="BF33" i="4" s="1"/>
  <c r="BE162" i="4"/>
  <c r="BF162" i="4" s="1"/>
  <c r="BE370" i="4"/>
  <c r="BF370" i="4" s="1"/>
  <c r="BE242" i="4"/>
  <c r="BF242" i="4" s="1"/>
  <c r="BE271" i="4"/>
  <c r="BF271" i="4" s="1"/>
  <c r="BE329" i="4"/>
  <c r="BF329" i="4" s="1"/>
  <c r="BE199" i="4"/>
  <c r="BF199" i="4" s="1"/>
  <c r="BE373" i="4"/>
  <c r="BF373" i="4" s="1"/>
  <c r="BE245" i="4"/>
  <c r="BF245" i="4" s="1"/>
  <c r="BE77" i="4"/>
  <c r="BF77" i="4" s="1"/>
  <c r="BE409" i="4"/>
  <c r="BF409" i="4" s="1"/>
  <c r="BE281" i="4"/>
  <c r="BF281" i="4" s="1"/>
  <c r="BE263" i="4"/>
  <c r="BF263" i="4" s="1"/>
  <c r="BE325" i="4"/>
  <c r="BF325" i="4" s="1"/>
  <c r="BE185" i="4"/>
  <c r="BF185" i="4" s="1"/>
  <c r="BE46" i="4"/>
  <c r="BF46" i="4" s="1"/>
  <c r="BE207" i="4"/>
  <c r="BF207" i="4" s="1"/>
  <c r="BE396" i="4"/>
  <c r="BF396" i="4" s="1"/>
  <c r="BE393" i="4"/>
  <c r="BF393" i="4" s="1"/>
  <c r="BE265" i="4"/>
  <c r="BF265" i="4" s="1"/>
  <c r="BE235" i="4"/>
  <c r="BF235" i="4" s="1"/>
  <c r="BE309" i="4"/>
  <c r="BF309" i="4" s="1"/>
  <c r="BE92" i="4"/>
  <c r="BF92" i="4" s="1"/>
  <c r="BE78" i="4"/>
  <c r="BF78" i="4" s="1"/>
  <c r="BE390" i="4"/>
  <c r="BF390" i="4" s="1"/>
  <c r="BE339" i="4"/>
  <c r="BF339" i="4" s="1"/>
  <c r="BE237" i="4"/>
  <c r="BF237" i="4" s="1"/>
  <c r="BE111" i="4"/>
  <c r="BF111" i="4" s="1"/>
  <c r="BE52" i="4"/>
  <c r="BF52" i="4" s="1"/>
  <c r="BE180" i="4"/>
  <c r="BF180" i="4" s="1"/>
  <c r="BE117" i="4"/>
  <c r="BF117" i="4" s="1"/>
  <c r="BE118" i="4"/>
  <c r="BF118" i="4" s="1"/>
  <c r="BE327" i="4"/>
  <c r="BF327" i="4" s="1"/>
  <c r="BE350" i="4"/>
  <c r="BF350" i="4" s="1"/>
  <c r="BE222" i="4"/>
  <c r="BF222" i="4" s="1"/>
  <c r="BE67" i="4"/>
  <c r="BF67" i="4" s="1"/>
  <c r="BE195" i="4"/>
  <c r="BF195" i="4" s="1"/>
  <c r="BE136" i="4"/>
  <c r="BF136" i="4" s="1"/>
  <c r="BE73" i="4"/>
  <c r="BF73" i="4" s="1"/>
  <c r="BE74" i="4"/>
  <c r="BF74" i="4" s="1"/>
  <c r="BE202" i="4"/>
  <c r="BF202" i="4" s="1"/>
  <c r="BE29" i="4"/>
  <c r="BF29" i="4" s="1"/>
  <c r="BE158" i="4"/>
  <c r="BF158" i="4" s="1"/>
  <c r="BE294" i="4"/>
  <c r="BF294" i="4" s="1"/>
  <c r="BJ365" i="4"/>
  <c r="BJ159" i="4"/>
  <c r="BK159" i="4" s="1"/>
  <c r="BJ201" i="4"/>
  <c r="BK201" i="4" s="1"/>
  <c r="BJ51" i="4"/>
  <c r="BK51" i="4" s="1"/>
  <c r="BJ224" i="4"/>
  <c r="BK224" i="4" s="1"/>
  <c r="BJ274" i="4"/>
  <c r="BK274" i="4" s="1"/>
  <c r="BJ12" i="4"/>
  <c r="BK12" i="4" s="1"/>
  <c r="BJ89" i="4"/>
  <c r="BK89" i="4" s="1"/>
  <c r="BJ380" i="4"/>
  <c r="BK380" i="4" s="1"/>
  <c r="BJ267" i="4"/>
  <c r="BK267" i="4" s="1"/>
  <c r="BJ101" i="4"/>
  <c r="BK101" i="4" s="1"/>
  <c r="BJ34" i="4"/>
  <c r="BK34" i="4" s="1"/>
  <c r="BJ31" i="4"/>
  <c r="BK31" i="4" s="1"/>
  <c r="BJ106" i="4"/>
  <c r="BK106" i="4" s="1"/>
  <c r="BJ279" i="4"/>
  <c r="BK279" i="4" s="1"/>
  <c r="BJ113" i="4"/>
  <c r="BK113" i="4" s="1"/>
  <c r="BJ273" i="4"/>
  <c r="BK273" i="4" s="1"/>
  <c r="BJ399" i="4"/>
  <c r="BJ369" i="4"/>
  <c r="BJ139" i="4"/>
  <c r="BK139" i="4" s="1"/>
  <c r="BJ312" i="4"/>
  <c r="BK312" i="4" s="1"/>
  <c r="BJ360" i="4"/>
  <c r="BK360" i="4" s="1"/>
  <c r="BJ25" i="4"/>
  <c r="BK25" i="4" s="1"/>
  <c r="BJ326" i="4"/>
  <c r="BK326" i="4" s="1"/>
  <c r="BJ160" i="4"/>
  <c r="BK160" i="4" s="1"/>
  <c r="BJ333" i="4"/>
  <c r="BK333" i="4" s="1"/>
  <c r="BJ372" i="4"/>
  <c r="BK372" i="4" s="1"/>
  <c r="BJ242" i="4"/>
  <c r="BK242" i="4" s="1"/>
  <c r="BJ303" i="4"/>
  <c r="BK303" i="4" s="1"/>
  <c r="BJ41" i="4"/>
  <c r="BK41" i="4" s="1"/>
  <c r="BJ375" i="4"/>
  <c r="BK375" i="4" s="1"/>
  <c r="BJ65" i="4"/>
  <c r="BK65" i="4" s="1"/>
  <c r="BJ276" i="4"/>
  <c r="BK276" i="4" s="1"/>
  <c r="BJ148" i="4"/>
  <c r="BK148" i="4" s="1"/>
  <c r="BJ20" i="4"/>
  <c r="BK20" i="4" s="1"/>
  <c r="BJ231" i="4"/>
  <c r="BK231" i="4" s="1"/>
  <c r="BJ103" i="4"/>
  <c r="BK103" i="4" s="1"/>
  <c r="BJ314" i="4"/>
  <c r="BK314" i="4" s="1"/>
  <c r="BJ186" i="4"/>
  <c r="BK186" i="4" s="1"/>
  <c r="BJ58" i="4"/>
  <c r="BK58" i="4" s="1"/>
  <c r="BJ393" i="4"/>
  <c r="BJ11" i="4"/>
  <c r="BK11" i="4" s="1"/>
  <c r="BJ359" i="4"/>
  <c r="BJ57" i="4"/>
  <c r="BK57" i="4" s="1"/>
  <c r="BJ44" i="4"/>
  <c r="BK44" i="4" s="1"/>
  <c r="BJ15" i="4"/>
  <c r="BK15" i="4" s="1"/>
  <c r="BJ82" i="4"/>
  <c r="BK82" i="4" s="1"/>
  <c r="BJ376" i="4"/>
  <c r="BK376" i="4" s="1"/>
  <c r="BJ370" i="4"/>
  <c r="BK370" i="4" s="1"/>
  <c r="BJ245" i="4"/>
  <c r="BK245" i="4" s="1"/>
  <c r="BJ117" i="4"/>
  <c r="BK117" i="4" s="1"/>
  <c r="BJ328" i="4"/>
  <c r="BK328" i="4" s="1"/>
  <c r="BJ200" i="4"/>
  <c r="BK200" i="4" s="1"/>
  <c r="BJ72" i="4"/>
  <c r="BK72" i="4" s="1"/>
  <c r="BJ358" i="4"/>
  <c r="BK358" i="4" s="1"/>
  <c r="BJ300" i="4"/>
  <c r="BK300" i="4" s="1"/>
  <c r="BJ287" i="4"/>
  <c r="BK287" i="4" s="1"/>
  <c r="BJ226" i="4"/>
  <c r="BK226" i="4" s="1"/>
  <c r="BJ18" i="4"/>
  <c r="BK18" i="4" s="1"/>
  <c r="BJ390" i="4"/>
  <c r="BK390" i="4" s="1"/>
  <c r="BJ348" i="4"/>
  <c r="BK348" i="4" s="1"/>
  <c r="BJ319" i="4"/>
  <c r="BK319" i="4" s="1"/>
  <c r="BJ306" i="4"/>
  <c r="BK306" i="4" s="1"/>
  <c r="BJ373" i="4"/>
  <c r="BK373" i="4" s="1"/>
  <c r="BJ407" i="4"/>
  <c r="BJ105" i="4"/>
  <c r="BK105" i="4" s="1"/>
  <c r="BJ92" i="4"/>
  <c r="BK92" i="4" s="1"/>
  <c r="BJ63" i="4"/>
  <c r="BK63" i="4" s="1"/>
  <c r="BJ98" i="4"/>
  <c r="BK98" i="4" s="1"/>
  <c r="BJ108" i="4"/>
  <c r="BK108" i="4" s="1"/>
  <c r="BJ165" i="4"/>
  <c r="BK165" i="4" s="1"/>
  <c r="BJ13" i="4"/>
  <c r="BK13" i="4" s="1"/>
  <c r="BJ260" i="4"/>
  <c r="BK260" i="4" s="1"/>
  <c r="BJ178" i="4"/>
  <c r="BK178" i="4" s="1"/>
  <c r="BJ75" i="4"/>
  <c r="BK75" i="4" s="1"/>
  <c r="BJ47" i="4"/>
  <c r="BK47" i="4" s="1"/>
  <c r="AQ28" i="4"/>
  <c r="AJ99" i="30"/>
  <c r="C93" i="30"/>
  <c r="C11" i="30"/>
  <c r="E11" i="30"/>
  <c r="Y9" i="30"/>
  <c r="AA9" i="30"/>
  <c r="AA10" i="30"/>
  <c r="Y10" i="30"/>
  <c r="AL10" i="30"/>
  <c r="AL13" i="30" s="1"/>
  <c r="AJ10" i="30"/>
  <c r="AJ13" i="30" s="1"/>
  <c r="E34" i="30"/>
  <c r="C34" i="30"/>
  <c r="C35" i="30"/>
  <c r="E35" i="30"/>
  <c r="P34" i="30"/>
  <c r="P38" i="30" s="1"/>
  <c r="N34" i="30"/>
  <c r="E53" i="30"/>
  <c r="E59" i="30" s="1"/>
  <c r="C53" i="30"/>
  <c r="E54" i="30"/>
  <c r="C54" i="30"/>
  <c r="C75" i="30"/>
  <c r="C80" i="30" s="1"/>
  <c r="E75" i="30"/>
  <c r="E94" i="30"/>
  <c r="E101" i="30" s="1"/>
  <c r="C94" i="30"/>
  <c r="P56" i="30"/>
  <c r="N56" i="30"/>
  <c r="P73" i="30"/>
  <c r="P80" i="30" s="1"/>
  <c r="N73" i="30"/>
  <c r="N78" i="30"/>
  <c r="P78" i="30"/>
  <c r="P99" i="30"/>
  <c r="N99" i="30"/>
  <c r="P100" i="30"/>
  <c r="N100" i="30"/>
  <c r="AA36" i="30"/>
  <c r="Y36" i="30"/>
  <c r="AA37" i="30"/>
  <c r="Y37" i="30"/>
  <c r="AA57" i="30"/>
  <c r="AA59" i="30" s="1"/>
  <c r="Y57" i="30"/>
  <c r="AA79" i="30"/>
  <c r="AA80" i="30" s="1"/>
  <c r="Y79" i="30"/>
  <c r="Y80" i="30" s="1"/>
  <c r="AA97" i="30"/>
  <c r="AA101" i="30" s="1"/>
  <c r="Y97" i="30"/>
  <c r="Y101" i="30" s="1"/>
  <c r="AL32" i="30"/>
  <c r="AJ32" i="30"/>
  <c r="AL52" i="30"/>
  <c r="AJ52" i="30"/>
  <c r="AL53" i="30"/>
  <c r="AJ53" i="30"/>
  <c r="AJ75" i="30"/>
  <c r="AL75" i="30"/>
  <c r="AL76" i="30"/>
  <c r="AJ76" i="30"/>
  <c r="AL93" i="30"/>
  <c r="AJ93" i="30"/>
  <c r="AL100" i="30"/>
  <c r="AJ100" i="30"/>
  <c r="AO28" i="4"/>
  <c r="AO26" i="4"/>
  <c r="U15" i="27"/>
  <c r="AO15" i="4"/>
  <c r="W15" i="27" s="1"/>
  <c r="C7" i="30"/>
  <c r="E7" i="30"/>
  <c r="P51" i="30"/>
  <c r="N51" i="30"/>
  <c r="N59" i="30" s="1"/>
  <c r="P9" i="30"/>
  <c r="N9" i="30"/>
  <c r="P10" i="30"/>
  <c r="N10" i="30"/>
  <c r="E176" i="27"/>
  <c r="G176" i="27"/>
  <c r="C176" i="27"/>
  <c r="U171" i="27"/>
  <c r="U178" i="27" s="1"/>
  <c r="W171" i="27"/>
  <c r="AO171" i="27"/>
  <c r="AP171" i="27" s="1"/>
  <c r="AK174" i="27"/>
  <c r="AM174" i="27"/>
  <c r="BA177" i="27"/>
  <c r="BC177" i="27"/>
  <c r="AO89" i="27"/>
  <c r="AP89" i="27" s="1"/>
  <c r="U9" i="27"/>
  <c r="W9" i="27"/>
  <c r="S9" i="27"/>
  <c r="BA90" i="27"/>
  <c r="BC90" i="27"/>
  <c r="AY90" i="27"/>
  <c r="AM136" i="27"/>
  <c r="AK136" i="27"/>
  <c r="BA133" i="27"/>
  <c r="AY133" i="27"/>
  <c r="Q9" i="31"/>
  <c r="K9" i="31"/>
  <c r="G9" i="31"/>
  <c r="Y59" i="30"/>
  <c r="AL36" i="30"/>
  <c r="AJ36" i="30"/>
  <c r="AL56" i="30"/>
  <c r="AJ56" i="30"/>
  <c r="AJ59" i="30" s="1"/>
  <c r="G7" i="27"/>
  <c r="C7" i="27"/>
  <c r="I177" i="27"/>
  <c r="J177" i="27" s="1"/>
  <c r="E170" i="27"/>
  <c r="C170" i="27"/>
  <c r="W170" i="27"/>
  <c r="AM172" i="27"/>
  <c r="AK172" i="27"/>
  <c r="AK178" i="27" s="1"/>
  <c r="I48" i="27"/>
  <c r="J48" i="27" s="1"/>
  <c r="W7" i="27"/>
  <c r="S7" i="27"/>
  <c r="U7" i="27"/>
  <c r="W11" i="27"/>
  <c r="S11" i="27"/>
  <c r="U11" i="27"/>
  <c r="U20" i="27"/>
  <c r="T5" i="27"/>
  <c r="AC5" i="27" s="1"/>
  <c r="V12" i="27"/>
  <c r="AA12" i="27" s="1"/>
  <c r="AD16" i="27" s="1"/>
  <c r="U17" i="27"/>
  <c r="X9" i="27"/>
  <c r="T11" i="27"/>
  <c r="U19" i="27"/>
  <c r="X5" i="27"/>
  <c r="T7" i="27"/>
  <c r="AE5" i="27" s="1"/>
  <c r="T12" i="27"/>
  <c r="S16" i="27"/>
  <c r="X6" i="27"/>
  <c r="T9" i="27"/>
  <c r="AD6" i="27" s="1"/>
  <c r="V11" i="27"/>
  <c r="AC11" i="27" s="1"/>
  <c r="S17" i="27"/>
  <c r="S21" i="27"/>
  <c r="V8" i="27"/>
  <c r="AC10" i="27" s="1"/>
  <c r="T10" i="27"/>
  <c r="W17" i="27"/>
  <c r="W21" i="27"/>
  <c r="T6" i="27"/>
  <c r="AD5" i="27" s="1"/>
  <c r="X12" i="27"/>
  <c r="S19" i="27"/>
  <c r="AM5" i="27"/>
  <c r="AI5" i="27"/>
  <c r="AI9" i="27"/>
  <c r="AM9" i="27"/>
  <c r="AK9" i="27"/>
  <c r="BC6" i="27"/>
  <c r="BC13" i="27" s="1"/>
  <c r="BA6" i="27"/>
  <c r="BA13" i="27" s="1"/>
  <c r="W52" i="27"/>
  <c r="U52" i="27"/>
  <c r="U56" i="27" s="1"/>
  <c r="Y53" i="27"/>
  <c r="Z53" i="27" s="1"/>
  <c r="AK48" i="27"/>
  <c r="AI48" i="27"/>
  <c r="AK49" i="27"/>
  <c r="AM49" i="27"/>
  <c r="AI50" i="27"/>
  <c r="AM50" i="27"/>
  <c r="AO51" i="27"/>
  <c r="AP51" i="27" s="1"/>
  <c r="AK54" i="27"/>
  <c r="AI54" i="27"/>
  <c r="BC55" i="27"/>
  <c r="AY55" i="27"/>
  <c r="AY92" i="27"/>
  <c r="BC92" i="27"/>
  <c r="BA92" i="27"/>
  <c r="E80" i="30"/>
  <c r="AO176" i="27"/>
  <c r="AP176" i="27" s="1"/>
  <c r="AO175" i="27"/>
  <c r="AP175" i="27" s="1"/>
  <c r="AO173" i="27"/>
  <c r="AP173" i="27" s="1"/>
  <c r="BE93" i="27"/>
  <c r="BF93" i="27" s="1"/>
  <c r="Y89" i="27"/>
  <c r="Z89" i="27" s="1"/>
  <c r="BE134" i="27"/>
  <c r="BF134" i="27" s="1"/>
  <c r="AM7" i="27"/>
  <c r="AK7" i="27"/>
  <c r="AM12" i="27"/>
  <c r="AK12" i="27"/>
  <c r="BC12" i="27"/>
  <c r="BA12" i="27"/>
  <c r="G51" i="27"/>
  <c r="C51" i="27"/>
  <c r="G53" i="27"/>
  <c r="C53" i="27"/>
  <c r="G55" i="27"/>
  <c r="C55" i="27"/>
  <c r="S48" i="27"/>
  <c r="W48" i="27"/>
  <c r="S49" i="27"/>
  <c r="Y49" i="27" s="1"/>
  <c r="W49" i="27"/>
  <c r="W55" i="27"/>
  <c r="U55" i="27"/>
  <c r="AI52" i="27"/>
  <c r="AK52" i="27"/>
  <c r="AO53" i="27"/>
  <c r="AP53" i="27" s="1"/>
  <c r="BA56" i="27"/>
  <c r="BC53" i="27"/>
  <c r="BC56" i="27" s="1"/>
  <c r="AY53" i="27"/>
  <c r="G92" i="27"/>
  <c r="C92" i="27"/>
  <c r="AK95" i="27"/>
  <c r="AM95" i="27"/>
  <c r="E129" i="27"/>
  <c r="C129" i="27"/>
  <c r="E132" i="27"/>
  <c r="G132" i="27"/>
  <c r="S129" i="27"/>
  <c r="U129" i="27"/>
  <c r="W130" i="27"/>
  <c r="U130" i="27"/>
  <c r="AI131" i="27"/>
  <c r="AM131" i="27"/>
  <c r="AI133" i="27"/>
  <c r="AM133" i="27"/>
  <c r="AM134" i="27"/>
  <c r="AI134" i="27"/>
  <c r="BC131" i="27"/>
  <c r="BA131" i="27"/>
  <c r="BE132" i="27"/>
  <c r="BF132" i="27" s="1"/>
  <c r="BC135" i="27"/>
  <c r="BA135" i="27"/>
  <c r="BE10" i="27"/>
  <c r="BF10" i="27" s="1"/>
  <c r="AO8" i="27"/>
  <c r="AP8" i="27" s="1"/>
  <c r="BE52" i="27"/>
  <c r="BF52" i="27" s="1"/>
  <c r="C298" i="31"/>
  <c r="D888" i="31"/>
  <c r="D436" i="31"/>
  <c r="AC122" i="31"/>
  <c r="C80" i="31"/>
  <c r="C226" i="31"/>
  <c r="D378" i="31"/>
  <c r="C524" i="31"/>
  <c r="C670" i="31"/>
  <c r="D816" i="31"/>
  <c r="C962" i="31"/>
  <c r="D294" i="31"/>
  <c r="D884" i="31"/>
  <c r="D310" i="31"/>
  <c r="C608" i="31"/>
  <c r="AO248" i="31"/>
  <c r="AO594" i="31"/>
  <c r="AO678" i="31"/>
  <c r="AO608" i="31"/>
  <c r="AO640" i="31"/>
  <c r="T102" i="31"/>
  <c r="L350" i="31"/>
  <c r="F135" i="27"/>
  <c r="M135" i="27" s="1"/>
  <c r="BM71" i="4"/>
  <c r="BK349" i="4"/>
  <c r="BM67" i="4"/>
  <c r="BK353" i="4"/>
  <c r="BM63" i="4"/>
  <c r="BK357" i="4"/>
  <c r="BM59" i="4"/>
  <c r="BM55" i="4"/>
  <c r="BK365" i="4"/>
  <c r="BM51" i="4"/>
  <c r="BK369" i="4"/>
  <c r="E13" i="30"/>
  <c r="BM73" i="4"/>
  <c r="BK347" i="4"/>
  <c r="BM69" i="4"/>
  <c r="BM65" i="4"/>
  <c r="BK355" i="4"/>
  <c r="BM61" i="4"/>
  <c r="BK359" i="4"/>
  <c r="BM57" i="4"/>
  <c r="BK363" i="4"/>
  <c r="BM53" i="4"/>
  <c r="D152" i="31"/>
  <c r="C444" i="31"/>
  <c r="D736" i="31"/>
  <c r="C84" i="31"/>
  <c r="C290" i="31"/>
  <c r="AO942" i="31"/>
  <c r="W70" i="31"/>
  <c r="P152" i="31"/>
  <c r="W207" i="31"/>
  <c r="E178" i="27"/>
  <c r="E8" i="27"/>
  <c r="I8" i="27" s="1"/>
  <c r="J8" i="27" s="1"/>
  <c r="E5" i="27"/>
  <c r="P13" i="30"/>
  <c r="BC171" i="27"/>
  <c r="AY171" i="27"/>
  <c r="BC176" i="27"/>
  <c r="AY176" i="27"/>
  <c r="Z5" i="27"/>
  <c r="C9" i="27"/>
  <c r="I9" i="27" s="1"/>
  <c r="J9" i="27" s="1"/>
  <c r="C9" i="30"/>
  <c r="N6" i="30"/>
  <c r="BC170" i="27"/>
  <c r="C175" i="27"/>
  <c r="S171" i="27"/>
  <c r="AI174" i="27"/>
  <c r="G170" i="27"/>
  <c r="AI172" i="27"/>
  <c r="BA171" i="27"/>
  <c r="BA176" i="27"/>
  <c r="Y6" i="27"/>
  <c r="Z6" i="27" s="1"/>
  <c r="I50" i="27"/>
  <c r="J50" i="27" s="1"/>
  <c r="Y54" i="27"/>
  <c r="Z54" i="27" s="1"/>
  <c r="C96" i="27"/>
  <c r="W92" i="27"/>
  <c r="W96" i="27" s="1"/>
  <c r="S92" i="27"/>
  <c r="U94" i="27"/>
  <c r="S94" i="27"/>
  <c r="AM94" i="27"/>
  <c r="AI94" i="27"/>
  <c r="G136" i="27"/>
  <c r="C136" i="27"/>
  <c r="N131" i="27" s="1"/>
  <c r="Y133" i="27"/>
  <c r="Z133" i="27" s="1"/>
  <c r="W136" i="27"/>
  <c r="S136" i="27"/>
  <c r="AK132" i="27"/>
  <c r="AK137" i="27" s="1"/>
  <c r="AM132" i="27"/>
  <c r="BE50" i="27"/>
  <c r="S12" i="27"/>
  <c r="Y12" i="27" s="1"/>
  <c r="Z12" i="27" s="1"/>
  <c r="AI7" i="27"/>
  <c r="AI12" i="27"/>
  <c r="AY6" i="27"/>
  <c r="BE6" i="27" s="1"/>
  <c r="AY12" i="27"/>
  <c r="C52" i="27"/>
  <c r="I52" i="27" s="1"/>
  <c r="J52" i="27" s="1"/>
  <c r="C54" i="27"/>
  <c r="I54" i="27" s="1"/>
  <c r="J54" i="27" s="1"/>
  <c r="S52" i="27"/>
  <c r="AM48" i="27"/>
  <c r="AM52" i="27"/>
  <c r="AO52" i="27" s="1"/>
  <c r="AP52" i="27" s="1"/>
  <c r="AM54" i="27"/>
  <c r="AY54" i="27"/>
  <c r="G91" i="27"/>
  <c r="G93" i="27"/>
  <c r="I93" i="27" s="1"/>
  <c r="J93" i="27" s="1"/>
  <c r="G95" i="27"/>
  <c r="C95" i="27"/>
  <c r="U92" i="27"/>
  <c r="AI91" i="27"/>
  <c r="AM91" i="27"/>
  <c r="AM96" i="27" s="1"/>
  <c r="AK94" i="27"/>
  <c r="AK96" i="27" s="1"/>
  <c r="AY91" i="27"/>
  <c r="BC91" i="27"/>
  <c r="BC94" i="27"/>
  <c r="AY94" i="27"/>
  <c r="BC95" i="27"/>
  <c r="BE95" i="27" s="1"/>
  <c r="BF95" i="27" s="1"/>
  <c r="G131" i="27"/>
  <c r="C131" i="27"/>
  <c r="C133" i="27"/>
  <c r="G133" i="27"/>
  <c r="E134" i="27"/>
  <c r="E136" i="27"/>
  <c r="U132" i="27"/>
  <c r="W132" i="27"/>
  <c r="W134" i="27"/>
  <c r="U134" i="27"/>
  <c r="U136" i="27"/>
  <c r="AI132" i="27"/>
  <c r="AI136" i="27"/>
  <c r="AY131" i="27"/>
  <c r="BC133" i="27"/>
  <c r="AY135" i="27"/>
  <c r="S8" i="31"/>
  <c r="S9" i="31" s="1"/>
  <c r="M8" i="31"/>
  <c r="M9" i="31" s="1"/>
  <c r="O8" i="31"/>
  <c r="O9" i="31" s="1"/>
  <c r="I8" i="31"/>
  <c r="D118" i="31"/>
  <c r="C194" i="31"/>
  <c r="D264" i="31"/>
  <c r="D340" i="31"/>
  <c r="C410" i="31"/>
  <c r="C486" i="31"/>
  <c r="C562" i="31"/>
  <c r="C632" i="31"/>
  <c r="C708" i="31"/>
  <c r="D778" i="31"/>
  <c r="D854" i="31"/>
  <c r="D930" i="31"/>
  <c r="C88" i="31"/>
  <c r="C218" i="31"/>
  <c r="C364" i="31"/>
  <c r="D516" i="31"/>
  <c r="C662" i="31"/>
  <c r="C954" i="31"/>
  <c r="C72" i="31"/>
  <c r="D240" i="31"/>
  <c r="C386" i="31"/>
  <c r="C532" i="31"/>
  <c r="D678" i="31"/>
  <c r="D824" i="31"/>
  <c r="AO172" i="31"/>
  <c r="AO318" i="31"/>
  <c r="AO470" i="31"/>
  <c r="AO746" i="31"/>
  <c r="AO240" i="31"/>
  <c r="AO164" i="31"/>
  <c r="AO202" i="31"/>
  <c r="N938" i="31"/>
  <c r="P72" i="31"/>
  <c r="H127" i="31"/>
  <c r="F241" i="31"/>
  <c r="N594" i="31"/>
  <c r="C64" i="31"/>
  <c r="C102" i="31"/>
  <c r="D134" i="31"/>
  <c r="D172" i="31"/>
  <c r="C210" i="31"/>
  <c r="D248" i="31"/>
  <c r="D286" i="31"/>
  <c r="D318" i="31"/>
  <c r="D356" i="31"/>
  <c r="C394" i="31"/>
  <c r="C432" i="31"/>
  <c r="C470" i="31"/>
  <c r="C502" i="31"/>
  <c r="C540" i="31"/>
  <c r="D578" i="31"/>
  <c r="C616" i="31"/>
  <c r="D654" i="31"/>
  <c r="C686" i="31"/>
  <c r="C724" i="31"/>
  <c r="C762" i="31"/>
  <c r="D838" i="31"/>
  <c r="C908" i="31"/>
  <c r="D946" i="31"/>
  <c r="C56" i="31"/>
  <c r="D110" i="31"/>
  <c r="C180" i="31"/>
  <c r="C256" i="31"/>
  <c r="D332" i="31"/>
  <c r="C402" i="31"/>
  <c r="D478" i="31"/>
  <c r="C548" i="31"/>
  <c r="D624" i="31"/>
  <c r="C770" i="31"/>
  <c r="C846" i="31"/>
  <c r="C916" i="31"/>
  <c r="C126" i="31"/>
  <c r="D202" i="31"/>
  <c r="D272" i="31"/>
  <c r="D348" i="31"/>
  <c r="C424" i="31"/>
  <c r="D494" i="31"/>
  <c r="C570" i="31"/>
  <c r="C640" i="31"/>
  <c r="C716" i="31"/>
  <c r="C792" i="31"/>
  <c r="D862" i="31"/>
  <c r="C938" i="31"/>
  <c r="AO64" i="31"/>
  <c r="AO134" i="31"/>
  <c r="AO210" i="31"/>
  <c r="AO286" i="31"/>
  <c r="AO356" i="31"/>
  <c r="AO432" i="31"/>
  <c r="AO524" i="31"/>
  <c r="AO670" i="31"/>
  <c r="AO816" i="31"/>
  <c r="AO962" i="31"/>
  <c r="AO456" i="31"/>
  <c r="AO884" i="31"/>
  <c r="AO364" i="31"/>
  <c r="AO846" i="31"/>
  <c r="AO424" i="31"/>
  <c r="AO862" i="31"/>
  <c r="P938" i="31"/>
  <c r="T946" i="31"/>
  <c r="F104" i="31"/>
  <c r="T157" i="31"/>
  <c r="H211" i="31"/>
  <c r="L264" i="31"/>
  <c r="H488" i="31"/>
  <c r="W710" i="31"/>
  <c r="D368" i="31"/>
  <c r="D520" i="31"/>
  <c r="C666" i="31"/>
  <c r="D812" i="31"/>
  <c r="C122" i="31"/>
  <c r="C214" i="31"/>
  <c r="D360" i="31"/>
  <c r="C506" i="31"/>
  <c r="C658" i="31"/>
  <c r="C804" i="31"/>
  <c r="C950" i="31"/>
  <c r="AO160" i="31"/>
  <c r="AO452" i="31"/>
  <c r="AO60" i="31"/>
  <c r="AO644" i="31"/>
  <c r="J290" i="31"/>
  <c r="J400" i="31"/>
  <c r="H968" i="31"/>
  <c r="AO966" i="31"/>
  <c r="C966" i="31"/>
  <c r="AO904" i="31"/>
  <c r="C904" i="31"/>
  <c r="R866" i="31"/>
  <c r="AO866" i="31"/>
  <c r="R829" i="31"/>
  <c r="D828" i="31"/>
  <c r="AC782" i="31"/>
  <c r="C782" i="31"/>
  <c r="D750" i="31"/>
  <c r="C750" i="31"/>
  <c r="AO712" i="31"/>
  <c r="C712" i="31"/>
  <c r="C674" i="31"/>
  <c r="AO674" i="31"/>
  <c r="D674" i="31"/>
  <c r="T636" i="31"/>
  <c r="C636" i="31"/>
  <c r="C598" i="31"/>
  <c r="D598" i="31"/>
  <c r="AC566" i="31"/>
  <c r="D566" i="31"/>
  <c r="J529" i="31"/>
  <c r="AO528" i="31"/>
  <c r="D528" i="31"/>
  <c r="P491" i="31"/>
  <c r="D490" i="31"/>
  <c r="N428" i="31"/>
  <c r="AO428" i="31"/>
  <c r="T390" i="31"/>
  <c r="C390" i="31"/>
  <c r="L382" i="31"/>
  <c r="D382" i="31"/>
  <c r="N68" i="31"/>
  <c r="T68" i="31"/>
  <c r="J69" i="31"/>
  <c r="W69" i="31"/>
  <c r="L936" i="31"/>
  <c r="D934" i="31"/>
  <c r="D896" i="31"/>
  <c r="C896" i="31"/>
  <c r="AO858" i="31"/>
  <c r="C858" i="31"/>
  <c r="T820" i="31"/>
  <c r="AO820" i="31"/>
  <c r="C820" i="31"/>
  <c r="AO758" i="31"/>
  <c r="C758" i="31"/>
  <c r="D720" i="31"/>
  <c r="AO720" i="31"/>
  <c r="AO682" i="31"/>
  <c r="C682" i="31"/>
  <c r="H612" i="31"/>
  <c r="D612" i="31"/>
  <c r="D574" i="31"/>
  <c r="AO574" i="31"/>
  <c r="W537" i="31"/>
  <c r="D536" i="31"/>
  <c r="AO460" i="31"/>
  <c r="C460" i="31"/>
  <c r="J415" i="31"/>
  <c r="AO414" i="31"/>
  <c r="D414" i="31"/>
  <c r="T344" i="31"/>
  <c r="AO344" i="31"/>
  <c r="D344" i="31"/>
  <c r="H314" i="31"/>
  <c r="D314" i="31"/>
  <c r="P308" i="31"/>
  <c r="C306" i="31"/>
  <c r="T278" i="31"/>
  <c r="AO276" i="31"/>
  <c r="L269" i="31"/>
  <c r="AO268" i="31"/>
  <c r="C268" i="31"/>
  <c r="AO244" i="31"/>
  <c r="D244" i="31"/>
  <c r="F231" i="31"/>
  <c r="AC230" i="31"/>
  <c r="D230" i="31"/>
  <c r="T208" i="31"/>
  <c r="L208" i="31"/>
  <c r="H208" i="31"/>
  <c r="J199" i="31"/>
  <c r="AO198" i="31"/>
  <c r="C198" i="31"/>
  <c r="T178" i="31"/>
  <c r="J176" i="31"/>
  <c r="T176" i="31"/>
  <c r="J177" i="31"/>
  <c r="AO168" i="31"/>
  <c r="C168" i="31"/>
  <c r="X153" i="31"/>
  <c r="N154" i="31"/>
  <c r="X154" i="31"/>
  <c r="R152" i="31"/>
  <c r="L132" i="31"/>
  <c r="AO130" i="31"/>
  <c r="J123" i="31"/>
  <c r="X123" i="31"/>
  <c r="J124" i="31"/>
  <c r="F123" i="31"/>
  <c r="AO122" i="31"/>
  <c r="R92" i="31"/>
  <c r="R93" i="31"/>
  <c r="X93" i="31"/>
  <c r="AC92" i="31"/>
  <c r="D92" i="31"/>
  <c r="BH24" i="4"/>
  <c r="BM24" i="4" s="1"/>
  <c r="BH22" i="4"/>
  <c r="BM22" i="4" s="1"/>
  <c r="BH12" i="4"/>
  <c r="BM12" i="4" s="1"/>
  <c r="C114" i="31"/>
  <c r="D260" i="31"/>
  <c r="C774" i="31"/>
  <c r="C850" i="31"/>
  <c r="C68" i="31"/>
  <c r="D106" i="31"/>
  <c r="D138" i="31"/>
  <c r="C176" i="31"/>
  <c r="C252" i="31"/>
  <c r="D322" i="31"/>
  <c r="D766" i="31"/>
  <c r="C912" i="31"/>
  <c r="C60" i="31"/>
  <c r="D206" i="31"/>
  <c r="D352" i="31"/>
  <c r="C498" i="31"/>
  <c r="C644" i="31"/>
  <c r="D796" i="31"/>
  <c r="C942" i="31"/>
  <c r="AO84" i="31"/>
  <c r="AO230" i="31"/>
  <c r="AO382" i="31"/>
  <c r="AO598" i="31"/>
  <c r="AO896" i="31"/>
  <c r="AO206" i="31"/>
  <c r="AO498" i="31"/>
  <c r="AO796" i="31"/>
  <c r="X69" i="31"/>
  <c r="H69" i="31"/>
  <c r="P92" i="31"/>
  <c r="P93" i="31"/>
  <c r="W124" i="31"/>
  <c r="F124" i="31"/>
  <c r="F152" i="31"/>
  <c r="R154" i="31"/>
  <c r="L177" i="31"/>
  <c r="L176" i="31"/>
  <c r="J208" i="31"/>
  <c r="F208" i="31"/>
  <c r="P261" i="31"/>
  <c r="W314" i="31"/>
  <c r="T370" i="31"/>
  <c r="J454" i="31"/>
  <c r="J901" i="31"/>
  <c r="AO900" i="31"/>
  <c r="F871" i="31"/>
  <c r="F872" i="31"/>
  <c r="AO870" i="31"/>
  <c r="F808" i="31"/>
  <c r="AO808" i="31"/>
  <c r="H802" i="31"/>
  <c r="AO800" i="31"/>
  <c r="W700" i="31"/>
  <c r="AO700" i="31"/>
  <c r="J586" i="31"/>
  <c r="AO586" i="31"/>
  <c r="W73" i="31"/>
  <c r="X73" i="31"/>
  <c r="R73" i="31"/>
  <c r="N72" i="31"/>
  <c r="J72" i="31"/>
  <c r="D64" i="31"/>
  <c r="D80" i="31"/>
  <c r="D102" i="31"/>
  <c r="C118" i="31"/>
  <c r="C134" i="31"/>
  <c r="C156" i="31"/>
  <c r="C172" i="31"/>
  <c r="D194" i="31"/>
  <c r="D210" i="31"/>
  <c r="D226" i="31"/>
  <c r="C248" i="31"/>
  <c r="C264" i="31"/>
  <c r="C302" i="31"/>
  <c r="C318" i="31"/>
  <c r="C340" i="31"/>
  <c r="C356" i="31"/>
  <c r="C378" i="31"/>
  <c r="D410" i="31"/>
  <c r="D432" i="31"/>
  <c r="D448" i="31"/>
  <c r="D470" i="31"/>
  <c r="D486" i="31"/>
  <c r="D502" i="31"/>
  <c r="D540" i="31"/>
  <c r="D562" i="31"/>
  <c r="C578" i="31"/>
  <c r="D616" i="31"/>
  <c r="D632" i="31"/>
  <c r="C654" i="31"/>
  <c r="D686" i="31"/>
  <c r="D708" i="31"/>
  <c r="D724" i="31"/>
  <c r="C746" i="31"/>
  <c r="C778" i="31"/>
  <c r="D800" i="31"/>
  <c r="C816" i="31"/>
  <c r="C838" i="31"/>
  <c r="C854" i="31"/>
  <c r="D870" i="31"/>
  <c r="D908" i="31"/>
  <c r="C930" i="31"/>
  <c r="C946" i="31"/>
  <c r="D962" i="31"/>
  <c r="D56" i="31"/>
  <c r="C110" i="31"/>
  <c r="D180" i="31"/>
  <c r="D218" i="31"/>
  <c r="C294" i="31"/>
  <c r="C332" i="31"/>
  <c r="D364" i="31"/>
  <c r="D402" i="31"/>
  <c r="C440" i="31"/>
  <c r="D548" i="31"/>
  <c r="D586" i="31"/>
  <c r="D662" i="31"/>
  <c r="C700" i="31"/>
  <c r="D770" i="31"/>
  <c r="C808" i="31"/>
  <c r="D846" i="31"/>
  <c r="C884" i="31"/>
  <c r="D916" i="31"/>
  <c r="D954" i="31"/>
  <c r="D72" i="31"/>
  <c r="D126" i="31"/>
  <c r="C240" i="31"/>
  <c r="C272" i="31"/>
  <c r="C348" i="31"/>
  <c r="D386" i="31"/>
  <c r="D424" i="31"/>
  <c r="D456" i="31"/>
  <c r="C494" i="31"/>
  <c r="D532" i="31"/>
  <c r="D570" i="31"/>
  <c r="C678" i="31"/>
  <c r="D716" i="31"/>
  <c r="D754" i="31"/>
  <c r="D792" i="31"/>
  <c r="C900" i="31"/>
  <c r="D938" i="31"/>
  <c r="AO80" i="31"/>
  <c r="AO118" i="31"/>
  <c r="AO156" i="31"/>
  <c r="AO194" i="31"/>
  <c r="AO226" i="31"/>
  <c r="AO264" i="31"/>
  <c r="AO302" i="31"/>
  <c r="AO378" i="31"/>
  <c r="AO854" i="31"/>
  <c r="AO930" i="31"/>
  <c r="AO126" i="31"/>
  <c r="AO570" i="31"/>
  <c r="AO792" i="31"/>
  <c r="AO56" i="31"/>
  <c r="AO954" i="31"/>
  <c r="AO72" i="31"/>
  <c r="N939" i="31"/>
  <c r="H947" i="31"/>
  <c r="L72" i="31"/>
  <c r="T74" i="31"/>
  <c r="L104" i="31"/>
  <c r="X126" i="31"/>
  <c r="N157" i="31"/>
  <c r="H540" i="31"/>
  <c r="H654" i="31"/>
  <c r="J816" i="31"/>
  <c r="BM18" i="4"/>
  <c r="BK402" i="4"/>
  <c r="P948" i="31"/>
  <c r="N947" i="31"/>
  <c r="P946" i="31"/>
  <c r="N946" i="31"/>
  <c r="AO946" i="31"/>
  <c r="L940" i="31"/>
  <c r="X940" i="31"/>
  <c r="R938" i="31"/>
  <c r="H938" i="31"/>
  <c r="T938" i="31"/>
  <c r="AO938" i="31"/>
  <c r="N825" i="31"/>
  <c r="AO824" i="31"/>
  <c r="X762" i="31"/>
  <c r="W763" i="31"/>
  <c r="AO762" i="31"/>
  <c r="T734" i="31"/>
  <c r="AO732" i="31"/>
  <c r="J624" i="31"/>
  <c r="P626" i="31"/>
  <c r="AO624" i="31"/>
  <c r="L518" i="31"/>
  <c r="AO516" i="31"/>
  <c r="T478" i="31"/>
  <c r="AO478" i="31"/>
  <c r="X311" i="31"/>
  <c r="AO310" i="31"/>
  <c r="W296" i="31"/>
  <c r="AO294" i="31"/>
  <c r="F257" i="31"/>
  <c r="AO256" i="31"/>
  <c r="X240" i="31"/>
  <c r="N241" i="31"/>
  <c r="H210" i="31"/>
  <c r="P210" i="31"/>
  <c r="W181" i="31"/>
  <c r="AC180" i="31"/>
  <c r="AO180" i="31"/>
  <c r="J150" i="31"/>
  <c r="AO148" i="31"/>
  <c r="R128" i="31"/>
  <c r="L127" i="31"/>
  <c r="F127" i="31"/>
  <c r="P126" i="31"/>
  <c r="R104" i="31"/>
  <c r="N104" i="31"/>
  <c r="H104" i="31"/>
  <c r="T104" i="31"/>
  <c r="J103" i="31"/>
  <c r="F89" i="31"/>
  <c r="AO88" i="31"/>
  <c r="BH21" i="4"/>
  <c r="BF399" i="4"/>
  <c r="BM19" i="4"/>
  <c r="BH17" i="4"/>
  <c r="BH15" i="4"/>
  <c r="BM15" i="4" s="1"/>
  <c r="H959" i="31"/>
  <c r="AO958" i="31"/>
  <c r="F921" i="31"/>
  <c r="AO920" i="31"/>
  <c r="R730" i="31"/>
  <c r="AO728" i="31"/>
  <c r="F692" i="31"/>
  <c r="AO690" i="31"/>
  <c r="W876" i="31"/>
  <c r="AO874" i="31"/>
  <c r="W843" i="31"/>
  <c r="AO842" i="31"/>
  <c r="W705" i="31"/>
  <c r="AO704" i="31"/>
  <c r="P628" i="31"/>
  <c r="AO628" i="31"/>
  <c r="P620" i="31"/>
  <c r="AO620" i="31"/>
  <c r="R592" i="31"/>
  <c r="AO590" i="31"/>
  <c r="L584" i="31"/>
  <c r="AO582" i="31"/>
  <c r="F554" i="31"/>
  <c r="AO552" i="31"/>
  <c r="N546" i="31"/>
  <c r="AO544" i="31"/>
  <c r="T508" i="31"/>
  <c r="AO506" i="31"/>
  <c r="R484" i="31"/>
  <c r="X484" i="31"/>
  <c r="X482" i="31"/>
  <c r="AO482" i="31"/>
  <c r="X476" i="31"/>
  <c r="AO474" i="31"/>
  <c r="N453" i="31"/>
  <c r="X454" i="31"/>
  <c r="R452" i="31"/>
  <c r="N454" i="31"/>
  <c r="H454" i="31"/>
  <c r="R453" i="31"/>
  <c r="T428" i="31"/>
  <c r="N429" i="31"/>
  <c r="L430" i="31"/>
  <c r="X430" i="31"/>
  <c r="J429" i="31"/>
  <c r="F429" i="31"/>
  <c r="X406" i="31"/>
  <c r="AO406" i="31"/>
  <c r="H398" i="31"/>
  <c r="N398" i="31"/>
  <c r="H400" i="31"/>
  <c r="W398" i="31"/>
  <c r="T400" i="31"/>
  <c r="L398" i="31"/>
  <c r="X400" i="31"/>
  <c r="P398" i="31"/>
  <c r="N370" i="31"/>
  <c r="F368" i="31"/>
  <c r="T368" i="31"/>
  <c r="W368" i="31"/>
  <c r="X369" i="31"/>
  <c r="P368" i="31"/>
  <c r="P370" i="31"/>
  <c r="H369" i="31"/>
  <c r="H370" i="31"/>
  <c r="F370" i="31"/>
  <c r="R369" i="31"/>
  <c r="AC368" i="31"/>
  <c r="AO368" i="31"/>
  <c r="X345" i="31"/>
  <c r="W346" i="31"/>
  <c r="W344" i="31"/>
  <c r="R344" i="31"/>
  <c r="H346" i="31"/>
  <c r="H345" i="31"/>
  <c r="F345" i="31"/>
  <c r="X344" i="31"/>
  <c r="J346" i="31"/>
  <c r="N345" i="31"/>
  <c r="T346" i="31"/>
  <c r="J337" i="31"/>
  <c r="AO336" i="31"/>
  <c r="L315" i="31"/>
  <c r="H316" i="31"/>
  <c r="F316" i="31"/>
  <c r="T315" i="31"/>
  <c r="J316" i="31"/>
  <c r="W315" i="31"/>
  <c r="R316" i="31"/>
  <c r="AC314" i="31"/>
  <c r="P316" i="31"/>
  <c r="R314" i="31"/>
  <c r="L314" i="31"/>
  <c r="H315" i="31"/>
  <c r="T290" i="31"/>
  <c r="H291" i="31"/>
  <c r="J291" i="31"/>
  <c r="R290" i="31"/>
  <c r="L292" i="31"/>
  <c r="F291" i="31"/>
  <c r="X292" i="31"/>
  <c r="X291" i="31"/>
  <c r="T292" i="31"/>
  <c r="P291" i="31"/>
  <c r="H292" i="31"/>
  <c r="R262" i="31"/>
  <c r="J260" i="31"/>
  <c r="N260" i="31"/>
  <c r="P260" i="31"/>
  <c r="T261" i="31"/>
  <c r="R260" i="31"/>
  <c r="L262" i="31"/>
  <c r="F261" i="31"/>
  <c r="N261" i="31"/>
  <c r="X261" i="31"/>
  <c r="W262" i="31"/>
  <c r="H260" i="31"/>
  <c r="AO260" i="31"/>
  <c r="F232" i="31"/>
  <c r="N232" i="31"/>
  <c r="P232" i="31"/>
  <c r="J232" i="31"/>
  <c r="X230" i="31"/>
  <c r="W232" i="31"/>
  <c r="W230" i="31"/>
  <c r="H231" i="31"/>
  <c r="X231" i="31"/>
  <c r="P231" i="31"/>
  <c r="H230" i="31"/>
  <c r="H223" i="31"/>
  <c r="AO222" i="31"/>
  <c r="P208" i="31"/>
  <c r="R208" i="31"/>
  <c r="N207" i="31"/>
  <c r="J206" i="31"/>
  <c r="T207" i="31"/>
  <c r="L206" i="31"/>
  <c r="R207" i="31"/>
  <c r="H206" i="31"/>
  <c r="P207" i="31"/>
  <c r="F206" i="31"/>
  <c r="L207" i="31"/>
  <c r="X208" i="31"/>
  <c r="J207" i="31"/>
  <c r="W208" i="31"/>
  <c r="H207" i="31"/>
  <c r="AC206" i="31"/>
  <c r="X184" i="31"/>
  <c r="H185" i="31"/>
  <c r="AO184" i="31"/>
  <c r="H178" i="31"/>
  <c r="X176" i="31"/>
  <c r="N178" i="31"/>
  <c r="F177" i="31"/>
  <c r="L178" i="31"/>
  <c r="W176" i="31"/>
  <c r="X178" i="31"/>
  <c r="N177" i="31"/>
  <c r="F176" i="31"/>
  <c r="F178" i="31"/>
  <c r="R176" i="31"/>
  <c r="X177" i="31"/>
  <c r="P176" i="31"/>
  <c r="W177" i="31"/>
  <c r="N176" i="31"/>
  <c r="P154" i="31"/>
  <c r="L153" i="31"/>
  <c r="H152" i="31"/>
  <c r="W153" i="31"/>
  <c r="N152" i="31"/>
  <c r="T153" i="31"/>
  <c r="L152" i="31"/>
  <c r="R153" i="31"/>
  <c r="J152" i="31"/>
  <c r="J154" i="31"/>
  <c r="W152" i="31"/>
  <c r="W154" i="31"/>
  <c r="N153" i="31"/>
  <c r="T154" i="31"/>
  <c r="J153" i="31"/>
  <c r="AC152" i="31"/>
  <c r="AO152" i="31"/>
  <c r="W123" i="31"/>
  <c r="R122" i="31"/>
  <c r="T124" i="31"/>
  <c r="L123" i="31"/>
  <c r="R124" i="31"/>
  <c r="H123" i="31"/>
  <c r="L124" i="31"/>
  <c r="X122" i="31"/>
  <c r="X124" i="31"/>
  <c r="P123" i="31"/>
  <c r="H122" i="31"/>
  <c r="H124" i="31"/>
  <c r="T122" i="31"/>
  <c r="L122" i="31"/>
  <c r="T123" i="31"/>
  <c r="N94" i="31"/>
  <c r="J93" i="31"/>
  <c r="F92" i="31"/>
  <c r="J94" i="31"/>
  <c r="W92" i="31"/>
  <c r="L94" i="31"/>
  <c r="X92" i="31"/>
  <c r="H94" i="31"/>
  <c r="F94" i="31"/>
  <c r="W94" i="31"/>
  <c r="T92" i="31"/>
  <c r="T93" i="31"/>
  <c r="R94" i="31"/>
  <c r="N92" i="31"/>
  <c r="P94" i="31"/>
  <c r="L92" i="31"/>
  <c r="X78" i="31"/>
  <c r="AO76" i="31"/>
  <c r="J70" i="31"/>
  <c r="F69" i="31"/>
  <c r="X70" i="31"/>
  <c r="T69" i="31"/>
  <c r="P68" i="31"/>
  <c r="P69" i="31"/>
  <c r="N70" i="31"/>
  <c r="R68" i="31"/>
  <c r="L69" i="31"/>
  <c r="F70" i="31"/>
  <c r="J68" i="31"/>
  <c r="T70" i="31"/>
  <c r="X68" i="31"/>
  <c r="R70" i="31"/>
  <c r="W68" i="31"/>
  <c r="BK400" i="4"/>
  <c r="BM20" i="4"/>
  <c r="BM16" i="4"/>
  <c r="BK404" i="4"/>
  <c r="D76" i="31"/>
  <c r="D114" i="31"/>
  <c r="C152" i="31"/>
  <c r="C184" i="31"/>
  <c r="C222" i="31"/>
  <c r="C260" i="31"/>
  <c r="D298" i="31"/>
  <c r="C336" i="31"/>
  <c r="C368" i="31"/>
  <c r="D406" i="31"/>
  <c r="D444" i="31"/>
  <c r="C482" i="31"/>
  <c r="C520" i="31"/>
  <c r="C552" i="31"/>
  <c r="C590" i="31"/>
  <c r="D628" i="31"/>
  <c r="D666" i="31"/>
  <c r="D704" i="31"/>
  <c r="C736" i="31"/>
  <c r="D774" i="31"/>
  <c r="C812" i="31"/>
  <c r="D850" i="31"/>
  <c r="C888" i="31"/>
  <c r="D920" i="31"/>
  <c r="D958" i="31"/>
  <c r="D68" i="31"/>
  <c r="C106" i="31"/>
  <c r="D122" i="31"/>
  <c r="C138" i="31"/>
  <c r="D160" i="31"/>
  <c r="D176" i="31"/>
  <c r="D198" i="31"/>
  <c r="D214" i="31"/>
  <c r="C230" i="31"/>
  <c r="D252" i="31"/>
  <c r="D268" i="31"/>
  <c r="D290" i="31"/>
  <c r="D306" i="31"/>
  <c r="C322" i="31"/>
  <c r="C344" i="31"/>
  <c r="C360" i="31"/>
  <c r="C382" i="31"/>
  <c r="D398" i="31"/>
  <c r="C414" i="31"/>
  <c r="C436" i="31"/>
  <c r="D452" i="31"/>
  <c r="C474" i="31"/>
  <c r="C490" i="31"/>
  <c r="D506" i="31"/>
  <c r="C528" i="31"/>
  <c r="D544" i="31"/>
  <c r="C566" i="31"/>
  <c r="D582" i="31"/>
  <c r="D620" i="31"/>
  <c r="D636" i="31"/>
  <c r="D658" i="31"/>
  <c r="C690" i="31"/>
  <c r="D712" i="31"/>
  <c r="D728" i="31"/>
  <c r="C766" i="31"/>
  <c r="D782" i="31"/>
  <c r="D804" i="31"/>
  <c r="D820" i="31"/>
  <c r="D842" i="31"/>
  <c r="D858" i="31"/>
  <c r="C874" i="31"/>
  <c r="D912" i="31"/>
  <c r="C934" i="31"/>
  <c r="D950" i="31"/>
  <c r="D966" i="31"/>
  <c r="C92" i="31"/>
  <c r="D130" i="31"/>
  <c r="D168" i="31"/>
  <c r="C206" i="31"/>
  <c r="C244" i="31"/>
  <c r="D276" i="31"/>
  <c r="C314" i="31"/>
  <c r="C352" i="31"/>
  <c r="D390" i="31"/>
  <c r="D428" i="31"/>
  <c r="D460" i="31"/>
  <c r="C536" i="31"/>
  <c r="C612" i="31"/>
  <c r="D644" i="31"/>
  <c r="D682" i="31"/>
  <c r="D758" i="31"/>
  <c r="C828" i="31"/>
  <c r="D866" i="31"/>
  <c r="D904" i="31"/>
  <c r="D942" i="31"/>
  <c r="AO68" i="31"/>
  <c r="AO106" i="31"/>
  <c r="AO138" i="31"/>
  <c r="AO176" i="31"/>
  <c r="AO214" i="31"/>
  <c r="AO252" i="31"/>
  <c r="AO290" i="31"/>
  <c r="AO322" i="31"/>
  <c r="AO360" i="31"/>
  <c r="AO398" i="31"/>
  <c r="AO436" i="31"/>
  <c r="AO490" i="31"/>
  <c r="AO566" i="31"/>
  <c r="AO636" i="31"/>
  <c r="AO782" i="31"/>
  <c r="AO934" i="31"/>
  <c r="AO92" i="31"/>
  <c r="AO314" i="31"/>
  <c r="AO390" i="31"/>
  <c r="AO536" i="31"/>
  <c r="AO612" i="31"/>
  <c r="AO828" i="31"/>
  <c r="F68" i="31"/>
  <c r="H68" i="31"/>
  <c r="AC68" i="31"/>
  <c r="L68" i="31"/>
  <c r="N69" i="31"/>
  <c r="P70" i="31"/>
  <c r="L70" i="31"/>
  <c r="R69" i="31"/>
  <c r="L93" i="31"/>
  <c r="N93" i="31"/>
  <c r="T94" i="31"/>
  <c r="F93" i="31"/>
  <c r="J92" i="31"/>
  <c r="H92" i="31"/>
  <c r="X94" i="31"/>
  <c r="W93" i="31"/>
  <c r="P124" i="31"/>
  <c r="N123" i="31"/>
  <c r="W122" i="31"/>
  <c r="J122" i="31"/>
  <c r="N122" i="31"/>
  <c r="P122" i="31"/>
  <c r="F122" i="31"/>
  <c r="N124" i="31"/>
  <c r="F154" i="31"/>
  <c r="H154" i="31"/>
  <c r="P153" i="31"/>
  <c r="X152" i="31"/>
  <c r="F153" i="31"/>
  <c r="H153" i="31"/>
  <c r="H155" i="31" s="1"/>
  <c r="T152" i="31"/>
  <c r="AC176" i="31"/>
  <c r="P178" i="31"/>
  <c r="R178" i="31"/>
  <c r="W178" i="31"/>
  <c r="J178" i="31"/>
  <c r="R177" i="31"/>
  <c r="T177" i="31"/>
  <c r="P177" i="31"/>
  <c r="N206" i="31"/>
  <c r="N209" i="31" s="1"/>
  <c r="P206" i="31"/>
  <c r="R206" i="31"/>
  <c r="T206" i="31"/>
  <c r="X206" i="31"/>
  <c r="F207" i="31"/>
  <c r="W206" i="31"/>
  <c r="X207" i="31"/>
  <c r="L232" i="31"/>
  <c r="F230" i="31"/>
  <c r="AC260" i="31"/>
  <c r="X260" i="31"/>
  <c r="W290" i="31"/>
  <c r="W292" i="31"/>
  <c r="L316" i="31"/>
  <c r="P314" i="31"/>
  <c r="R346" i="31"/>
  <c r="N346" i="31"/>
  <c r="L368" i="31"/>
  <c r="J370" i="31"/>
  <c r="R399" i="31"/>
  <c r="P400" i="31"/>
  <c r="AC452" i="31"/>
  <c r="R483" i="31"/>
  <c r="R567" i="31"/>
  <c r="W812" i="31"/>
  <c r="BK397" i="4"/>
  <c r="W952" i="31"/>
  <c r="P952" i="31"/>
  <c r="T951" i="31"/>
  <c r="N921" i="31"/>
  <c r="F922" i="31"/>
  <c r="H921" i="31"/>
  <c r="R896" i="31"/>
  <c r="R898" i="31"/>
  <c r="F897" i="31"/>
  <c r="P868" i="31"/>
  <c r="W867" i="31"/>
  <c r="X868" i="31"/>
  <c r="H843" i="31"/>
  <c r="F844" i="31"/>
  <c r="T842" i="31"/>
  <c r="N842" i="31"/>
  <c r="L843" i="31"/>
  <c r="L814" i="31"/>
  <c r="F812" i="31"/>
  <c r="N813" i="31"/>
  <c r="X813" i="31"/>
  <c r="N814" i="31"/>
  <c r="T812" i="31"/>
  <c r="P783" i="31"/>
  <c r="X784" i="31"/>
  <c r="X783" i="31"/>
  <c r="P782" i="31"/>
  <c r="H784" i="31"/>
  <c r="T784" i="31"/>
  <c r="X758" i="31"/>
  <c r="J759" i="31"/>
  <c r="L760" i="31"/>
  <c r="X760" i="31"/>
  <c r="H759" i="31"/>
  <c r="F759" i="31"/>
  <c r="W737" i="31"/>
  <c r="R737" i="31"/>
  <c r="J728" i="31"/>
  <c r="N728" i="31"/>
  <c r="R729" i="31"/>
  <c r="W729" i="31"/>
  <c r="X728" i="31"/>
  <c r="N730" i="31"/>
  <c r="P706" i="31"/>
  <c r="T706" i="31"/>
  <c r="P704" i="31"/>
  <c r="J704" i="31"/>
  <c r="H704" i="31"/>
  <c r="P705" i="31"/>
  <c r="X675" i="31"/>
  <c r="P675" i="31"/>
  <c r="L674" i="31"/>
  <c r="AC674" i="31"/>
  <c r="J676" i="31"/>
  <c r="T676" i="31"/>
  <c r="T645" i="31"/>
  <c r="W645" i="31"/>
  <c r="R644" i="31"/>
  <c r="X645" i="31"/>
  <c r="F646" i="31"/>
  <c r="X622" i="31"/>
  <c r="R620" i="31"/>
  <c r="H622" i="31"/>
  <c r="X621" i="31"/>
  <c r="W620" i="31"/>
  <c r="N621" i="31"/>
  <c r="X591" i="31"/>
  <c r="J590" i="31"/>
  <c r="P591" i="31"/>
  <c r="F591" i="31"/>
  <c r="T592" i="31"/>
  <c r="N590" i="31"/>
  <c r="P567" i="31"/>
  <c r="T567" i="31"/>
  <c r="N566" i="31"/>
  <c r="N567" i="31"/>
  <c r="T566" i="31"/>
  <c r="X536" i="31"/>
  <c r="R537" i="31"/>
  <c r="P536" i="31"/>
  <c r="H537" i="31"/>
  <c r="L506" i="31"/>
  <c r="T506" i="31"/>
  <c r="P506" i="31"/>
  <c r="H507" i="31"/>
  <c r="N483" i="31"/>
  <c r="H484" i="31"/>
  <c r="L484" i="31"/>
  <c r="J483" i="31"/>
  <c r="F483" i="31"/>
  <c r="T482" i="31"/>
  <c r="X483" i="31"/>
  <c r="R454" i="31"/>
  <c r="J452" i="31"/>
  <c r="X452" i="31"/>
  <c r="H453" i="31"/>
  <c r="N452" i="31"/>
  <c r="P452" i="31"/>
  <c r="P454" i="31"/>
  <c r="L454" i="31"/>
  <c r="X429" i="31"/>
  <c r="T430" i="31"/>
  <c r="W430" i="31"/>
  <c r="R430" i="31"/>
  <c r="P429" i="31"/>
  <c r="J428" i="31"/>
  <c r="W429" i="31"/>
  <c r="W428" i="31"/>
  <c r="L399" i="31"/>
  <c r="T399" i="31"/>
  <c r="W399" i="31"/>
  <c r="N399" i="31"/>
  <c r="F398" i="31"/>
  <c r="X398" i="31"/>
  <c r="F400" i="31"/>
  <c r="W400" i="31"/>
  <c r="R398" i="31"/>
  <c r="P399" i="31"/>
  <c r="AC398" i="31"/>
  <c r="W369" i="31"/>
  <c r="R368" i="31"/>
  <c r="W370" i="31"/>
  <c r="N369" i="31"/>
  <c r="X370" i="31"/>
  <c r="P369" i="31"/>
  <c r="H368" i="31"/>
  <c r="F369" i="31"/>
  <c r="X368" i="31"/>
  <c r="T369" i="31"/>
  <c r="R370" i="31"/>
  <c r="N368" i="31"/>
  <c r="L369" i="31"/>
  <c r="L370" i="31"/>
  <c r="J368" i="31"/>
  <c r="P346" i="31"/>
  <c r="L345" i="31"/>
  <c r="H344" i="31"/>
  <c r="X346" i="31"/>
  <c r="P345" i="31"/>
  <c r="F344" i="31"/>
  <c r="R345" i="31"/>
  <c r="L346" i="31"/>
  <c r="P344" i="31"/>
  <c r="P347" i="31" s="1"/>
  <c r="J345" i="31"/>
  <c r="F346" i="31"/>
  <c r="L344" i="31"/>
  <c r="W345" i="31"/>
  <c r="J344" i="31"/>
  <c r="T345" i="31"/>
  <c r="AC344" i="31"/>
  <c r="X315" i="31"/>
  <c r="T314" i="31"/>
  <c r="W316" i="31"/>
  <c r="N315" i="31"/>
  <c r="T316" i="31"/>
  <c r="J315" i="31"/>
  <c r="N316" i="31"/>
  <c r="F315" i="31"/>
  <c r="X316" i="31"/>
  <c r="P315" i="31"/>
  <c r="F314" i="31"/>
  <c r="R315" i="31"/>
  <c r="X314" i="31"/>
  <c r="N314" i="31"/>
  <c r="J314" i="31"/>
  <c r="F298" i="31"/>
  <c r="J299" i="31"/>
  <c r="P292" i="31"/>
  <c r="L291" i="31"/>
  <c r="H290" i="31"/>
  <c r="W291" i="31"/>
  <c r="N290" i="31"/>
  <c r="F292" i="31"/>
  <c r="P290" i="31"/>
  <c r="R291" i="31"/>
  <c r="N292" i="31"/>
  <c r="L290" i="31"/>
  <c r="N291" i="31"/>
  <c r="J292" i="31"/>
  <c r="F290" i="31"/>
  <c r="X290" i="31"/>
  <c r="T291" i="31"/>
  <c r="AC290" i="31"/>
  <c r="F262" i="31"/>
  <c r="W260" i="31"/>
  <c r="P262" i="31"/>
  <c r="H261" i="31"/>
  <c r="T262" i="31"/>
  <c r="J261" i="31"/>
  <c r="H262" i="31"/>
  <c r="X262" i="31"/>
  <c r="T260" i="31"/>
  <c r="R261" i="31"/>
  <c r="N262" i="31"/>
  <c r="L260" i="31"/>
  <c r="L261" i="31"/>
  <c r="J262" i="31"/>
  <c r="F260" i="31"/>
  <c r="N244" i="31"/>
  <c r="P246" i="31"/>
  <c r="R232" i="31"/>
  <c r="N231" i="31"/>
  <c r="J230" i="31"/>
  <c r="T231" i="31"/>
  <c r="L230" i="31"/>
  <c r="W231" i="31"/>
  <c r="N230" i="31"/>
  <c r="J231" i="31"/>
  <c r="H232" i="31"/>
  <c r="X232" i="31"/>
  <c r="T230" i="31"/>
  <c r="R231" i="31"/>
  <c r="T232" i="31"/>
  <c r="P230" i="31"/>
  <c r="L231" i="31"/>
  <c r="R215" i="31"/>
  <c r="AC214" i="31"/>
  <c r="J216" i="31"/>
  <c r="H482" i="31"/>
  <c r="P484" i="31"/>
  <c r="P482" i="31"/>
  <c r="J482" i="31"/>
  <c r="N508" i="31"/>
  <c r="R506" i="31"/>
  <c r="N538" i="31"/>
  <c r="N537" i="31"/>
  <c r="F568" i="31"/>
  <c r="F590" i="31"/>
  <c r="F622" i="31"/>
  <c r="P645" i="31"/>
  <c r="F676" i="31"/>
  <c r="H705" i="31"/>
  <c r="X730" i="31"/>
  <c r="R758" i="31"/>
  <c r="H782" i="31"/>
  <c r="R814" i="31"/>
  <c r="R842" i="31"/>
  <c r="L897" i="31"/>
  <c r="R952" i="31"/>
  <c r="W268" i="31"/>
  <c r="N162" i="31"/>
  <c r="N161" i="31"/>
  <c r="J132" i="31"/>
  <c r="R132" i="31"/>
  <c r="R107" i="31"/>
  <c r="N108" i="31"/>
  <c r="W76" i="31"/>
  <c r="P78" i="31"/>
  <c r="P76" i="31"/>
  <c r="H107" i="31"/>
  <c r="AC130" i="31"/>
  <c r="H161" i="31"/>
  <c r="H186" i="31"/>
  <c r="BK393" i="4"/>
  <c r="BM27" i="4"/>
  <c r="L708" i="31"/>
  <c r="P710" i="31"/>
  <c r="H678" i="31"/>
  <c r="T678" i="31"/>
  <c r="L655" i="31"/>
  <c r="AC654" i="31"/>
  <c r="X596" i="31"/>
  <c r="L594" i="31"/>
  <c r="F572" i="31"/>
  <c r="P572" i="31"/>
  <c r="N541" i="31"/>
  <c r="P542" i="31"/>
  <c r="W516" i="31"/>
  <c r="T517" i="31"/>
  <c r="J486" i="31"/>
  <c r="X487" i="31"/>
  <c r="R458" i="31"/>
  <c r="F456" i="31"/>
  <c r="R433" i="31"/>
  <c r="H434" i="31"/>
  <c r="N403" i="31"/>
  <c r="X402" i="31"/>
  <c r="N378" i="31"/>
  <c r="P380" i="31"/>
  <c r="R350" i="31"/>
  <c r="R349" i="31"/>
  <c r="P319" i="31"/>
  <c r="F318" i="31"/>
  <c r="X294" i="31"/>
  <c r="J295" i="31"/>
  <c r="L265" i="31"/>
  <c r="P266" i="31"/>
  <c r="J264" i="31"/>
  <c r="F266" i="31"/>
  <c r="R266" i="31"/>
  <c r="F264" i="31"/>
  <c r="X241" i="31"/>
  <c r="L241" i="31"/>
  <c r="J242" i="31"/>
  <c r="L242" i="31"/>
  <c r="N242" i="31"/>
  <c r="H241" i="31"/>
  <c r="W241" i="31"/>
  <c r="P240" i="31"/>
  <c r="AC240" i="31"/>
  <c r="P212" i="31"/>
  <c r="T210" i="31"/>
  <c r="R210" i="31"/>
  <c r="P211" i="31"/>
  <c r="R211" i="31"/>
  <c r="L210" i="31"/>
  <c r="F212" i="31"/>
  <c r="T212" i="31"/>
  <c r="X181" i="31"/>
  <c r="P182" i="31"/>
  <c r="H180" i="31"/>
  <c r="R180" i="31"/>
  <c r="P180" i="31"/>
  <c r="N180" i="31"/>
  <c r="L180" i="31"/>
  <c r="J180" i="31"/>
  <c r="W180" i="31"/>
  <c r="W158" i="31"/>
  <c r="J158" i="31"/>
  <c r="X158" i="31"/>
  <c r="F156" i="31"/>
  <c r="R156" i="31"/>
  <c r="P156" i="31"/>
  <c r="L156" i="31"/>
  <c r="J156" i="31"/>
  <c r="H156" i="31"/>
  <c r="F128" i="31"/>
  <c r="N127" i="31"/>
  <c r="J128" i="31"/>
  <c r="AC938" i="31"/>
  <c r="J940" i="31"/>
  <c r="F939" i="31"/>
  <c r="L938" i="31"/>
  <c r="X939" i="31"/>
  <c r="R940" i="31"/>
  <c r="W939" i="31"/>
  <c r="T939" i="31"/>
  <c r="F946" i="31"/>
  <c r="J947" i="31"/>
  <c r="L946" i="31"/>
  <c r="T948" i="31"/>
  <c r="L948" i="31"/>
  <c r="J946" i="31"/>
  <c r="R948" i="31"/>
  <c r="X947" i="31"/>
  <c r="F74" i="31"/>
  <c r="H74" i="31"/>
  <c r="J74" i="31"/>
  <c r="L74" i="31"/>
  <c r="X72" i="31"/>
  <c r="T72" i="31"/>
  <c r="F72" i="31"/>
  <c r="N74" i="31"/>
  <c r="H102" i="31"/>
  <c r="P102" i="31"/>
  <c r="R103" i="31"/>
  <c r="X104" i="31"/>
  <c r="H103" i="31"/>
  <c r="F103" i="31"/>
  <c r="W102" i="31"/>
  <c r="T128" i="31"/>
  <c r="X127" i="31"/>
  <c r="L128" i="31"/>
  <c r="N128" i="31"/>
  <c r="P128" i="31"/>
  <c r="W128" i="31"/>
  <c r="J126" i="31"/>
  <c r="P157" i="31"/>
  <c r="W157" i="31"/>
  <c r="F158" i="31"/>
  <c r="F157" i="31"/>
  <c r="J182" i="31"/>
  <c r="T181" i="31"/>
  <c r="F182" i="31"/>
  <c r="L181" i="31"/>
  <c r="W211" i="31"/>
  <c r="N212" i="31"/>
  <c r="X212" i="31"/>
  <c r="X211" i="31"/>
  <c r="T242" i="31"/>
  <c r="L240" i="31"/>
  <c r="W240" i="31"/>
  <c r="P242" i="31"/>
  <c r="R264" i="31"/>
  <c r="H264" i="31"/>
  <c r="P296" i="31"/>
  <c r="P320" i="31"/>
  <c r="L349" i="31"/>
  <c r="H380" i="31"/>
  <c r="L403" i="31"/>
  <c r="P433" i="31"/>
  <c r="T458" i="31"/>
  <c r="N486" i="31"/>
  <c r="J517" i="31"/>
  <c r="H542" i="31"/>
  <c r="X572" i="31"/>
  <c r="R594" i="31"/>
  <c r="T625" i="31"/>
  <c r="J656" i="31"/>
  <c r="N680" i="31"/>
  <c r="J732" i="31"/>
  <c r="L794" i="31"/>
  <c r="T846" i="31"/>
  <c r="H901" i="31"/>
  <c r="R81" i="31"/>
  <c r="BM26" i="4"/>
  <c r="BK394" i="4"/>
  <c r="X963" i="31"/>
  <c r="W963" i="31"/>
  <c r="P955" i="31"/>
  <c r="H954" i="31"/>
  <c r="P931" i="31"/>
  <c r="X932" i="31"/>
  <c r="AC930" i="31"/>
  <c r="F901" i="31"/>
  <c r="J900" i="31"/>
  <c r="L870" i="31"/>
  <c r="T872" i="31"/>
  <c r="N872" i="31"/>
  <c r="T848" i="31"/>
  <c r="F848" i="31"/>
  <c r="J848" i="31"/>
  <c r="L818" i="31"/>
  <c r="R817" i="31"/>
  <c r="N817" i="31"/>
  <c r="F793" i="31"/>
  <c r="R792" i="31"/>
  <c r="F794" i="31"/>
  <c r="P764" i="31"/>
  <c r="H762" i="31"/>
  <c r="N764" i="31"/>
  <c r="W733" i="31"/>
  <c r="P734" i="31"/>
  <c r="P732" i="31"/>
  <c r="T709" i="31"/>
  <c r="W709" i="31"/>
  <c r="F710" i="31"/>
  <c r="P709" i="31"/>
  <c r="H679" i="31"/>
  <c r="L680" i="31"/>
  <c r="F678" i="31"/>
  <c r="J678" i="31"/>
  <c r="L679" i="31"/>
  <c r="T656" i="31"/>
  <c r="P655" i="31"/>
  <c r="N656" i="31"/>
  <c r="J654" i="31"/>
  <c r="F654" i="31"/>
  <c r="J626" i="31"/>
  <c r="F625" i="31"/>
  <c r="L625" i="31"/>
  <c r="R626" i="31"/>
  <c r="N625" i="31"/>
  <c r="T595" i="31"/>
  <c r="P594" i="31"/>
  <c r="F595" i="31"/>
  <c r="W594" i="31"/>
  <c r="R596" i="31"/>
  <c r="W570" i="31"/>
  <c r="W572" i="31"/>
  <c r="F570" i="31"/>
  <c r="J571" i="31"/>
  <c r="X570" i="31"/>
  <c r="R542" i="31"/>
  <c r="X541" i="31"/>
  <c r="X540" i="31"/>
  <c r="P541" i="31"/>
  <c r="AC540" i="31"/>
  <c r="F518" i="31"/>
  <c r="H517" i="31"/>
  <c r="F516" i="31"/>
  <c r="R516" i="31"/>
  <c r="N487" i="31"/>
  <c r="R488" i="31"/>
  <c r="L486" i="31"/>
  <c r="J488" i="31"/>
  <c r="R486" i="31"/>
  <c r="T456" i="31"/>
  <c r="X457" i="31"/>
  <c r="J456" i="31"/>
  <c r="P457" i="31"/>
  <c r="F457" i="31"/>
  <c r="X434" i="31"/>
  <c r="T433" i="31"/>
  <c r="W433" i="31"/>
  <c r="N432" i="31"/>
  <c r="W432" i="31"/>
  <c r="L404" i="31"/>
  <c r="H403" i="31"/>
  <c r="P403" i="31"/>
  <c r="J402" i="31"/>
  <c r="R404" i="31"/>
  <c r="T379" i="31"/>
  <c r="P378" i="31"/>
  <c r="R378" i="31"/>
  <c r="W378" i="31"/>
  <c r="N379" i="31"/>
  <c r="H349" i="31"/>
  <c r="P350" i="31"/>
  <c r="N350" i="31"/>
  <c r="F348" i="31"/>
  <c r="R348" i="31"/>
  <c r="W320" i="31"/>
  <c r="T319" i="31"/>
  <c r="F320" i="31"/>
  <c r="T318" i="31"/>
  <c r="AC318" i="31"/>
  <c r="L296" i="31"/>
  <c r="W294" i="31"/>
  <c r="R294" i="31"/>
  <c r="L112" i="31"/>
  <c r="W111" i="31"/>
  <c r="H56" i="31"/>
  <c r="F57" i="31"/>
  <c r="P14" i="30"/>
  <c r="AJ5" i="27"/>
  <c r="AS5" i="27" s="1"/>
  <c r="J938" i="31"/>
  <c r="H940" i="31"/>
  <c r="L939" i="31"/>
  <c r="P940" i="31"/>
  <c r="W940" i="31"/>
  <c r="F940" i="31"/>
  <c r="P939" i="31"/>
  <c r="X938" i="31"/>
  <c r="T940" i="31"/>
  <c r="R939" i="31"/>
  <c r="F938" i="31"/>
  <c r="J939" i="31"/>
  <c r="N940" i="31"/>
  <c r="H939" i="31"/>
  <c r="AC946" i="31"/>
  <c r="F947" i="31"/>
  <c r="X948" i="31"/>
  <c r="W947" i="31"/>
  <c r="W948" i="31"/>
  <c r="H948" i="31"/>
  <c r="T947" i="31"/>
  <c r="J948" i="31"/>
  <c r="P947" i="31"/>
  <c r="R946" i="31"/>
  <c r="N948" i="31"/>
  <c r="W946" i="31"/>
  <c r="F948" i="31"/>
  <c r="H946" i="31"/>
  <c r="L947" i="31"/>
  <c r="F73" i="31"/>
  <c r="W74" i="31"/>
  <c r="H73" i="31"/>
  <c r="X74" i="31"/>
  <c r="N73" i="31"/>
  <c r="AC72" i="31"/>
  <c r="P73" i="31"/>
  <c r="W72" i="31"/>
  <c r="R74" i="31"/>
  <c r="T73" i="31"/>
  <c r="H72" i="31"/>
  <c r="L73" i="31"/>
  <c r="P74" i="31"/>
  <c r="R72" i="31"/>
  <c r="F102" i="31"/>
  <c r="J104" i="31"/>
  <c r="L103" i="31"/>
  <c r="AC102" i="31"/>
  <c r="P103" i="31"/>
  <c r="R102" i="31"/>
  <c r="W104" i="31"/>
  <c r="X103" i="31"/>
  <c r="X102" i="31"/>
  <c r="N102" i="31"/>
  <c r="W103" i="31"/>
  <c r="L102" i="31"/>
  <c r="T103" i="31"/>
  <c r="J102" i="31"/>
  <c r="N103" i="31"/>
  <c r="AC126" i="31"/>
  <c r="J127" i="31"/>
  <c r="H126" i="31"/>
  <c r="R127" i="31"/>
  <c r="L126" i="31"/>
  <c r="T127" i="31"/>
  <c r="N126" i="31"/>
  <c r="W127" i="31"/>
  <c r="R126" i="31"/>
  <c r="H128" i="31"/>
  <c r="F126" i="31"/>
  <c r="P127" i="31"/>
  <c r="X128" i="31"/>
  <c r="W126" i="31"/>
  <c r="AC156" i="31"/>
  <c r="W156" i="31"/>
  <c r="L158" i="31"/>
  <c r="X156" i="31"/>
  <c r="N158" i="31"/>
  <c r="H157" i="31"/>
  <c r="P158" i="31"/>
  <c r="J157" i="31"/>
  <c r="R158" i="31"/>
  <c r="L157" i="31"/>
  <c r="T158" i="31"/>
  <c r="T156" i="31"/>
  <c r="H158" i="31"/>
  <c r="N156" i="31"/>
  <c r="R157" i="31"/>
  <c r="F180" i="31"/>
  <c r="P181" i="31"/>
  <c r="X182" i="31"/>
  <c r="X180" i="31"/>
  <c r="L182" i="31"/>
  <c r="F181" i="31"/>
  <c r="N182" i="31"/>
  <c r="H181" i="31"/>
  <c r="R182" i="31"/>
  <c r="J181" i="31"/>
  <c r="T182" i="31"/>
  <c r="N181" i="31"/>
  <c r="W182" i="31"/>
  <c r="T180" i="31"/>
  <c r="AC210" i="31"/>
  <c r="T211" i="31"/>
  <c r="X210" i="31"/>
  <c r="F211" i="31"/>
  <c r="J210" i="31"/>
  <c r="L212" i="31"/>
  <c r="J211" i="31"/>
  <c r="N210" i="31"/>
  <c r="R212" i="31"/>
  <c r="W210" i="31"/>
  <c r="J212" i="31"/>
  <c r="F210" i="31"/>
  <c r="N211" i="31"/>
  <c r="W212" i="31"/>
  <c r="L211" i="31"/>
  <c r="N240" i="31"/>
  <c r="R242" i="31"/>
  <c r="T241" i="31"/>
  <c r="R240" i="31"/>
  <c r="W242" i="31"/>
  <c r="F242" i="31"/>
  <c r="H242" i="31"/>
  <c r="J241" i="31"/>
  <c r="J240" i="31"/>
  <c r="R241" i="31"/>
  <c r="F240" i="31"/>
  <c r="P241" i="31"/>
  <c r="X242" i="31"/>
  <c r="T240" i="31"/>
  <c r="AC264" i="31"/>
  <c r="J265" i="31"/>
  <c r="N264" i="31"/>
  <c r="P265" i="31"/>
  <c r="W266" i="31"/>
  <c r="H265" i="31"/>
  <c r="T265" i="31"/>
  <c r="R265" i="31"/>
  <c r="T294" i="31"/>
  <c r="F296" i="31"/>
  <c r="L294" i="31"/>
  <c r="N295" i="31"/>
  <c r="T296" i="31"/>
  <c r="N296" i="31"/>
  <c r="J296" i="31"/>
  <c r="N319" i="31"/>
  <c r="P318" i="31"/>
  <c r="H319" i="31"/>
  <c r="R318" i="31"/>
  <c r="H318" i="31"/>
  <c r="J318" i="31"/>
  <c r="N318" i="31"/>
  <c r="T350" i="31"/>
  <c r="W348" i="31"/>
  <c r="H350" i="31"/>
  <c r="J348" i="31"/>
  <c r="J349" i="31"/>
  <c r="F349" i="31"/>
  <c r="AC378" i="31"/>
  <c r="L378" i="31"/>
  <c r="R379" i="31"/>
  <c r="F378" i="31"/>
  <c r="F379" i="31"/>
  <c r="F380" i="31"/>
  <c r="X379" i="31"/>
  <c r="N402" i="31"/>
  <c r="W403" i="31"/>
  <c r="F403" i="31"/>
  <c r="N404" i="31"/>
  <c r="H402" i="31"/>
  <c r="F402" i="31"/>
  <c r="W404" i="31"/>
  <c r="X433" i="31"/>
  <c r="F432" i="31"/>
  <c r="L433" i="31"/>
  <c r="R434" i="31"/>
  <c r="L432" i="31"/>
  <c r="J432" i="31"/>
  <c r="P432" i="31"/>
  <c r="P456" i="31"/>
  <c r="H457" i="31"/>
  <c r="W458" i="31"/>
  <c r="X456" i="31"/>
  <c r="R457" i="31"/>
  <c r="N457" i="31"/>
  <c r="AC486" i="31"/>
  <c r="P487" i="31"/>
  <c r="W488" i="31"/>
  <c r="F486" i="31"/>
  <c r="L487" i="31"/>
  <c r="W487" i="31"/>
  <c r="T487" i="31"/>
  <c r="H516" i="31"/>
  <c r="P517" i="31"/>
  <c r="W518" i="31"/>
  <c r="X516" i="31"/>
  <c r="J518" i="31"/>
  <c r="T518" i="31"/>
  <c r="P518" i="31"/>
  <c r="F541" i="31"/>
  <c r="L542" i="31"/>
  <c r="N540" i="31"/>
  <c r="T541" i="31"/>
  <c r="R540" i="31"/>
  <c r="P540" i="31"/>
  <c r="J540" i="31"/>
  <c r="F571" i="31"/>
  <c r="L572" i="31"/>
  <c r="N570" i="31"/>
  <c r="T571" i="31"/>
  <c r="P571" i="31"/>
  <c r="L571" i="31"/>
  <c r="AC594" i="31"/>
  <c r="P595" i="31"/>
  <c r="T594" i="31"/>
  <c r="X594" i="31"/>
  <c r="H596" i="31"/>
  <c r="W596" i="31"/>
  <c r="W595" i="31"/>
  <c r="H624" i="31"/>
  <c r="T624" i="31"/>
  <c r="W624" i="31"/>
  <c r="X625" i="31"/>
  <c r="F626" i="31"/>
  <c r="P624" i="31"/>
  <c r="X626" i="31"/>
  <c r="T655" i="31"/>
  <c r="W655" i="31"/>
  <c r="X655" i="31"/>
  <c r="F656" i="31"/>
  <c r="R654" i="31"/>
  <c r="F655" i="31"/>
  <c r="L654" i="31"/>
  <c r="W678" i="31"/>
  <c r="N679" i="31"/>
  <c r="N678" i="31"/>
  <c r="F680" i="31"/>
  <c r="X679" i="31"/>
  <c r="J679" i="31"/>
  <c r="AC708" i="31"/>
  <c r="R710" i="31"/>
  <c r="J708" i="31"/>
  <c r="X709" i="31"/>
  <c r="N709" i="31"/>
  <c r="H710" i="31"/>
  <c r="P733" i="31"/>
  <c r="H733" i="31"/>
  <c r="H732" i="31"/>
  <c r="H763" i="31"/>
  <c r="P762" i="31"/>
  <c r="W762" i="31"/>
  <c r="T792" i="31"/>
  <c r="H792" i="31"/>
  <c r="AC816" i="31"/>
  <c r="L817" i="31"/>
  <c r="T818" i="31"/>
  <c r="P846" i="31"/>
  <c r="N846" i="31"/>
  <c r="F846" i="31"/>
  <c r="H871" i="31"/>
  <c r="W871" i="31"/>
  <c r="T870" i="31"/>
  <c r="F900" i="31"/>
  <c r="P901" i="31"/>
  <c r="L901" i="31"/>
  <c r="P930" i="31"/>
  <c r="P932" i="31"/>
  <c r="R932" i="31"/>
  <c r="J954" i="31"/>
  <c r="J963" i="31"/>
  <c r="J57" i="31"/>
  <c r="P964" i="31"/>
  <c r="L963" i="31"/>
  <c r="H962" i="31"/>
  <c r="F964" i="31"/>
  <c r="W962" i="31"/>
  <c r="N964" i="31"/>
  <c r="R962" i="31"/>
  <c r="P963" i="31"/>
  <c r="J964" i="31"/>
  <c r="N962" i="31"/>
  <c r="T963" i="31"/>
  <c r="X964" i="31"/>
  <c r="F963" i="31"/>
  <c r="H963" i="31"/>
  <c r="W964" i="31"/>
  <c r="AC962" i="31"/>
  <c r="T962" i="31"/>
  <c r="N963" i="31"/>
  <c r="R963" i="31"/>
  <c r="P962" i="31"/>
  <c r="T964" i="31"/>
  <c r="L962" i="31"/>
  <c r="H964" i="31"/>
  <c r="R964" i="31"/>
  <c r="L964" i="31"/>
  <c r="X962" i="31"/>
  <c r="F962" i="31"/>
  <c r="H956" i="31"/>
  <c r="X954" i="31"/>
  <c r="W956" i="31"/>
  <c r="R955" i="31"/>
  <c r="N954" i="31"/>
  <c r="N955" i="31"/>
  <c r="L956" i="31"/>
  <c r="P954" i="31"/>
  <c r="J955" i="31"/>
  <c r="P956" i="31"/>
  <c r="T954" i="31"/>
  <c r="W955" i="31"/>
  <c r="X956" i="31"/>
  <c r="R956" i="31"/>
  <c r="W954" i="31"/>
  <c r="T956" i="31"/>
  <c r="L954" i="31"/>
  <c r="F955" i="31"/>
  <c r="R954" i="31"/>
  <c r="F956" i="31"/>
  <c r="T955" i="31"/>
  <c r="F954" i="31"/>
  <c r="X955" i="31"/>
  <c r="J956" i="31"/>
  <c r="L955" i="31"/>
  <c r="H955" i="31"/>
  <c r="AC954" i="31"/>
  <c r="T932" i="31"/>
  <c r="H932" i="31"/>
  <c r="X930" i="31"/>
  <c r="W932" i="31"/>
  <c r="R931" i="31"/>
  <c r="N930" i="31"/>
  <c r="W931" i="31"/>
  <c r="F930" i="31"/>
  <c r="X931" i="31"/>
  <c r="H930" i="31"/>
  <c r="L931" i="31"/>
  <c r="J930" i="31"/>
  <c r="T930" i="31"/>
  <c r="R930" i="31"/>
  <c r="N932" i="31"/>
  <c r="F932" i="31"/>
  <c r="L930" i="31"/>
  <c r="F931" i="31"/>
  <c r="W930" i="31"/>
  <c r="H931" i="31"/>
  <c r="N931" i="31"/>
  <c r="T931" i="31"/>
  <c r="L932" i="31"/>
  <c r="W902" i="31"/>
  <c r="R901" i="31"/>
  <c r="N900" i="31"/>
  <c r="X901" i="31"/>
  <c r="P900" i="31"/>
  <c r="F902" i="31"/>
  <c r="R900" i="31"/>
  <c r="N901" i="31"/>
  <c r="T901" i="31"/>
  <c r="X902" i="31"/>
  <c r="H900" i="31"/>
  <c r="T900" i="31"/>
  <c r="X900" i="31"/>
  <c r="P902" i="31"/>
  <c r="L902" i="31"/>
  <c r="AC900" i="31"/>
  <c r="J902" i="31"/>
  <c r="R902" i="31"/>
  <c r="T902" i="31"/>
  <c r="N902" i="31"/>
  <c r="L900" i="31"/>
  <c r="W901" i="31"/>
  <c r="W900" i="31"/>
  <c r="H902" i="31"/>
  <c r="H872" i="31"/>
  <c r="X870" i="31"/>
  <c r="W872" i="31"/>
  <c r="R871" i="31"/>
  <c r="N870" i="31"/>
  <c r="T871" i="31"/>
  <c r="R872" i="31"/>
  <c r="P870" i="31"/>
  <c r="L871" i="31"/>
  <c r="X872" i="31"/>
  <c r="R870" i="31"/>
  <c r="H870" i="31"/>
  <c r="F870" i="31"/>
  <c r="J871" i="31"/>
  <c r="W870" i="31"/>
  <c r="P871" i="31"/>
  <c r="J872" i="31"/>
  <c r="P872" i="31"/>
  <c r="N871" i="31"/>
  <c r="J870" i="31"/>
  <c r="L872" i="31"/>
  <c r="X871" i="31"/>
  <c r="AC870" i="31"/>
  <c r="R848" i="31"/>
  <c r="N847" i="31"/>
  <c r="J846" i="31"/>
  <c r="H848" i="31"/>
  <c r="X846" i="31"/>
  <c r="W848" i="31"/>
  <c r="F847" i="31"/>
  <c r="L848" i="31"/>
  <c r="H846" i="31"/>
  <c r="H847" i="31"/>
  <c r="L847" i="31"/>
  <c r="X847" i="31"/>
  <c r="R847" i="31"/>
  <c r="X848" i="31"/>
  <c r="P848" i="31"/>
  <c r="AC846" i="31"/>
  <c r="W846" i="31"/>
  <c r="P847" i="31"/>
  <c r="W847" i="31"/>
  <c r="J847" i="31"/>
  <c r="N848" i="31"/>
  <c r="T847" i="31"/>
  <c r="R846" i="31"/>
  <c r="J818" i="31"/>
  <c r="F817" i="31"/>
  <c r="X818" i="31"/>
  <c r="T817" i="31"/>
  <c r="P816" i="31"/>
  <c r="W817" i="31"/>
  <c r="F816" i="31"/>
  <c r="P817" i="31"/>
  <c r="P818" i="31"/>
  <c r="L816" i="31"/>
  <c r="T816" i="31"/>
  <c r="J817" i="31"/>
  <c r="N818" i="31"/>
  <c r="H818" i="31"/>
  <c r="F818" i="31"/>
  <c r="W818" i="31"/>
  <c r="N816" i="31"/>
  <c r="H817" i="31"/>
  <c r="W816" i="31"/>
  <c r="R816" i="31"/>
  <c r="X817" i="31"/>
  <c r="X816" i="31"/>
  <c r="H816" i="31"/>
  <c r="N794" i="31"/>
  <c r="J793" i="31"/>
  <c r="F792" i="31"/>
  <c r="T793" i="31"/>
  <c r="L792" i="31"/>
  <c r="X793" i="31"/>
  <c r="N792" i="31"/>
  <c r="L793" i="31"/>
  <c r="H794" i="31"/>
  <c r="X794" i="31"/>
  <c r="W792" i="31"/>
  <c r="R793" i="31"/>
  <c r="T794" i="31"/>
  <c r="P792" i="31"/>
  <c r="N793" i="31"/>
  <c r="AC792" i="31"/>
  <c r="W793" i="31"/>
  <c r="P794" i="31"/>
  <c r="R794" i="31"/>
  <c r="J794" i="31"/>
  <c r="X792" i="31"/>
  <c r="W794" i="31"/>
  <c r="P793" i="31"/>
  <c r="J792" i="31"/>
  <c r="L770" i="31"/>
  <c r="L771" i="31"/>
  <c r="X763" i="31"/>
  <c r="T762" i="31"/>
  <c r="X764" i="31"/>
  <c r="P763" i="31"/>
  <c r="F762" i="31"/>
  <c r="R763" i="31"/>
  <c r="J762" i="31"/>
  <c r="T763" i="31"/>
  <c r="R764" i="31"/>
  <c r="N762" i="31"/>
  <c r="J763" i="31"/>
  <c r="H764" i="31"/>
  <c r="F764" i="31"/>
  <c r="W764" i="31"/>
  <c r="R762" i="31"/>
  <c r="L763" i="31"/>
  <c r="J764" i="31"/>
  <c r="L764" i="31"/>
  <c r="T764" i="31"/>
  <c r="N763" i="31"/>
  <c r="L762" i="31"/>
  <c r="F763" i="31"/>
  <c r="AC762" i="31"/>
  <c r="N734" i="31"/>
  <c r="J733" i="31"/>
  <c r="F732" i="31"/>
  <c r="X733" i="31"/>
  <c r="T732" i="31"/>
  <c r="R734" i="31"/>
  <c r="W732" i="31"/>
  <c r="T733" i="31"/>
  <c r="L734" i="31"/>
  <c r="J734" i="31"/>
  <c r="H734" i="31"/>
  <c r="F734" i="31"/>
  <c r="X734" i="31"/>
  <c r="L732" i="31"/>
  <c r="N733" i="31"/>
  <c r="AC732" i="31"/>
  <c r="R732" i="31"/>
  <c r="L733" i="31"/>
  <c r="R733" i="31"/>
  <c r="X732" i="31"/>
  <c r="F733" i="31"/>
  <c r="N732" i="31"/>
  <c r="W734" i="31"/>
  <c r="W717" i="31"/>
  <c r="J718" i="31"/>
  <c r="L710" i="31"/>
  <c r="H709" i="31"/>
  <c r="N710" i="31"/>
  <c r="J709" i="31"/>
  <c r="F708" i="31"/>
  <c r="X710" i="31"/>
  <c r="P708" i="31"/>
  <c r="R708" i="31"/>
  <c r="L709" i="31"/>
  <c r="J710" i="31"/>
  <c r="N708" i="31"/>
  <c r="W708" i="31"/>
  <c r="T708" i="31"/>
  <c r="R709" i="31"/>
  <c r="T710" i="31"/>
  <c r="H708" i="31"/>
  <c r="F709" i="31"/>
  <c r="X708" i="31"/>
  <c r="R687" i="31"/>
  <c r="T687" i="31"/>
  <c r="X680" i="31"/>
  <c r="T679" i="31"/>
  <c r="P678" i="31"/>
  <c r="W679" i="31"/>
  <c r="R678" i="31"/>
  <c r="T680" i="31"/>
  <c r="X678" i="31"/>
  <c r="W680" i="31"/>
  <c r="F679" i="31"/>
  <c r="R679" i="31"/>
  <c r="P679" i="31"/>
  <c r="R680" i="31"/>
  <c r="P680" i="31"/>
  <c r="J680" i="31"/>
  <c r="H680" i="31"/>
  <c r="AC678" i="31"/>
  <c r="H663" i="31"/>
  <c r="N663" i="31"/>
  <c r="H656" i="31"/>
  <c r="X654" i="31"/>
  <c r="W656" i="31"/>
  <c r="R655" i="31"/>
  <c r="N654" i="31"/>
  <c r="N655" i="31"/>
  <c r="L656" i="31"/>
  <c r="P654" i="31"/>
  <c r="J655" i="31"/>
  <c r="X656" i="31"/>
  <c r="H655" i="31"/>
  <c r="R656" i="31"/>
  <c r="W654" i="31"/>
  <c r="P656" i="31"/>
  <c r="T654" i="31"/>
  <c r="L632" i="31"/>
  <c r="T633" i="31"/>
  <c r="W626" i="31"/>
  <c r="R625" i="31"/>
  <c r="N624" i="31"/>
  <c r="L626" i="31"/>
  <c r="H625" i="31"/>
  <c r="H626" i="31"/>
  <c r="L624" i="31"/>
  <c r="J625" i="31"/>
  <c r="T626" i="31"/>
  <c r="X624" i="31"/>
  <c r="W625" i="31"/>
  <c r="F624" i="31"/>
  <c r="P625" i="31"/>
  <c r="N626" i="31"/>
  <c r="R624" i="31"/>
  <c r="AC624" i="31"/>
  <c r="X610" i="31"/>
  <c r="P610" i="31"/>
  <c r="L596" i="31"/>
  <c r="H595" i="31"/>
  <c r="N596" i="31"/>
  <c r="J595" i="31"/>
  <c r="F594" i="31"/>
  <c r="F596" i="31"/>
  <c r="J594" i="31"/>
  <c r="L595" i="31"/>
  <c r="P596" i="31"/>
  <c r="J596" i="31"/>
  <c r="X595" i="31"/>
  <c r="R595" i="31"/>
  <c r="T596" i="31"/>
  <c r="H594" i="31"/>
  <c r="N595" i="31"/>
  <c r="F579" i="31"/>
  <c r="H578" i="31"/>
  <c r="R572" i="31"/>
  <c r="N571" i="31"/>
  <c r="J570" i="31"/>
  <c r="H572" i="31"/>
  <c r="R570" i="31"/>
  <c r="J572" i="31"/>
  <c r="T570" i="31"/>
  <c r="T572" i="31"/>
  <c r="P570" i="31"/>
  <c r="R571" i="31"/>
  <c r="N572" i="31"/>
  <c r="L570" i="31"/>
  <c r="H571" i="31"/>
  <c r="X571" i="31"/>
  <c r="W571" i="31"/>
  <c r="AC570" i="31"/>
  <c r="X548" i="31"/>
  <c r="L549" i="31"/>
  <c r="F542" i="31"/>
  <c r="W540" i="31"/>
  <c r="T542" i="31"/>
  <c r="J541" i="31"/>
  <c r="W542" i="31"/>
  <c r="L541" i="31"/>
  <c r="W541" i="31"/>
  <c r="X542" i="31"/>
  <c r="T540" i="31"/>
  <c r="R541" i="31"/>
  <c r="N542" i="31"/>
  <c r="L540" i="31"/>
  <c r="H541" i="31"/>
  <c r="J542" i="31"/>
  <c r="F540" i="31"/>
  <c r="H524" i="31"/>
  <c r="N524" i="31"/>
  <c r="R518" i="31"/>
  <c r="N517" i="31"/>
  <c r="J516" i="31"/>
  <c r="W517" i="31"/>
  <c r="N516" i="31"/>
  <c r="X517" i="31"/>
  <c r="P516" i="31"/>
  <c r="F517" i="31"/>
  <c r="H518" i="31"/>
  <c r="X518" i="31"/>
  <c r="T516" i="31"/>
  <c r="R517" i="31"/>
  <c r="N518" i="31"/>
  <c r="L516" i="31"/>
  <c r="L517" i="31"/>
  <c r="AC516" i="31"/>
  <c r="R495" i="31"/>
  <c r="AC494" i="31"/>
  <c r="F488" i="31"/>
  <c r="W486" i="31"/>
  <c r="N488" i="31"/>
  <c r="F487" i="31"/>
  <c r="P488" i="31"/>
  <c r="H487" i="31"/>
  <c r="L488" i="31"/>
  <c r="H486" i="31"/>
  <c r="J487" i="31"/>
  <c r="X488" i="31"/>
  <c r="T486" i="31"/>
  <c r="R487" i="31"/>
  <c r="T488" i="31"/>
  <c r="P486" i="31"/>
  <c r="X486" i="31"/>
  <c r="P458" i="31"/>
  <c r="L457" i="31"/>
  <c r="H456" i="31"/>
  <c r="F458" i="31"/>
  <c r="W456" i="31"/>
  <c r="N458" i="31"/>
  <c r="R456" i="31"/>
  <c r="T457" i="31"/>
  <c r="X458" i="31"/>
  <c r="L456" i="31"/>
  <c r="J457" i="31"/>
  <c r="L458" i="31"/>
  <c r="J458" i="31"/>
  <c r="H458" i="31"/>
  <c r="W457" i="31"/>
  <c r="AC456" i="31"/>
  <c r="T442" i="31"/>
  <c r="P442" i="31"/>
  <c r="L434" i="31"/>
  <c r="H433" i="31"/>
  <c r="N434" i="31"/>
  <c r="X432" i="31"/>
  <c r="P434" i="31"/>
  <c r="F433" i="31"/>
  <c r="T434" i="31"/>
  <c r="R432" i="31"/>
  <c r="N433" i="31"/>
  <c r="J434" i="31"/>
  <c r="H432" i="31"/>
  <c r="J433" i="31"/>
  <c r="F434" i="31"/>
  <c r="W434" i="31"/>
  <c r="T432" i="31"/>
  <c r="N412" i="31"/>
  <c r="X411" i="31"/>
  <c r="X404" i="31"/>
  <c r="T403" i="31"/>
  <c r="P402" i="31"/>
  <c r="H404" i="31"/>
  <c r="T402" i="31"/>
  <c r="J404" i="31"/>
  <c r="W402" i="31"/>
  <c r="P404" i="31"/>
  <c r="L402" i="31"/>
  <c r="J403" i="31"/>
  <c r="F404" i="31"/>
  <c r="X403" i="31"/>
  <c r="T404" i="31"/>
  <c r="R402" i="31"/>
  <c r="R403" i="31"/>
  <c r="AC402" i="31"/>
  <c r="L387" i="31"/>
  <c r="W386" i="31"/>
  <c r="L380" i="31"/>
  <c r="H379" i="31"/>
  <c r="R380" i="31"/>
  <c r="J379" i="31"/>
  <c r="T380" i="31"/>
  <c r="L379" i="31"/>
  <c r="J380" i="31"/>
  <c r="H378" i="31"/>
  <c r="X378" i="31"/>
  <c r="W379" i="31"/>
  <c r="W380" i="31"/>
  <c r="T378" i="31"/>
  <c r="P379" i="31"/>
  <c r="N380" i="31"/>
  <c r="J378" i="31"/>
  <c r="T358" i="31"/>
  <c r="N357" i="31"/>
  <c r="N356" i="31"/>
  <c r="F357" i="31"/>
  <c r="T357" i="31"/>
  <c r="L358" i="31"/>
  <c r="X350" i="31"/>
  <c r="T349" i="31"/>
  <c r="P348" i="31"/>
  <c r="W349" i="31"/>
  <c r="L348" i="31"/>
  <c r="X349" i="31"/>
  <c r="N348" i="31"/>
  <c r="N349" i="31"/>
  <c r="J350" i="31"/>
  <c r="H348" i="31"/>
  <c r="X348" i="31"/>
  <c r="F350" i="31"/>
  <c r="W350" i="31"/>
  <c r="T348" i="31"/>
  <c r="T351" i="31" s="1"/>
  <c r="P349" i="31"/>
  <c r="AC348" i="31"/>
  <c r="T333" i="31"/>
  <c r="P333" i="31"/>
  <c r="F334" i="31"/>
  <c r="R332" i="31"/>
  <c r="P334" i="31"/>
  <c r="H334" i="31"/>
  <c r="W333" i="31"/>
  <c r="R333" i="31"/>
  <c r="J320" i="31"/>
  <c r="F319" i="31"/>
  <c r="N320" i="31"/>
  <c r="X318" i="31"/>
  <c r="L320" i="31"/>
  <c r="W318" i="31"/>
  <c r="T320" i="31"/>
  <c r="L319" i="31"/>
  <c r="R320" i="31"/>
  <c r="W319" i="31"/>
  <c r="L318" i="31"/>
  <c r="X320" i="31"/>
  <c r="H320" i="31"/>
  <c r="X319" i="31"/>
  <c r="J319" i="31"/>
  <c r="L304" i="31"/>
  <c r="F302" i="31"/>
  <c r="N303" i="31"/>
  <c r="P302" i="31"/>
  <c r="X303" i="31"/>
  <c r="L302" i="31"/>
  <c r="H303" i="31"/>
  <c r="X296" i="31"/>
  <c r="T295" i="31"/>
  <c r="T297" i="31" s="1"/>
  <c r="P294" i="31"/>
  <c r="P295" i="31"/>
  <c r="H294" i="31"/>
  <c r="R295" i="31"/>
  <c r="J294" i="31"/>
  <c r="W295" i="31"/>
  <c r="R296" i="31"/>
  <c r="N294" i="31"/>
  <c r="L295" i="31"/>
  <c r="H296" i="31"/>
  <c r="F294" i="31"/>
  <c r="F295" i="31"/>
  <c r="X295" i="31"/>
  <c r="AC294" i="31"/>
  <c r="X273" i="31"/>
  <c r="N273" i="31"/>
  <c r="W273" i="31"/>
  <c r="AC272" i="31"/>
  <c r="T273" i="31"/>
  <c r="H272" i="31"/>
  <c r="T272" i="31"/>
  <c r="F274" i="31"/>
  <c r="X265" i="31"/>
  <c r="T264" i="31"/>
  <c r="L266" i="31"/>
  <c r="X264" i="31"/>
  <c r="N266" i="31"/>
  <c r="F265" i="31"/>
  <c r="H266" i="31"/>
  <c r="X266" i="31"/>
  <c r="W264" i="31"/>
  <c r="W265" i="31"/>
  <c r="T266" i="31"/>
  <c r="P264" i="31"/>
  <c r="N265" i="31"/>
  <c r="F249" i="31"/>
  <c r="R248" i="31"/>
  <c r="X248" i="31"/>
  <c r="H249" i="31"/>
  <c r="J250" i="31"/>
  <c r="W250" i="31"/>
  <c r="X220" i="31"/>
  <c r="J218" i="31"/>
  <c r="T220" i="31"/>
  <c r="H218" i="31"/>
  <c r="P218" i="31"/>
  <c r="N219" i="31"/>
  <c r="F220" i="31"/>
  <c r="L218" i="31"/>
  <c r="L196" i="31"/>
  <c r="J196" i="31"/>
  <c r="F194" i="31"/>
  <c r="N194" i="31"/>
  <c r="N196" i="31"/>
  <c r="R194" i="31"/>
  <c r="L194" i="31"/>
  <c r="P165" i="31"/>
  <c r="W165" i="31"/>
  <c r="R165" i="31"/>
  <c r="W166" i="31"/>
  <c r="X165" i="31"/>
  <c r="J166" i="31"/>
  <c r="AC164" i="31"/>
  <c r="T165" i="31"/>
  <c r="R134" i="31"/>
  <c r="F135" i="31"/>
  <c r="X136" i="31"/>
  <c r="P135" i="31"/>
  <c r="H134" i="31"/>
  <c r="H136" i="31"/>
  <c r="T134" i="31"/>
  <c r="F136" i="31"/>
  <c r="P134" i="31"/>
  <c r="H135" i="31"/>
  <c r="J136" i="31"/>
  <c r="W136" i="31"/>
  <c r="T136" i="31"/>
  <c r="AC134" i="31"/>
  <c r="W134" i="31"/>
  <c r="L135" i="31"/>
  <c r="N135" i="31"/>
  <c r="N112" i="31"/>
  <c r="J111" i="31"/>
  <c r="F110" i="31"/>
  <c r="H112" i="31"/>
  <c r="T110" i="31"/>
  <c r="F112" i="31"/>
  <c r="P110" i="31"/>
  <c r="T111" i="31"/>
  <c r="L110" i="31"/>
  <c r="R111" i="31"/>
  <c r="J110" i="31"/>
  <c r="J112" i="31"/>
  <c r="W110" i="31"/>
  <c r="R112" i="31"/>
  <c r="H111" i="31"/>
  <c r="N110" i="31"/>
  <c r="R110" i="31"/>
  <c r="N111" i="31"/>
  <c r="L111" i="31"/>
  <c r="F111" i="31"/>
  <c r="X110" i="31"/>
  <c r="P111" i="31"/>
  <c r="X111" i="31"/>
  <c r="W112" i="31"/>
  <c r="P112" i="31"/>
  <c r="X112" i="31"/>
  <c r="AC110" i="31"/>
  <c r="T112" i="31"/>
  <c r="H110" i="31"/>
  <c r="J82" i="31"/>
  <c r="F81" i="31"/>
  <c r="X82" i="31"/>
  <c r="T81" i="31"/>
  <c r="P80" i="31"/>
  <c r="L81" i="31"/>
  <c r="F82" i="31"/>
  <c r="J80" i="31"/>
  <c r="T82" i="31"/>
  <c r="X80" i="31"/>
  <c r="R82" i="31"/>
  <c r="W80" i="31"/>
  <c r="P82" i="31"/>
  <c r="T80" i="31"/>
  <c r="N81" i="31"/>
  <c r="W82" i="31"/>
  <c r="N80" i="31"/>
  <c r="H81" i="31"/>
  <c r="L80" i="31"/>
  <c r="AC80" i="31"/>
  <c r="H80" i="31"/>
  <c r="F80" i="31"/>
  <c r="N82" i="31"/>
  <c r="L82" i="31"/>
  <c r="J81" i="31"/>
  <c r="W81" i="31"/>
  <c r="R80" i="31"/>
  <c r="H82" i="31"/>
  <c r="P81" i="31"/>
  <c r="W58" i="31"/>
  <c r="R57" i="31"/>
  <c r="N56" i="31"/>
  <c r="L58" i="31"/>
  <c r="J58" i="31"/>
  <c r="X58" i="31"/>
  <c r="H57" i="31"/>
  <c r="T58" i="31"/>
  <c r="X56" i="31"/>
  <c r="AC56" i="31"/>
  <c r="W57" i="31"/>
  <c r="F56" i="31"/>
  <c r="P57" i="31"/>
  <c r="N58" i="31"/>
  <c r="R56" i="31"/>
  <c r="L57" i="31"/>
  <c r="F58" i="31"/>
  <c r="J56" i="31"/>
  <c r="T57" i="31"/>
  <c r="X57" i="31"/>
  <c r="R58" i="31"/>
  <c r="P58" i="31"/>
  <c r="N57" i="31"/>
  <c r="L56" i="31"/>
  <c r="L59" i="31" s="1"/>
  <c r="P56" i="31"/>
  <c r="W56" i="31"/>
  <c r="H58" i="31"/>
  <c r="R824" i="31"/>
  <c r="AI15" i="27"/>
  <c r="AJ6" i="27"/>
  <c r="AT5" i="27" s="1"/>
  <c r="AK21" i="27"/>
  <c r="AK16" i="27"/>
  <c r="AJ8" i="27"/>
  <c r="AS6" i="27" s="1"/>
  <c r="T746" i="31"/>
  <c r="J801" i="31"/>
  <c r="AK17" i="27"/>
  <c r="J388" i="31"/>
  <c r="N388" i="31"/>
  <c r="L356" i="31"/>
  <c r="X358" i="31"/>
  <c r="F356" i="31"/>
  <c r="P358" i="31"/>
  <c r="J357" i="31"/>
  <c r="H356" i="31"/>
  <c r="W356" i="31"/>
  <c r="L333" i="31"/>
  <c r="N332" i="31"/>
  <c r="H332" i="31"/>
  <c r="F332" i="31"/>
  <c r="P332" i="31"/>
  <c r="L332" i="31"/>
  <c r="J332" i="31"/>
  <c r="AC332" i="31"/>
  <c r="T302" i="31"/>
  <c r="X302" i="31"/>
  <c r="P303" i="31"/>
  <c r="T303" i="31"/>
  <c r="N302" i="31"/>
  <c r="J303" i="31"/>
  <c r="R302" i="31"/>
  <c r="X274" i="31"/>
  <c r="P272" i="31"/>
  <c r="N272" i="31"/>
  <c r="R272" i="31"/>
  <c r="J274" i="31"/>
  <c r="X272" i="31"/>
  <c r="W274" i="31"/>
  <c r="P273" i="31"/>
  <c r="L250" i="31"/>
  <c r="P250" i="31"/>
  <c r="R250" i="31"/>
  <c r="T250" i="31"/>
  <c r="N249" i="31"/>
  <c r="H248" i="31"/>
  <c r="F250" i="31"/>
  <c r="T248" i="31"/>
  <c r="T219" i="31"/>
  <c r="R219" i="31"/>
  <c r="W219" i="31"/>
  <c r="X219" i="31"/>
  <c r="R218" i="31"/>
  <c r="J220" i="31"/>
  <c r="J219" i="31"/>
  <c r="AC218" i="31"/>
  <c r="H195" i="31"/>
  <c r="X194" i="31"/>
  <c r="W194" i="31"/>
  <c r="N195" i="31"/>
  <c r="F196" i="31"/>
  <c r="X195" i="31"/>
  <c r="W195" i="31"/>
  <c r="T166" i="31"/>
  <c r="L164" i="31"/>
  <c r="P164" i="31"/>
  <c r="N164" i="31"/>
  <c r="J164" i="31"/>
  <c r="H164" i="31"/>
  <c r="T164" i="31"/>
  <c r="L165" i="31"/>
  <c r="W135" i="31"/>
  <c r="R136" i="31"/>
  <c r="P136" i="31"/>
  <c r="L136" i="31"/>
  <c r="P18" i="30"/>
  <c r="Q11" i="30"/>
  <c r="S12" i="30" s="1"/>
  <c r="Q6" i="30"/>
  <c r="T10" i="30" s="1"/>
  <c r="L952" i="31"/>
  <c r="H951" i="31"/>
  <c r="N952" i="31"/>
  <c r="J951" i="31"/>
  <c r="F950" i="31"/>
  <c r="F952" i="31"/>
  <c r="J950" i="31"/>
  <c r="X951" i="31"/>
  <c r="H950" i="31"/>
  <c r="R951" i="31"/>
  <c r="H952" i="31"/>
  <c r="L950" i="31"/>
  <c r="J952" i="31"/>
  <c r="N951" i="31"/>
  <c r="N950" i="31"/>
  <c r="X952" i="31"/>
  <c r="P950" i="31"/>
  <c r="R950" i="31"/>
  <c r="F951" i="31"/>
  <c r="X950" i="31"/>
  <c r="W950" i="31"/>
  <c r="P951" i="31"/>
  <c r="T950" i="31"/>
  <c r="W922" i="31"/>
  <c r="T921" i="31"/>
  <c r="P920" i="31"/>
  <c r="L922" i="31"/>
  <c r="R920" i="31"/>
  <c r="H922" i="31"/>
  <c r="N920" i="31"/>
  <c r="P921" i="31"/>
  <c r="X921" i="31"/>
  <c r="R922" i="31"/>
  <c r="P922" i="31"/>
  <c r="T922" i="31"/>
  <c r="L920" i="31"/>
  <c r="H920" i="31"/>
  <c r="W921" i="31"/>
  <c r="AC920" i="31"/>
  <c r="J922" i="31"/>
  <c r="X922" i="31"/>
  <c r="F920" i="31"/>
  <c r="N922" i="31"/>
  <c r="W920" i="31"/>
  <c r="X920" i="31"/>
  <c r="J920" i="31"/>
  <c r="R921" i="31"/>
  <c r="N904" i="31"/>
  <c r="X905" i="31"/>
  <c r="W898" i="31"/>
  <c r="R897" i="31"/>
  <c r="N896" i="31"/>
  <c r="T897" i="31"/>
  <c r="P896" i="31"/>
  <c r="N897" i="31"/>
  <c r="H898" i="31"/>
  <c r="H896" i="31"/>
  <c r="X896" i="31"/>
  <c r="P898" i="31"/>
  <c r="J896" i="31"/>
  <c r="W897" i="31"/>
  <c r="W896" i="31"/>
  <c r="T896" i="31"/>
  <c r="L896" i="31"/>
  <c r="J898" i="31"/>
  <c r="L898" i="31"/>
  <c r="N898" i="31"/>
  <c r="J897" i="31"/>
  <c r="F896" i="31"/>
  <c r="X897" i="31"/>
  <c r="T898" i="31"/>
  <c r="AC896" i="31"/>
  <c r="W868" i="31"/>
  <c r="R867" i="31"/>
  <c r="N866" i="31"/>
  <c r="L868" i="31"/>
  <c r="H867" i="31"/>
  <c r="F868" i="31"/>
  <c r="J866" i="31"/>
  <c r="N867" i="31"/>
  <c r="N868" i="31"/>
  <c r="H866" i="31"/>
  <c r="P867" i="31"/>
  <c r="X866" i="31"/>
  <c r="T868" i="31"/>
  <c r="H868" i="31"/>
  <c r="X867" i="31"/>
  <c r="AC866" i="31"/>
  <c r="F867" i="31"/>
  <c r="T867" i="31"/>
  <c r="J867" i="31"/>
  <c r="L866" i="31"/>
  <c r="R868" i="31"/>
  <c r="W866" i="31"/>
  <c r="F866" i="31"/>
  <c r="H851" i="31"/>
  <c r="AC850" i="31"/>
  <c r="J844" i="31"/>
  <c r="W844" i="31"/>
  <c r="F843" i="31"/>
  <c r="X844" i="31"/>
  <c r="T843" i="31"/>
  <c r="P842" i="31"/>
  <c r="N843" i="31"/>
  <c r="H844" i="31"/>
  <c r="H842" i="31"/>
  <c r="X842" i="31"/>
  <c r="P844" i="31"/>
  <c r="J842" i="31"/>
  <c r="T844" i="31"/>
  <c r="R844" i="31"/>
  <c r="X843" i="31"/>
  <c r="P843" i="31"/>
  <c r="X814" i="31"/>
  <c r="T813" i="31"/>
  <c r="P812" i="31"/>
  <c r="W813" i="31"/>
  <c r="R812" i="31"/>
  <c r="H814" i="31"/>
  <c r="L812" i="31"/>
  <c r="P813" i="31"/>
  <c r="P814" i="31"/>
  <c r="J812" i="31"/>
  <c r="R813" i="31"/>
  <c r="J814" i="31"/>
  <c r="F814" i="31"/>
  <c r="F813" i="31"/>
  <c r="W814" i="31"/>
  <c r="AC812" i="31"/>
  <c r="H798" i="31"/>
  <c r="X798" i="31"/>
  <c r="F784" i="31"/>
  <c r="X782" i="31"/>
  <c r="W784" i="31"/>
  <c r="N783" i="31"/>
  <c r="F782" i="31"/>
  <c r="J784" i="31"/>
  <c r="W782" i="31"/>
  <c r="L784" i="31"/>
  <c r="J782" i="31"/>
  <c r="H783" i="31"/>
  <c r="F783" i="31"/>
  <c r="R782" i="31"/>
  <c r="T783" i="31"/>
  <c r="N784" i="31"/>
  <c r="N782" i="31"/>
  <c r="P767" i="31"/>
  <c r="L768" i="31"/>
  <c r="T760" i="31"/>
  <c r="P759" i="31"/>
  <c r="L758" i="31"/>
  <c r="W759" i="31"/>
  <c r="N758" i="31"/>
  <c r="X759" i="31"/>
  <c r="P758" i="31"/>
  <c r="R759" i="31"/>
  <c r="N760" i="31"/>
  <c r="J758" i="31"/>
  <c r="L759" i="31"/>
  <c r="J760" i="31"/>
  <c r="F758" i="31"/>
  <c r="W758" i="31"/>
  <c r="T759" i="31"/>
  <c r="AC758" i="31"/>
  <c r="F730" i="31"/>
  <c r="W728" i="31"/>
  <c r="T730" i="31"/>
  <c r="P729" i="31"/>
  <c r="L728" i="31"/>
  <c r="J729" i="31"/>
  <c r="L730" i="31"/>
  <c r="P728" i="31"/>
  <c r="T729" i="31"/>
  <c r="W730" i="31"/>
  <c r="F728" i="31"/>
  <c r="H729" i="31"/>
  <c r="F729" i="31"/>
  <c r="T728" i="31"/>
  <c r="R728" i="31"/>
  <c r="N712" i="31"/>
  <c r="H713" i="31"/>
  <c r="N706" i="31"/>
  <c r="J705" i="31"/>
  <c r="F704" i="31"/>
  <c r="X705" i="31"/>
  <c r="T704" i="31"/>
  <c r="R706" i="31"/>
  <c r="W704" i="31"/>
  <c r="T705" i="31"/>
  <c r="L706" i="31"/>
  <c r="J706" i="31"/>
  <c r="H706" i="31"/>
  <c r="F706" i="31"/>
  <c r="X706" i="31"/>
  <c r="L704" i="31"/>
  <c r="N705" i="31"/>
  <c r="AC704" i="31"/>
  <c r="J683" i="31"/>
  <c r="N682" i="31"/>
  <c r="W675" i="31"/>
  <c r="R674" i="31"/>
  <c r="P676" i="31"/>
  <c r="L675" i="31"/>
  <c r="H674" i="31"/>
  <c r="N675" i="31"/>
  <c r="L676" i="31"/>
  <c r="P674" i="31"/>
  <c r="X674" i="31"/>
  <c r="W674" i="31"/>
  <c r="T675" i="31"/>
  <c r="W676" i="31"/>
  <c r="J674" i="31"/>
  <c r="H675" i="31"/>
  <c r="F675" i="31"/>
  <c r="N660" i="31"/>
  <c r="T660" i="31"/>
  <c r="W646" i="31"/>
  <c r="R645" i="31"/>
  <c r="N644" i="31"/>
  <c r="L646" i="31"/>
  <c r="H645" i="31"/>
  <c r="T646" i="31"/>
  <c r="X644" i="31"/>
  <c r="R646" i="31"/>
  <c r="W644" i="31"/>
  <c r="P646" i="31"/>
  <c r="T644" i="31"/>
  <c r="N645" i="31"/>
  <c r="H646" i="31"/>
  <c r="L644" i="31"/>
  <c r="J645" i="31"/>
  <c r="AC644" i="31"/>
  <c r="L622" i="31"/>
  <c r="H621" i="31"/>
  <c r="N622" i="31"/>
  <c r="J621" i="31"/>
  <c r="F620" i="31"/>
  <c r="R621" i="31"/>
  <c r="P622" i="31"/>
  <c r="T620" i="31"/>
  <c r="L621" i="31"/>
  <c r="W622" i="31"/>
  <c r="F621" i="31"/>
  <c r="T622" i="31"/>
  <c r="X620" i="31"/>
  <c r="J622" i="31"/>
  <c r="N620" i="31"/>
  <c r="R600" i="31"/>
  <c r="R599" i="31"/>
  <c r="P592" i="31"/>
  <c r="L591" i="31"/>
  <c r="H590" i="31"/>
  <c r="F592" i="31"/>
  <c r="W590" i="31"/>
  <c r="N592" i="31"/>
  <c r="R590" i="31"/>
  <c r="T591" i="31"/>
  <c r="X592" i="31"/>
  <c r="L590" i="31"/>
  <c r="J591" i="31"/>
  <c r="L592" i="31"/>
  <c r="J592" i="31"/>
  <c r="H592" i="31"/>
  <c r="W591" i="31"/>
  <c r="AC590" i="31"/>
  <c r="P575" i="31"/>
  <c r="H576" i="31"/>
  <c r="N574" i="31"/>
  <c r="H568" i="31"/>
  <c r="X566" i="31"/>
  <c r="L568" i="31"/>
  <c r="W566" i="31"/>
  <c r="N568" i="31"/>
  <c r="F567" i="31"/>
  <c r="R568" i="31"/>
  <c r="P566" i="31"/>
  <c r="L567" i="31"/>
  <c r="J568" i="31"/>
  <c r="F566" i="31"/>
  <c r="H567" i="31"/>
  <c r="X567" i="31"/>
  <c r="W568" i="31"/>
  <c r="R566" i="31"/>
  <c r="X545" i="31"/>
  <c r="R546" i="31"/>
  <c r="W544" i="31"/>
  <c r="N545" i="31"/>
  <c r="H546" i="31"/>
  <c r="F544" i="31"/>
  <c r="T546" i="31"/>
  <c r="T538" i="31"/>
  <c r="P537" i="31"/>
  <c r="L536" i="31"/>
  <c r="J538" i="31"/>
  <c r="T536" i="31"/>
  <c r="L538" i="31"/>
  <c r="W536" i="31"/>
  <c r="W538" i="31"/>
  <c r="R536" i="31"/>
  <c r="T537" i="31"/>
  <c r="P538" i="31"/>
  <c r="N536" i="31"/>
  <c r="J537" i="31"/>
  <c r="F538" i="31"/>
  <c r="X537" i="31"/>
  <c r="AC536" i="31"/>
  <c r="L521" i="31"/>
  <c r="T521" i="31"/>
  <c r="X522" i="31"/>
  <c r="P520" i="31"/>
  <c r="J521" i="31"/>
  <c r="AC520" i="31"/>
  <c r="W521" i="31"/>
  <c r="H508" i="31"/>
  <c r="X506" i="31"/>
  <c r="W508" i="31"/>
  <c r="L507" i="31"/>
  <c r="X508" i="31"/>
  <c r="N507" i="31"/>
  <c r="F506" i="31"/>
  <c r="F507" i="31"/>
  <c r="W506" i="31"/>
  <c r="T507" i="31"/>
  <c r="P508" i="31"/>
  <c r="N506" i="31"/>
  <c r="J507" i="31"/>
  <c r="L508" i="31"/>
  <c r="H506" i="31"/>
  <c r="T490" i="31"/>
  <c r="R491" i="31"/>
  <c r="L490" i="31"/>
  <c r="T492" i="31"/>
  <c r="N491" i="31"/>
  <c r="F491" i="31"/>
  <c r="T484" i="31"/>
  <c r="F484" i="31"/>
  <c r="W482" i="31"/>
  <c r="W484" i="31"/>
  <c r="P483" i="31"/>
  <c r="L482" i="31"/>
  <c r="L483" i="31"/>
  <c r="J484" i="31"/>
  <c r="N482" i="31"/>
  <c r="W483" i="31"/>
  <c r="F482" i="31"/>
  <c r="T483" i="31"/>
  <c r="N484" i="31"/>
  <c r="R482" i="31"/>
  <c r="H483" i="31"/>
  <c r="AC482" i="31"/>
  <c r="F460" i="31"/>
  <c r="H461" i="31"/>
  <c r="X460" i="31"/>
  <c r="J460" i="31"/>
  <c r="N462" i="31"/>
  <c r="N460" i="31"/>
  <c r="P461" i="31"/>
  <c r="P460" i="31"/>
  <c r="F454" i="31"/>
  <c r="W452" i="31"/>
  <c r="T454" i="31"/>
  <c r="P453" i="31"/>
  <c r="L452" i="31"/>
  <c r="X453" i="31"/>
  <c r="H452" i="31"/>
  <c r="J453" i="31"/>
  <c r="W453" i="31"/>
  <c r="T453" i="31"/>
  <c r="W454" i="31"/>
  <c r="F452" i="31"/>
  <c r="L453" i="31"/>
  <c r="F453" i="31"/>
  <c r="T452" i="31"/>
  <c r="H438" i="31"/>
  <c r="T438" i="31"/>
  <c r="L436" i="31"/>
  <c r="R436" i="31"/>
  <c r="T436" i="31"/>
  <c r="P436" i="31"/>
  <c r="N438" i="31"/>
  <c r="H437" i="31"/>
  <c r="W437" i="31"/>
  <c r="F438" i="31"/>
  <c r="R438" i="31"/>
  <c r="J436" i="31"/>
  <c r="AC436" i="31"/>
  <c r="J438" i="31"/>
  <c r="X437" i="31"/>
  <c r="P430" i="31"/>
  <c r="L429" i="31"/>
  <c r="H428" i="31"/>
  <c r="F430" i="31"/>
  <c r="P428" i="31"/>
  <c r="H430" i="31"/>
  <c r="R428" i="31"/>
  <c r="R429" i="31"/>
  <c r="N430" i="31"/>
  <c r="L428" i="31"/>
  <c r="H429" i="31"/>
  <c r="J430" i="31"/>
  <c r="F428" i="31"/>
  <c r="X428" i="31"/>
  <c r="T429" i="31"/>
  <c r="AC428" i="31"/>
  <c r="T408" i="31"/>
  <c r="H408" i="31"/>
  <c r="P408" i="31"/>
  <c r="R408" i="31"/>
  <c r="N408" i="31"/>
  <c r="L407" i="31"/>
  <c r="F406" i="31"/>
  <c r="T407" i="31"/>
  <c r="R406" i="31"/>
  <c r="H407" i="31"/>
  <c r="J406" i="31"/>
  <c r="W406" i="31"/>
  <c r="J407" i="31"/>
  <c r="W408" i="31"/>
  <c r="X399" i="31"/>
  <c r="T398" i="31"/>
  <c r="N400" i="31"/>
  <c r="F399" i="31"/>
  <c r="R400" i="31"/>
  <c r="H399" i="31"/>
  <c r="L400" i="31"/>
  <c r="J398" i="31"/>
  <c r="J399" i="31"/>
  <c r="H384" i="31"/>
  <c r="P383" i="31"/>
  <c r="R383" i="31"/>
  <c r="T383" i="31"/>
  <c r="J383" i="31"/>
  <c r="X384" i="31"/>
  <c r="W383" i="31"/>
  <c r="P382" i="31"/>
  <c r="AC382" i="31"/>
  <c r="T384" i="31"/>
  <c r="H382" i="31"/>
  <c r="F384" i="31"/>
  <c r="R384" i="31"/>
  <c r="J382" i="31"/>
  <c r="L383" i="31"/>
  <c r="W354" i="31"/>
  <c r="F353" i="31"/>
  <c r="W352" i="31"/>
  <c r="X352" i="31"/>
  <c r="P352" i="31"/>
  <c r="H354" i="31"/>
  <c r="H353" i="31"/>
  <c r="T354" i="31"/>
  <c r="J354" i="31"/>
  <c r="N354" i="31"/>
  <c r="L353" i="31"/>
  <c r="X353" i="31"/>
  <c r="R354" i="31"/>
  <c r="R352" i="31"/>
  <c r="X323" i="31"/>
  <c r="P324" i="31"/>
  <c r="H322" i="31"/>
  <c r="P322" i="31"/>
  <c r="N322" i="31"/>
  <c r="J322" i="31"/>
  <c r="W322" i="31"/>
  <c r="N323" i="31"/>
  <c r="T323" i="31"/>
  <c r="L323" i="31"/>
  <c r="W323" i="31"/>
  <c r="J324" i="31"/>
  <c r="L322" i="31"/>
  <c r="R323" i="31"/>
  <c r="AC322" i="31"/>
  <c r="T300" i="31"/>
  <c r="H300" i="31"/>
  <c r="R300" i="31"/>
  <c r="P300" i="31"/>
  <c r="F300" i="31"/>
  <c r="X298" i="31"/>
  <c r="H299" i="31"/>
  <c r="T298" i="31"/>
  <c r="J298" i="31"/>
  <c r="N300" i="31"/>
  <c r="W298" i="31"/>
  <c r="R298" i="31"/>
  <c r="N299" i="31"/>
  <c r="W269" i="31"/>
  <c r="J269" i="31"/>
  <c r="H270" i="31"/>
  <c r="J270" i="31"/>
  <c r="L270" i="31"/>
  <c r="F269" i="31"/>
  <c r="T269" i="31"/>
  <c r="N268" i="31"/>
  <c r="AC268" i="31"/>
  <c r="N270" i="31"/>
  <c r="T268" i="31"/>
  <c r="J268" i="31"/>
  <c r="R270" i="31"/>
  <c r="N246" i="31"/>
  <c r="R244" i="31"/>
  <c r="L245" i="31"/>
  <c r="N245" i="31"/>
  <c r="L244" i="31"/>
  <c r="J246" i="31"/>
  <c r="X244" i="31"/>
  <c r="R246" i="31"/>
  <c r="W245" i="31"/>
  <c r="W246" i="31"/>
  <c r="H245" i="31"/>
  <c r="T245" i="31"/>
  <c r="W215" i="31"/>
  <c r="N216" i="31"/>
  <c r="F214" i="31"/>
  <c r="N214" i="31"/>
  <c r="P214" i="31"/>
  <c r="P216" i="31"/>
  <c r="N215" i="31"/>
  <c r="H214" i="31"/>
  <c r="T215" i="31"/>
  <c r="J215" i="31"/>
  <c r="F216" i="31"/>
  <c r="L214" i="31"/>
  <c r="X214" i="31"/>
  <c r="AC506" i="31"/>
  <c r="J506" i="31"/>
  <c r="R507" i="31"/>
  <c r="R508" i="31"/>
  <c r="X507" i="31"/>
  <c r="J508" i="31"/>
  <c r="F508" i="31"/>
  <c r="P507" i="31"/>
  <c r="F537" i="31"/>
  <c r="J536" i="31"/>
  <c r="L537" i="31"/>
  <c r="R538" i="31"/>
  <c r="H536" i="31"/>
  <c r="F536" i="31"/>
  <c r="X538" i="31"/>
  <c r="H538" i="31"/>
  <c r="W567" i="31"/>
  <c r="X568" i="31"/>
  <c r="J567" i="31"/>
  <c r="P568" i="31"/>
  <c r="J566" i="31"/>
  <c r="H566" i="31"/>
  <c r="L566" i="31"/>
  <c r="T568" i="31"/>
  <c r="P590" i="31"/>
  <c r="H591" i="31"/>
  <c r="W592" i="31"/>
  <c r="X590" i="31"/>
  <c r="R591" i="31"/>
  <c r="N591" i="31"/>
  <c r="T590" i="31"/>
  <c r="AC620" i="31"/>
  <c r="H620" i="31"/>
  <c r="J620" i="31"/>
  <c r="L620" i="31"/>
  <c r="L623" i="31" s="1"/>
  <c r="P621" i="31"/>
  <c r="R622" i="31"/>
  <c r="W621" i="31"/>
  <c r="T621" i="31"/>
  <c r="J644" i="31"/>
  <c r="L645" i="31"/>
  <c r="N646" i="31"/>
  <c r="F644" i="31"/>
  <c r="H644" i="31"/>
  <c r="P644" i="31"/>
  <c r="X646" i="31"/>
  <c r="J646" i="31"/>
  <c r="R676" i="31"/>
  <c r="R675" i="31"/>
  <c r="X676" i="31"/>
  <c r="H676" i="31"/>
  <c r="N674" i="31"/>
  <c r="T674" i="31"/>
  <c r="F674" i="31"/>
  <c r="N676" i="31"/>
  <c r="W706" i="31"/>
  <c r="N704" i="31"/>
  <c r="F705" i="31"/>
  <c r="X704" i="31"/>
  <c r="R705" i="31"/>
  <c r="L705" i="31"/>
  <c r="R704" i="31"/>
  <c r="AC728" i="31"/>
  <c r="X729" i="31"/>
  <c r="P730" i="31"/>
  <c r="H728" i="31"/>
  <c r="L729" i="31"/>
  <c r="J730" i="31"/>
  <c r="H730" i="31"/>
  <c r="N729" i="31"/>
  <c r="T758" i="31"/>
  <c r="F760" i="31"/>
  <c r="H758" i="31"/>
  <c r="N759" i="31"/>
  <c r="W760" i="31"/>
  <c r="R760" i="31"/>
  <c r="P760" i="31"/>
  <c r="H760" i="31"/>
  <c r="L783" i="31"/>
  <c r="P784" i="31"/>
  <c r="W783" i="31"/>
  <c r="J783" i="31"/>
  <c r="R783" i="31"/>
  <c r="T782" i="31"/>
  <c r="L782" i="31"/>
  <c r="R784" i="31"/>
  <c r="X812" i="31"/>
  <c r="H812" i="31"/>
  <c r="T814" i="31"/>
  <c r="N812" i="31"/>
  <c r="L813" i="31"/>
  <c r="J813" i="31"/>
  <c r="H813" i="31"/>
  <c r="AC842" i="31"/>
  <c r="L842" i="31"/>
  <c r="W842" i="31"/>
  <c r="F842" i="31"/>
  <c r="J843" i="31"/>
  <c r="N844" i="31"/>
  <c r="L844" i="31"/>
  <c r="R843" i="31"/>
  <c r="T866" i="31"/>
  <c r="L867" i="31"/>
  <c r="P866" i="31"/>
  <c r="J868" i="31"/>
  <c r="P897" i="31"/>
  <c r="F898" i="31"/>
  <c r="H897" i="31"/>
  <c r="X898" i="31"/>
  <c r="L921" i="31"/>
  <c r="T920" i="31"/>
  <c r="J921" i="31"/>
  <c r="AC950" i="31"/>
  <c r="L951" i="31"/>
  <c r="T952" i="31"/>
  <c r="W951" i="31"/>
  <c r="H244" i="31"/>
  <c r="T246" i="31"/>
  <c r="X268" i="31"/>
  <c r="F268" i="31"/>
  <c r="N298" i="31"/>
  <c r="W324" i="31"/>
  <c r="F352" i="31"/>
  <c r="T382" i="31"/>
  <c r="J408" i="31"/>
  <c r="R437" i="31"/>
  <c r="T460" i="31"/>
  <c r="R521" i="31"/>
  <c r="J630" i="31"/>
  <c r="X875" i="31"/>
  <c r="N186" i="31"/>
  <c r="W185" i="31"/>
  <c r="R186" i="31"/>
  <c r="P186" i="31"/>
  <c r="L186" i="31"/>
  <c r="X186" i="31"/>
  <c r="H184" i="31"/>
  <c r="T184" i="31"/>
  <c r="P184" i="31"/>
  <c r="X169" i="31"/>
  <c r="H170" i="31"/>
  <c r="W161" i="31"/>
  <c r="J161" i="31"/>
  <c r="R161" i="31"/>
  <c r="J162" i="31"/>
  <c r="W162" i="31"/>
  <c r="T162" i="31"/>
  <c r="R162" i="31"/>
  <c r="P162" i="31"/>
  <c r="AC160" i="31"/>
  <c r="R138" i="31"/>
  <c r="R140" i="31"/>
  <c r="W132" i="31"/>
  <c r="F131" i="31"/>
  <c r="X130" i="31"/>
  <c r="W130" i="31"/>
  <c r="L131" i="31"/>
  <c r="J131" i="31"/>
  <c r="H131" i="31"/>
  <c r="H132" i="31"/>
  <c r="X116" i="31"/>
  <c r="F116" i="31"/>
  <c r="P114" i="31"/>
  <c r="J108" i="31"/>
  <c r="W108" i="31"/>
  <c r="N106" i="31"/>
  <c r="P106" i="31"/>
  <c r="H108" i="31"/>
  <c r="R106" i="31"/>
  <c r="W107" i="31"/>
  <c r="N107" i="31"/>
  <c r="P108" i="31"/>
  <c r="T84" i="31"/>
  <c r="P86" i="31"/>
  <c r="R78" i="31"/>
  <c r="F78" i="31"/>
  <c r="T78" i="31"/>
  <c r="L76" i="31"/>
  <c r="H77" i="31"/>
  <c r="F77" i="31"/>
  <c r="T76" i="31"/>
  <c r="L78" i="31"/>
  <c r="J77" i="31"/>
  <c r="H62" i="31"/>
  <c r="R60" i="31"/>
  <c r="T61" i="31"/>
  <c r="BK399" i="4"/>
  <c r="BM21" i="4"/>
  <c r="R77" i="31"/>
  <c r="W78" i="31"/>
  <c r="P77" i="31"/>
  <c r="F106" i="31"/>
  <c r="T107" i="31"/>
  <c r="F108" i="31"/>
  <c r="X107" i="31"/>
  <c r="T130" i="31"/>
  <c r="P132" i="31"/>
  <c r="T132" i="31"/>
  <c r="N132" i="31"/>
  <c r="F161" i="31"/>
  <c r="L161" i="31"/>
  <c r="W160" i="31"/>
  <c r="F160" i="31"/>
  <c r="F186" i="31"/>
  <c r="P185" i="31"/>
  <c r="F185" i="31"/>
  <c r="R184" i="31"/>
  <c r="N84" i="31"/>
  <c r="R966" i="31"/>
  <c r="T967" i="31"/>
  <c r="J958" i="31"/>
  <c r="T958" i="31"/>
  <c r="R936" i="31"/>
  <c r="F934" i="31"/>
  <c r="T905" i="31"/>
  <c r="L906" i="31"/>
  <c r="R904" i="31"/>
  <c r="F876" i="31"/>
  <c r="L874" i="31"/>
  <c r="R875" i="31"/>
  <c r="N876" i="31"/>
  <c r="J851" i="31"/>
  <c r="J852" i="31"/>
  <c r="R852" i="31"/>
  <c r="P850" i="31"/>
  <c r="X820" i="31"/>
  <c r="L821" i="31"/>
  <c r="X821" i="31"/>
  <c r="N821" i="31"/>
  <c r="P796" i="31"/>
  <c r="J796" i="31"/>
  <c r="F797" i="31"/>
  <c r="N797" i="31"/>
  <c r="R768" i="31"/>
  <c r="W768" i="31"/>
  <c r="J766" i="31"/>
  <c r="W766" i="31"/>
  <c r="L738" i="31"/>
  <c r="L737" i="31"/>
  <c r="H736" i="31"/>
  <c r="AC736" i="31"/>
  <c r="J713" i="31"/>
  <c r="F714" i="31"/>
  <c r="N713" i="31"/>
  <c r="W684" i="31"/>
  <c r="H683" i="31"/>
  <c r="T684" i="31"/>
  <c r="F684" i="31"/>
  <c r="F660" i="31"/>
  <c r="L658" i="31"/>
  <c r="F658" i="31"/>
  <c r="L659" i="31"/>
  <c r="P629" i="31"/>
  <c r="R630" i="31"/>
  <c r="N629" i="31"/>
  <c r="X630" i="31"/>
  <c r="X598" i="31"/>
  <c r="N599" i="31"/>
  <c r="J598" i="31"/>
  <c r="H599" i="31"/>
  <c r="H574" i="31"/>
  <c r="P574" i="31"/>
  <c r="J574" i="31"/>
  <c r="W576" i="31"/>
  <c r="P576" i="31"/>
  <c r="T598" i="31"/>
  <c r="AC628" i="31"/>
  <c r="P630" i="31"/>
  <c r="N658" i="31"/>
  <c r="H658" i="31"/>
  <c r="W683" i="31"/>
  <c r="R682" i="31"/>
  <c r="W712" i="31"/>
  <c r="X713" i="31"/>
  <c r="P738" i="31"/>
  <c r="F738" i="31"/>
  <c r="H768" i="31"/>
  <c r="T768" i="31"/>
  <c r="T798" i="31"/>
  <c r="H796" i="31"/>
  <c r="N822" i="31"/>
  <c r="R821" i="31"/>
  <c r="X850" i="31"/>
  <c r="X851" i="31"/>
  <c r="T874" i="31"/>
  <c r="T876" i="31"/>
  <c r="W906" i="31"/>
  <c r="W936" i="31"/>
  <c r="N960" i="31"/>
  <c r="R967" i="31"/>
  <c r="J62" i="31"/>
  <c r="T85" i="31"/>
  <c r="L114" i="31"/>
  <c r="H138" i="31"/>
  <c r="W169" i="31"/>
  <c r="N968" i="31"/>
  <c r="J967" i="31"/>
  <c r="F966" i="31"/>
  <c r="X967" i="31"/>
  <c r="T966" i="31"/>
  <c r="X968" i="31"/>
  <c r="H967" i="31"/>
  <c r="W968" i="31"/>
  <c r="F967" i="31"/>
  <c r="T968" i="31"/>
  <c r="X966" i="31"/>
  <c r="N967" i="31"/>
  <c r="R968" i="31"/>
  <c r="L968" i="31"/>
  <c r="P967" i="31"/>
  <c r="AC966" i="31"/>
  <c r="W967" i="31"/>
  <c r="P968" i="31"/>
  <c r="H966" i="31"/>
  <c r="L966" i="31"/>
  <c r="J966" i="31"/>
  <c r="J968" i="31"/>
  <c r="P966" i="31"/>
  <c r="W966" i="31"/>
  <c r="F960" i="31"/>
  <c r="W958" i="31"/>
  <c r="T960" i="31"/>
  <c r="P959" i="31"/>
  <c r="L958" i="31"/>
  <c r="X959" i="31"/>
  <c r="H958" i="31"/>
  <c r="W959" i="31"/>
  <c r="F958" i="31"/>
  <c r="T959" i="31"/>
  <c r="J960" i="31"/>
  <c r="N958" i="31"/>
  <c r="L959" i="31"/>
  <c r="R959" i="31"/>
  <c r="L960" i="31"/>
  <c r="N959" i="31"/>
  <c r="H960" i="31"/>
  <c r="X960" i="31"/>
  <c r="W960" i="31"/>
  <c r="P960" i="31"/>
  <c r="J959" i="31"/>
  <c r="P958" i="31"/>
  <c r="AC958" i="31"/>
  <c r="P936" i="31"/>
  <c r="L935" i="31"/>
  <c r="H934" i="31"/>
  <c r="F936" i="31"/>
  <c r="W934" i="31"/>
  <c r="J936" i="31"/>
  <c r="N934" i="31"/>
  <c r="P935" i="31"/>
  <c r="H936" i="31"/>
  <c r="N936" i="31"/>
  <c r="W935" i="31"/>
  <c r="T935" i="31"/>
  <c r="L934" i="31"/>
  <c r="H935" i="31"/>
  <c r="X936" i="31"/>
  <c r="AC934" i="31"/>
  <c r="T934" i="31"/>
  <c r="N935" i="31"/>
  <c r="J935" i="31"/>
  <c r="P934" i="31"/>
  <c r="F935" i="31"/>
  <c r="T936" i="31"/>
  <c r="R934" i="31"/>
  <c r="H906" i="31"/>
  <c r="X904" i="31"/>
  <c r="N906" i="31"/>
  <c r="F905" i="31"/>
  <c r="P906" i="31"/>
  <c r="T906" i="31"/>
  <c r="L904" i="31"/>
  <c r="J904" i="31"/>
  <c r="H905" i="31"/>
  <c r="R906" i="31"/>
  <c r="P904" i="31"/>
  <c r="J905" i="31"/>
  <c r="W904" i="31"/>
  <c r="L905" i="31"/>
  <c r="T904" i="31"/>
  <c r="X906" i="31"/>
  <c r="F906" i="31"/>
  <c r="R905" i="31"/>
  <c r="R876" i="31"/>
  <c r="N875" i="31"/>
  <c r="J874" i="31"/>
  <c r="H876" i="31"/>
  <c r="X874" i="31"/>
  <c r="J876" i="31"/>
  <c r="N874" i="31"/>
  <c r="T875" i="31"/>
  <c r="P876" i="31"/>
  <c r="P874" i="31"/>
  <c r="W875" i="31"/>
  <c r="L875" i="31"/>
  <c r="F875" i="31"/>
  <c r="H874" i="31"/>
  <c r="F874" i="31"/>
  <c r="AC874" i="31"/>
  <c r="W851" i="31"/>
  <c r="R850" i="31"/>
  <c r="P852" i="31"/>
  <c r="L851" i="31"/>
  <c r="H850" i="31"/>
  <c r="N851" i="31"/>
  <c r="L852" i="31"/>
  <c r="J850" i="31"/>
  <c r="F851" i="31"/>
  <c r="P851" i="31"/>
  <c r="X852" i="31"/>
  <c r="W852" i="31"/>
  <c r="T852" i="31"/>
  <c r="F852" i="31"/>
  <c r="R851" i="31"/>
  <c r="T822" i="31"/>
  <c r="P821" i="31"/>
  <c r="L820" i="31"/>
  <c r="J822" i="31"/>
  <c r="F821" i="31"/>
  <c r="L822" i="31"/>
  <c r="P820" i="31"/>
  <c r="W821" i="31"/>
  <c r="R822" i="31"/>
  <c r="R820" i="31"/>
  <c r="W820" i="31"/>
  <c r="J820" i="31"/>
  <c r="H820" i="31"/>
  <c r="F820" i="31"/>
  <c r="J821" i="31"/>
  <c r="AC820" i="31"/>
  <c r="L798" i="31"/>
  <c r="H797" i="31"/>
  <c r="J798" i="31"/>
  <c r="W796" i="31"/>
  <c r="N798" i="31"/>
  <c r="X796" i="31"/>
  <c r="P798" i="31"/>
  <c r="L796" i="31"/>
  <c r="J797" i="31"/>
  <c r="F798" i="31"/>
  <c r="W798" i="31"/>
  <c r="T796" i="31"/>
  <c r="W797" i="31"/>
  <c r="R798" i="31"/>
  <c r="N796" i="31"/>
  <c r="X768" i="31"/>
  <c r="T767" i="31"/>
  <c r="P766" i="31"/>
  <c r="X767" i="31"/>
  <c r="N766" i="31"/>
  <c r="F768" i="31"/>
  <c r="R766" i="31"/>
  <c r="R767" i="31"/>
  <c r="P768" i="31"/>
  <c r="L766" i="31"/>
  <c r="N767" i="31"/>
  <c r="J768" i="31"/>
  <c r="H766" i="31"/>
  <c r="X766" i="31"/>
  <c r="W767" i="31"/>
  <c r="AC766" i="31"/>
  <c r="J738" i="31"/>
  <c r="F737" i="31"/>
  <c r="X738" i="31"/>
  <c r="T737" i="31"/>
  <c r="P736" i="31"/>
  <c r="J737" i="31"/>
  <c r="H738" i="31"/>
  <c r="L736" i="31"/>
  <c r="T736" i="31"/>
  <c r="R736" i="31"/>
  <c r="P737" i="31"/>
  <c r="R738" i="31"/>
  <c r="F736" i="31"/>
  <c r="X736" i="31"/>
  <c r="W736" i="31"/>
  <c r="X714" i="31"/>
  <c r="T713" i="31"/>
  <c r="P712" i="31"/>
  <c r="W713" i="31"/>
  <c r="R712" i="31"/>
  <c r="T714" i="31"/>
  <c r="X712" i="31"/>
  <c r="W714" i="31"/>
  <c r="F713" i="31"/>
  <c r="R713" i="31"/>
  <c r="P713" i="31"/>
  <c r="R714" i="31"/>
  <c r="P714" i="31"/>
  <c r="J714" i="31"/>
  <c r="H714" i="31"/>
  <c r="AC712" i="31"/>
  <c r="J684" i="31"/>
  <c r="F683" i="31"/>
  <c r="X684" i="31"/>
  <c r="T683" i="31"/>
  <c r="P682" i="31"/>
  <c r="N683" i="31"/>
  <c r="P684" i="31"/>
  <c r="T682" i="31"/>
  <c r="L683" i="31"/>
  <c r="R684" i="31"/>
  <c r="F682" i="31"/>
  <c r="X682" i="31"/>
  <c r="W682" i="31"/>
  <c r="L682" i="31"/>
  <c r="J682" i="31"/>
  <c r="R660" i="31"/>
  <c r="N659" i="31"/>
  <c r="J658" i="31"/>
  <c r="H660" i="31"/>
  <c r="X658" i="31"/>
  <c r="X660" i="31"/>
  <c r="H659" i="31"/>
  <c r="W660" i="31"/>
  <c r="F659" i="31"/>
  <c r="P660" i="31"/>
  <c r="T658" i="31"/>
  <c r="R659" i="31"/>
  <c r="L660" i="31"/>
  <c r="P658" i="31"/>
  <c r="J659" i="31"/>
  <c r="AC658" i="31"/>
  <c r="H630" i="31"/>
  <c r="X628" i="31"/>
  <c r="W630" i="31"/>
  <c r="R629" i="31"/>
  <c r="N628" i="31"/>
  <c r="W629" i="31"/>
  <c r="F628" i="31"/>
  <c r="T629" i="31"/>
  <c r="N630" i="31"/>
  <c r="R628" i="31"/>
  <c r="L629" i="31"/>
  <c r="F630" i="31"/>
  <c r="J628" i="31"/>
  <c r="X629" i="31"/>
  <c r="H628" i="31"/>
  <c r="T600" i="31"/>
  <c r="P599" i="31"/>
  <c r="L598" i="31"/>
  <c r="J600" i="31"/>
  <c r="F599" i="31"/>
  <c r="N600" i="31"/>
  <c r="R598" i="31"/>
  <c r="T599" i="31"/>
  <c r="X599" i="31"/>
  <c r="W599" i="31"/>
  <c r="X600" i="31"/>
  <c r="H598" i="31"/>
  <c r="J599" i="31"/>
  <c r="L600" i="31"/>
  <c r="F600" i="31"/>
  <c r="AC598" i="31"/>
  <c r="X575" i="31"/>
  <c r="T574" i="31"/>
  <c r="R576" i="31"/>
  <c r="H575" i="31"/>
  <c r="T576" i="31"/>
  <c r="J575" i="31"/>
  <c r="X576" i="31"/>
  <c r="W574" i="31"/>
  <c r="R575" i="31"/>
  <c r="N576" i="31"/>
  <c r="L574" i="31"/>
  <c r="N575" i="31"/>
  <c r="J576" i="31"/>
  <c r="F574" i="31"/>
  <c r="X574" i="31"/>
  <c r="P546" i="31"/>
  <c r="L545" i="31"/>
  <c r="H544" i="31"/>
  <c r="T545" i="31"/>
  <c r="L544" i="31"/>
  <c r="W545" i="31"/>
  <c r="N544" i="31"/>
  <c r="X544" i="31"/>
  <c r="F546" i="31"/>
  <c r="W546" i="31"/>
  <c r="R544" i="31"/>
  <c r="P545" i="31"/>
  <c r="L546" i="31"/>
  <c r="J544" i="31"/>
  <c r="J545" i="31"/>
  <c r="AC544" i="31"/>
  <c r="X521" i="31"/>
  <c r="T520" i="31"/>
  <c r="L522" i="31"/>
  <c r="X520" i="31"/>
  <c r="N522" i="31"/>
  <c r="F521" i="31"/>
  <c r="J522" i="31"/>
  <c r="F520" i="31"/>
  <c r="H521" i="31"/>
  <c r="F522" i="31"/>
  <c r="W522" i="31"/>
  <c r="R520" i="31"/>
  <c r="P521" i="31"/>
  <c r="R522" i="31"/>
  <c r="N520" i="31"/>
  <c r="L498" i="31"/>
  <c r="T500" i="31"/>
  <c r="H498" i="31"/>
  <c r="N498" i="31"/>
  <c r="F500" i="31"/>
  <c r="N499" i="31"/>
  <c r="P492" i="31"/>
  <c r="L491" i="31"/>
  <c r="H490" i="31"/>
  <c r="J492" i="31"/>
  <c r="W490" i="31"/>
  <c r="L492" i="31"/>
  <c r="X490" i="31"/>
  <c r="R492" i="31"/>
  <c r="N490" i="31"/>
  <c r="J491" i="31"/>
  <c r="H492" i="31"/>
  <c r="F492" i="31"/>
  <c r="W492" i="31"/>
  <c r="R490" i="31"/>
  <c r="T491" i="31"/>
  <c r="AC490" i="31"/>
  <c r="J476" i="31"/>
  <c r="P474" i="31"/>
  <c r="W474" i="31"/>
  <c r="J474" i="31"/>
  <c r="F476" i="31"/>
  <c r="X474" i="31"/>
  <c r="N476" i="31"/>
  <c r="W461" i="31"/>
  <c r="R460" i="31"/>
  <c r="P462" i="31"/>
  <c r="L461" i="31"/>
  <c r="H460" i="31"/>
  <c r="H462" i="31"/>
  <c r="L460" i="31"/>
  <c r="N461" i="31"/>
  <c r="R462" i="31"/>
  <c r="L462" i="31"/>
  <c r="F462" i="31"/>
  <c r="T461" i="31"/>
  <c r="W462" i="31"/>
  <c r="T445" i="31"/>
  <c r="J446" i="31"/>
  <c r="R445" i="31"/>
  <c r="F446" i="31"/>
  <c r="T446" i="31"/>
  <c r="AC444" i="31"/>
  <c r="L444" i="31"/>
  <c r="H415" i="31"/>
  <c r="L415" i="31"/>
  <c r="J416" i="31"/>
  <c r="W416" i="31"/>
  <c r="L414" i="31"/>
  <c r="X414" i="31"/>
  <c r="P390" i="31"/>
  <c r="P392" i="31"/>
  <c r="J392" i="31"/>
  <c r="J391" i="31"/>
  <c r="W392" i="31"/>
  <c r="P391" i="31"/>
  <c r="N390" i="31"/>
  <c r="X392" i="31"/>
  <c r="F391" i="31"/>
  <c r="F392" i="31"/>
  <c r="R392" i="31"/>
  <c r="H390" i="31"/>
  <c r="N361" i="31"/>
  <c r="W361" i="31"/>
  <c r="X361" i="31"/>
  <c r="T361" i="31"/>
  <c r="R360" i="31"/>
  <c r="L362" i="31"/>
  <c r="F361" i="31"/>
  <c r="AC360" i="31"/>
  <c r="J360" i="31"/>
  <c r="P360" i="31"/>
  <c r="P361" i="31"/>
  <c r="H362" i="31"/>
  <c r="R362" i="31"/>
  <c r="W362" i="31"/>
  <c r="H337" i="31"/>
  <c r="N337" i="31"/>
  <c r="X337" i="31"/>
  <c r="W337" i="31"/>
  <c r="P337" i="31"/>
  <c r="N336" i="31"/>
  <c r="P338" i="31"/>
  <c r="W338" i="31"/>
  <c r="J336" i="31"/>
  <c r="J338" i="31"/>
  <c r="W336" i="31"/>
  <c r="L338" i="31"/>
  <c r="H336" i="31"/>
  <c r="X308" i="31"/>
  <c r="P306" i="31"/>
  <c r="R306" i="31"/>
  <c r="N306" i="31"/>
  <c r="W308" i="31"/>
  <c r="F306" i="31"/>
  <c r="F307" i="31"/>
  <c r="J308" i="31"/>
  <c r="F308" i="31"/>
  <c r="R307" i="31"/>
  <c r="H306" i="31"/>
  <c r="AC306" i="31"/>
  <c r="T307" i="31"/>
  <c r="N307" i="31"/>
  <c r="J278" i="31"/>
  <c r="N278" i="31"/>
  <c r="P278" i="31"/>
  <c r="R278" i="31"/>
  <c r="L277" i="31"/>
  <c r="F276" i="31"/>
  <c r="X277" i="31"/>
  <c r="R276" i="31"/>
  <c r="X276" i="31"/>
  <c r="P276" i="31"/>
  <c r="W276" i="31"/>
  <c r="F277" i="31"/>
  <c r="H278" i="31"/>
  <c r="R253" i="31"/>
  <c r="P253" i="31"/>
  <c r="T253" i="31"/>
  <c r="W253" i="31"/>
  <c r="P252" i="31"/>
  <c r="H254" i="31"/>
  <c r="H253" i="31"/>
  <c r="AC252" i="31"/>
  <c r="W254" i="31"/>
  <c r="H252" i="31"/>
  <c r="R254" i="31"/>
  <c r="F252" i="31"/>
  <c r="N252" i="31"/>
  <c r="L253" i="31"/>
  <c r="F223" i="31"/>
  <c r="N223" i="31"/>
  <c r="P223" i="31"/>
  <c r="X222" i="31"/>
  <c r="R224" i="31"/>
  <c r="L223" i="31"/>
  <c r="J222" i="31"/>
  <c r="J224" i="31"/>
  <c r="F222" i="31"/>
  <c r="W223" i="31"/>
  <c r="N224" i="31"/>
  <c r="X224" i="31"/>
  <c r="P222" i="31"/>
  <c r="W200" i="31"/>
  <c r="R199" i="31"/>
  <c r="H200" i="31"/>
  <c r="T200" i="31"/>
  <c r="R200" i="31"/>
  <c r="P200" i="31"/>
  <c r="N200" i="31"/>
  <c r="L200" i="31"/>
  <c r="AC198" i="31"/>
  <c r="N198" i="31"/>
  <c r="L199" i="31"/>
  <c r="H199" i="31"/>
  <c r="W198" i="31"/>
  <c r="T168" i="31"/>
  <c r="X168" i="31"/>
  <c r="P169" i="31"/>
  <c r="W170" i="31"/>
  <c r="N169" i="31"/>
  <c r="T170" i="31"/>
  <c r="J169" i="31"/>
  <c r="R170" i="31"/>
  <c r="H169" i="31"/>
  <c r="N170" i="31"/>
  <c r="F169" i="31"/>
  <c r="AC168" i="31"/>
  <c r="L170" i="31"/>
  <c r="F168" i="31"/>
  <c r="R168" i="31"/>
  <c r="P168" i="31"/>
  <c r="N168" i="31"/>
  <c r="L168" i="31"/>
  <c r="F140" i="31"/>
  <c r="W138" i="31"/>
  <c r="W140" i="31"/>
  <c r="L139" i="31"/>
  <c r="T140" i="31"/>
  <c r="J139" i="31"/>
  <c r="P140" i="31"/>
  <c r="H139" i="31"/>
  <c r="N140" i="31"/>
  <c r="F139" i="31"/>
  <c r="L140" i="31"/>
  <c r="X138" i="31"/>
  <c r="X140" i="31"/>
  <c r="P139" i="31"/>
  <c r="F138" i="31"/>
  <c r="N139" i="31"/>
  <c r="H140" i="31"/>
  <c r="X139" i="31"/>
  <c r="W139" i="31"/>
  <c r="T139" i="31"/>
  <c r="R139" i="31"/>
  <c r="J140" i="31"/>
  <c r="AC138" i="31"/>
  <c r="R116" i="31"/>
  <c r="N115" i="31"/>
  <c r="J114" i="31"/>
  <c r="R115" i="31"/>
  <c r="H114" i="31"/>
  <c r="J116" i="31"/>
  <c r="T114" i="31"/>
  <c r="T116" i="31"/>
  <c r="J115" i="31"/>
  <c r="P116" i="31"/>
  <c r="H115" i="31"/>
  <c r="N116" i="31"/>
  <c r="F115" i="31"/>
  <c r="W116" i="31"/>
  <c r="H116" i="31"/>
  <c r="R114" i="31"/>
  <c r="W114" i="31"/>
  <c r="X114" i="31"/>
  <c r="P115" i="31"/>
  <c r="X115" i="31"/>
  <c r="W115" i="31"/>
  <c r="T115" i="31"/>
  <c r="AC114" i="31"/>
  <c r="F86" i="31"/>
  <c r="W85" i="31"/>
  <c r="R84" i="31"/>
  <c r="T86" i="31"/>
  <c r="L85" i="31"/>
  <c r="H84" i="31"/>
  <c r="P85" i="31"/>
  <c r="AC84" i="31"/>
  <c r="N85" i="31"/>
  <c r="J86" i="31"/>
  <c r="L84" i="31"/>
  <c r="F85" i="31"/>
  <c r="X86" i="31"/>
  <c r="X84" i="31"/>
  <c r="R85" i="31"/>
  <c r="R86" i="31"/>
  <c r="J85" i="31"/>
  <c r="X85" i="31"/>
  <c r="N86" i="31"/>
  <c r="L86" i="31"/>
  <c r="H85" i="31"/>
  <c r="J84" i="31"/>
  <c r="W86" i="31"/>
  <c r="N62" i="31"/>
  <c r="J61" i="31"/>
  <c r="F60" i="31"/>
  <c r="X61" i="31"/>
  <c r="T60" i="31"/>
  <c r="X62" i="31"/>
  <c r="H61" i="31"/>
  <c r="W62" i="31"/>
  <c r="F61" i="31"/>
  <c r="T62" i="31"/>
  <c r="X60" i="31"/>
  <c r="R61" i="31"/>
  <c r="L62" i="31"/>
  <c r="P60" i="31"/>
  <c r="N61" i="31"/>
  <c r="AC60" i="31"/>
  <c r="W61" i="31"/>
  <c r="P62" i="31"/>
  <c r="H60" i="31"/>
  <c r="L60" i="31"/>
  <c r="J60" i="31"/>
  <c r="R62" i="31"/>
  <c r="P61" i="31"/>
  <c r="N60" i="31"/>
  <c r="N76" i="31"/>
  <c r="J78" i="31"/>
  <c r="L77" i="31"/>
  <c r="R76" i="31"/>
  <c r="N78" i="31"/>
  <c r="T77" i="31"/>
  <c r="F76" i="31"/>
  <c r="W77" i="31"/>
  <c r="H76" i="31"/>
  <c r="X77" i="31"/>
  <c r="AC76" i="31"/>
  <c r="X76" i="31"/>
  <c r="H78" i="31"/>
  <c r="J76" i="31"/>
  <c r="N77" i="31"/>
  <c r="X106" i="31"/>
  <c r="H106" i="31"/>
  <c r="J106" i="31"/>
  <c r="L106" i="31"/>
  <c r="T106" i="31"/>
  <c r="W106" i="31"/>
  <c r="AC106" i="31"/>
  <c r="L107" i="31"/>
  <c r="T108" i="31"/>
  <c r="X108" i="31"/>
  <c r="L108" i="31"/>
  <c r="J107" i="31"/>
  <c r="R108" i="31"/>
  <c r="F107" i="31"/>
  <c r="F130" i="31"/>
  <c r="N131" i="31"/>
  <c r="X132" i="31"/>
  <c r="L130" i="31"/>
  <c r="W131" i="31"/>
  <c r="P130" i="31"/>
  <c r="X131" i="31"/>
  <c r="R130" i="31"/>
  <c r="F132" i="31"/>
  <c r="H130" i="31"/>
  <c r="P131" i="31"/>
  <c r="J130" i="31"/>
  <c r="T131" i="31"/>
  <c r="N130" i="31"/>
  <c r="R131" i="31"/>
  <c r="L160" i="31"/>
  <c r="T161" i="31"/>
  <c r="N160" i="31"/>
  <c r="X161" i="31"/>
  <c r="P160" i="31"/>
  <c r="F162" i="31"/>
  <c r="T160" i="31"/>
  <c r="H162" i="31"/>
  <c r="H160" i="31"/>
  <c r="P161" i="31"/>
  <c r="X162" i="31"/>
  <c r="X160" i="31"/>
  <c r="L162" i="31"/>
  <c r="R160" i="31"/>
  <c r="AC184" i="31"/>
  <c r="L185" i="31"/>
  <c r="T186" i="31"/>
  <c r="N185" i="31"/>
  <c r="W186" i="31"/>
  <c r="W184" i="31"/>
  <c r="J186" i="31"/>
  <c r="J184" i="31"/>
  <c r="R185" i="31"/>
  <c r="L184" i="31"/>
  <c r="T185" i="31"/>
  <c r="N184" i="31"/>
  <c r="X185" i="31"/>
  <c r="F184" i="31"/>
  <c r="J185" i="31"/>
  <c r="W214" i="31"/>
  <c r="X216" i="31"/>
  <c r="H216" i="31"/>
  <c r="F215" i="31"/>
  <c r="J214" i="31"/>
  <c r="L216" i="31"/>
  <c r="P215" i="31"/>
  <c r="T214" i="31"/>
  <c r="W216" i="31"/>
  <c r="L215" i="31"/>
  <c r="T216" i="31"/>
  <c r="H215" i="31"/>
  <c r="R216" i="31"/>
  <c r="R214" i="31"/>
  <c r="AC244" i="31"/>
  <c r="R245" i="31"/>
  <c r="W244" i="31"/>
  <c r="X246" i="31"/>
  <c r="X245" i="31"/>
  <c r="F245" i="31"/>
  <c r="J244" i="31"/>
  <c r="L246" i="31"/>
  <c r="P245" i="31"/>
  <c r="T244" i="31"/>
  <c r="H246" i="31"/>
  <c r="P244" i="31"/>
  <c r="F246" i="31"/>
  <c r="F244" i="31"/>
  <c r="J245" i="31"/>
  <c r="L268" i="31"/>
  <c r="P270" i="31"/>
  <c r="R269" i="31"/>
  <c r="P268" i="31"/>
  <c r="T270" i="31"/>
  <c r="X269" i="31"/>
  <c r="F270" i="31"/>
  <c r="H269" i="31"/>
  <c r="H268" i="31"/>
  <c r="P269" i="31"/>
  <c r="X270" i="31"/>
  <c r="N269" i="31"/>
  <c r="W270" i="31"/>
  <c r="R268" i="31"/>
  <c r="AC298" i="31"/>
  <c r="L300" i="31"/>
  <c r="F299" i="31"/>
  <c r="H298" i="31"/>
  <c r="X300" i="31"/>
  <c r="R299" i="31"/>
  <c r="T299" i="31"/>
  <c r="J300" i="31"/>
  <c r="L299" i="31"/>
  <c r="W300" i="31"/>
  <c r="W299" i="31"/>
  <c r="P298" i="31"/>
  <c r="X299" i="31"/>
  <c r="L298" i="31"/>
  <c r="P299" i="31"/>
  <c r="F323" i="31"/>
  <c r="N324" i="31"/>
  <c r="R322" i="31"/>
  <c r="H324" i="31"/>
  <c r="F322" i="31"/>
  <c r="P323" i="31"/>
  <c r="X324" i="31"/>
  <c r="X322" i="31"/>
  <c r="L324" i="31"/>
  <c r="H323" i="31"/>
  <c r="R324" i="31"/>
  <c r="J323" i="31"/>
  <c r="T324" i="31"/>
  <c r="T322" i="31"/>
  <c r="AC352" i="31"/>
  <c r="W353" i="31"/>
  <c r="T352" i="31"/>
  <c r="X354" i="31"/>
  <c r="F354" i="31"/>
  <c r="J353" i="31"/>
  <c r="L352" i="31"/>
  <c r="P354" i="31"/>
  <c r="N353" i="31"/>
  <c r="J352" i="31"/>
  <c r="T353" i="31"/>
  <c r="H352" i="31"/>
  <c r="P353" i="31"/>
  <c r="N352" i="31"/>
  <c r="R353" i="31"/>
  <c r="N382" i="31"/>
  <c r="P384" i="31"/>
  <c r="N383" i="31"/>
  <c r="R382" i="31"/>
  <c r="W384" i="31"/>
  <c r="X383" i="31"/>
  <c r="H383" i="31"/>
  <c r="F382" i="31"/>
  <c r="J384" i="31"/>
  <c r="F383" i="31"/>
  <c r="N384" i="31"/>
  <c r="W382" i="31"/>
  <c r="L384" i="31"/>
  <c r="X382" i="31"/>
  <c r="AC406" i="31"/>
  <c r="R407" i="31"/>
  <c r="T406" i="31"/>
  <c r="X408" i="31"/>
  <c r="F408" i="31"/>
  <c r="F407" i="31"/>
  <c r="H406" i="31"/>
  <c r="L408" i="31"/>
  <c r="N407" i="31"/>
  <c r="P406" i="31"/>
  <c r="X407" i="31"/>
  <c r="N406" i="31"/>
  <c r="W407" i="31"/>
  <c r="L406" i="31"/>
  <c r="P407" i="31"/>
  <c r="W436" i="31"/>
  <c r="F437" i="31"/>
  <c r="H436" i="31"/>
  <c r="L438" i="31"/>
  <c r="J437" i="31"/>
  <c r="N436" i="31"/>
  <c r="P438" i="31"/>
  <c r="T437" i="31"/>
  <c r="F436" i="31"/>
  <c r="N437" i="31"/>
  <c r="X438" i="31"/>
  <c r="L437" i="31"/>
  <c r="W438" i="31"/>
  <c r="X436" i="31"/>
  <c r="AC460" i="31"/>
  <c r="T462" i="31"/>
  <c r="R461" i="31"/>
  <c r="W460" i="31"/>
  <c r="F461" i="31"/>
  <c r="J462" i="31"/>
  <c r="X462" i="31"/>
  <c r="X461" i="31"/>
  <c r="J461" i="31"/>
  <c r="P490" i="31"/>
  <c r="W491" i="31"/>
  <c r="H491" i="31"/>
  <c r="N492" i="31"/>
  <c r="J490" i="31"/>
  <c r="F490" i="31"/>
  <c r="X492" i="31"/>
  <c r="X491" i="31"/>
  <c r="N521" i="31"/>
  <c r="T522" i="31"/>
  <c r="W520" i="31"/>
  <c r="H522" i="31"/>
  <c r="L520" i="31"/>
  <c r="J520" i="31"/>
  <c r="H520" i="31"/>
  <c r="P522" i="31"/>
  <c r="J546" i="31"/>
  <c r="P544" i="31"/>
  <c r="R545" i="31"/>
  <c r="X546" i="31"/>
  <c r="H545" i="31"/>
  <c r="F545" i="31"/>
  <c r="T544" i="31"/>
  <c r="AC574" i="31"/>
  <c r="F575" i="31"/>
  <c r="L576" i="31"/>
  <c r="R574" i="31"/>
  <c r="T575" i="31"/>
  <c r="F576" i="31"/>
  <c r="W575" i="31"/>
  <c r="L575" i="31"/>
  <c r="W598" i="31"/>
  <c r="F598" i="31"/>
  <c r="L599" i="31"/>
  <c r="P598" i="31"/>
  <c r="P600" i="31"/>
  <c r="N598" i="31"/>
  <c r="W600" i="31"/>
  <c r="H600" i="31"/>
  <c r="H629" i="31"/>
  <c r="J629" i="31"/>
  <c r="L630" i="31"/>
  <c r="T628" i="31"/>
  <c r="W628" i="31"/>
  <c r="F629" i="31"/>
  <c r="L628" i="31"/>
  <c r="T630" i="31"/>
  <c r="J660" i="31"/>
  <c r="R658" i="31"/>
  <c r="T659" i="31"/>
  <c r="W659" i="31"/>
  <c r="X659" i="31"/>
  <c r="P659" i="31"/>
  <c r="W658" i="31"/>
  <c r="AC682" i="31"/>
  <c r="X683" i="31"/>
  <c r="H684" i="31"/>
  <c r="H682" i="31"/>
  <c r="P683" i="31"/>
  <c r="N684" i="31"/>
  <c r="L684" i="31"/>
  <c r="R683" i="31"/>
  <c r="T712" i="31"/>
  <c r="L713" i="31"/>
  <c r="L712" i="31"/>
  <c r="J712" i="31"/>
  <c r="H712" i="31"/>
  <c r="F712" i="31"/>
  <c r="N714" i="31"/>
  <c r="L714" i="31"/>
  <c r="N738" i="31"/>
  <c r="N737" i="31"/>
  <c r="T738" i="31"/>
  <c r="X737" i="31"/>
  <c r="J736" i="31"/>
  <c r="H737" i="31"/>
  <c r="N736" i="31"/>
  <c r="W738" i="31"/>
  <c r="F766" i="31"/>
  <c r="F767" i="31"/>
  <c r="N768" i="31"/>
  <c r="T766" i="31"/>
  <c r="L767" i="31"/>
  <c r="J767" i="31"/>
  <c r="H767" i="31"/>
  <c r="AC796" i="31"/>
  <c r="R796" i="31"/>
  <c r="X797" i="31"/>
  <c r="F796" i="31"/>
  <c r="L797" i="31"/>
  <c r="R797" i="31"/>
  <c r="P797" i="31"/>
  <c r="T797" i="31"/>
  <c r="H821" i="31"/>
  <c r="F822" i="31"/>
  <c r="P822" i="31"/>
  <c r="T821" i="31"/>
  <c r="X822" i="31"/>
  <c r="N820" i="31"/>
  <c r="W822" i="31"/>
  <c r="H822" i="31"/>
  <c r="T851" i="31"/>
  <c r="W850" i="31"/>
  <c r="L850" i="31"/>
  <c r="H852" i="31"/>
  <c r="N850" i="31"/>
  <c r="T850" i="31"/>
  <c r="F850" i="31"/>
  <c r="N852" i="31"/>
  <c r="L876" i="31"/>
  <c r="H875" i="31"/>
  <c r="X876" i="31"/>
  <c r="R874" i="31"/>
  <c r="J875" i="31"/>
  <c r="P875" i="31"/>
  <c r="W874" i="31"/>
  <c r="AC904" i="31"/>
  <c r="H904" i="31"/>
  <c r="F904" i="31"/>
  <c r="J906" i="31"/>
  <c r="N905" i="31"/>
  <c r="W905" i="31"/>
  <c r="P905" i="31"/>
  <c r="R935" i="31"/>
  <c r="X934" i="31"/>
  <c r="J934" i="31"/>
  <c r="X935" i="31"/>
  <c r="R958" i="31"/>
  <c r="F959" i="31"/>
  <c r="X958" i="31"/>
  <c r="R960" i="31"/>
  <c r="N966" i="31"/>
  <c r="F968" i="31"/>
  <c r="L967" i="31"/>
  <c r="W60" i="31"/>
  <c r="F62" i="31"/>
  <c r="L61" i="31"/>
  <c r="W84" i="31"/>
  <c r="H86" i="31"/>
  <c r="P84" i="31"/>
  <c r="F84" i="31"/>
  <c r="L115" i="31"/>
  <c r="N114" i="31"/>
  <c r="F114" i="31"/>
  <c r="L116" i="31"/>
  <c r="T138" i="31"/>
  <c r="L138" i="31"/>
  <c r="P138" i="31"/>
  <c r="J138" i="31"/>
  <c r="T169" i="31"/>
  <c r="F170" i="31"/>
  <c r="X170" i="31"/>
  <c r="X198" i="31"/>
  <c r="T198" i="31"/>
  <c r="H222" i="31"/>
  <c r="J252" i="31"/>
  <c r="H277" i="31"/>
  <c r="X307" i="31"/>
  <c r="F336" i="31"/>
  <c r="N360" i="31"/>
  <c r="X390" i="31"/>
  <c r="H446" i="31"/>
  <c r="L500" i="31"/>
  <c r="E99" i="27"/>
  <c r="X91" i="27"/>
  <c r="R913" i="31"/>
  <c r="J912" i="31"/>
  <c r="L912" i="31"/>
  <c r="J889" i="31"/>
  <c r="W888" i="31"/>
  <c r="J890" i="31"/>
  <c r="W858" i="31"/>
  <c r="P860" i="31"/>
  <c r="J859" i="31"/>
  <c r="X859" i="31"/>
  <c r="H828" i="31"/>
  <c r="F828" i="31"/>
  <c r="P828" i="31"/>
  <c r="R806" i="31"/>
  <c r="N804" i="31"/>
  <c r="L804" i="31"/>
  <c r="P804" i="31"/>
  <c r="W775" i="31"/>
  <c r="H776" i="31"/>
  <c r="P775" i="31"/>
  <c r="F751" i="31"/>
  <c r="W750" i="31"/>
  <c r="P750" i="31"/>
  <c r="H721" i="31"/>
  <c r="T722" i="31"/>
  <c r="P722" i="31"/>
  <c r="W722" i="31"/>
  <c r="L690" i="31"/>
  <c r="F690" i="31"/>
  <c r="P690" i="31"/>
  <c r="J668" i="31"/>
  <c r="X667" i="31"/>
  <c r="H666" i="31"/>
  <c r="N667" i="31"/>
  <c r="N637" i="31"/>
  <c r="T637" i="31"/>
  <c r="J638" i="31"/>
  <c r="W637" i="31"/>
  <c r="H638" i="31"/>
  <c r="R636" i="31"/>
  <c r="P614" i="31"/>
  <c r="W612" i="31"/>
  <c r="H614" i="31"/>
  <c r="N612" i="31"/>
  <c r="R612" i="31"/>
  <c r="J613" i="31"/>
  <c r="T614" i="31"/>
  <c r="J584" i="31"/>
  <c r="P584" i="31"/>
  <c r="N584" i="31"/>
  <c r="N583" i="31"/>
  <c r="R584" i="31"/>
  <c r="J582" i="31"/>
  <c r="F584" i="31"/>
  <c r="T553" i="31"/>
  <c r="H554" i="31"/>
  <c r="F553" i="31"/>
  <c r="N552" i="31"/>
  <c r="N554" i="31"/>
  <c r="AC552" i="31"/>
  <c r="W553" i="31"/>
  <c r="H529" i="31"/>
  <c r="L529" i="31"/>
  <c r="J530" i="31"/>
  <c r="W528" i="31"/>
  <c r="AC528" i="31"/>
  <c r="L528" i="31"/>
  <c r="R529" i="31"/>
  <c r="X528" i="31"/>
  <c r="H499" i="31"/>
  <c r="P500" i="31"/>
  <c r="P498" i="31"/>
  <c r="F499" i="31"/>
  <c r="R500" i="31"/>
  <c r="J499" i="31"/>
  <c r="W500" i="31"/>
  <c r="T498" i="31"/>
  <c r="P499" i="31"/>
  <c r="N500" i="31"/>
  <c r="J498" i="31"/>
  <c r="L499" i="31"/>
  <c r="H500" i="31"/>
  <c r="F498" i="31"/>
  <c r="W498" i="31"/>
  <c r="W499" i="31"/>
  <c r="X499" i="31"/>
  <c r="R499" i="31"/>
  <c r="R498" i="31"/>
  <c r="J500" i="31"/>
  <c r="X498" i="31"/>
  <c r="AC498" i="31"/>
  <c r="W476" i="31"/>
  <c r="R475" i="31"/>
  <c r="N474" i="31"/>
  <c r="L476" i="31"/>
  <c r="H475" i="31"/>
  <c r="H476" i="31"/>
  <c r="L474" i="31"/>
  <c r="J475" i="31"/>
  <c r="W475" i="31"/>
  <c r="F474" i="31"/>
  <c r="P475" i="31"/>
  <c r="N475" i="31"/>
  <c r="T474" i="31"/>
  <c r="H474" i="31"/>
  <c r="X475" i="31"/>
  <c r="AC474" i="31"/>
  <c r="F475" i="31"/>
  <c r="T475" i="31"/>
  <c r="L475" i="31"/>
  <c r="R476" i="31"/>
  <c r="P476" i="31"/>
  <c r="R474" i="31"/>
  <c r="T476" i="31"/>
  <c r="L446" i="31"/>
  <c r="H445" i="31"/>
  <c r="W446" i="31"/>
  <c r="N445" i="31"/>
  <c r="F444" i="31"/>
  <c r="P445" i="31"/>
  <c r="H444" i="31"/>
  <c r="W445" i="31"/>
  <c r="R446" i="31"/>
  <c r="N444" i="31"/>
  <c r="L445" i="31"/>
  <c r="N446" i="31"/>
  <c r="J444" i="31"/>
  <c r="F445" i="31"/>
  <c r="X444" i="31"/>
  <c r="X446" i="31"/>
  <c r="P444" i="31"/>
  <c r="T444" i="31"/>
  <c r="W444" i="31"/>
  <c r="R444" i="31"/>
  <c r="P446" i="31"/>
  <c r="J445" i="31"/>
  <c r="X445" i="31"/>
  <c r="X416" i="31"/>
  <c r="T415" i="31"/>
  <c r="P414" i="31"/>
  <c r="X415" i="31"/>
  <c r="N414" i="31"/>
  <c r="F416" i="31"/>
  <c r="R414" i="31"/>
  <c r="P415" i="31"/>
  <c r="N416" i="31"/>
  <c r="J414" i="31"/>
  <c r="F415" i="31"/>
  <c r="H416" i="31"/>
  <c r="F414" i="31"/>
  <c r="W414" i="31"/>
  <c r="R415" i="31"/>
  <c r="AC414" i="31"/>
  <c r="L416" i="31"/>
  <c r="R416" i="31"/>
  <c r="T416" i="31"/>
  <c r="P416" i="31"/>
  <c r="N415" i="31"/>
  <c r="H414" i="31"/>
  <c r="W415" i="31"/>
  <c r="T414" i="31"/>
  <c r="L392" i="31"/>
  <c r="H391" i="31"/>
  <c r="N392" i="31"/>
  <c r="T391" i="31"/>
  <c r="R391" i="31"/>
  <c r="J390" i="31"/>
  <c r="W391" i="31"/>
  <c r="L390" i="31"/>
  <c r="L391" i="31"/>
  <c r="H392" i="31"/>
  <c r="F390" i="31"/>
  <c r="W390" i="31"/>
  <c r="X391" i="31"/>
  <c r="T392" i="31"/>
  <c r="R390" i="31"/>
  <c r="N391" i="31"/>
  <c r="AC390" i="31"/>
  <c r="F362" i="31"/>
  <c r="W360" i="31"/>
  <c r="P362" i="31"/>
  <c r="H361" i="31"/>
  <c r="T362" i="31"/>
  <c r="J361" i="31"/>
  <c r="X362" i="31"/>
  <c r="T360" i="31"/>
  <c r="R361" i="31"/>
  <c r="N362" i="31"/>
  <c r="L360" i="31"/>
  <c r="L361" i="31"/>
  <c r="J362" i="31"/>
  <c r="F360" i="31"/>
  <c r="X360" i="31"/>
  <c r="X338" i="31"/>
  <c r="T337" i="31"/>
  <c r="P336" i="31"/>
  <c r="H338" i="31"/>
  <c r="T336" i="31"/>
  <c r="T338" i="31"/>
  <c r="F337" i="31"/>
  <c r="R338" i="31"/>
  <c r="X336" i="31"/>
  <c r="N338" i="31"/>
  <c r="R336" i="31"/>
  <c r="L337" i="31"/>
  <c r="F338" i="31"/>
  <c r="L336" i="31"/>
  <c r="R337" i="31"/>
  <c r="AC336" i="31"/>
  <c r="L308" i="31"/>
  <c r="H307" i="31"/>
  <c r="T308" i="31"/>
  <c r="L307" i="31"/>
  <c r="R308" i="31"/>
  <c r="J307" i="31"/>
  <c r="N308" i="31"/>
  <c r="X306" i="31"/>
  <c r="H308" i="31"/>
  <c r="T306" i="31"/>
  <c r="W307" i="31"/>
  <c r="P307" i="31"/>
  <c r="W306" i="31"/>
  <c r="L306" i="31"/>
  <c r="J306" i="31"/>
  <c r="W278" i="31"/>
  <c r="R277" i="31"/>
  <c r="N276" i="31"/>
  <c r="T277" i="31"/>
  <c r="J276" i="31"/>
  <c r="W277" i="31"/>
  <c r="L276" i="31"/>
  <c r="N277" i="31"/>
  <c r="L278" i="31"/>
  <c r="H276" i="31"/>
  <c r="J277" i="31"/>
  <c r="F278" i="31"/>
  <c r="X278" i="31"/>
  <c r="T276" i="31"/>
  <c r="P277" i="31"/>
  <c r="AC276" i="31"/>
  <c r="J254" i="31"/>
  <c r="F253" i="31"/>
  <c r="L254" i="31"/>
  <c r="W252" i="31"/>
  <c r="N254" i="31"/>
  <c r="X252" i="31"/>
  <c r="T254" i="31"/>
  <c r="R252" i="31"/>
  <c r="N253" i="31"/>
  <c r="P254" i="31"/>
  <c r="L252" i="31"/>
  <c r="J253" i="31"/>
  <c r="F254" i="31"/>
  <c r="X254" i="31"/>
  <c r="T252" i="31"/>
  <c r="W224" i="31"/>
  <c r="R223" i="31"/>
  <c r="N222" i="31"/>
  <c r="H224" i="31"/>
  <c r="T222" i="31"/>
  <c r="L224" i="31"/>
  <c r="W222" i="31"/>
  <c r="X223" i="31"/>
  <c r="T224" i="31"/>
  <c r="R222" i="31"/>
  <c r="T223" i="31"/>
  <c r="P224" i="31"/>
  <c r="L222" i="31"/>
  <c r="J223" i="31"/>
  <c r="F224" i="31"/>
  <c r="AC222" i="31"/>
  <c r="J200" i="31"/>
  <c r="F199" i="31"/>
  <c r="X200" i="31"/>
  <c r="N199" i="31"/>
  <c r="F198" i="31"/>
  <c r="F200" i="31"/>
  <c r="R198" i="31"/>
  <c r="X199" i="31"/>
  <c r="P198" i="31"/>
  <c r="W199" i="31"/>
  <c r="L198" i="31"/>
  <c r="T199" i="31"/>
  <c r="J198" i="31"/>
  <c r="P199" i="31"/>
  <c r="H198" i="31"/>
  <c r="P170" i="31"/>
  <c r="L169" i="31"/>
  <c r="H168" i="31"/>
  <c r="R169" i="31"/>
  <c r="J168" i="31"/>
  <c r="J170" i="31"/>
  <c r="W168" i="31"/>
  <c r="AC774" i="31"/>
  <c r="R890" i="31"/>
  <c r="T12" i="31"/>
  <c r="AC10" i="31"/>
  <c r="P10" i="31"/>
  <c r="R12" i="31"/>
  <c r="W24" i="31"/>
  <c r="H23" i="31"/>
  <c r="J32" i="31"/>
  <c r="W30" i="31"/>
  <c r="H10" i="27"/>
  <c r="F170" i="27"/>
  <c r="M174" i="27" s="1"/>
  <c r="H176" i="27"/>
  <c r="C99" i="27"/>
  <c r="H89" i="27"/>
  <c r="E103" i="27"/>
  <c r="V88" i="27"/>
  <c r="AC92" i="27" s="1"/>
  <c r="S60" i="27"/>
  <c r="G59" i="27"/>
  <c r="D54" i="27"/>
  <c r="M50" i="27" s="1"/>
  <c r="AL49" i="27"/>
  <c r="AT52" i="27" s="1"/>
  <c r="W908" i="31"/>
  <c r="T908" i="31"/>
  <c r="L910" i="31"/>
  <c r="R909" i="31"/>
  <c r="P909" i="31"/>
  <c r="N910" i="31"/>
  <c r="F909" i="31"/>
  <c r="H884" i="31"/>
  <c r="X884" i="31"/>
  <c r="F885" i="31"/>
  <c r="J885" i="31"/>
  <c r="W884" i="31"/>
  <c r="L884" i="31"/>
  <c r="W886" i="31"/>
  <c r="X856" i="31"/>
  <c r="F854" i="31"/>
  <c r="N855" i="31"/>
  <c r="R854" i="31"/>
  <c r="P854" i="31"/>
  <c r="P855" i="31"/>
  <c r="H856" i="31"/>
  <c r="H826" i="31"/>
  <c r="X825" i="31"/>
  <c r="L825" i="31"/>
  <c r="AC824" i="31"/>
  <c r="W826" i="31"/>
  <c r="N826" i="31"/>
  <c r="N800" i="31"/>
  <c r="X802" i="31"/>
  <c r="H800" i="31"/>
  <c r="L802" i="31"/>
  <c r="W800" i="31"/>
  <c r="T772" i="31"/>
  <c r="H770" i="31"/>
  <c r="R772" i="31"/>
  <c r="F770" i="31"/>
  <c r="J770" i="31"/>
  <c r="X771" i="31"/>
  <c r="H748" i="31"/>
  <c r="P747" i="31"/>
  <c r="W747" i="31"/>
  <c r="F746" i="31"/>
  <c r="R747" i="31"/>
  <c r="N746" i="31"/>
  <c r="T717" i="31"/>
  <c r="P718" i="31"/>
  <c r="J716" i="31"/>
  <c r="F718" i="31"/>
  <c r="R717" i="31"/>
  <c r="AC716" i="31"/>
  <c r="X686" i="31"/>
  <c r="X687" i="31"/>
  <c r="L688" i="31"/>
  <c r="F686" i="31"/>
  <c r="J687" i="31"/>
  <c r="N662" i="31"/>
  <c r="W662" i="31"/>
  <c r="F664" i="31"/>
  <c r="N664" i="31"/>
  <c r="W664" i="31"/>
  <c r="X662" i="31"/>
  <c r="T634" i="31"/>
  <c r="J634" i="31"/>
  <c r="W633" i="31"/>
  <c r="R632" i="31"/>
  <c r="F634" i="31"/>
  <c r="X633" i="31"/>
  <c r="H610" i="31"/>
  <c r="N610" i="31"/>
  <c r="T609" i="31"/>
  <c r="AC608" i="31"/>
  <c r="N609" i="31"/>
  <c r="J609" i="31"/>
  <c r="X578" i="31"/>
  <c r="W578" i="31"/>
  <c r="N579" i="31"/>
  <c r="R578" i="31"/>
  <c r="T580" i="31"/>
  <c r="N550" i="31"/>
  <c r="W548" i="31"/>
  <c r="F550" i="31"/>
  <c r="R550" i="31"/>
  <c r="F548" i="31"/>
  <c r="T548" i="31"/>
  <c r="W525" i="31"/>
  <c r="X526" i="31"/>
  <c r="L526" i="31"/>
  <c r="T525" i="31"/>
  <c r="W526" i="31"/>
  <c r="F525" i="31"/>
  <c r="J495" i="31"/>
  <c r="H496" i="31"/>
  <c r="L494" i="31"/>
  <c r="X494" i="31"/>
  <c r="F496" i="31"/>
  <c r="J496" i="31"/>
  <c r="H471" i="31"/>
  <c r="R471" i="31"/>
  <c r="F472" i="31"/>
  <c r="L471" i="31"/>
  <c r="J471" i="31"/>
  <c r="W472" i="31"/>
  <c r="H440" i="31"/>
  <c r="N440" i="31"/>
  <c r="N441" i="31"/>
  <c r="F442" i="31"/>
  <c r="L440" i="31"/>
  <c r="F440" i="31"/>
  <c r="X412" i="31"/>
  <c r="J410" i="31"/>
  <c r="H411" i="31"/>
  <c r="P410" i="31"/>
  <c r="F410" i="31"/>
  <c r="W411" i="31"/>
  <c r="F388" i="31"/>
  <c r="H387" i="31"/>
  <c r="F386" i="31"/>
  <c r="T387" i="31"/>
  <c r="R388" i="31"/>
  <c r="N386" i="31"/>
  <c r="P387" i="31"/>
  <c r="AC386" i="31"/>
  <c r="H388" i="31"/>
  <c r="X386" i="31"/>
  <c r="R387" i="31"/>
  <c r="L386" i="31"/>
  <c r="H358" i="31"/>
  <c r="X356" i="31"/>
  <c r="W358" i="31"/>
  <c r="P357" i="31"/>
  <c r="F358" i="31"/>
  <c r="R356" i="31"/>
  <c r="J358" i="31"/>
  <c r="T356" i="31"/>
  <c r="R358" i="31"/>
  <c r="P356" i="31"/>
  <c r="R357" i="31"/>
  <c r="N358" i="31"/>
  <c r="J356" i="31"/>
  <c r="H357" i="31"/>
  <c r="X357" i="31"/>
  <c r="W357" i="31"/>
  <c r="AC356" i="31"/>
  <c r="X333" i="31"/>
  <c r="N334" i="31"/>
  <c r="F333" i="31"/>
  <c r="R334" i="31"/>
  <c r="W332" i="31"/>
  <c r="L334" i="31"/>
  <c r="T332" i="31"/>
  <c r="X334" i="31"/>
  <c r="J333" i="31"/>
  <c r="W334" i="31"/>
  <c r="H333" i="31"/>
  <c r="T334" i="31"/>
  <c r="X332" i="31"/>
  <c r="N333" i="31"/>
  <c r="J334" i="31"/>
  <c r="P304" i="31"/>
  <c r="L303" i="31"/>
  <c r="H302" i="31"/>
  <c r="R303" i="31"/>
  <c r="J302" i="31"/>
  <c r="J304" i="31"/>
  <c r="W302" i="31"/>
  <c r="N304" i="31"/>
  <c r="F303" i="31"/>
  <c r="W303" i="31"/>
  <c r="W304" i="31"/>
  <c r="T304" i="31"/>
  <c r="R304" i="31"/>
  <c r="H304" i="31"/>
  <c r="F304" i="31"/>
  <c r="AC302" i="31"/>
  <c r="L274" i="31"/>
  <c r="H273" i="31"/>
  <c r="R274" i="31"/>
  <c r="J273" i="31"/>
  <c r="T274" i="31"/>
  <c r="L273" i="31"/>
  <c r="N274" i="31"/>
  <c r="J272" i="31"/>
  <c r="F273" i="31"/>
  <c r="H274" i="31"/>
  <c r="F272" i="31"/>
  <c r="W272" i="31"/>
  <c r="R273" i="31"/>
  <c r="P274" i="31"/>
  <c r="L272" i="31"/>
  <c r="X250" i="31"/>
  <c r="T249" i="31"/>
  <c r="P248" i="31"/>
  <c r="W249" i="31"/>
  <c r="L248" i="31"/>
  <c r="X249" i="31"/>
  <c r="N248" i="31"/>
  <c r="P249" i="31"/>
  <c r="N250" i="31"/>
  <c r="J248" i="31"/>
  <c r="L249" i="31"/>
  <c r="H250" i="31"/>
  <c r="F248" i="31"/>
  <c r="W248" i="31"/>
  <c r="R249" i="31"/>
  <c r="AC248" i="31"/>
  <c r="L220" i="31"/>
  <c r="H219" i="31"/>
  <c r="N220" i="31"/>
  <c r="X218" i="31"/>
  <c r="P220" i="31"/>
  <c r="F219" i="31"/>
  <c r="W220" i="31"/>
  <c r="T218" i="31"/>
  <c r="P219" i="31"/>
  <c r="R220" i="31"/>
  <c r="N218" i="31"/>
  <c r="L219" i="31"/>
  <c r="H220" i="31"/>
  <c r="F218" i="31"/>
  <c r="W218" i="31"/>
  <c r="X196" i="31"/>
  <c r="T195" i="31"/>
  <c r="P194" i="31"/>
  <c r="R195" i="31"/>
  <c r="J194" i="31"/>
  <c r="P195" i="31"/>
  <c r="H194" i="31"/>
  <c r="H196" i="31"/>
  <c r="T194" i="31"/>
  <c r="T196" i="31"/>
  <c r="L195" i="31"/>
  <c r="R196" i="31"/>
  <c r="J195" i="31"/>
  <c r="P196" i="31"/>
  <c r="F195" i="31"/>
  <c r="AC194" i="31"/>
  <c r="H166" i="31"/>
  <c r="X164" i="31"/>
  <c r="R166" i="31"/>
  <c r="J165" i="31"/>
  <c r="P166" i="31"/>
  <c r="H165" i="31"/>
  <c r="N166" i="31"/>
  <c r="F165" i="31"/>
  <c r="L166" i="31"/>
  <c r="W164" i="31"/>
  <c r="X166" i="31"/>
  <c r="N165" i="31"/>
  <c r="F164" i="31"/>
  <c r="F166" i="31"/>
  <c r="R164" i="31"/>
  <c r="N136" i="31"/>
  <c r="J135" i="31"/>
  <c r="F134" i="31"/>
  <c r="X135" i="31"/>
  <c r="N134" i="31"/>
  <c r="T135" i="31"/>
  <c r="L134" i="31"/>
  <c r="R135" i="31"/>
  <c r="J134" i="31"/>
  <c r="L27" i="31"/>
  <c r="T26" i="31"/>
  <c r="AO26" i="31"/>
  <c r="H26" i="31"/>
  <c r="J34" i="31"/>
  <c r="C34" i="31"/>
  <c r="W35" i="31"/>
  <c r="AC42" i="31"/>
  <c r="N42" i="31"/>
  <c r="R15" i="31"/>
  <c r="AO14" i="31"/>
  <c r="N18" i="30"/>
  <c r="O7" i="30"/>
  <c r="U5" i="30" s="1"/>
  <c r="G103" i="27"/>
  <c r="Y102" i="27"/>
  <c r="S102" i="27"/>
  <c r="C58" i="27"/>
  <c r="T54" i="27"/>
  <c r="AC50" i="27" s="1"/>
  <c r="U64" i="27"/>
  <c r="AN49" i="27"/>
  <c r="P943" i="31"/>
  <c r="F944" i="31"/>
  <c r="L943" i="31"/>
  <c r="R942" i="31"/>
  <c r="J944" i="31"/>
  <c r="F942" i="31"/>
  <c r="X913" i="31"/>
  <c r="T912" i="31"/>
  <c r="N913" i="31"/>
  <c r="J913" i="31"/>
  <c r="P912" i="31"/>
  <c r="N914" i="31"/>
  <c r="T914" i="31"/>
  <c r="W913" i="31"/>
  <c r="R914" i="31"/>
  <c r="L914" i="31"/>
  <c r="H914" i="31"/>
  <c r="H913" i="31"/>
  <c r="N890" i="31"/>
  <c r="F888" i="31"/>
  <c r="T888" i="31"/>
  <c r="N888" i="31"/>
  <c r="W890" i="31"/>
  <c r="F889" i="31"/>
  <c r="T890" i="31"/>
  <c r="L890" i="31"/>
  <c r="X889" i="31"/>
  <c r="F890" i="31"/>
  <c r="P889" i="31"/>
  <c r="AC888" i="31"/>
  <c r="F860" i="31"/>
  <c r="T860" i="31"/>
  <c r="L858" i="31"/>
  <c r="N860" i="31"/>
  <c r="H859" i="31"/>
  <c r="P858" i="31"/>
  <c r="W860" i="31"/>
  <c r="T859" i="31"/>
  <c r="P859" i="31"/>
  <c r="H858" i="31"/>
  <c r="X860" i="31"/>
  <c r="L829" i="31"/>
  <c r="F830" i="31"/>
  <c r="L830" i="31"/>
  <c r="F829" i="31"/>
  <c r="J830" i="31"/>
  <c r="R828" i="31"/>
  <c r="L828" i="31"/>
  <c r="AC828" i="31"/>
  <c r="P830" i="31"/>
  <c r="W828" i="31"/>
  <c r="W829" i="31"/>
  <c r="N828" i="31"/>
  <c r="T804" i="31"/>
  <c r="N805" i="31"/>
  <c r="H806" i="31"/>
  <c r="J805" i="31"/>
  <c r="N806" i="31"/>
  <c r="T805" i="31"/>
  <c r="R804" i="31"/>
  <c r="X805" i="31"/>
  <c r="J804" i="31"/>
  <c r="J806" i="31"/>
  <c r="X804" i="31"/>
  <c r="X776" i="31"/>
  <c r="P774" i="31"/>
  <c r="L774" i="31"/>
  <c r="N774" i="31"/>
  <c r="N776" i="31"/>
  <c r="L775" i="31"/>
  <c r="F774" i="31"/>
  <c r="R775" i="31"/>
  <c r="T775" i="31"/>
  <c r="X775" i="31"/>
  <c r="J774" i="31"/>
  <c r="W774" i="31"/>
  <c r="X751" i="31"/>
  <c r="N752" i="31"/>
  <c r="R752" i="31"/>
  <c r="T752" i="31"/>
  <c r="N751" i="31"/>
  <c r="X752" i="31"/>
  <c r="R751" i="31"/>
  <c r="F750" i="31"/>
  <c r="T750" i="31"/>
  <c r="H751" i="31"/>
  <c r="H752" i="31"/>
  <c r="J752" i="31"/>
  <c r="R721" i="31"/>
  <c r="L722" i="31"/>
  <c r="F722" i="31"/>
  <c r="L721" i="31"/>
  <c r="N722" i="31"/>
  <c r="W721" i="31"/>
  <c r="H720" i="31"/>
  <c r="AC720" i="31"/>
  <c r="N720" i="31"/>
  <c r="J720" i="31"/>
  <c r="X721" i="31"/>
  <c r="N721" i="31"/>
  <c r="W690" i="31"/>
  <c r="P691" i="31"/>
  <c r="R691" i="31"/>
  <c r="T690" i="31"/>
  <c r="N690" i="31"/>
  <c r="W692" i="31"/>
  <c r="H691" i="31"/>
  <c r="T692" i="31"/>
  <c r="P692" i="31"/>
  <c r="L691" i="31"/>
  <c r="F691" i="31"/>
  <c r="R668" i="31"/>
  <c r="J666" i="31"/>
  <c r="X666" i="31"/>
  <c r="N666" i="31"/>
  <c r="X668" i="31"/>
  <c r="R667" i="31"/>
  <c r="N668" i="31"/>
  <c r="W667" i="31"/>
  <c r="H668" i="31"/>
  <c r="L667" i="31"/>
  <c r="P668" i="31"/>
  <c r="AC666" i="31"/>
  <c r="X637" i="31"/>
  <c r="H636" i="31"/>
  <c r="F638" i="31"/>
  <c r="W636" i="31"/>
  <c r="W638" i="31"/>
  <c r="F637" i="31"/>
  <c r="T638" i="31"/>
  <c r="X636" i="31"/>
  <c r="R637" i="31"/>
  <c r="L638" i="31"/>
  <c r="P636" i="31"/>
  <c r="J637" i="31"/>
  <c r="X638" i="31"/>
  <c r="H637" i="31"/>
  <c r="AC636" i="31"/>
  <c r="R638" i="31"/>
  <c r="J636" i="31"/>
  <c r="F636" i="31"/>
  <c r="N638" i="31"/>
  <c r="P637" i="31"/>
  <c r="N636" i="31"/>
  <c r="L636" i="31"/>
  <c r="X613" i="31"/>
  <c r="T612" i="31"/>
  <c r="R614" i="31"/>
  <c r="N613" i="31"/>
  <c r="J612" i="31"/>
  <c r="R613" i="31"/>
  <c r="L614" i="31"/>
  <c r="X614" i="31"/>
  <c r="H613" i="31"/>
  <c r="W614" i="31"/>
  <c r="T613" i="31"/>
  <c r="P612" i="31"/>
  <c r="J614" i="31"/>
  <c r="W613" i="31"/>
  <c r="F613" i="31"/>
  <c r="L613" i="31"/>
  <c r="F614" i="31"/>
  <c r="N614" i="31"/>
  <c r="P613" i="31"/>
  <c r="L612" i="31"/>
  <c r="X612" i="31"/>
  <c r="F612" i="31"/>
  <c r="AC612" i="31"/>
  <c r="W584" i="31"/>
  <c r="R583" i="31"/>
  <c r="X584" i="31"/>
  <c r="T583" i="31"/>
  <c r="P582" i="31"/>
  <c r="P583" i="31"/>
  <c r="F582" i="31"/>
  <c r="W583" i="31"/>
  <c r="H582" i="31"/>
  <c r="J583" i="31"/>
  <c r="X582" i="31"/>
  <c r="R582" i="31"/>
  <c r="N582" i="31"/>
  <c r="L582" i="31"/>
  <c r="L583" i="31"/>
  <c r="AC582" i="31"/>
  <c r="F583" i="31"/>
  <c r="H583" i="31"/>
  <c r="T582" i="31"/>
  <c r="W582" i="31"/>
  <c r="H584" i="31"/>
  <c r="X583" i="31"/>
  <c r="T584" i="31"/>
  <c r="L554" i="31"/>
  <c r="H553" i="31"/>
  <c r="T554" i="31"/>
  <c r="L553" i="31"/>
  <c r="W554" i="31"/>
  <c r="N553" i="31"/>
  <c r="F552" i="31"/>
  <c r="J553" i="31"/>
  <c r="J554" i="31"/>
  <c r="H552" i="31"/>
  <c r="X552" i="31"/>
  <c r="W552" i="31"/>
  <c r="R553" i="31"/>
  <c r="P554" i="31"/>
  <c r="L552" i="31"/>
  <c r="X554" i="31"/>
  <c r="P552" i="31"/>
  <c r="R552" i="31"/>
  <c r="T552" i="31"/>
  <c r="J552" i="31"/>
  <c r="X553" i="31"/>
  <c r="R554" i="31"/>
  <c r="P553" i="31"/>
  <c r="X530" i="31"/>
  <c r="T529" i="31"/>
  <c r="P528" i="31"/>
  <c r="X529" i="31"/>
  <c r="N528" i="31"/>
  <c r="F530" i="31"/>
  <c r="R528" i="31"/>
  <c r="P529" i="31"/>
  <c r="N530" i="31"/>
  <c r="J528" i="31"/>
  <c r="F529" i="31"/>
  <c r="H530" i="31"/>
  <c r="F528" i="31"/>
  <c r="L530" i="31"/>
  <c r="R530" i="31"/>
  <c r="T530" i="31"/>
  <c r="P530" i="31"/>
  <c r="N529" i="31"/>
  <c r="H528" i="31"/>
  <c r="W529" i="31"/>
  <c r="W530" i="31"/>
  <c r="T528" i="31"/>
  <c r="X500" i="31"/>
  <c r="T499" i="31"/>
  <c r="L18" i="31"/>
  <c r="T18" i="31"/>
  <c r="X19" i="31"/>
  <c r="T19" i="31"/>
  <c r="H18" i="31"/>
  <c r="W19" i="31"/>
  <c r="AO18" i="31"/>
  <c r="D18" i="31"/>
  <c r="F27" i="31"/>
  <c r="T27" i="31"/>
  <c r="J26" i="31"/>
  <c r="F26" i="31"/>
  <c r="P36" i="31"/>
  <c r="L34" i="31"/>
  <c r="R36" i="31"/>
  <c r="N34" i="31"/>
  <c r="H34" i="31"/>
  <c r="P35" i="31"/>
  <c r="N43" i="31"/>
  <c r="X44" i="31"/>
  <c r="F42" i="31"/>
  <c r="L43" i="31"/>
  <c r="H44" i="31"/>
  <c r="N44" i="31"/>
  <c r="D42" i="31"/>
  <c r="H15" i="31"/>
  <c r="W15" i="31"/>
  <c r="P15" i="31"/>
  <c r="T16" i="31"/>
  <c r="X15" i="31"/>
  <c r="H16" i="31"/>
  <c r="D14" i="31"/>
  <c r="D12" i="30"/>
  <c r="E18" i="30"/>
  <c r="M11" i="35"/>
  <c r="BK405" i="4"/>
  <c r="F93" i="27"/>
  <c r="O93" i="27" s="1"/>
  <c r="H95" i="27"/>
  <c r="D90" i="27"/>
  <c r="O88" i="27" s="1"/>
  <c r="C104" i="27"/>
  <c r="T89" i="27"/>
  <c r="AD88" i="27" s="1"/>
  <c r="V95" i="27"/>
  <c r="AD94" i="27" s="1"/>
  <c r="V92" i="27"/>
  <c r="AD93" i="27" s="1"/>
  <c r="W58" i="27"/>
  <c r="E59" i="27"/>
  <c r="F50" i="27"/>
  <c r="O52" i="27" s="1"/>
  <c r="AI62" i="27"/>
  <c r="F133" i="27"/>
  <c r="N134" i="27" s="1"/>
  <c r="E145" i="27"/>
  <c r="W99" i="27"/>
  <c r="D51" i="27"/>
  <c r="M49" i="27" s="1"/>
  <c r="T944" i="31"/>
  <c r="L942" i="31"/>
  <c r="F943" i="31"/>
  <c r="J942" i="31"/>
  <c r="H942" i="31"/>
  <c r="T943" i="31"/>
  <c r="N944" i="31"/>
  <c r="W942" i="31"/>
  <c r="T22" i="31"/>
  <c r="R23" i="31"/>
  <c r="T31" i="31"/>
  <c r="W32" i="31"/>
  <c r="D95" i="27"/>
  <c r="N90" i="27" s="1"/>
  <c r="H91" i="27"/>
  <c r="E98" i="27"/>
  <c r="C103" i="27"/>
  <c r="E104" i="27"/>
  <c r="H93" i="27"/>
  <c r="H94" i="27"/>
  <c r="T88" i="27"/>
  <c r="AC88" i="27" s="1"/>
  <c r="W102" i="27"/>
  <c r="X93" i="27"/>
  <c r="T92" i="27"/>
  <c r="AD89" i="27" s="1"/>
  <c r="T95" i="27"/>
  <c r="AD90" i="27" s="1"/>
  <c r="U98" i="27"/>
  <c r="X48" i="27"/>
  <c r="T52" i="27"/>
  <c r="AD49" i="27" s="1"/>
  <c r="D55" i="27"/>
  <c r="N50" i="27" s="1"/>
  <c r="AK64" i="27"/>
  <c r="S58" i="27"/>
  <c r="F55" i="27"/>
  <c r="N54" i="27" s="1"/>
  <c r="F48" i="27"/>
  <c r="M52" i="27" s="1"/>
  <c r="AM59" i="27"/>
  <c r="AN54" i="27"/>
  <c r="AJ54" i="27"/>
  <c r="AS50" i="27" s="1"/>
  <c r="C63" i="27"/>
  <c r="F52" i="27"/>
  <c r="N53" i="27" s="1"/>
  <c r="H132" i="27"/>
  <c r="H131" i="27"/>
  <c r="F916" i="31"/>
  <c r="J916" i="31"/>
  <c r="R910" i="31"/>
  <c r="N909" i="31"/>
  <c r="J908" i="31"/>
  <c r="H910" i="31"/>
  <c r="X908" i="31"/>
  <c r="T909" i="31"/>
  <c r="F908" i="31"/>
  <c r="W909" i="31"/>
  <c r="H908" i="31"/>
  <c r="P908" i="31"/>
  <c r="R908" i="31"/>
  <c r="N908" i="31"/>
  <c r="H909" i="31"/>
  <c r="X910" i="31"/>
  <c r="L909" i="31"/>
  <c r="AC908" i="31"/>
  <c r="F910" i="31"/>
  <c r="T910" i="31"/>
  <c r="P910" i="31"/>
  <c r="W910" i="31"/>
  <c r="X909" i="31"/>
  <c r="J910" i="31"/>
  <c r="L908" i="31"/>
  <c r="J909" i="31"/>
  <c r="N894" i="31"/>
  <c r="W892" i="31"/>
  <c r="L894" i="31"/>
  <c r="X885" i="31"/>
  <c r="T884" i="31"/>
  <c r="R886" i="31"/>
  <c r="N885" i="31"/>
  <c r="J884" i="31"/>
  <c r="T885" i="31"/>
  <c r="X886" i="31"/>
  <c r="R884" i="31"/>
  <c r="R885" i="31"/>
  <c r="H886" i="31"/>
  <c r="N886" i="31"/>
  <c r="L886" i="31"/>
  <c r="J886" i="31"/>
  <c r="P885" i="31"/>
  <c r="H885" i="31"/>
  <c r="L885" i="31"/>
  <c r="F886" i="31"/>
  <c r="T886" i="31"/>
  <c r="W885" i="31"/>
  <c r="P884" i="31"/>
  <c r="N884" i="31"/>
  <c r="F884" i="31"/>
  <c r="AC884" i="31"/>
  <c r="X863" i="31"/>
  <c r="J862" i="31"/>
  <c r="J863" i="31"/>
  <c r="W856" i="31"/>
  <c r="R855" i="31"/>
  <c r="N854" i="31"/>
  <c r="L856" i="31"/>
  <c r="H855" i="31"/>
  <c r="R856" i="31"/>
  <c r="W854" i="31"/>
  <c r="N856" i="31"/>
  <c r="J854" i="31"/>
  <c r="J855" i="31"/>
  <c r="P856" i="31"/>
  <c r="L854" i="31"/>
  <c r="X855" i="31"/>
  <c r="X854" i="31"/>
  <c r="T856" i="31"/>
  <c r="AC854" i="31"/>
  <c r="F855" i="31"/>
  <c r="T855" i="31"/>
  <c r="W855" i="31"/>
  <c r="L855" i="31"/>
  <c r="H854" i="31"/>
  <c r="F856" i="31"/>
  <c r="T854" i="31"/>
  <c r="L839" i="31"/>
  <c r="N839" i="31"/>
  <c r="R838" i="31"/>
  <c r="F826" i="31"/>
  <c r="W824" i="31"/>
  <c r="T826" i="31"/>
  <c r="P825" i="31"/>
  <c r="L824" i="31"/>
  <c r="W825" i="31"/>
  <c r="F824" i="31"/>
  <c r="T824" i="31"/>
  <c r="T825" i="31"/>
  <c r="J826" i="31"/>
  <c r="R825" i="31"/>
  <c r="J825" i="31"/>
  <c r="P824" i="31"/>
  <c r="N824" i="31"/>
  <c r="H824" i="31"/>
  <c r="R826" i="31"/>
  <c r="J824" i="31"/>
  <c r="X824" i="31"/>
  <c r="F825" i="31"/>
  <c r="X826" i="31"/>
  <c r="H825" i="31"/>
  <c r="P826" i="31"/>
  <c r="L826" i="31"/>
  <c r="N810" i="31"/>
  <c r="P809" i="31"/>
  <c r="R802" i="31"/>
  <c r="T802" i="31"/>
  <c r="N802" i="31"/>
  <c r="F801" i="31"/>
  <c r="J802" i="31"/>
  <c r="R800" i="31"/>
  <c r="N801" i="31"/>
  <c r="F800" i="31"/>
  <c r="P801" i="31"/>
  <c r="W802" i="31"/>
  <c r="J800" i="31"/>
  <c r="H801" i="31"/>
  <c r="X801" i="31"/>
  <c r="W801" i="31"/>
  <c r="T801" i="31"/>
  <c r="AC800" i="31"/>
  <c r="F802" i="31"/>
  <c r="R801" i="31"/>
  <c r="L801" i="31"/>
  <c r="T800" i="31"/>
  <c r="L800" i="31"/>
  <c r="P802" i="31"/>
  <c r="X800" i="31"/>
  <c r="P800" i="31"/>
  <c r="X779" i="31"/>
  <c r="F778" i="31"/>
  <c r="T780" i="31"/>
  <c r="H772" i="31"/>
  <c r="X770" i="31"/>
  <c r="L772" i="31"/>
  <c r="W770" i="31"/>
  <c r="N772" i="31"/>
  <c r="F771" i="31"/>
  <c r="W772" i="31"/>
  <c r="R770" i="31"/>
  <c r="N771" i="31"/>
  <c r="P772" i="31"/>
  <c r="N770" i="31"/>
  <c r="J771" i="31"/>
  <c r="F772" i="31"/>
  <c r="X772" i="31"/>
  <c r="T770" i="31"/>
  <c r="P771" i="31"/>
  <c r="R771" i="31"/>
  <c r="T771" i="31"/>
  <c r="W771" i="31"/>
  <c r="P770" i="31"/>
  <c r="J772" i="31"/>
  <c r="H771" i="31"/>
  <c r="AC770" i="31"/>
  <c r="T755" i="31"/>
  <c r="F755" i="31"/>
  <c r="H756" i="31"/>
  <c r="T748" i="31"/>
  <c r="W748" i="31"/>
  <c r="N747" i="31"/>
  <c r="J746" i="31"/>
  <c r="J748" i="31"/>
  <c r="X746" i="31"/>
  <c r="P748" i="31"/>
  <c r="R746" i="31"/>
  <c r="L747" i="31"/>
  <c r="F747" i="31"/>
  <c r="T747" i="31"/>
  <c r="L748" i="31"/>
  <c r="X747" i="31"/>
  <c r="J747" i="31"/>
  <c r="P746" i="31"/>
  <c r="AC746" i="31"/>
  <c r="F748" i="31"/>
  <c r="X748" i="31"/>
  <c r="L746" i="31"/>
  <c r="N748" i="31"/>
  <c r="R748" i="31"/>
  <c r="H746" i="31"/>
  <c r="H747" i="31"/>
  <c r="X724" i="31"/>
  <c r="X726" i="31"/>
  <c r="R725" i="31"/>
  <c r="L718" i="31"/>
  <c r="H717" i="31"/>
  <c r="N718" i="31"/>
  <c r="J717" i="31"/>
  <c r="F716" i="31"/>
  <c r="P717" i="31"/>
  <c r="R718" i="31"/>
  <c r="W716" i="31"/>
  <c r="N717" i="31"/>
  <c r="T718" i="31"/>
  <c r="H716" i="31"/>
  <c r="F717" i="31"/>
  <c r="X716" i="31"/>
  <c r="N716" i="31"/>
  <c r="L716" i="31"/>
  <c r="X718" i="31"/>
  <c r="P716" i="31"/>
  <c r="R716" i="31"/>
  <c r="T716" i="31"/>
  <c r="W718" i="31"/>
  <c r="L717" i="31"/>
  <c r="H718" i="31"/>
  <c r="X717" i="31"/>
  <c r="H700" i="31"/>
  <c r="L702" i="31"/>
  <c r="T688" i="31"/>
  <c r="P687" i="31"/>
  <c r="L686" i="31"/>
  <c r="J688" i="31"/>
  <c r="F687" i="31"/>
  <c r="X688" i="31"/>
  <c r="H687" i="31"/>
  <c r="F688" i="31"/>
  <c r="J686" i="31"/>
  <c r="W686" i="31"/>
  <c r="T686" i="31"/>
  <c r="R686" i="31"/>
  <c r="P686" i="31"/>
  <c r="N687" i="31"/>
  <c r="P688" i="31"/>
  <c r="AC686" i="31"/>
  <c r="H688" i="31"/>
  <c r="W688" i="31"/>
  <c r="N686" i="31"/>
  <c r="H686" i="31"/>
  <c r="N688" i="31"/>
  <c r="W687" i="31"/>
  <c r="R688" i="31"/>
  <c r="L687" i="31"/>
  <c r="R672" i="31"/>
  <c r="R671" i="31"/>
  <c r="J670" i="31"/>
  <c r="J664" i="31"/>
  <c r="F663" i="31"/>
  <c r="X664" i="31"/>
  <c r="T663" i="31"/>
  <c r="P662" i="31"/>
  <c r="W663" i="31"/>
  <c r="F662" i="31"/>
  <c r="X663" i="31"/>
  <c r="H662" i="31"/>
  <c r="T662" i="31"/>
  <c r="R662" i="31"/>
  <c r="L662" i="31"/>
  <c r="J662" i="31"/>
  <c r="L663" i="31"/>
  <c r="J663" i="31"/>
  <c r="R663" i="31"/>
  <c r="L664" i="31"/>
  <c r="R664" i="31"/>
  <c r="T664" i="31"/>
  <c r="H664" i="31"/>
  <c r="P663" i="31"/>
  <c r="P664" i="31"/>
  <c r="AC662" i="31"/>
  <c r="X641" i="31"/>
  <c r="X640" i="31"/>
  <c r="L642" i="31"/>
  <c r="R634" i="31"/>
  <c r="N633" i="31"/>
  <c r="J632" i="31"/>
  <c r="H634" i="31"/>
  <c r="X632" i="31"/>
  <c r="L634" i="31"/>
  <c r="P632" i="31"/>
  <c r="J633" i="31"/>
  <c r="X634" i="31"/>
  <c r="H633" i="31"/>
  <c r="W634" i="31"/>
  <c r="F633" i="31"/>
  <c r="P634" i="31"/>
  <c r="T632" i="31"/>
  <c r="R633" i="31"/>
  <c r="AC632" i="31"/>
  <c r="W632" i="31"/>
  <c r="P633" i="31"/>
  <c r="L633" i="31"/>
  <c r="N632" i="31"/>
  <c r="H632" i="31"/>
  <c r="F632" i="31"/>
  <c r="N634" i="31"/>
  <c r="L617" i="31"/>
  <c r="X616" i="31"/>
  <c r="H618" i="31"/>
  <c r="F610" i="31"/>
  <c r="W608" i="31"/>
  <c r="T610" i="31"/>
  <c r="P609" i="31"/>
  <c r="L608" i="31"/>
  <c r="X609" i="31"/>
  <c r="H608" i="31"/>
  <c r="R609" i="31"/>
  <c r="J610" i="31"/>
  <c r="N608" i="31"/>
  <c r="F608" i="31"/>
  <c r="L609" i="31"/>
  <c r="F609" i="31"/>
  <c r="T608" i="31"/>
  <c r="P608" i="31"/>
  <c r="R610" i="31"/>
  <c r="J608" i="31"/>
  <c r="X608" i="31"/>
  <c r="H609" i="31"/>
  <c r="R608" i="31"/>
  <c r="R611" i="31" s="1"/>
  <c r="W609" i="31"/>
  <c r="W610" i="31"/>
  <c r="L610" i="31"/>
  <c r="T588" i="31"/>
  <c r="N588" i="31"/>
  <c r="N580" i="31"/>
  <c r="J579" i="31"/>
  <c r="F578" i="31"/>
  <c r="R579" i="31"/>
  <c r="J578" i="31"/>
  <c r="T579" i="31"/>
  <c r="L578" i="31"/>
  <c r="F580" i="31"/>
  <c r="W580" i="31"/>
  <c r="T578" i="31"/>
  <c r="P579" i="31"/>
  <c r="R580" i="31"/>
  <c r="N578" i="31"/>
  <c r="L579" i="31"/>
  <c r="H580" i="31"/>
  <c r="AC578" i="31"/>
  <c r="W579" i="31"/>
  <c r="L580" i="31"/>
  <c r="P580" i="31"/>
  <c r="X580" i="31"/>
  <c r="X579" i="31"/>
  <c r="P578" i="31"/>
  <c r="J580" i="31"/>
  <c r="H579" i="31"/>
  <c r="J564" i="31"/>
  <c r="R562" i="31"/>
  <c r="N564" i="31"/>
  <c r="W549" i="31"/>
  <c r="R548" i="31"/>
  <c r="X550" i="31"/>
  <c r="P549" i="31"/>
  <c r="H548" i="31"/>
  <c r="R549" i="31"/>
  <c r="J548" i="31"/>
  <c r="H549" i="31"/>
  <c r="F549" i="31"/>
  <c r="X549" i="31"/>
  <c r="T550" i="31"/>
  <c r="P548" i="31"/>
  <c r="N549" i="31"/>
  <c r="P550" i="31"/>
  <c r="L548" i="31"/>
  <c r="J549" i="31"/>
  <c r="J550" i="31"/>
  <c r="L550" i="31"/>
  <c r="H550" i="31"/>
  <c r="W550" i="31"/>
  <c r="T549" i="31"/>
  <c r="N548" i="31"/>
  <c r="AC548" i="31"/>
  <c r="R533" i="31"/>
  <c r="AC532" i="31"/>
  <c r="P533" i="31"/>
  <c r="N526" i="31"/>
  <c r="J525" i="31"/>
  <c r="F524" i="31"/>
  <c r="H526" i="31"/>
  <c r="T524" i="31"/>
  <c r="J526" i="31"/>
  <c r="W524" i="31"/>
  <c r="P526" i="31"/>
  <c r="L524" i="31"/>
  <c r="H525" i="31"/>
  <c r="F526" i="31"/>
  <c r="X525" i="31"/>
  <c r="T526" i="31"/>
  <c r="P524" i="31"/>
  <c r="R525" i="31"/>
  <c r="AC524" i="31"/>
  <c r="R524" i="31"/>
  <c r="N525" i="31"/>
  <c r="P525" i="31"/>
  <c r="L525" i="31"/>
  <c r="J524" i="31"/>
  <c r="X524" i="31"/>
  <c r="R526" i="31"/>
  <c r="F503" i="31"/>
  <c r="T502" i="31"/>
  <c r="W495" i="31"/>
  <c r="R494" i="31"/>
  <c r="T496" i="31"/>
  <c r="L495" i="31"/>
  <c r="W496" i="31"/>
  <c r="N495" i="31"/>
  <c r="R496" i="31"/>
  <c r="N494" i="31"/>
  <c r="P495" i="31"/>
  <c r="L496" i="31"/>
  <c r="J494" i="31"/>
  <c r="F495" i="31"/>
  <c r="X495" i="31"/>
  <c r="X496" i="31"/>
  <c r="W494" i="31"/>
  <c r="N496" i="31"/>
  <c r="F494" i="31"/>
  <c r="P494" i="31"/>
  <c r="T494" i="31"/>
  <c r="P496" i="31"/>
  <c r="H495" i="31"/>
  <c r="H494" i="31"/>
  <c r="T495" i="31"/>
  <c r="L478" i="31"/>
  <c r="T480" i="31"/>
  <c r="R478" i="31"/>
  <c r="X472" i="31"/>
  <c r="T471" i="31"/>
  <c r="P470" i="31"/>
  <c r="W471" i="31"/>
  <c r="R470" i="31"/>
  <c r="R472" i="31"/>
  <c r="W470" i="31"/>
  <c r="X471" i="31"/>
  <c r="H470" i="31"/>
  <c r="T470" i="31"/>
  <c r="N470" i="31"/>
  <c r="L470" i="31"/>
  <c r="N471" i="31"/>
  <c r="P472" i="31"/>
  <c r="J472" i="31"/>
  <c r="AC470" i="31"/>
  <c r="L472" i="31"/>
  <c r="N472" i="31"/>
  <c r="F470" i="31"/>
  <c r="T472" i="31"/>
  <c r="H472" i="31"/>
  <c r="P471" i="31"/>
  <c r="J470" i="31"/>
  <c r="F471" i="31"/>
  <c r="H450" i="31"/>
  <c r="T449" i="31"/>
  <c r="AC448" i="31"/>
  <c r="J450" i="31"/>
  <c r="W449" i="31"/>
  <c r="X441" i="31"/>
  <c r="T440" i="31"/>
  <c r="N442" i="31"/>
  <c r="F441" i="31"/>
  <c r="R442" i="31"/>
  <c r="H441" i="31"/>
  <c r="W442" i="31"/>
  <c r="R440" i="31"/>
  <c r="P441" i="31"/>
  <c r="L442" i="31"/>
  <c r="J440" i="31"/>
  <c r="J441" i="31"/>
  <c r="H442" i="31"/>
  <c r="X442" i="31"/>
  <c r="W440" i="31"/>
  <c r="L441" i="31"/>
  <c r="T441" i="31"/>
  <c r="W441" i="31"/>
  <c r="R441" i="31"/>
  <c r="P440" i="31"/>
  <c r="J442" i="31"/>
  <c r="X440" i="31"/>
  <c r="AC440" i="31"/>
  <c r="T426" i="31"/>
  <c r="P424" i="31"/>
  <c r="W424" i="31"/>
  <c r="P412" i="31"/>
  <c r="L411" i="31"/>
  <c r="H410" i="31"/>
  <c r="J412" i="31"/>
  <c r="W410" i="31"/>
  <c r="L412" i="31"/>
  <c r="X410" i="31"/>
  <c r="R412" i="31"/>
  <c r="N410" i="31"/>
  <c r="J411" i="31"/>
  <c r="H412" i="31"/>
  <c r="F412" i="31"/>
  <c r="W412" i="31"/>
  <c r="R410" i="31"/>
  <c r="T411" i="31"/>
  <c r="AC410" i="31"/>
  <c r="T410" i="31"/>
  <c r="P411" i="31"/>
  <c r="R411" i="31"/>
  <c r="N411" i="31"/>
  <c r="L410" i="31"/>
  <c r="F411" i="31"/>
  <c r="T412" i="31"/>
  <c r="H396" i="31"/>
  <c r="T396" i="31"/>
  <c r="J394" i="31"/>
  <c r="R394" i="31"/>
  <c r="R396" i="31"/>
  <c r="X387" i="31"/>
  <c r="T386" i="31"/>
  <c r="T388" i="31"/>
  <c r="J387" i="31"/>
  <c r="W388" i="31"/>
  <c r="N387" i="31"/>
  <c r="L388" i="31"/>
  <c r="P388" i="31"/>
  <c r="H386" i="31"/>
  <c r="P386" i="31"/>
  <c r="R386" i="31"/>
  <c r="J386" i="31"/>
  <c r="F387" i="31"/>
  <c r="W387" i="31"/>
  <c r="X388" i="31"/>
  <c r="P366" i="31"/>
  <c r="X365" i="31"/>
  <c r="W365" i="31"/>
  <c r="N366" i="31"/>
  <c r="H342" i="31"/>
  <c r="P341" i="31"/>
  <c r="F341" i="31"/>
  <c r="L341" i="31"/>
  <c r="L342" i="31"/>
  <c r="T312" i="31"/>
  <c r="X310" i="31"/>
  <c r="H311" i="31"/>
  <c r="W310" i="31"/>
  <c r="H288" i="31"/>
  <c r="L286" i="31"/>
  <c r="N288" i="31"/>
  <c r="W286" i="31"/>
  <c r="W287" i="31"/>
  <c r="T258" i="31"/>
  <c r="W258" i="31"/>
  <c r="N256" i="31"/>
  <c r="F256" i="31"/>
  <c r="H228" i="31"/>
  <c r="X227" i="31"/>
  <c r="R227" i="31"/>
  <c r="F227" i="31"/>
  <c r="T204" i="31"/>
  <c r="J203" i="31"/>
  <c r="N203" i="31"/>
  <c r="F203" i="31"/>
  <c r="L174" i="31"/>
  <c r="R172" i="31"/>
  <c r="H172" i="31"/>
  <c r="L172" i="31"/>
  <c r="W150" i="31"/>
  <c r="X150" i="31"/>
  <c r="L148" i="31"/>
  <c r="R148" i="31"/>
  <c r="J120" i="31"/>
  <c r="T119" i="31"/>
  <c r="H118" i="31"/>
  <c r="T120" i="31"/>
  <c r="W90" i="31"/>
  <c r="N89" i="31"/>
  <c r="P90" i="31"/>
  <c r="H88" i="31"/>
  <c r="F66" i="31"/>
  <c r="P64" i="31"/>
  <c r="N66" i="31"/>
  <c r="W66" i="31"/>
  <c r="BM14" i="4"/>
  <c r="BK406" i="4"/>
  <c r="X10" i="31"/>
  <c r="W10" i="31"/>
  <c r="P12" i="31"/>
  <c r="H12" i="31"/>
  <c r="L12" i="31"/>
  <c r="D10" i="31"/>
  <c r="X23" i="31"/>
  <c r="J23" i="31"/>
  <c r="F23" i="31"/>
  <c r="J24" i="31"/>
  <c r="F32" i="31"/>
  <c r="P31" i="31"/>
  <c r="R30" i="31"/>
  <c r="X31" i="31"/>
  <c r="C30" i="31"/>
  <c r="L40" i="31"/>
  <c r="N40" i="31"/>
  <c r="T46" i="31"/>
  <c r="N48" i="31"/>
  <c r="AO46" i="31"/>
  <c r="B13" i="35"/>
  <c r="C11" i="35"/>
  <c r="E10" i="35"/>
  <c r="E64" i="27"/>
  <c r="F54" i="27"/>
  <c r="H54" i="27"/>
  <c r="D48" i="27"/>
  <c r="M48" i="27" s="1"/>
  <c r="F49" i="27"/>
  <c r="N52" i="27" s="1"/>
  <c r="F51" i="27"/>
  <c r="M53" i="27" s="1"/>
  <c r="E63" i="27"/>
  <c r="E60" i="27"/>
  <c r="C64" i="27"/>
  <c r="C60" i="27"/>
  <c r="G62" i="27"/>
  <c r="G58" i="27"/>
  <c r="G63" i="27"/>
  <c r="E58" i="27"/>
  <c r="F53" i="27"/>
  <c r="O53" i="27" s="1"/>
  <c r="H51" i="27"/>
  <c r="H48" i="27"/>
  <c r="H50" i="27"/>
  <c r="G60" i="27"/>
  <c r="D52" i="27"/>
  <c r="N49" i="27" s="1"/>
  <c r="H55" i="27"/>
  <c r="C62" i="27"/>
  <c r="H53" i="27"/>
  <c r="I62" i="27"/>
  <c r="C59" i="27"/>
  <c r="E62" i="27"/>
  <c r="H52" i="27"/>
  <c r="H49" i="27"/>
  <c r="G64" i="27"/>
  <c r="D53" i="27"/>
  <c r="W60" i="27"/>
  <c r="V55" i="27"/>
  <c r="AD54" i="27" s="1"/>
  <c r="T49" i="27"/>
  <c r="X49" i="27"/>
  <c r="U60" i="27"/>
  <c r="X50" i="27"/>
  <c r="Y62" i="27"/>
  <c r="U59" i="27"/>
  <c r="X53" i="27"/>
  <c r="T51" i="27"/>
  <c r="AC49" i="27" s="1"/>
  <c r="S59" i="27"/>
  <c r="T55" i="27"/>
  <c r="AD50" i="27" s="1"/>
  <c r="V49" i="27"/>
  <c r="AD52" i="27" s="1"/>
  <c r="W63" i="27"/>
  <c r="U58" i="27"/>
  <c r="V53" i="27"/>
  <c r="AE53" i="27" s="1"/>
  <c r="X51" i="27"/>
  <c r="V51" i="27"/>
  <c r="AC53" i="27" s="1"/>
  <c r="X55" i="27"/>
  <c r="V50" i="27"/>
  <c r="AE52" i="27" s="1"/>
  <c r="T48" i="27"/>
  <c r="AC48" i="27" s="1"/>
  <c r="S64" i="27"/>
  <c r="V54" i="27"/>
  <c r="AC54" i="27" s="1"/>
  <c r="W62" i="27"/>
  <c r="T50" i="27"/>
  <c r="AE48" i="27" s="1"/>
  <c r="U62" i="27"/>
  <c r="X52" i="27"/>
  <c r="AO62" i="27"/>
  <c r="AI60" i="27"/>
  <c r="AJ51" i="27"/>
  <c r="AS49" i="27" s="1"/>
  <c r="AM63" i="27"/>
  <c r="AK58" i="27"/>
  <c r="AL53" i="27"/>
  <c r="AU53" i="27" s="1"/>
  <c r="AN51" i="27"/>
  <c r="AJ55" i="27"/>
  <c r="AM60" i="27"/>
  <c r="AN53" i="27"/>
  <c r="AL50" i="27"/>
  <c r="AU52" i="27" s="1"/>
  <c r="AN48" i="27"/>
  <c r="AK60" i="27"/>
  <c r="AN55" i="27"/>
  <c r="AL48" i="27"/>
  <c r="AS52" i="27" s="1"/>
  <c r="AL55" i="27"/>
  <c r="AT54" i="27" s="1"/>
  <c r="AN50" i="27"/>
  <c r="AK62" i="27"/>
  <c r="AN52" i="27"/>
  <c r="AK63" i="27"/>
  <c r="AL51" i="27"/>
  <c r="AS53" i="27" s="1"/>
  <c r="AI63" i="27"/>
  <c r="AL52" i="27"/>
  <c r="AT53" i="27" s="1"/>
  <c r="H88" i="27"/>
  <c r="C98" i="27"/>
  <c r="H90" i="27"/>
  <c r="D92" i="27"/>
  <c r="N89" i="27" s="1"/>
  <c r="D88" i="27"/>
  <c r="M88" i="27" s="1"/>
  <c r="D91" i="27"/>
  <c r="M89" i="27" s="1"/>
  <c r="C100" i="27"/>
  <c r="F92" i="27"/>
  <c r="N93" i="27" s="1"/>
  <c r="F95" i="27"/>
  <c r="N94" i="27" s="1"/>
  <c r="C102" i="27"/>
  <c r="F90" i="27"/>
  <c r="O92" i="27" s="1"/>
  <c r="G104" i="27"/>
  <c r="G100" i="27"/>
  <c r="E102" i="27"/>
  <c r="D94" i="27"/>
  <c r="M90" i="27" s="1"/>
  <c r="H92" i="27"/>
  <c r="E100" i="27"/>
  <c r="G98" i="27"/>
  <c r="F88" i="27"/>
  <c r="M92" i="27" s="1"/>
  <c r="X95" i="27"/>
  <c r="X94" i="27"/>
  <c r="W103" i="27"/>
  <c r="V93" i="27"/>
  <c r="AE93" i="27" s="1"/>
  <c r="U100" i="27"/>
  <c r="S104" i="27"/>
  <c r="T90" i="27"/>
  <c r="X89" i="27"/>
  <c r="U99" i="27"/>
  <c r="X90" i="27"/>
  <c r="X88" i="27"/>
  <c r="V90" i="27"/>
  <c r="AE92" i="27" s="1"/>
  <c r="S100" i="27"/>
  <c r="I143" i="27"/>
  <c r="G143" i="27"/>
  <c r="C141" i="27"/>
  <c r="D132" i="27"/>
  <c r="M130" i="27" s="1"/>
  <c r="E140" i="27"/>
  <c r="C140" i="27"/>
  <c r="F130" i="27"/>
  <c r="N133" i="27" s="1"/>
  <c r="C139" i="27"/>
  <c r="F129" i="27"/>
  <c r="M133" i="27" s="1"/>
  <c r="H135" i="27"/>
  <c r="G144" i="27"/>
  <c r="F134" i="27"/>
  <c r="O134" i="27" s="1"/>
  <c r="F136" i="27"/>
  <c r="N135" i="27" s="1"/>
  <c r="D133" i="27"/>
  <c r="N130" i="27" s="1"/>
  <c r="G140" i="27"/>
  <c r="E144" i="27"/>
  <c r="C144" i="27"/>
  <c r="E139" i="27"/>
  <c r="H20" i="31"/>
  <c r="X18" i="31"/>
  <c r="L20" i="31"/>
  <c r="W18" i="31"/>
  <c r="X20" i="31"/>
  <c r="N19" i="31"/>
  <c r="F18" i="31"/>
  <c r="W20" i="31"/>
  <c r="L19" i="31"/>
  <c r="R20" i="31"/>
  <c r="J19" i="31"/>
  <c r="P20" i="31"/>
  <c r="H19" i="31"/>
  <c r="N20" i="31"/>
  <c r="F19" i="31"/>
  <c r="W28" i="31"/>
  <c r="R27" i="31"/>
  <c r="N26" i="31"/>
  <c r="L28" i="31"/>
  <c r="H27" i="31"/>
  <c r="H28" i="31"/>
  <c r="L26" i="31"/>
  <c r="J27" i="31"/>
  <c r="T28" i="31"/>
  <c r="X26" i="31"/>
  <c r="R28" i="31"/>
  <c r="W26" i="31"/>
  <c r="AC26" i="31"/>
  <c r="P27" i="31"/>
  <c r="N28" i="31"/>
  <c r="R26" i="31"/>
  <c r="N36" i="31"/>
  <c r="J35" i="31"/>
  <c r="F34" i="31"/>
  <c r="X35" i="31"/>
  <c r="T34" i="31"/>
  <c r="X36" i="31"/>
  <c r="H35" i="31"/>
  <c r="W36" i="31"/>
  <c r="F35" i="31"/>
  <c r="T36" i="31"/>
  <c r="X34" i="31"/>
  <c r="R35" i="31"/>
  <c r="L36" i="31"/>
  <c r="P34" i="31"/>
  <c r="N35" i="31"/>
  <c r="AC34" i="31"/>
  <c r="F44" i="31"/>
  <c r="W42" i="31"/>
  <c r="T44" i="31"/>
  <c r="P43" i="31"/>
  <c r="L42" i="31"/>
  <c r="X43" i="31"/>
  <c r="H42" i="31"/>
  <c r="W44" i="31"/>
  <c r="F43" i="31"/>
  <c r="P44" i="31"/>
  <c r="T42" i="31"/>
  <c r="R43" i="31"/>
  <c r="L44" i="31"/>
  <c r="P42" i="31"/>
  <c r="J43" i="31"/>
  <c r="X16" i="31"/>
  <c r="T15" i="31"/>
  <c r="P14" i="31"/>
  <c r="R16" i="31"/>
  <c r="J15" i="31"/>
  <c r="P16" i="31"/>
  <c r="F15" i="31"/>
  <c r="N16" i="31"/>
  <c r="X14" i="31"/>
  <c r="J16" i="31"/>
  <c r="W14" i="31"/>
  <c r="W16" i="31"/>
  <c r="N15" i="31"/>
  <c r="F14" i="31"/>
  <c r="F16" i="31"/>
  <c r="R14" i="31"/>
  <c r="E14" i="30"/>
  <c r="F11" i="30"/>
  <c r="H12" i="30" s="1"/>
  <c r="F7" i="30"/>
  <c r="J10" i="30" s="1"/>
  <c r="D8" i="30"/>
  <c r="C19" i="30"/>
  <c r="D6" i="30"/>
  <c r="I5" i="30" s="1"/>
  <c r="E20" i="27"/>
  <c r="G21" i="27"/>
  <c r="F9" i="27"/>
  <c r="N10" i="27" s="1"/>
  <c r="D11" i="27"/>
  <c r="M7" i="27" s="1"/>
  <c r="BM13" i="4"/>
  <c r="BK407" i="4"/>
  <c r="P66" i="31"/>
  <c r="X66" i="31"/>
  <c r="X64" i="31"/>
  <c r="R66" i="31"/>
  <c r="W88" i="31"/>
  <c r="J89" i="31"/>
  <c r="L89" i="31"/>
  <c r="W118" i="31"/>
  <c r="R120" i="31"/>
  <c r="H120" i="31"/>
  <c r="W119" i="31"/>
  <c r="J148" i="31"/>
  <c r="P148" i="31"/>
  <c r="F148" i="31"/>
  <c r="L150" i="31"/>
  <c r="T172" i="31"/>
  <c r="J172" i="31"/>
  <c r="N172" i="31"/>
  <c r="P172" i="31"/>
  <c r="F204" i="31"/>
  <c r="W202" i="31"/>
  <c r="H203" i="31"/>
  <c r="X202" i="31"/>
  <c r="J226" i="31"/>
  <c r="X228" i="31"/>
  <c r="F228" i="31"/>
  <c r="P227" i="31"/>
  <c r="L258" i="31"/>
  <c r="T257" i="31"/>
  <c r="X258" i="31"/>
  <c r="H258" i="31"/>
  <c r="H287" i="31"/>
  <c r="P286" i="31"/>
  <c r="T286" i="31"/>
  <c r="T288" i="31"/>
  <c r="R312" i="31"/>
  <c r="L311" i="31"/>
  <c r="F311" i="31"/>
  <c r="AC340" i="31"/>
  <c r="F340" i="31"/>
  <c r="J341" i="31"/>
  <c r="W341" i="31"/>
  <c r="H365" i="31"/>
  <c r="P364" i="31"/>
  <c r="X366" i="31"/>
  <c r="L366" i="31"/>
  <c r="R395" i="31"/>
  <c r="X395" i="31"/>
  <c r="T394" i="31"/>
  <c r="L394" i="31"/>
  <c r="W426" i="31"/>
  <c r="J426" i="31"/>
  <c r="F425" i="31"/>
  <c r="X424" i="31"/>
  <c r="H448" i="31"/>
  <c r="F450" i="31"/>
  <c r="N450" i="31"/>
  <c r="P449" i="31"/>
  <c r="X479" i="31"/>
  <c r="F479" i="31"/>
  <c r="L503" i="31"/>
  <c r="W502" i="31"/>
  <c r="H534" i="31"/>
  <c r="T533" i="31"/>
  <c r="F562" i="31"/>
  <c r="P564" i="31"/>
  <c r="X588" i="31"/>
  <c r="L586" i="31"/>
  <c r="R617" i="31"/>
  <c r="R616" i="31"/>
  <c r="H641" i="31"/>
  <c r="J641" i="31"/>
  <c r="N672" i="31"/>
  <c r="X671" i="31"/>
  <c r="N700" i="31"/>
  <c r="P702" i="31"/>
  <c r="W724" i="31"/>
  <c r="AC754" i="31"/>
  <c r="R756" i="31"/>
  <c r="N778" i="31"/>
  <c r="N780" i="31"/>
  <c r="F810" i="31"/>
  <c r="W808" i="31"/>
  <c r="P838" i="31"/>
  <c r="F840" i="31"/>
  <c r="X864" i="31"/>
  <c r="R864" i="31"/>
  <c r="P894" i="31"/>
  <c r="F892" i="31"/>
  <c r="N917" i="31"/>
  <c r="T916" i="31"/>
  <c r="C42" i="31"/>
  <c r="D26" i="31"/>
  <c r="C14" i="31"/>
  <c r="C18" i="31"/>
  <c r="D34" i="31"/>
  <c r="AO34" i="31"/>
  <c r="AO42" i="31"/>
  <c r="N27" i="31"/>
  <c r="P28" i="31"/>
  <c r="W27" i="31"/>
  <c r="X27" i="31"/>
  <c r="F28" i="31"/>
  <c r="P26" i="31"/>
  <c r="X28" i="31"/>
  <c r="J28" i="31"/>
  <c r="L15" i="31"/>
  <c r="T14" i="31"/>
  <c r="H14" i="31"/>
  <c r="J14" i="31"/>
  <c r="L14" i="31"/>
  <c r="N14" i="31"/>
  <c r="AC14" i="31"/>
  <c r="L16" i="31"/>
  <c r="J44" i="31"/>
  <c r="R42" i="31"/>
  <c r="T43" i="31"/>
  <c r="W43" i="31"/>
  <c r="H43" i="31"/>
  <c r="X42" i="31"/>
  <c r="J42" i="31"/>
  <c r="R44" i="31"/>
  <c r="J36" i="31"/>
  <c r="W34" i="31"/>
  <c r="T35" i="31"/>
  <c r="F36" i="31"/>
  <c r="H36" i="31"/>
  <c r="L35" i="31"/>
  <c r="R34" i="31"/>
  <c r="J18" i="31"/>
  <c r="N18" i="31"/>
  <c r="P18" i="31"/>
  <c r="R18" i="31"/>
  <c r="AC18" i="31"/>
  <c r="J20" i="31"/>
  <c r="R19" i="31"/>
  <c r="P19" i="31"/>
  <c r="E19" i="30"/>
  <c r="F6" i="30"/>
  <c r="I10" i="30" s="1"/>
  <c r="D10" i="30"/>
  <c r="F5" i="30"/>
  <c r="H10" i="30" s="1"/>
  <c r="N48" i="27"/>
  <c r="AD9" i="27"/>
  <c r="I102" i="27"/>
  <c r="F91" i="27"/>
  <c r="D89" i="27"/>
  <c r="N88" i="27" s="1"/>
  <c r="G102" i="27"/>
  <c r="D93" i="27"/>
  <c r="F94" i="27"/>
  <c r="U103" i="27"/>
  <c r="S98" i="27"/>
  <c r="W104" i="27"/>
  <c r="W100" i="27"/>
  <c r="T93" i="27"/>
  <c r="V91" i="27"/>
  <c r="AC93" i="27" s="1"/>
  <c r="U102" i="27"/>
  <c r="T94" i="27"/>
  <c r="AC90" i="27" s="1"/>
  <c r="X92" i="27"/>
  <c r="U104" i="27"/>
  <c r="S99" i="27"/>
  <c r="T91" i="27"/>
  <c r="G99" i="27"/>
  <c r="H133" i="27"/>
  <c r="D135" i="27"/>
  <c r="E143" i="27"/>
  <c r="F132" i="27"/>
  <c r="D134" i="27"/>
  <c r="G141" i="27"/>
  <c r="G145" i="27"/>
  <c r="D130" i="27"/>
  <c r="H136" i="27"/>
  <c r="C143" i="27"/>
  <c r="H134" i="27"/>
  <c r="H129" i="27"/>
  <c r="E141" i="27"/>
  <c r="D131" i="27"/>
  <c r="H130" i="27"/>
  <c r="F131" i="27"/>
  <c r="G139" i="27"/>
  <c r="D129" i="27"/>
  <c r="C145" i="27"/>
  <c r="R183" i="31"/>
  <c r="H944" i="31"/>
  <c r="X942" i="31"/>
  <c r="W944" i="31"/>
  <c r="R943" i="31"/>
  <c r="N942" i="31"/>
  <c r="J943" i="31"/>
  <c r="X944" i="31"/>
  <c r="H943" i="31"/>
  <c r="L944" i="31"/>
  <c r="P942" i="31"/>
  <c r="W943" i="31"/>
  <c r="P944" i="31"/>
  <c r="R944" i="31"/>
  <c r="N943" i="31"/>
  <c r="T942" i="31"/>
  <c r="P914" i="31"/>
  <c r="L913" i="31"/>
  <c r="H912" i="31"/>
  <c r="F914" i="31"/>
  <c r="W912" i="31"/>
  <c r="J914" i="31"/>
  <c r="N912" i="31"/>
  <c r="P913" i="31"/>
  <c r="W914" i="31"/>
  <c r="F912" i="31"/>
  <c r="X912" i="31"/>
  <c r="R912" i="31"/>
  <c r="F913" i="31"/>
  <c r="X914" i="31"/>
  <c r="T913" i="31"/>
  <c r="AC912" i="31"/>
  <c r="W889" i="31"/>
  <c r="R888" i="31"/>
  <c r="P890" i="31"/>
  <c r="L889" i="31"/>
  <c r="H888" i="31"/>
  <c r="N889" i="31"/>
  <c r="X890" i="31"/>
  <c r="X888" i="31"/>
  <c r="T889" i="31"/>
  <c r="H890" i="31"/>
  <c r="R889" i="31"/>
  <c r="H889" i="31"/>
  <c r="P888" i="31"/>
  <c r="L888" i="31"/>
  <c r="J888" i="31"/>
  <c r="R860" i="31"/>
  <c r="N859" i="31"/>
  <c r="J858" i="31"/>
  <c r="H860" i="31"/>
  <c r="X858" i="31"/>
  <c r="J860" i="31"/>
  <c r="N858" i="31"/>
  <c r="L859" i="31"/>
  <c r="L860" i="31"/>
  <c r="F858" i="31"/>
  <c r="R859" i="31"/>
  <c r="F859" i="31"/>
  <c r="T858" i="31"/>
  <c r="R858" i="31"/>
  <c r="W859" i="31"/>
  <c r="AC858" i="31"/>
  <c r="X829" i="31"/>
  <c r="T828" i="31"/>
  <c r="R830" i="31"/>
  <c r="N829" i="31"/>
  <c r="J828" i="31"/>
  <c r="P829" i="31"/>
  <c r="H830" i="31"/>
  <c r="X830" i="31"/>
  <c r="X828" i="31"/>
  <c r="H829" i="31"/>
  <c r="W830" i="31"/>
  <c r="T830" i="31"/>
  <c r="N830" i="31"/>
  <c r="T829" i="31"/>
  <c r="J829" i="31"/>
  <c r="P806" i="31"/>
  <c r="L805" i="31"/>
  <c r="H804" i="31"/>
  <c r="F806" i="31"/>
  <c r="W804" i="31"/>
  <c r="X806" i="31"/>
  <c r="H805" i="31"/>
  <c r="L806" i="31"/>
  <c r="F804" i="31"/>
  <c r="F805" i="31"/>
  <c r="P805" i="31"/>
  <c r="W805" i="31"/>
  <c r="R805" i="31"/>
  <c r="W806" i="31"/>
  <c r="T806" i="31"/>
  <c r="AC804" i="31"/>
  <c r="L776" i="31"/>
  <c r="H775" i="31"/>
  <c r="P776" i="31"/>
  <c r="F775" i="31"/>
  <c r="R776" i="31"/>
  <c r="J775" i="31"/>
  <c r="T776" i="31"/>
  <c r="R774" i="31"/>
  <c r="N775" i="31"/>
  <c r="J776" i="31"/>
  <c r="H774" i="31"/>
  <c r="X774" i="31"/>
  <c r="F776" i="31"/>
  <c r="W776" i="31"/>
  <c r="T774" i="31"/>
  <c r="P752" i="31"/>
  <c r="L751" i="31"/>
  <c r="H750" i="31"/>
  <c r="T751" i="31"/>
  <c r="L750" i="31"/>
  <c r="W751" i="31"/>
  <c r="N750" i="31"/>
  <c r="P751" i="31"/>
  <c r="L752" i="31"/>
  <c r="J750" i="31"/>
  <c r="X750" i="31"/>
  <c r="F752" i="31"/>
  <c r="W752" i="31"/>
  <c r="R750" i="31"/>
  <c r="J751" i="31"/>
  <c r="AC750" i="31"/>
  <c r="J722" i="31"/>
  <c r="F721" i="31"/>
  <c r="X722" i="31"/>
  <c r="T721" i="31"/>
  <c r="P720" i="31"/>
  <c r="J721" i="31"/>
  <c r="H722" i="31"/>
  <c r="L720" i="31"/>
  <c r="X720" i="31"/>
  <c r="W720" i="31"/>
  <c r="T720" i="31"/>
  <c r="R720" i="31"/>
  <c r="P721" i="31"/>
  <c r="R722" i="31"/>
  <c r="F720" i="31"/>
  <c r="R692" i="31"/>
  <c r="N691" i="31"/>
  <c r="J690" i="31"/>
  <c r="H692" i="31"/>
  <c r="X690" i="31"/>
  <c r="N692" i="31"/>
  <c r="R690" i="31"/>
  <c r="T691" i="31"/>
  <c r="X691" i="31"/>
  <c r="W691" i="31"/>
  <c r="X692" i="31"/>
  <c r="H690" i="31"/>
  <c r="J691" i="31"/>
  <c r="L692" i="31"/>
  <c r="J692" i="31"/>
  <c r="AC690" i="31"/>
  <c r="F668" i="31"/>
  <c r="W666" i="31"/>
  <c r="T668" i="31"/>
  <c r="P667" i="31"/>
  <c r="L666" i="31"/>
  <c r="J667" i="31"/>
  <c r="L668" i="31"/>
  <c r="P666" i="31"/>
  <c r="T667" i="31"/>
  <c r="W668" i="31"/>
  <c r="F666" i="31"/>
  <c r="H667" i="31"/>
  <c r="F667" i="31"/>
  <c r="T666" i="31"/>
  <c r="R666" i="31"/>
  <c r="P638" i="31"/>
  <c r="L637" i="31"/>
  <c r="C46" i="31"/>
  <c r="D22" i="31"/>
  <c r="F10" i="31"/>
  <c r="AO38" i="31"/>
  <c r="J12" i="31"/>
  <c r="N12" i="31"/>
  <c r="R11" i="31"/>
  <c r="J11" i="31"/>
  <c r="H11" i="31"/>
  <c r="F31" i="31"/>
  <c r="H30" i="31"/>
  <c r="N30" i="31"/>
  <c r="L31" i="31"/>
  <c r="N32" i="31"/>
  <c r="L30" i="31"/>
  <c r="T32" i="31"/>
  <c r="N23" i="31"/>
  <c r="W22" i="31"/>
  <c r="J22" i="31"/>
  <c r="AC22" i="31"/>
  <c r="N24" i="31"/>
  <c r="R24" i="31"/>
  <c r="T24" i="31"/>
  <c r="X11" i="31"/>
  <c r="J38" i="31"/>
  <c r="J46" i="31"/>
  <c r="B17" i="30"/>
  <c r="C15" i="30"/>
  <c r="C14" i="30"/>
  <c r="F10" i="30"/>
  <c r="J11" i="30" s="1"/>
  <c r="D7" i="30"/>
  <c r="J5" i="30" s="1"/>
  <c r="F8" i="30"/>
  <c r="H11" i="30" s="1"/>
  <c r="F9" i="30"/>
  <c r="I11" i="30" s="1"/>
  <c r="D11" i="30"/>
  <c r="H7" i="30" s="1"/>
  <c r="F12" i="30"/>
  <c r="I12" i="30" s="1"/>
  <c r="D9" i="30"/>
  <c r="J6" i="30" s="1"/>
  <c r="E20" i="30"/>
  <c r="C20" i="30"/>
  <c r="C18" i="30"/>
  <c r="D5" i="30"/>
  <c r="H5" i="30" s="1"/>
  <c r="D7" i="27"/>
  <c r="D10" i="27"/>
  <c r="O6" i="27" s="1"/>
  <c r="F6" i="27"/>
  <c r="N9" i="27" s="1"/>
  <c r="F7" i="27"/>
  <c r="O9" i="27" s="1"/>
  <c r="C20" i="27"/>
  <c r="W12" i="31"/>
  <c r="X12" i="31"/>
  <c r="W11" i="31"/>
  <c r="T11" i="31"/>
  <c r="L10" i="31"/>
  <c r="F12" i="31"/>
  <c r="N10" i="31"/>
  <c r="T10" i="31"/>
  <c r="R10" i="31"/>
  <c r="P11" i="31"/>
  <c r="N11" i="31"/>
  <c r="L11" i="31"/>
  <c r="F11" i="31"/>
  <c r="J10" i="31"/>
  <c r="AO10" i="31"/>
  <c r="H10" i="31"/>
  <c r="C10" i="31"/>
  <c r="P24" i="31"/>
  <c r="L23" i="31"/>
  <c r="H22" i="31"/>
  <c r="F24" i="31"/>
  <c r="P22" i="31"/>
  <c r="W23" i="31"/>
  <c r="N22" i="31"/>
  <c r="T23" i="31"/>
  <c r="L22" i="31"/>
  <c r="L24" i="31"/>
  <c r="X22" i="31"/>
  <c r="X24" i="31"/>
  <c r="P23" i="31"/>
  <c r="F22" i="31"/>
  <c r="H24" i="31"/>
  <c r="R22" i="31"/>
  <c r="AO22" i="31"/>
  <c r="C22" i="31"/>
  <c r="R32" i="31"/>
  <c r="N31" i="31"/>
  <c r="J30" i="31"/>
  <c r="H32" i="31"/>
  <c r="X30" i="31"/>
  <c r="P32" i="31"/>
  <c r="T30" i="31"/>
  <c r="R31" i="31"/>
  <c r="L32" i="31"/>
  <c r="P30" i="31"/>
  <c r="J31" i="31"/>
  <c r="X32" i="31"/>
  <c r="H31" i="31"/>
  <c r="AC30" i="31"/>
  <c r="W31" i="31"/>
  <c r="F30" i="31"/>
  <c r="AO30" i="31"/>
  <c r="D30" i="31"/>
  <c r="W40" i="31"/>
  <c r="R39" i="31"/>
  <c r="AC38" i="31"/>
  <c r="L39" i="31"/>
  <c r="X38" i="31"/>
  <c r="W38" i="31"/>
  <c r="C38" i="31"/>
  <c r="J47" i="31"/>
  <c r="F46" i="31"/>
  <c r="P46" i="31"/>
  <c r="L46" i="31"/>
  <c r="R48" i="31"/>
  <c r="D46" i="31"/>
  <c r="E21" i="27"/>
  <c r="C19" i="27"/>
  <c r="C21" i="27"/>
  <c r="G15" i="27"/>
  <c r="C15" i="27"/>
  <c r="E16" i="27"/>
  <c r="H11" i="27"/>
  <c r="H7" i="27"/>
  <c r="H6" i="27"/>
  <c r="F8" i="27"/>
  <c r="M10" i="27" s="1"/>
  <c r="D9" i="27"/>
  <c r="N6" i="27" s="1"/>
  <c r="D8" i="27"/>
  <c r="M6" i="27" s="1"/>
  <c r="D5" i="27"/>
  <c r="M5" i="27" s="1"/>
  <c r="F176" i="27"/>
  <c r="M176" i="27" s="1"/>
  <c r="D176" i="27"/>
  <c r="M172" i="27" s="1"/>
  <c r="G186" i="27"/>
  <c r="C185" i="27"/>
  <c r="AE6" i="27"/>
  <c r="AD11" i="27"/>
  <c r="R64" i="31"/>
  <c r="T64" i="31"/>
  <c r="F65" i="31"/>
  <c r="H65" i="31"/>
  <c r="J65" i="31"/>
  <c r="L66" i="31"/>
  <c r="H66" i="31"/>
  <c r="N65" i="31"/>
  <c r="L88" i="31"/>
  <c r="T89" i="31"/>
  <c r="X88" i="31"/>
  <c r="L90" i="31"/>
  <c r="F88" i="31"/>
  <c r="X90" i="31"/>
  <c r="T90" i="31"/>
  <c r="J90" i="31"/>
  <c r="L120" i="31"/>
  <c r="J119" i="31"/>
  <c r="L119" i="31"/>
  <c r="T118" i="31"/>
  <c r="J118" i="31"/>
  <c r="L118" i="31"/>
  <c r="N118" i="31"/>
  <c r="W120" i="31"/>
  <c r="T149" i="31"/>
  <c r="W149" i="31"/>
  <c r="X149" i="31"/>
  <c r="F150" i="31"/>
  <c r="N149" i="31"/>
  <c r="W148" i="31"/>
  <c r="F149" i="31"/>
  <c r="AC172" i="31"/>
  <c r="H174" i="31"/>
  <c r="P173" i="31"/>
  <c r="R173" i="31"/>
  <c r="W173" i="31"/>
  <c r="X173" i="31"/>
  <c r="F174" i="31"/>
  <c r="T173" i="31"/>
  <c r="R202" i="31"/>
  <c r="F202" i="31"/>
  <c r="X204" i="31"/>
  <c r="L204" i="31"/>
  <c r="N204" i="31"/>
  <c r="P204" i="31"/>
  <c r="R204" i="31"/>
  <c r="H204" i="31"/>
  <c r="H227" i="31"/>
  <c r="N228" i="31"/>
  <c r="T226" i="31"/>
  <c r="W227" i="31"/>
  <c r="R226" i="31"/>
  <c r="P226" i="31"/>
  <c r="L226" i="31"/>
  <c r="T228" i="31"/>
  <c r="H256" i="31"/>
  <c r="J257" i="31"/>
  <c r="P258" i="31"/>
  <c r="W256" i="31"/>
  <c r="N257" i="31"/>
  <c r="L257" i="31"/>
  <c r="X256" i="31"/>
  <c r="AC286" i="31"/>
  <c r="F287" i="31"/>
  <c r="J286" i="31"/>
  <c r="L287" i="31"/>
  <c r="R288" i="31"/>
  <c r="L288" i="31"/>
  <c r="J288" i="31"/>
  <c r="P287" i="31"/>
  <c r="J311" i="31"/>
  <c r="J312" i="31"/>
  <c r="X312" i="31"/>
  <c r="P312" i="31"/>
  <c r="W312" i="31"/>
  <c r="L312" i="31"/>
  <c r="N312" i="31"/>
  <c r="H312" i="31"/>
  <c r="R340" i="31"/>
  <c r="R341" i="31"/>
  <c r="T341" i="31"/>
  <c r="W342" i="31"/>
  <c r="X342" i="31"/>
  <c r="N340" i="31"/>
  <c r="L340" i="31"/>
  <c r="T342" i="31"/>
  <c r="F364" i="31"/>
  <c r="N365" i="31"/>
  <c r="T366" i="31"/>
  <c r="W364" i="31"/>
  <c r="F365" i="31"/>
  <c r="X364" i="31"/>
  <c r="T364" i="31"/>
  <c r="AC394" i="31"/>
  <c r="P394" i="31"/>
  <c r="W395" i="31"/>
  <c r="H395" i="31"/>
  <c r="N396" i="31"/>
  <c r="J396" i="31"/>
  <c r="F396" i="31"/>
  <c r="P395" i="31"/>
  <c r="R424" i="31"/>
  <c r="X425" i="31"/>
  <c r="F424" i="31"/>
  <c r="L425" i="31"/>
  <c r="R426" i="31"/>
  <c r="N426" i="31"/>
  <c r="L426" i="31"/>
  <c r="H426" i="31"/>
  <c r="J449" i="31"/>
  <c r="X450" i="31"/>
  <c r="X449" i="31"/>
  <c r="L450" i="31"/>
  <c r="R448" i="31"/>
  <c r="F449" i="31"/>
  <c r="L448" i="31"/>
  <c r="T450" i="31"/>
  <c r="N480" i="31"/>
  <c r="F480" i="31"/>
  <c r="W478" i="31"/>
  <c r="F502" i="31"/>
  <c r="R504" i="31"/>
  <c r="X502" i="31"/>
  <c r="W532" i="31"/>
  <c r="P532" i="31"/>
  <c r="W533" i="31"/>
  <c r="T563" i="31"/>
  <c r="L563" i="31"/>
  <c r="R564" i="31"/>
  <c r="N587" i="31"/>
  <c r="X587" i="31"/>
  <c r="F587" i="31"/>
  <c r="P616" i="31"/>
  <c r="F618" i="31"/>
  <c r="AC640" i="31"/>
  <c r="F641" i="31"/>
  <c r="N641" i="31"/>
  <c r="L670" i="31"/>
  <c r="J672" i="31"/>
  <c r="W672" i="31"/>
  <c r="T701" i="31"/>
  <c r="T702" i="31"/>
  <c r="H701" i="31"/>
  <c r="J725" i="31"/>
  <c r="X725" i="31"/>
  <c r="T725" i="31"/>
  <c r="W755" i="31"/>
  <c r="L755" i="31"/>
  <c r="J756" i="31"/>
  <c r="T779" i="31"/>
  <c r="H779" i="31"/>
  <c r="W780" i="31"/>
  <c r="X808" i="31"/>
  <c r="J810" i="31"/>
  <c r="T808" i="31"/>
  <c r="P839" i="31"/>
  <c r="H839" i="31"/>
  <c r="AC862" i="31"/>
  <c r="H864" i="31"/>
  <c r="N863" i="31"/>
  <c r="N893" i="31"/>
  <c r="W894" i="31"/>
  <c r="H892" i="31"/>
  <c r="R917" i="31"/>
  <c r="W916" i="31"/>
  <c r="X916" i="31"/>
  <c r="F38" i="31"/>
  <c r="W39" i="31"/>
  <c r="H38" i="31"/>
  <c r="X39" i="31"/>
  <c r="F40" i="31"/>
  <c r="R38" i="31"/>
  <c r="P39" i="31"/>
  <c r="H39" i="31"/>
  <c r="N38" i="31"/>
  <c r="W46" i="31"/>
  <c r="T47" i="31"/>
  <c r="F48" i="31"/>
  <c r="H48" i="31"/>
  <c r="N47" i="31"/>
  <c r="L48" i="31"/>
  <c r="X47" i="31"/>
  <c r="D6" i="27"/>
  <c r="N5" i="27" s="1"/>
  <c r="I19" i="27"/>
  <c r="H9" i="27"/>
  <c r="H5" i="27"/>
  <c r="F5" i="27"/>
  <c r="F11" i="27"/>
  <c r="M11" i="27" s="1"/>
  <c r="F10" i="27"/>
  <c r="O10" i="27" s="1"/>
  <c r="F12" i="27"/>
  <c r="N11" i="27" s="1"/>
  <c r="H12" i="27"/>
  <c r="D12" i="27"/>
  <c r="H8" i="27"/>
  <c r="E15" i="27"/>
  <c r="G20" i="27"/>
  <c r="G16" i="27"/>
  <c r="G17" i="27"/>
  <c r="G19" i="27"/>
  <c r="C16" i="27"/>
  <c r="C17" i="27"/>
  <c r="E17" i="27"/>
  <c r="M17" i="30"/>
  <c r="P20" i="30"/>
  <c r="O11" i="30"/>
  <c r="S7" i="30" s="1"/>
  <c r="Q12" i="30"/>
  <c r="T12" i="30" s="1"/>
  <c r="N19" i="30"/>
  <c r="Q9" i="30"/>
  <c r="T11" i="30" s="1"/>
  <c r="N14" i="30"/>
  <c r="O6" i="30"/>
  <c r="Q10" i="30"/>
  <c r="U11" i="30" s="1"/>
  <c r="Q5" i="30"/>
  <c r="O8" i="30"/>
  <c r="N15" i="30"/>
  <c r="P19" i="30"/>
  <c r="R2" i="30"/>
  <c r="Q8" i="30"/>
  <c r="S11" i="30" s="1"/>
  <c r="O12" i="30"/>
  <c r="O9" i="30"/>
  <c r="U6" i="30" s="1"/>
  <c r="P15" i="30"/>
  <c r="Q7" i="30"/>
  <c r="U10" i="30" s="1"/>
  <c r="N20" i="30"/>
  <c r="D177" i="27"/>
  <c r="H175" i="27"/>
  <c r="H173" i="27"/>
  <c r="H171" i="27"/>
  <c r="D171" i="27"/>
  <c r="C186" i="27"/>
  <c r="H170" i="27"/>
  <c r="F171" i="27"/>
  <c r="N174" i="27" s="1"/>
  <c r="F174" i="27"/>
  <c r="N175" i="27" s="1"/>
  <c r="H177" i="27"/>
  <c r="D173" i="27"/>
  <c r="D174" i="27"/>
  <c r="D175" i="27"/>
  <c r="G184" i="27"/>
  <c r="E185" i="27"/>
  <c r="E184" i="27"/>
  <c r="G185" i="27"/>
  <c r="I184" i="27"/>
  <c r="H172" i="27"/>
  <c r="D170" i="27"/>
  <c r="F172" i="27"/>
  <c r="O174" i="27" s="1"/>
  <c r="F173" i="27"/>
  <c r="M175" i="27" s="1"/>
  <c r="D172" i="27"/>
  <c r="F177" i="27"/>
  <c r="N176" i="27" s="1"/>
  <c r="C184" i="27"/>
  <c r="E186" i="27"/>
  <c r="AN5" i="27"/>
  <c r="AJ9" i="27"/>
  <c r="AT6" i="27" s="1"/>
  <c r="AN10" i="27"/>
  <c r="AM15" i="27"/>
  <c r="AK20" i="27"/>
  <c r="D50" i="27"/>
  <c r="W917" i="31"/>
  <c r="R916" i="31"/>
  <c r="P918" i="31"/>
  <c r="L917" i="31"/>
  <c r="H916" i="31"/>
  <c r="T917" i="31"/>
  <c r="W918" i="31"/>
  <c r="F917" i="31"/>
  <c r="L918" i="31"/>
  <c r="R918" i="31"/>
  <c r="J918" i="31"/>
  <c r="X918" i="31"/>
  <c r="N916" i="31"/>
  <c r="H918" i="31"/>
  <c r="P917" i="31"/>
  <c r="X894" i="31"/>
  <c r="T893" i="31"/>
  <c r="P892" i="31"/>
  <c r="W893" i="31"/>
  <c r="R892" i="31"/>
  <c r="T894" i="31"/>
  <c r="X892" i="31"/>
  <c r="H894" i="31"/>
  <c r="F894" i="31"/>
  <c r="J894" i="31"/>
  <c r="J892" i="31"/>
  <c r="T892" i="31"/>
  <c r="N892" i="31"/>
  <c r="L892" i="31"/>
  <c r="P893" i="31"/>
  <c r="AC892" i="31"/>
  <c r="W863" i="31"/>
  <c r="R862" i="31"/>
  <c r="P864" i="31"/>
  <c r="L863" i="31"/>
  <c r="H862" i="31"/>
  <c r="R863" i="31"/>
  <c r="L864" i="31"/>
  <c r="L862" i="31"/>
  <c r="H863" i="31"/>
  <c r="T864" i="31"/>
  <c r="N862" i="31"/>
  <c r="F864" i="31"/>
  <c r="F863" i="31"/>
  <c r="X862" i="31"/>
  <c r="P862" i="31"/>
  <c r="N840" i="31"/>
  <c r="J839" i="31"/>
  <c r="F838" i="31"/>
  <c r="X839" i="31"/>
  <c r="T838" i="31"/>
  <c r="W840" i="31"/>
  <c r="F839" i="31"/>
  <c r="J840" i="31"/>
  <c r="H840" i="31"/>
  <c r="L840" i="31"/>
  <c r="L838" i="31"/>
  <c r="R839" i="31"/>
  <c r="X840" i="31"/>
  <c r="T840" i="31"/>
  <c r="R840" i="31"/>
  <c r="AC838" i="31"/>
  <c r="W809" i="31"/>
  <c r="R808" i="31"/>
  <c r="P810" i="31"/>
  <c r="L809" i="31"/>
  <c r="H808" i="31"/>
  <c r="R809" i="31"/>
  <c r="L810" i="31"/>
  <c r="L808" i="31"/>
  <c r="H809" i="31"/>
  <c r="T810" i="31"/>
  <c r="N808" i="31"/>
  <c r="X810" i="31"/>
  <c r="W810" i="31"/>
  <c r="H810" i="31"/>
  <c r="T809" i="31"/>
  <c r="P780" i="31"/>
  <c r="L779" i="31"/>
  <c r="H778" i="31"/>
  <c r="F780" i="31"/>
  <c r="P778" i="31"/>
  <c r="H780" i="31"/>
  <c r="R778" i="31"/>
  <c r="P779" i="31"/>
  <c r="L780" i="31"/>
  <c r="J778" i="31"/>
  <c r="F779" i="31"/>
  <c r="W779" i="31"/>
  <c r="X780" i="31"/>
  <c r="W778" i="31"/>
  <c r="R779" i="31"/>
  <c r="AC778" i="31"/>
  <c r="L756" i="31"/>
  <c r="H755" i="31"/>
  <c r="W756" i="31"/>
  <c r="N755" i="31"/>
  <c r="F754" i="31"/>
  <c r="P755" i="31"/>
  <c r="H754" i="31"/>
  <c r="R755" i="31"/>
  <c r="P756" i="31"/>
  <c r="L754" i="31"/>
  <c r="F756" i="31"/>
  <c r="X755" i="31"/>
  <c r="T756" i="31"/>
  <c r="R754" i="31"/>
  <c r="J754" i="31"/>
  <c r="T726" i="31"/>
  <c r="P725" i="31"/>
  <c r="L724" i="31"/>
  <c r="J726" i="31"/>
  <c r="F725" i="31"/>
  <c r="P726" i="31"/>
  <c r="T724" i="31"/>
  <c r="W725" i="31"/>
  <c r="F724" i="31"/>
  <c r="R724" i="31"/>
  <c r="P724" i="31"/>
  <c r="J724" i="31"/>
  <c r="L725" i="31"/>
  <c r="N726" i="31"/>
  <c r="L726" i="31"/>
  <c r="AC724" i="31"/>
  <c r="X701" i="31"/>
  <c r="T700" i="31"/>
  <c r="R702" i="31"/>
  <c r="N701" i="31"/>
  <c r="J700" i="31"/>
  <c r="H702" i="31"/>
  <c r="L700" i="31"/>
  <c r="J701" i="31"/>
  <c r="W702" i="31"/>
  <c r="F700" i="31"/>
  <c r="P701" i="31"/>
  <c r="F701" i="31"/>
  <c r="X700" i="31"/>
  <c r="R700" i="31"/>
  <c r="P700" i="31"/>
  <c r="P672" i="31"/>
  <c r="L671" i="31"/>
  <c r="H670" i="31"/>
  <c r="F672" i="31"/>
  <c r="W670" i="31"/>
  <c r="T672" i="31"/>
  <c r="X670" i="31"/>
  <c r="W671" i="31"/>
  <c r="F670" i="31"/>
  <c r="J671" i="31"/>
  <c r="H671" i="31"/>
  <c r="R670" i="31"/>
  <c r="P670" i="31"/>
  <c r="N670" i="31"/>
  <c r="P671" i="31"/>
  <c r="AC670" i="31"/>
  <c r="W641" i="31"/>
  <c r="R640" i="31"/>
  <c r="P642" i="31"/>
  <c r="L641" i="31"/>
  <c r="H640" i="31"/>
  <c r="P641" i="31"/>
  <c r="J642" i="31"/>
  <c r="N640" i="31"/>
  <c r="H642" i="31"/>
  <c r="L640" i="31"/>
  <c r="F642" i="31"/>
  <c r="J640" i="31"/>
  <c r="T641" i="31"/>
  <c r="R642" i="31"/>
  <c r="W640" i="31"/>
  <c r="N618" i="31"/>
  <c r="J617" i="31"/>
  <c r="F616" i="31"/>
  <c r="X617" i="31"/>
  <c r="T616" i="31"/>
  <c r="X618" i="31"/>
  <c r="H617" i="31"/>
  <c r="W618" i="31"/>
  <c r="F617" i="31"/>
  <c r="R618" i="31"/>
  <c r="W616" i="31"/>
  <c r="P617" i="31"/>
  <c r="J618" i="31"/>
  <c r="N616" i="31"/>
  <c r="T618" i="31"/>
  <c r="AC616" i="31"/>
  <c r="H588" i="31"/>
  <c r="X586" i="31"/>
  <c r="W588" i="31"/>
  <c r="R587" i="31"/>
  <c r="N586" i="31"/>
  <c r="J587" i="31"/>
  <c r="L588" i="31"/>
  <c r="P586" i="31"/>
  <c r="T586" i="31"/>
  <c r="R586" i="31"/>
  <c r="T587" i="31"/>
  <c r="R588" i="31"/>
  <c r="F586" i="31"/>
  <c r="H587" i="31"/>
  <c r="W586" i="31"/>
  <c r="W564" i="31"/>
  <c r="R563" i="31"/>
  <c r="N562" i="31"/>
  <c r="W563" i="31"/>
  <c r="L562" i="31"/>
  <c r="X563" i="31"/>
  <c r="P562" i="31"/>
  <c r="N563" i="31"/>
  <c r="L564" i="31"/>
  <c r="H562" i="31"/>
  <c r="X562" i="31"/>
  <c r="F564" i="31"/>
  <c r="X564" i="31"/>
  <c r="T562" i="31"/>
  <c r="P563" i="31"/>
  <c r="AC562" i="31"/>
  <c r="J534" i="31"/>
  <c r="F533" i="31"/>
  <c r="N534" i="31"/>
  <c r="X532" i="31"/>
  <c r="P534" i="31"/>
  <c r="H533" i="31"/>
  <c r="T534" i="31"/>
  <c r="R532" i="31"/>
  <c r="N533" i="31"/>
  <c r="L534" i="31"/>
  <c r="H532" i="31"/>
  <c r="J533" i="31"/>
  <c r="F534" i="31"/>
  <c r="X534" i="31"/>
  <c r="T532" i="31"/>
  <c r="W504" i="31"/>
  <c r="R503" i="31"/>
  <c r="N502" i="31"/>
  <c r="P503" i="31"/>
  <c r="H502" i="31"/>
  <c r="T503" i="31"/>
  <c r="J502" i="31"/>
  <c r="X503" i="31"/>
  <c r="T504" i="31"/>
  <c r="R502" i="31"/>
  <c r="N503" i="31"/>
  <c r="P504" i="31"/>
  <c r="L502" i="31"/>
  <c r="J503" i="31"/>
  <c r="F504" i="31"/>
  <c r="AC502" i="31"/>
  <c r="H480" i="31"/>
  <c r="X478" i="31"/>
  <c r="W480" i="31"/>
  <c r="R479" i="31"/>
  <c r="N478" i="31"/>
  <c r="W479" i="31"/>
  <c r="F478" i="31"/>
  <c r="T479" i="31"/>
  <c r="L480" i="31"/>
  <c r="P478" i="31"/>
  <c r="J479" i="31"/>
  <c r="X480" i="31"/>
  <c r="H479" i="31"/>
  <c r="R65" i="31"/>
  <c r="AC64" i="31"/>
  <c r="T65" i="31"/>
  <c r="F64" i="31"/>
  <c r="W65" i="31"/>
  <c r="H64" i="31"/>
  <c r="X65" i="31"/>
  <c r="N64" i="31"/>
  <c r="J66" i="31"/>
  <c r="L65" i="31"/>
  <c r="L64" i="31"/>
  <c r="P65" i="31"/>
  <c r="T66" i="31"/>
  <c r="W64" i="31"/>
  <c r="AC88" i="31"/>
  <c r="P89" i="31"/>
  <c r="P88" i="31"/>
  <c r="R90" i="31"/>
  <c r="W89" i="31"/>
  <c r="X89" i="31"/>
  <c r="H89" i="31"/>
  <c r="J88" i="31"/>
  <c r="N90" i="31"/>
  <c r="T88" i="31"/>
  <c r="H90" i="31"/>
  <c r="R88" i="31"/>
  <c r="F90" i="31"/>
  <c r="N88" i="31"/>
  <c r="R89" i="31"/>
  <c r="P119" i="31"/>
  <c r="AC118" i="31"/>
  <c r="P118" i="31"/>
  <c r="X119" i="31"/>
  <c r="R118" i="31"/>
  <c r="F120" i="31"/>
  <c r="F118" i="31"/>
  <c r="N119" i="31"/>
  <c r="X120" i="31"/>
  <c r="X118" i="31"/>
  <c r="N120" i="31"/>
  <c r="H119" i="31"/>
  <c r="P120" i="31"/>
  <c r="F119" i="31"/>
  <c r="AC148" i="31"/>
  <c r="X148" i="31"/>
  <c r="N150" i="31"/>
  <c r="H149" i="31"/>
  <c r="P150" i="31"/>
  <c r="J149" i="31"/>
  <c r="R150" i="31"/>
  <c r="L149" i="31"/>
  <c r="T150" i="31"/>
  <c r="T148" i="31"/>
  <c r="H150" i="31"/>
  <c r="H148" i="31"/>
  <c r="P149" i="31"/>
  <c r="N148" i="31"/>
  <c r="R149" i="31"/>
  <c r="F172" i="31"/>
  <c r="N173" i="31"/>
  <c r="W174" i="31"/>
  <c r="W172" i="31"/>
  <c r="J174" i="31"/>
  <c r="X172" i="31"/>
  <c r="N174" i="31"/>
  <c r="F173" i="31"/>
  <c r="P174" i="31"/>
  <c r="J173" i="31"/>
  <c r="R174" i="31"/>
  <c r="L173" i="31"/>
  <c r="T174" i="31"/>
  <c r="H173" i="31"/>
  <c r="AC202" i="31"/>
  <c r="L203" i="31"/>
  <c r="W204" i="31"/>
  <c r="T202" i="31"/>
  <c r="J204" i="31"/>
  <c r="H202" i="31"/>
  <c r="R203" i="31"/>
  <c r="J202" i="31"/>
  <c r="T203" i="31"/>
  <c r="N202" i="31"/>
  <c r="W203" i="31"/>
  <c r="P202" i="31"/>
  <c r="X203" i="31"/>
  <c r="L202" i="31"/>
  <c r="P203" i="31"/>
  <c r="H226" i="31"/>
  <c r="L228" i="31"/>
  <c r="N227" i="31"/>
  <c r="N226" i="31"/>
  <c r="P228" i="31"/>
  <c r="T227" i="31"/>
  <c r="W226" i="31"/>
  <c r="F226" i="31"/>
  <c r="J228" i="31"/>
  <c r="L227" i="31"/>
  <c r="W228" i="31"/>
  <c r="J227" i="31"/>
  <c r="R228" i="31"/>
  <c r="X226" i="31"/>
  <c r="AC256" i="31"/>
  <c r="X257" i="31"/>
  <c r="H257" i="31"/>
  <c r="J256" i="31"/>
  <c r="N258" i="31"/>
  <c r="R257" i="31"/>
  <c r="P256" i="31"/>
  <c r="R258" i="31"/>
  <c r="W257" i="31"/>
  <c r="T256" i="31"/>
  <c r="J258" i="31"/>
  <c r="R256" i="31"/>
  <c r="F258" i="31"/>
  <c r="L256" i="31"/>
  <c r="P257" i="31"/>
  <c r="R286" i="31"/>
  <c r="W288" i="31"/>
  <c r="X287" i="31"/>
  <c r="F288" i="31"/>
  <c r="J287" i="31"/>
  <c r="N286" i="31"/>
  <c r="P288" i="31"/>
  <c r="T287" i="31"/>
  <c r="H286" i="31"/>
  <c r="R287" i="31"/>
  <c r="F286" i="31"/>
  <c r="N287" i="31"/>
  <c r="X288" i="31"/>
  <c r="X286" i="31"/>
  <c r="AC310" i="31"/>
  <c r="N311" i="31"/>
  <c r="F310" i="31"/>
  <c r="P310" i="31"/>
  <c r="T310" i="31"/>
  <c r="N310" i="31"/>
  <c r="W311" i="31"/>
  <c r="R310" i="31"/>
  <c r="F312" i="31"/>
  <c r="H310" i="31"/>
  <c r="R311" i="31"/>
  <c r="J310" i="31"/>
  <c r="T311" i="31"/>
  <c r="L310" i="31"/>
  <c r="P311" i="31"/>
  <c r="H340" i="31"/>
  <c r="N341" i="31"/>
  <c r="T340" i="31"/>
  <c r="N342" i="31"/>
  <c r="W340" i="31"/>
  <c r="R342" i="31"/>
  <c r="X341" i="31"/>
  <c r="J340" i="31"/>
  <c r="F342" i="31"/>
  <c r="P340" i="31"/>
  <c r="J342" i="31"/>
  <c r="H341" i="31"/>
  <c r="P342" i="31"/>
  <c r="X340" i="31"/>
  <c r="AC364" i="31"/>
  <c r="H366" i="31"/>
  <c r="J365" i="31"/>
  <c r="N364" i="31"/>
  <c r="R366" i="31"/>
  <c r="P365" i="31"/>
  <c r="R364" i="31"/>
  <c r="W366" i="31"/>
  <c r="F366" i="31"/>
  <c r="L364" i="31"/>
  <c r="T365" i="31"/>
  <c r="J364" i="31"/>
  <c r="R365" i="31"/>
  <c r="H364" i="31"/>
  <c r="L365" i="31"/>
  <c r="N394" i="31"/>
  <c r="P396" i="31"/>
  <c r="T395" i="31"/>
  <c r="W394" i="31"/>
  <c r="F395" i="31"/>
  <c r="H394" i="31"/>
  <c r="L396" i="31"/>
  <c r="J395" i="31"/>
  <c r="F394" i="31"/>
  <c r="N395" i="31"/>
  <c r="X396" i="31"/>
  <c r="L395" i="31"/>
  <c r="W396" i="31"/>
  <c r="X394" i="31"/>
  <c r="AC424" i="31"/>
  <c r="W425" i="31"/>
  <c r="T424" i="31"/>
  <c r="X426" i="31"/>
  <c r="F426" i="31"/>
  <c r="J425" i="31"/>
  <c r="N424" i="31"/>
  <c r="P426" i="31"/>
  <c r="N425" i="31"/>
  <c r="J424" i="31"/>
  <c r="T425" i="31"/>
  <c r="H424" i="31"/>
  <c r="R425" i="31"/>
  <c r="L424" i="31"/>
  <c r="P425" i="31"/>
  <c r="F448" i="31"/>
  <c r="R450" i="31"/>
  <c r="L449" i="31"/>
  <c r="J448" i="31"/>
  <c r="P448" i="31"/>
  <c r="W448" i="31"/>
  <c r="H449" i="31"/>
  <c r="T448" i="31"/>
  <c r="P450" i="31"/>
  <c r="N449" i="31"/>
  <c r="N448" i="31"/>
  <c r="R449" i="31"/>
  <c r="W450" i="31"/>
  <c r="X448" i="31"/>
  <c r="AC478" i="31"/>
  <c r="N479" i="31"/>
  <c r="H478" i="31"/>
  <c r="J478" i="31"/>
  <c r="L479" i="31"/>
  <c r="P480" i="31"/>
  <c r="R480" i="31"/>
  <c r="J480" i="31"/>
  <c r="P479" i="31"/>
  <c r="H503" i="31"/>
  <c r="H504" i="31"/>
  <c r="P502" i="31"/>
  <c r="W503" i="31"/>
  <c r="X504" i="31"/>
  <c r="N504" i="31"/>
  <c r="L504" i="31"/>
  <c r="J504" i="31"/>
  <c r="X533" i="31"/>
  <c r="F532" i="31"/>
  <c r="L533" i="31"/>
  <c r="R534" i="31"/>
  <c r="L532" i="31"/>
  <c r="J532" i="31"/>
  <c r="N532" i="31"/>
  <c r="W534" i="31"/>
  <c r="T564" i="31"/>
  <c r="W562" i="31"/>
  <c r="H564" i="31"/>
  <c r="J562" i="31"/>
  <c r="J563" i="31"/>
  <c r="H563" i="31"/>
  <c r="F563" i="31"/>
  <c r="AC586" i="31"/>
  <c r="P588" i="31"/>
  <c r="H586" i="31"/>
  <c r="W587" i="31"/>
  <c r="L587" i="31"/>
  <c r="F588" i="31"/>
  <c r="J588" i="31"/>
  <c r="P587" i="31"/>
  <c r="T617" i="31"/>
  <c r="N617" i="31"/>
  <c r="L618" i="31"/>
  <c r="J616" i="31"/>
  <c r="L616" i="31"/>
  <c r="H616" i="31"/>
  <c r="P618" i="31"/>
  <c r="W617" i="31"/>
  <c r="R641" i="31"/>
  <c r="T642" i="31"/>
  <c r="W642" i="31"/>
  <c r="X642" i="31"/>
  <c r="P640" i="31"/>
  <c r="T640" i="31"/>
  <c r="F640" i="31"/>
  <c r="N642" i="31"/>
  <c r="X672" i="31"/>
  <c r="H672" i="31"/>
  <c r="L672" i="31"/>
  <c r="F671" i="31"/>
  <c r="T671" i="31"/>
  <c r="N671" i="31"/>
  <c r="T670" i="31"/>
  <c r="AC700" i="31"/>
  <c r="W701" i="31"/>
  <c r="N702" i="31"/>
  <c r="R701" i="31"/>
  <c r="J702" i="31"/>
  <c r="X702" i="31"/>
  <c r="F702" i="31"/>
  <c r="L701" i="31"/>
  <c r="H725" i="31"/>
  <c r="H724" i="31"/>
  <c r="N725" i="31"/>
  <c r="F726" i="31"/>
  <c r="R726" i="31"/>
  <c r="N724" i="31"/>
  <c r="W726" i="31"/>
  <c r="H726" i="31"/>
  <c r="J755" i="31"/>
  <c r="X754" i="31"/>
  <c r="N756" i="31"/>
  <c r="N754" i="31"/>
  <c r="W754" i="31"/>
  <c r="T754" i="31"/>
  <c r="P754" i="31"/>
  <c r="X756" i="31"/>
  <c r="R780" i="31"/>
  <c r="X778" i="31"/>
  <c r="J780" i="31"/>
  <c r="L778" i="31"/>
  <c r="N779" i="31"/>
  <c r="J779" i="31"/>
  <c r="T778" i="31"/>
  <c r="AC808" i="31"/>
  <c r="P808" i="31"/>
  <c r="F809" i="31"/>
  <c r="J808" i="31"/>
  <c r="N809" i="31"/>
  <c r="R810" i="31"/>
  <c r="X809" i="31"/>
  <c r="J809" i="31"/>
  <c r="N838" i="31"/>
  <c r="W838" i="31"/>
  <c r="T839" i="31"/>
  <c r="X838" i="31"/>
  <c r="J838" i="31"/>
  <c r="H838" i="31"/>
  <c r="P840" i="31"/>
  <c r="W839" i="31"/>
  <c r="W864" i="31"/>
  <c r="T863" i="31"/>
  <c r="P863" i="31"/>
  <c r="J864" i="31"/>
  <c r="W862" i="31"/>
  <c r="T862" i="31"/>
  <c r="F862" i="31"/>
  <c r="N864" i="31"/>
  <c r="R893" i="31"/>
  <c r="R894" i="31"/>
  <c r="L893" i="31"/>
  <c r="F893" i="31"/>
  <c r="X893" i="31"/>
  <c r="J893" i="31"/>
  <c r="H893" i="31"/>
  <c r="AC916" i="31"/>
  <c r="L916" i="31"/>
  <c r="P916" i="31"/>
  <c r="H917" i="31"/>
  <c r="F918" i="31"/>
  <c r="T918" i="31"/>
  <c r="X917" i="31"/>
  <c r="J917" i="31"/>
  <c r="M9" i="35"/>
  <c r="F11" i="35"/>
  <c r="K11" i="35"/>
  <c r="K13" i="35"/>
  <c r="D11" i="35"/>
  <c r="B12" i="35"/>
  <c r="B11" i="35"/>
  <c r="G11" i="35"/>
  <c r="M10" i="35"/>
  <c r="C9" i="35"/>
  <c r="D9" i="35" s="1"/>
  <c r="E9" i="35" s="1"/>
  <c r="F9" i="35" s="1"/>
  <c r="G9" i="35" s="1"/>
  <c r="H9" i="35" s="1"/>
  <c r="I9" i="35" s="1"/>
  <c r="J40" i="31"/>
  <c r="F39" i="31"/>
  <c r="X40" i="31"/>
  <c r="T39" i="31"/>
  <c r="P38" i="31"/>
  <c r="P40" i="31"/>
  <c r="T38" i="31"/>
  <c r="N39" i="31"/>
  <c r="H40" i="31"/>
  <c r="L38" i="31"/>
  <c r="J39" i="31"/>
  <c r="T40" i="31"/>
  <c r="W47" i="31"/>
  <c r="R46" i="31"/>
  <c r="P48" i="31"/>
  <c r="L47" i="31"/>
  <c r="H46" i="31"/>
  <c r="P47" i="31"/>
  <c r="J48" i="31"/>
  <c r="N46" i="31"/>
  <c r="X48" i="31"/>
  <c r="H47" i="31"/>
  <c r="W48" i="31"/>
  <c r="F47" i="31"/>
  <c r="T48" i="31"/>
  <c r="X46" i="31"/>
  <c r="R47" i="31"/>
  <c r="B10" i="35"/>
  <c r="K12" i="35"/>
  <c r="E11" i="35"/>
  <c r="L11" i="35"/>
  <c r="AM64" i="27"/>
  <c r="AJ48" i="27"/>
  <c r="V52" i="27"/>
  <c r="V48" i="27"/>
  <c r="AI64" i="27"/>
  <c r="AN6" i="27"/>
  <c r="AJ7" i="27"/>
  <c r="AL7" i="27"/>
  <c r="AU9" i="27" s="1"/>
  <c r="AN8" i="27"/>
  <c r="AN9" i="27"/>
  <c r="AJ10" i="27"/>
  <c r="AN11" i="27"/>
  <c r="AJ12" i="27"/>
  <c r="AL12" i="27"/>
  <c r="AT11" i="27" s="1"/>
  <c r="AM16" i="27"/>
  <c r="AM19" i="27"/>
  <c r="X54" i="27"/>
  <c r="AM21" i="27"/>
  <c r="AI20" i="27"/>
  <c r="AO19" i="27"/>
  <c r="AK19" i="27"/>
  <c r="AI17" i="27"/>
  <c r="AI16" i="27"/>
  <c r="AK15" i="27"/>
  <c r="AL11" i="27"/>
  <c r="AS11" i="27" s="1"/>
  <c r="AL10" i="27"/>
  <c r="AU10" i="27" s="1"/>
  <c r="AL9" i="27"/>
  <c r="AL8" i="27"/>
  <c r="AL6" i="27"/>
  <c r="AJ11" i="27"/>
  <c r="AM17" i="27"/>
  <c r="S62" i="27"/>
  <c r="S63" i="27"/>
  <c r="U63" i="27"/>
  <c r="T53" i="27"/>
  <c r="W64" i="27"/>
  <c r="AK59" i="27"/>
  <c r="AI59" i="27"/>
  <c r="AJ52" i="27"/>
  <c r="AJ50" i="27"/>
  <c r="AJ49" i="27"/>
  <c r="AM58" i="27"/>
  <c r="AI58" i="27"/>
  <c r="AJ53" i="27"/>
  <c r="AL54" i="27"/>
  <c r="V94" i="27"/>
  <c r="W98" i="27"/>
  <c r="V89" i="27"/>
  <c r="Q8" i="35"/>
  <c r="AU8" i="35"/>
  <c r="Q30" i="35"/>
  <c r="AU30" i="35"/>
  <c r="Q52" i="35"/>
  <c r="AU52" i="35"/>
  <c r="Q74" i="35"/>
  <c r="AU74" i="35"/>
  <c r="Q96" i="35"/>
  <c r="T105" i="31" l="1"/>
  <c r="F35" i="30"/>
  <c r="J36" i="30" s="1"/>
  <c r="C43" i="30"/>
  <c r="AM178" i="27"/>
  <c r="C101" i="30"/>
  <c r="BE51" i="27"/>
  <c r="BF51" i="27" s="1"/>
  <c r="Y90" i="27"/>
  <c r="Z90" i="27" s="1"/>
  <c r="BK44" i="27"/>
  <c r="BI19" i="27"/>
  <c r="BJ293" i="4"/>
  <c r="BK293" i="4" s="1"/>
  <c r="Y91" i="27"/>
  <c r="Z91" i="27" s="1"/>
  <c r="AC7" i="27"/>
  <c r="BJ254" i="4"/>
  <c r="BK254" i="4" s="1"/>
  <c r="Y52" i="27"/>
  <c r="Z52" i="27" s="1"/>
  <c r="P101" i="30"/>
  <c r="BJ220" i="4"/>
  <c r="BK220" i="4" s="1"/>
  <c r="L933" i="31"/>
  <c r="T271" i="31"/>
  <c r="AI17" i="30"/>
  <c r="AH11" i="35"/>
  <c r="W11" i="35"/>
  <c r="AO11" i="35"/>
  <c r="G33" i="35"/>
  <c r="BC11" i="35"/>
  <c r="AI11" i="35"/>
  <c r="Y11" i="35"/>
  <c r="AQ11" i="35"/>
  <c r="Q10" i="35"/>
  <c r="J33" i="35"/>
  <c r="Q13" i="35"/>
  <c r="AF10" i="35"/>
  <c r="AA11" i="35"/>
  <c r="C33" i="35"/>
  <c r="I33" i="35"/>
  <c r="B33" i="35"/>
  <c r="Z13" i="35"/>
  <c r="AL20" i="30"/>
  <c r="AK10" i="30"/>
  <c r="AO6" i="30" s="1"/>
  <c r="AK5" i="30"/>
  <c r="AO5" i="30" s="1"/>
  <c r="AK11" i="30"/>
  <c r="AO7" i="30" s="1"/>
  <c r="Y94" i="27"/>
  <c r="Z94" i="27" s="1"/>
  <c r="AO133" i="27"/>
  <c r="AP133" i="27" s="1"/>
  <c r="AO131" i="27"/>
  <c r="I132" i="27"/>
  <c r="J132" i="27" s="1"/>
  <c r="Y48" i="27"/>
  <c r="Z48" i="27" s="1"/>
  <c r="AM13" i="27"/>
  <c r="U13" i="27"/>
  <c r="AL38" i="30"/>
  <c r="BA96" i="27"/>
  <c r="P59" i="30"/>
  <c r="AJ80" i="30"/>
  <c r="AL80" i="30"/>
  <c r="C59" i="30"/>
  <c r="C38" i="30"/>
  <c r="AA13" i="30"/>
  <c r="S6" i="30"/>
  <c r="AO170" i="27"/>
  <c r="AP170" i="27" s="1"/>
  <c r="E56" i="27"/>
  <c r="I36" i="30"/>
  <c r="Y50" i="27"/>
  <c r="Z50" i="27" s="1"/>
  <c r="BE7" i="27"/>
  <c r="BF7" i="27" s="1"/>
  <c r="AD7" i="27"/>
  <c r="Y135" i="27"/>
  <c r="Z135" i="27" s="1"/>
  <c r="Y177" i="27"/>
  <c r="Z177" i="27" s="1"/>
  <c r="Y175" i="27"/>
  <c r="Z175" i="27" s="1"/>
  <c r="AF1" i="31"/>
  <c r="U9" i="31"/>
  <c r="I135" i="27"/>
  <c r="J135" i="27" s="1"/>
  <c r="I88" i="27"/>
  <c r="J88" i="27" s="1"/>
  <c r="BE8" i="27"/>
  <c r="BF8" i="27" s="1"/>
  <c r="AO10" i="27"/>
  <c r="AP10" i="27" s="1"/>
  <c r="BE11" i="27"/>
  <c r="BF11" i="27" s="1"/>
  <c r="Q30" i="30"/>
  <c r="S35" i="30" s="1"/>
  <c r="O35" i="30"/>
  <c r="S31" i="30" s="1"/>
  <c r="S11" i="35"/>
  <c r="AO12" i="35"/>
  <c r="AF12" i="35"/>
  <c r="R9" i="35"/>
  <c r="S9" i="35" s="1"/>
  <c r="T9" i="35" s="1"/>
  <c r="U9" i="35" s="1"/>
  <c r="V9" i="35" s="1"/>
  <c r="W9" i="35" s="1"/>
  <c r="X9" i="35" s="1"/>
  <c r="AB10" i="35"/>
  <c r="H33" i="35"/>
  <c r="K34" i="35"/>
  <c r="AN11" i="35"/>
  <c r="AP11" i="35"/>
  <c r="AM11" i="35"/>
  <c r="E32" i="35"/>
  <c r="B35" i="35"/>
  <c r="P40" i="30"/>
  <c r="N44" i="30"/>
  <c r="AX10" i="35"/>
  <c r="AU10" i="35"/>
  <c r="BD11" i="35"/>
  <c r="T10" i="35"/>
  <c r="T11" i="35"/>
  <c r="R11" i="35"/>
  <c r="AF13" i="35"/>
  <c r="AG11" i="35"/>
  <c r="AO13" i="35"/>
  <c r="AQ9" i="35"/>
  <c r="AK11" i="35"/>
  <c r="Z11" i="35"/>
  <c r="Q11" i="35"/>
  <c r="V11" i="35"/>
  <c r="AB9" i="35"/>
  <c r="U11" i="35"/>
  <c r="AB11" i="35"/>
  <c r="M31" i="35"/>
  <c r="B34" i="35"/>
  <c r="D33" i="35"/>
  <c r="M32" i="35"/>
  <c r="L33" i="35"/>
  <c r="AI10" i="35"/>
  <c r="AG9" i="35"/>
  <c r="AH9" i="35" s="1"/>
  <c r="AI9" i="35" s="1"/>
  <c r="AJ9" i="35" s="1"/>
  <c r="AK9" i="35" s="1"/>
  <c r="AL9" i="35" s="1"/>
  <c r="AM9" i="35" s="1"/>
  <c r="AL11" i="35"/>
  <c r="Q12" i="35"/>
  <c r="E33" i="35"/>
  <c r="AF11" i="35"/>
  <c r="AQ10" i="35"/>
  <c r="F33" i="35"/>
  <c r="B32" i="35"/>
  <c r="K35" i="35"/>
  <c r="C31" i="35"/>
  <c r="D31" i="35" s="1"/>
  <c r="E31" i="35" s="1"/>
  <c r="F31" i="35" s="1"/>
  <c r="G31" i="35" s="1"/>
  <c r="H31" i="35" s="1"/>
  <c r="I31" i="35" s="1"/>
  <c r="M33" i="35"/>
  <c r="Z12" i="35"/>
  <c r="AV9" i="35"/>
  <c r="AW9" i="35" s="1"/>
  <c r="AX9" i="35" s="1"/>
  <c r="AY9" i="35" s="1"/>
  <c r="AZ9" i="35" s="1"/>
  <c r="BA9" i="35" s="1"/>
  <c r="BB9" i="35" s="1"/>
  <c r="BD12" i="35"/>
  <c r="AU11" i="35"/>
  <c r="AU13" i="35"/>
  <c r="BB11" i="35"/>
  <c r="AV11" i="35"/>
  <c r="AY11" i="35"/>
  <c r="AW11" i="35"/>
  <c r="BF11" i="35"/>
  <c r="BE11" i="35"/>
  <c r="AU12" i="35"/>
  <c r="BF9" i="35"/>
  <c r="BA11" i="35"/>
  <c r="AZ11" i="35"/>
  <c r="AX11" i="35"/>
  <c r="BF10" i="35"/>
  <c r="H6" i="30"/>
  <c r="AK6" i="30"/>
  <c r="AP5" i="30" s="1"/>
  <c r="AM11" i="30"/>
  <c r="AO12" i="30" s="1"/>
  <c r="AB11" i="30"/>
  <c r="AD12" i="30" s="1"/>
  <c r="AJ19" i="30"/>
  <c r="AM5" i="30"/>
  <c r="AO10" i="30" s="1"/>
  <c r="AJ18" i="30"/>
  <c r="AK8" i="30"/>
  <c r="AJ14" i="30"/>
  <c r="X17" i="30"/>
  <c r="AJ15" i="30"/>
  <c r="AL18" i="30"/>
  <c r="AK12" i="30"/>
  <c r="AP6" i="30" s="1"/>
  <c r="AM12" i="30"/>
  <c r="AP12" i="30" s="1"/>
  <c r="AM10" i="30"/>
  <c r="AQ11" i="30" s="1"/>
  <c r="AK9" i="30"/>
  <c r="AQ6" i="30" s="1"/>
  <c r="AL19" i="30"/>
  <c r="AM6" i="30"/>
  <c r="AP10" i="30" s="1"/>
  <c r="AM8" i="30"/>
  <c r="AO11" i="30" s="1"/>
  <c r="AJ20" i="30"/>
  <c r="AL15" i="30"/>
  <c r="AA20" i="30"/>
  <c r="Z9" i="30"/>
  <c r="AF6" i="30" s="1"/>
  <c r="AN2" i="30"/>
  <c r="AK7" i="30"/>
  <c r="AQ5" i="30" s="1"/>
  <c r="AM9" i="30"/>
  <c r="AP11" i="30" s="1"/>
  <c r="AM7" i="30"/>
  <c r="AQ10" i="30" s="1"/>
  <c r="N137" i="31"/>
  <c r="E43" i="30"/>
  <c r="E45" i="30"/>
  <c r="D31" i="30"/>
  <c r="I30" i="30" s="1"/>
  <c r="D37" i="30"/>
  <c r="I31" i="30" s="1"/>
  <c r="C44" i="30"/>
  <c r="B42" i="30"/>
  <c r="Q37" i="30"/>
  <c r="T37" i="30" s="1"/>
  <c r="R27" i="30"/>
  <c r="F30" i="30"/>
  <c r="H35" i="30" s="1"/>
  <c r="D34" i="30"/>
  <c r="J31" i="30" s="1"/>
  <c r="C45" i="30"/>
  <c r="F31" i="30"/>
  <c r="I35" i="30" s="1"/>
  <c r="C39" i="30"/>
  <c r="O34" i="30"/>
  <c r="U31" i="30" s="1"/>
  <c r="P45" i="30"/>
  <c r="N45" i="30"/>
  <c r="O36" i="30"/>
  <c r="S32" i="30" s="1"/>
  <c r="O33" i="30"/>
  <c r="Q33" i="30"/>
  <c r="S36" i="30" s="1"/>
  <c r="P43" i="30"/>
  <c r="D30" i="30"/>
  <c r="H30" i="30" s="1"/>
  <c r="C40" i="30"/>
  <c r="D36" i="30"/>
  <c r="H32" i="30" s="1"/>
  <c r="D32" i="30"/>
  <c r="J30" i="30" s="1"/>
  <c r="F32" i="30"/>
  <c r="J35" i="30" s="1"/>
  <c r="F37" i="30"/>
  <c r="I37" i="30" s="1"/>
  <c r="E39" i="30"/>
  <c r="E44" i="30"/>
  <c r="G27" i="30"/>
  <c r="D35" i="30"/>
  <c r="H31" i="30" s="1"/>
  <c r="D33" i="30"/>
  <c r="E40" i="30"/>
  <c r="Q36" i="30"/>
  <c r="S37" i="30" s="1"/>
  <c r="Q32" i="30"/>
  <c r="U35" i="30" s="1"/>
  <c r="N40" i="30"/>
  <c r="M42" i="30"/>
  <c r="P39" i="30"/>
  <c r="P44" i="30"/>
  <c r="O30" i="30"/>
  <c r="S30" i="30" s="1"/>
  <c r="O37" i="30"/>
  <c r="T32" i="30" s="1"/>
  <c r="Q35" i="30"/>
  <c r="U36" i="30" s="1"/>
  <c r="N39" i="30"/>
  <c r="Q31" i="30"/>
  <c r="T35" i="30" s="1"/>
  <c r="O31" i="30"/>
  <c r="T30" i="30" s="1"/>
  <c r="N43" i="30"/>
  <c r="Q34" i="30"/>
  <c r="T36" i="30" s="1"/>
  <c r="F33" i="30"/>
  <c r="H36" i="30" s="1"/>
  <c r="F36" i="30"/>
  <c r="H37" i="30" s="1"/>
  <c r="AB9" i="30"/>
  <c r="AE11" i="30" s="1"/>
  <c r="AA14" i="30"/>
  <c r="Z6" i="30"/>
  <c r="AE5" i="30" s="1"/>
  <c r="Y14" i="30"/>
  <c r="AB12" i="30"/>
  <c r="AE12" i="30" s="1"/>
  <c r="Z12" i="30"/>
  <c r="AE7" i="30" s="1"/>
  <c r="Z8" i="30"/>
  <c r="AB10" i="30"/>
  <c r="AF11" i="30" s="1"/>
  <c r="Z10" i="30"/>
  <c r="AD6" i="30" s="1"/>
  <c r="AC2" i="30"/>
  <c r="Y15" i="30"/>
  <c r="Y19" i="30"/>
  <c r="AB6" i="30"/>
  <c r="AE10" i="30" s="1"/>
  <c r="AA19" i="30"/>
  <c r="Z5" i="30"/>
  <c r="AD5" i="30" s="1"/>
  <c r="AB5" i="30"/>
  <c r="AD10" i="30" s="1"/>
  <c r="Z11" i="30"/>
  <c r="AD7" i="30" s="1"/>
  <c r="AB8" i="30"/>
  <c r="AD11" i="30" s="1"/>
  <c r="Z7" i="30"/>
  <c r="AF5" i="30" s="1"/>
  <c r="Y20" i="30"/>
  <c r="AA15" i="30"/>
  <c r="Y18" i="30"/>
  <c r="AB7" i="30"/>
  <c r="AF10" i="30" s="1"/>
  <c r="F593" i="31"/>
  <c r="AA7" i="27"/>
  <c r="J869" i="31"/>
  <c r="H213" i="31"/>
  <c r="T923" i="31"/>
  <c r="F627" i="31"/>
  <c r="P873" i="31"/>
  <c r="F75" i="31"/>
  <c r="V182" i="31"/>
  <c r="N623" i="31"/>
  <c r="J125" i="31"/>
  <c r="F95" i="31"/>
  <c r="N401" i="31"/>
  <c r="AA8" i="27"/>
  <c r="AC15" i="27" s="1"/>
  <c r="AA9" i="27"/>
  <c r="P155" i="31"/>
  <c r="J183" i="31"/>
  <c r="F347" i="31"/>
  <c r="P735" i="31"/>
  <c r="L71" i="31"/>
  <c r="F263" i="31"/>
  <c r="H71" i="31"/>
  <c r="V208" i="31"/>
  <c r="T431" i="31"/>
  <c r="R455" i="31"/>
  <c r="J785" i="31"/>
  <c r="X13" i="27"/>
  <c r="F325" i="31"/>
  <c r="N485" i="31"/>
  <c r="J95" i="31"/>
  <c r="V454" i="31"/>
  <c r="L129" i="31"/>
  <c r="V675" i="31"/>
  <c r="V950" i="31"/>
  <c r="F243" i="31"/>
  <c r="F949" i="31"/>
  <c r="P125" i="31"/>
  <c r="T317" i="31"/>
  <c r="V207" i="31"/>
  <c r="N125" i="31"/>
  <c r="P159" i="31"/>
  <c r="P455" i="31"/>
  <c r="J489" i="31"/>
  <c r="L233" i="31"/>
  <c r="J677" i="31"/>
  <c r="V399" i="31"/>
  <c r="V568" i="31"/>
  <c r="J731" i="31"/>
  <c r="F965" i="31"/>
  <c r="V402" i="31"/>
  <c r="V939" i="31"/>
  <c r="L681" i="31"/>
  <c r="F761" i="31"/>
  <c r="L155" i="31"/>
  <c r="H455" i="31"/>
  <c r="V72" i="31"/>
  <c r="J71" i="31"/>
  <c r="L431" i="31"/>
  <c r="J569" i="31"/>
  <c r="V13" i="27"/>
  <c r="AD8" i="27" s="1"/>
  <c r="AA10" i="27"/>
  <c r="AE15" i="27" s="1"/>
  <c r="AA5" i="27"/>
  <c r="AC14" i="27" s="1"/>
  <c r="T949" i="31"/>
  <c r="P869" i="31"/>
  <c r="F647" i="31"/>
  <c r="R707" i="31"/>
  <c r="F539" i="31"/>
  <c r="F509" i="31"/>
  <c r="L869" i="31"/>
  <c r="L923" i="31"/>
  <c r="R795" i="31"/>
  <c r="V596" i="31"/>
  <c r="V320" i="31"/>
  <c r="F711" i="31"/>
  <c r="V314" i="31"/>
  <c r="L371" i="31"/>
  <c r="P707" i="31"/>
  <c r="L95" i="31"/>
  <c r="V176" i="31"/>
  <c r="H233" i="31"/>
  <c r="P263" i="31"/>
  <c r="V291" i="31"/>
  <c r="P95" i="31"/>
  <c r="V123" i="31"/>
  <c r="N155" i="31"/>
  <c r="J179" i="31"/>
  <c r="F401" i="31"/>
  <c r="V429" i="31"/>
  <c r="V453" i="31"/>
  <c r="J485" i="31"/>
  <c r="N539" i="31"/>
  <c r="F569" i="31"/>
  <c r="F677" i="31"/>
  <c r="V350" i="31"/>
  <c r="P627" i="31"/>
  <c r="P543" i="31"/>
  <c r="F71" i="31"/>
  <c r="N957" i="31"/>
  <c r="N681" i="31"/>
  <c r="J129" i="31"/>
  <c r="T233" i="31"/>
  <c r="R125" i="31"/>
  <c r="V897" i="31"/>
  <c r="V813" i="31"/>
  <c r="V705" i="31"/>
  <c r="R677" i="31"/>
  <c r="V644" i="31"/>
  <c r="R509" i="31"/>
  <c r="V483" i="31"/>
  <c r="V592" i="31"/>
  <c r="R623" i="31"/>
  <c r="H623" i="31"/>
  <c r="T677" i="31"/>
  <c r="V706" i="31"/>
  <c r="V758" i="31"/>
  <c r="V866" i="31"/>
  <c r="P923" i="31"/>
  <c r="F953" i="31"/>
  <c r="F297" i="31"/>
  <c r="R297" i="31"/>
  <c r="P381" i="31"/>
  <c r="V595" i="31"/>
  <c r="V763" i="31"/>
  <c r="J849" i="31"/>
  <c r="V930" i="31"/>
  <c r="V963" i="31"/>
  <c r="V846" i="31"/>
  <c r="P573" i="31"/>
  <c r="P435" i="31"/>
  <c r="F405" i="31"/>
  <c r="V242" i="31"/>
  <c r="V102" i="31"/>
  <c r="V948" i="31"/>
  <c r="L489" i="31"/>
  <c r="H543" i="31"/>
  <c r="V103" i="31"/>
  <c r="T75" i="31"/>
  <c r="J949" i="31"/>
  <c r="V947" i="31"/>
  <c r="R941" i="31"/>
  <c r="V940" i="31"/>
  <c r="H183" i="31"/>
  <c r="V212" i="31"/>
  <c r="P243" i="31"/>
  <c r="V678" i="31"/>
  <c r="V782" i="31"/>
  <c r="V676" i="31"/>
  <c r="V231" i="31"/>
  <c r="J233" i="31"/>
  <c r="H263" i="31"/>
  <c r="V368" i="31"/>
  <c r="V566" i="31"/>
  <c r="T593" i="31"/>
  <c r="N731" i="31"/>
  <c r="V759" i="31"/>
  <c r="V812" i="31"/>
  <c r="R899" i="31"/>
  <c r="P401" i="31"/>
  <c r="V154" i="31"/>
  <c r="V122" i="31"/>
  <c r="V124" i="31"/>
  <c r="N71" i="31"/>
  <c r="R71" i="31"/>
  <c r="N95" i="31"/>
  <c r="V93" i="31"/>
  <c r="P179" i="31"/>
  <c r="V178" i="31"/>
  <c r="T293" i="31"/>
  <c r="V315" i="31"/>
  <c r="R371" i="31"/>
  <c r="H105" i="31"/>
  <c r="L179" i="31"/>
  <c r="R95" i="31"/>
  <c r="R155" i="31"/>
  <c r="V69" i="31"/>
  <c r="H489" i="31"/>
  <c r="AA6" i="27"/>
  <c r="AD14" i="27" s="1"/>
  <c r="V177" i="31"/>
  <c r="V261" i="31"/>
  <c r="V180" i="31"/>
  <c r="V728" i="31"/>
  <c r="V344" i="31"/>
  <c r="AQ5" i="27"/>
  <c r="J865" i="31"/>
  <c r="V428" i="31"/>
  <c r="R151" i="31"/>
  <c r="R121" i="31"/>
  <c r="T941" i="31"/>
  <c r="H949" i="31"/>
  <c r="F125" i="31"/>
  <c r="V871" i="31"/>
  <c r="J455" i="31"/>
  <c r="V68" i="31"/>
  <c r="V921" i="31"/>
  <c r="N815" i="31"/>
  <c r="V783" i="31"/>
  <c r="V674" i="31"/>
  <c r="V536" i="31"/>
  <c r="V508" i="31"/>
  <c r="F485" i="31"/>
  <c r="V538" i="31"/>
  <c r="V590" i="31"/>
  <c r="V645" i="31"/>
  <c r="V704" i="31"/>
  <c r="N845" i="31"/>
  <c r="H179" i="31"/>
  <c r="V152" i="31"/>
  <c r="F845" i="31"/>
  <c r="V867" i="31"/>
  <c r="R923" i="31"/>
  <c r="V951" i="31"/>
  <c r="H297" i="31"/>
  <c r="V319" i="31"/>
  <c r="V434" i="31"/>
  <c r="V488" i="31"/>
  <c r="V542" i="31"/>
  <c r="L573" i="31"/>
  <c r="V572" i="31"/>
  <c r="P597" i="31"/>
  <c r="V594" i="31"/>
  <c r="L597" i="31"/>
  <c r="V624" i="31"/>
  <c r="R711" i="31"/>
  <c r="V733" i="31"/>
  <c r="V734" i="31"/>
  <c r="F735" i="31"/>
  <c r="F765" i="31"/>
  <c r="V793" i="31"/>
  <c r="F873" i="31"/>
  <c r="V932" i="31"/>
  <c r="R957" i="31"/>
  <c r="V954" i="31"/>
  <c r="V901" i="31"/>
  <c r="V792" i="31"/>
  <c r="V654" i="31"/>
  <c r="H597" i="31"/>
  <c r="V540" i="31"/>
  <c r="J519" i="31"/>
  <c r="V516" i="31"/>
  <c r="V486" i="31"/>
  <c r="R381" i="31"/>
  <c r="V349" i="31"/>
  <c r="V294" i="31"/>
  <c r="T267" i="31"/>
  <c r="V240" i="31"/>
  <c r="F213" i="31"/>
  <c r="F183" i="31"/>
  <c r="V126" i="31"/>
  <c r="V104" i="31"/>
  <c r="V73" i="31"/>
  <c r="V938" i="31"/>
  <c r="V348" i="31"/>
  <c r="V379" i="31"/>
  <c r="F519" i="31"/>
  <c r="V570" i="31"/>
  <c r="V655" i="31"/>
  <c r="F681" i="31"/>
  <c r="V817" i="31"/>
  <c r="V848" i="31"/>
  <c r="J735" i="31"/>
  <c r="R597" i="31"/>
  <c r="H267" i="31"/>
  <c r="T129" i="31"/>
  <c r="F159" i="31"/>
  <c r="H243" i="31"/>
  <c r="V266" i="31"/>
  <c r="V456" i="31"/>
  <c r="F623" i="31"/>
  <c r="V232" i="31"/>
  <c r="V230" i="31"/>
  <c r="V262" i="31"/>
  <c r="V292" i="31"/>
  <c r="F317" i="31"/>
  <c r="V345" i="31"/>
  <c r="V369" i="31"/>
  <c r="V452" i="31"/>
  <c r="H539" i="31"/>
  <c r="F899" i="31"/>
  <c r="F923" i="31"/>
  <c r="T155" i="31"/>
  <c r="V153" i="31"/>
  <c r="V70" i="31"/>
  <c r="V92" i="31"/>
  <c r="T95" i="31"/>
  <c r="V94" i="31"/>
  <c r="R179" i="31"/>
  <c r="F209" i="31"/>
  <c r="L209" i="31"/>
  <c r="P233" i="31"/>
  <c r="V260" i="31"/>
  <c r="H293" i="31"/>
  <c r="H371" i="31"/>
  <c r="V843" i="31"/>
  <c r="N455" i="31"/>
  <c r="L657" i="31"/>
  <c r="V518" i="31"/>
  <c r="N381" i="31"/>
  <c r="F321" i="31"/>
  <c r="V241" i="31"/>
  <c r="N819" i="31"/>
  <c r="V206" i="31"/>
  <c r="L175" i="31"/>
  <c r="T481" i="31"/>
  <c r="R83" i="31"/>
  <c r="R673" i="31"/>
  <c r="L305" i="31"/>
  <c r="R293" i="31"/>
  <c r="F371" i="31"/>
  <c r="J105" i="31"/>
  <c r="L293" i="31"/>
  <c r="T347" i="31"/>
  <c r="T29" i="31"/>
  <c r="R301" i="31"/>
  <c r="J217" i="31"/>
  <c r="F573" i="31"/>
  <c r="J293" i="31"/>
  <c r="N371" i="31"/>
  <c r="AO95" i="27"/>
  <c r="AP95" i="27" s="1"/>
  <c r="BE177" i="27"/>
  <c r="BF177" i="27" s="1"/>
  <c r="Y38" i="30"/>
  <c r="N38" i="30"/>
  <c r="AA38" i="30"/>
  <c r="BK398" i="4"/>
  <c r="AF2" i="31"/>
  <c r="BE135" i="27"/>
  <c r="BF135" i="27" s="1"/>
  <c r="U96" i="27"/>
  <c r="G178" i="27"/>
  <c r="BC178" i="27"/>
  <c r="Y55" i="27"/>
  <c r="Z55" i="27" s="1"/>
  <c r="AK13" i="27"/>
  <c r="BE92" i="27"/>
  <c r="BF92" i="27" s="1"/>
  <c r="AK56" i="27"/>
  <c r="W13" i="27"/>
  <c r="BE90" i="27"/>
  <c r="BF90" i="27" s="1"/>
  <c r="N80" i="30"/>
  <c r="Y13" i="30"/>
  <c r="BO218" i="4"/>
  <c r="BP218" i="4" s="1"/>
  <c r="Y176" i="27"/>
  <c r="Z176" i="27" s="1"/>
  <c r="Y172" i="27"/>
  <c r="Z172" i="27" s="1"/>
  <c r="Y51" i="27"/>
  <c r="Z51" i="27" s="1"/>
  <c r="I49" i="27"/>
  <c r="J49" i="27" s="1"/>
  <c r="BE5" i="27"/>
  <c r="BF5" i="27" s="1"/>
  <c r="P45" i="35"/>
  <c r="B53" i="35"/>
  <c r="A67" i="35"/>
  <c r="BJ77" i="4"/>
  <c r="BK77" i="4" s="1"/>
  <c r="BJ134" i="4"/>
  <c r="BK134" i="4" s="1"/>
  <c r="BJ337" i="4"/>
  <c r="BK337" i="4" s="1"/>
  <c r="BJ84" i="4"/>
  <c r="BK84" i="4" s="1"/>
  <c r="BJ136" i="4"/>
  <c r="BK136" i="4" s="1"/>
  <c r="BJ194" i="4"/>
  <c r="BK194" i="4" s="1"/>
  <c r="BJ307" i="4"/>
  <c r="BK307" i="4" s="1"/>
  <c r="BJ206" i="4"/>
  <c r="BK206" i="4" s="1"/>
  <c r="BJ295" i="4"/>
  <c r="BK295" i="4" s="1"/>
  <c r="BJ396" i="4"/>
  <c r="BK396" i="4" s="1"/>
  <c r="BJ361" i="4"/>
  <c r="BK361" i="4" s="1"/>
  <c r="BJ141" i="4"/>
  <c r="BK141" i="4" s="1"/>
  <c r="BJ56" i="4"/>
  <c r="BK56" i="4" s="1"/>
  <c r="BJ167" i="4"/>
  <c r="BK167" i="4" s="1"/>
  <c r="BJ153" i="4"/>
  <c r="BK153" i="4" s="1"/>
  <c r="BJ110" i="4"/>
  <c r="BK110" i="4" s="1"/>
  <c r="BO244" i="4"/>
  <c r="BP244" i="4" s="1"/>
  <c r="AS102" i="27"/>
  <c r="AU125" i="27"/>
  <c r="Y173" i="27"/>
  <c r="Z173" i="27" s="1"/>
  <c r="BJ50" i="4"/>
  <c r="BK50" i="4" s="1"/>
  <c r="BJ371" i="4"/>
  <c r="BK371" i="4" s="1"/>
  <c r="BJ156" i="4"/>
  <c r="BK156" i="4" s="1"/>
  <c r="BJ395" i="4"/>
  <c r="BK395" i="4" s="1"/>
  <c r="BJ286" i="4"/>
  <c r="BK286" i="4" s="1"/>
  <c r="BJ385" i="4"/>
  <c r="BK385" i="4" s="1"/>
  <c r="BJ140" i="4"/>
  <c r="BK140" i="4" s="1"/>
  <c r="BJ39" i="4"/>
  <c r="BK39" i="4" s="1"/>
  <c r="BJ229" i="4"/>
  <c r="BK229" i="4" s="1"/>
  <c r="BJ409" i="4"/>
  <c r="BK409" i="4" s="1"/>
  <c r="BJ185" i="4"/>
  <c r="BK185" i="4" s="1"/>
  <c r="BJ316" i="4"/>
  <c r="BK316" i="4" s="1"/>
  <c r="BJ351" i="4"/>
  <c r="BK351" i="4" s="1"/>
  <c r="BJ30" i="4"/>
  <c r="BK30" i="4" s="1"/>
  <c r="BJ143" i="4"/>
  <c r="BK143" i="4" s="1"/>
  <c r="BJ290" i="4"/>
  <c r="BK290" i="4" s="1"/>
  <c r="BJ250" i="4"/>
  <c r="BK250" i="4" s="1"/>
  <c r="BJ111" i="4"/>
  <c r="BK111" i="4" s="1"/>
  <c r="BJ313" i="4"/>
  <c r="BK313" i="4" s="1"/>
  <c r="BJ204" i="4"/>
  <c r="BK204" i="4" s="1"/>
  <c r="BJ70" i="4"/>
  <c r="BK70" i="4" s="1"/>
  <c r="BJ122" i="4"/>
  <c r="BK122" i="4" s="1"/>
  <c r="BJ114" i="4"/>
  <c r="BK114" i="4" s="1"/>
  <c r="BJ350" i="4"/>
  <c r="BK350" i="4" s="1"/>
  <c r="BJ297" i="4"/>
  <c r="BK297" i="4" s="1"/>
  <c r="BJ243" i="4"/>
  <c r="BK243" i="4" s="1"/>
  <c r="BJ233" i="4"/>
  <c r="BK233" i="4" s="1"/>
  <c r="BJ403" i="4"/>
  <c r="BJ264" i="4"/>
  <c r="BK264" i="4" s="1"/>
  <c r="BK408" i="4"/>
  <c r="BA178" i="27"/>
  <c r="BA137" i="27"/>
  <c r="BE55" i="27"/>
  <c r="BF55" i="27" s="1"/>
  <c r="AO49" i="27"/>
  <c r="AP49" i="27" s="1"/>
  <c r="AO5" i="27"/>
  <c r="Y7" i="27"/>
  <c r="Z7" i="27" s="1"/>
  <c r="I7" i="27"/>
  <c r="J7" i="27" s="1"/>
  <c r="Y9" i="27"/>
  <c r="Z9" i="27" s="1"/>
  <c r="E38" i="30"/>
  <c r="BE49" i="27"/>
  <c r="BF49" i="27" s="1"/>
  <c r="U47" i="30"/>
  <c r="J68" i="30"/>
  <c r="H63" i="30"/>
  <c r="AE23" i="35"/>
  <c r="Q31" i="35"/>
  <c r="BJ401" i="4"/>
  <c r="BK401" i="4" s="1"/>
  <c r="BJ190" i="4"/>
  <c r="BK190" i="4" s="1"/>
  <c r="BJ184" i="4"/>
  <c r="BK184" i="4" s="1"/>
  <c r="BJ367" i="4"/>
  <c r="BK367" i="4" s="1"/>
  <c r="BJ207" i="4"/>
  <c r="BK207" i="4" s="1"/>
  <c r="BJ217" i="4"/>
  <c r="BK217" i="4" s="1"/>
  <c r="BJ126" i="4"/>
  <c r="BK126" i="4" s="1"/>
  <c r="BJ354" i="4"/>
  <c r="BK354" i="4" s="1"/>
  <c r="BJ377" i="4"/>
  <c r="BK377" i="4" s="1"/>
  <c r="BJ146" i="4"/>
  <c r="BK146" i="4" s="1"/>
  <c r="BJ188" i="4"/>
  <c r="BK188" i="4" s="1"/>
  <c r="BJ62" i="4"/>
  <c r="BK62" i="4" s="1"/>
  <c r="BJ335" i="4"/>
  <c r="BK335" i="4" s="1"/>
  <c r="BJ95" i="4"/>
  <c r="BK95" i="4" s="1"/>
  <c r="BJ381" i="4"/>
  <c r="BK381" i="4" s="1"/>
  <c r="BJ127" i="4"/>
  <c r="BK127" i="4" s="1"/>
  <c r="BJ212" i="4"/>
  <c r="BK212" i="4" s="1"/>
  <c r="G56" i="27"/>
  <c r="AQ26" i="30"/>
  <c r="AO42" i="30" s="1"/>
  <c r="AD42" i="30"/>
  <c r="AC143" i="27"/>
  <c r="AE166" i="27"/>
  <c r="AC184" i="27" s="1"/>
  <c r="BJ203" i="4"/>
  <c r="BK203" i="4" s="1"/>
  <c r="BJ121" i="4"/>
  <c r="BK121" i="4" s="1"/>
  <c r="BJ249" i="4"/>
  <c r="BK249" i="4" s="1"/>
  <c r="BJ309" i="4"/>
  <c r="BK309" i="4" s="1"/>
  <c r="BJ368" i="4"/>
  <c r="BK368" i="4" s="1"/>
  <c r="BJ120" i="4"/>
  <c r="BK120" i="4" s="1"/>
  <c r="BJ23" i="4"/>
  <c r="BK23" i="4" s="1"/>
  <c r="BJ129" i="4"/>
  <c r="BK129" i="4" s="1"/>
  <c r="BJ181" i="4"/>
  <c r="BK181" i="4" s="1"/>
  <c r="BJ281" i="4"/>
  <c r="BK281" i="4" s="1"/>
  <c r="BJ37" i="4"/>
  <c r="BK37" i="4" s="1"/>
  <c r="BJ196" i="4"/>
  <c r="BK196" i="4" s="1"/>
  <c r="BJ340" i="4"/>
  <c r="BK340" i="4" s="1"/>
  <c r="BJ53" i="4"/>
  <c r="BK53" i="4" s="1"/>
  <c r="BJ268" i="4"/>
  <c r="BK268" i="4" s="1"/>
  <c r="BJ209" i="4"/>
  <c r="BK209" i="4" s="1"/>
  <c r="BJ239" i="4"/>
  <c r="BK239" i="4" s="1"/>
  <c r="P371" i="31"/>
  <c r="T761" i="31"/>
  <c r="P459" i="31"/>
  <c r="P129" i="31"/>
  <c r="N489" i="31"/>
  <c r="P183" i="31"/>
  <c r="N711" i="31"/>
  <c r="H573" i="31"/>
  <c r="H209" i="31"/>
  <c r="L731" i="31"/>
  <c r="L455" i="31"/>
  <c r="L761" i="31"/>
  <c r="T891" i="31"/>
  <c r="P703" i="31"/>
  <c r="J427" i="31"/>
  <c r="H401" i="31"/>
  <c r="N899" i="31"/>
  <c r="N627" i="31"/>
  <c r="J933" i="31"/>
  <c r="L75" i="31"/>
  <c r="N597" i="31"/>
  <c r="L941" i="31"/>
  <c r="T371" i="31"/>
  <c r="J371" i="31"/>
  <c r="J209" i="31"/>
  <c r="K90" i="27"/>
  <c r="O97" i="27" s="1"/>
  <c r="P731" i="31"/>
  <c r="F431" i="31"/>
  <c r="V922" i="31"/>
  <c r="J953" i="31"/>
  <c r="H519" i="31"/>
  <c r="T815" i="31"/>
  <c r="H121" i="31"/>
  <c r="R17" i="31"/>
  <c r="R953" i="31"/>
  <c r="N233" i="31"/>
  <c r="N263" i="31"/>
  <c r="R317" i="31"/>
  <c r="AA11" i="27"/>
  <c r="T753" i="31"/>
  <c r="L133" i="31"/>
  <c r="H785" i="31"/>
  <c r="H941" i="31"/>
  <c r="T263" i="31"/>
  <c r="J347" i="31"/>
  <c r="R209" i="31"/>
  <c r="N335" i="31"/>
  <c r="P795" i="31"/>
  <c r="J163" i="31"/>
  <c r="L785" i="31"/>
  <c r="L569" i="31"/>
  <c r="R187" i="31"/>
  <c r="V729" i="31"/>
  <c r="L271" i="31"/>
  <c r="T899" i="31"/>
  <c r="L953" i="31"/>
  <c r="H381" i="31"/>
  <c r="H435" i="31"/>
  <c r="H657" i="31"/>
  <c r="T819" i="31"/>
  <c r="R849" i="31"/>
  <c r="P849" i="31"/>
  <c r="J873" i="31"/>
  <c r="T965" i="31"/>
  <c r="J965" i="31"/>
  <c r="F435" i="31"/>
  <c r="H405" i="31"/>
  <c r="N159" i="31"/>
  <c r="P75" i="31"/>
  <c r="N75" i="31"/>
  <c r="F105" i="31"/>
  <c r="P105" i="31"/>
  <c r="H75" i="31"/>
  <c r="J159" i="31"/>
  <c r="T681" i="31"/>
  <c r="L263" i="31"/>
  <c r="J317" i="31"/>
  <c r="P71" i="31"/>
  <c r="F17" i="31"/>
  <c r="R37" i="31"/>
  <c r="V26" i="31"/>
  <c r="L151" i="31"/>
  <c r="V842" i="31"/>
  <c r="P351" i="31"/>
  <c r="L183" i="31"/>
  <c r="T397" i="31"/>
  <c r="K88" i="27"/>
  <c r="M97" i="27" s="1"/>
  <c r="P29" i="31"/>
  <c r="T777" i="31"/>
  <c r="P151" i="31"/>
  <c r="P67" i="31"/>
  <c r="K95" i="27"/>
  <c r="J891" i="31"/>
  <c r="J945" i="31"/>
  <c r="T259" i="31"/>
  <c r="P431" i="31"/>
  <c r="V482" i="31"/>
  <c r="V814" i="31"/>
  <c r="T543" i="31"/>
  <c r="N933" i="31"/>
  <c r="R731" i="31"/>
  <c r="L163" i="31"/>
  <c r="H79" i="31"/>
  <c r="L539" i="31"/>
  <c r="V920" i="31"/>
  <c r="P681" i="31"/>
  <c r="J765" i="31"/>
  <c r="N321" i="31"/>
  <c r="J405" i="31"/>
  <c r="J657" i="31"/>
  <c r="T711" i="31"/>
  <c r="R213" i="31"/>
  <c r="N293" i="31"/>
  <c r="P293" i="31"/>
  <c r="H923" i="31"/>
  <c r="H969" i="31"/>
  <c r="T535" i="31"/>
  <c r="P623" i="31"/>
  <c r="R539" i="31"/>
  <c r="J401" i="31"/>
  <c r="P677" i="31"/>
  <c r="F815" i="31"/>
  <c r="H459" i="31"/>
  <c r="R347" i="31"/>
  <c r="AA51" i="27"/>
  <c r="AC58" i="27" s="1"/>
  <c r="N221" i="31"/>
  <c r="V244" i="31"/>
  <c r="V162" i="31"/>
  <c r="F79" i="31"/>
  <c r="P109" i="31"/>
  <c r="H133" i="31"/>
  <c r="V730" i="31"/>
  <c r="J647" i="31"/>
  <c r="P569" i="31"/>
  <c r="J509" i="31"/>
  <c r="T647" i="31"/>
  <c r="R647" i="31"/>
  <c r="L677" i="31"/>
  <c r="L707" i="31"/>
  <c r="T707" i="31"/>
  <c r="N707" i="31"/>
  <c r="J761" i="31"/>
  <c r="H845" i="31"/>
  <c r="F869" i="31"/>
  <c r="L899" i="31"/>
  <c r="N923" i="31"/>
  <c r="H953" i="31"/>
  <c r="N297" i="31"/>
  <c r="N351" i="31"/>
  <c r="T381" i="31"/>
  <c r="L381" i="31"/>
  <c r="R405" i="31"/>
  <c r="V517" i="31"/>
  <c r="T519" i="31"/>
  <c r="P519" i="31"/>
  <c r="H627" i="31"/>
  <c r="H711" i="31"/>
  <c r="L735" i="31"/>
  <c r="H765" i="31"/>
  <c r="P765" i="31"/>
  <c r="L849" i="31"/>
  <c r="R903" i="31"/>
  <c r="N903" i="31"/>
  <c r="H933" i="31"/>
  <c r="H957" i="31"/>
  <c r="R965" i="31"/>
  <c r="L819" i="31"/>
  <c r="J321" i="31"/>
  <c r="T243" i="31"/>
  <c r="T159" i="31"/>
  <c r="R129" i="31"/>
  <c r="L105" i="31"/>
  <c r="R75" i="31"/>
  <c r="F941" i="31"/>
  <c r="P941" i="31"/>
  <c r="L405" i="31"/>
  <c r="T435" i="31"/>
  <c r="J459" i="31"/>
  <c r="V128" i="31"/>
  <c r="R949" i="31"/>
  <c r="L949" i="31"/>
  <c r="P213" i="31"/>
  <c r="J267" i="31"/>
  <c r="R459" i="31"/>
  <c r="R845" i="31"/>
  <c r="P485" i="31"/>
  <c r="R233" i="31"/>
  <c r="F293" i="31"/>
  <c r="V316" i="31"/>
  <c r="V346" i="31"/>
  <c r="V370" i="31"/>
  <c r="R485" i="31"/>
  <c r="P317" i="31"/>
  <c r="T209" i="31"/>
  <c r="F45" i="31"/>
  <c r="X96" i="27"/>
  <c r="P217" i="31"/>
  <c r="V36" i="31"/>
  <c r="R619" i="31"/>
  <c r="F205" i="31"/>
  <c r="R753" i="31"/>
  <c r="H29" i="31"/>
  <c r="T781" i="31"/>
  <c r="J451" i="31"/>
  <c r="P289" i="31"/>
  <c r="P175" i="31"/>
  <c r="R831" i="31"/>
  <c r="H481" i="31"/>
  <c r="J727" i="31"/>
  <c r="L25" i="31"/>
  <c r="N49" i="31"/>
  <c r="N367" i="31"/>
  <c r="R205" i="31"/>
  <c r="L343" i="31"/>
  <c r="P33" i="31"/>
  <c r="L519" i="31"/>
  <c r="R45" i="31"/>
  <c r="V15" i="31"/>
  <c r="L45" i="31"/>
  <c r="F37" i="31"/>
  <c r="V77" i="31"/>
  <c r="V902" i="31"/>
  <c r="P489" i="31"/>
  <c r="V296" i="31"/>
  <c r="V157" i="31"/>
  <c r="N129" i="31"/>
  <c r="L159" i="31"/>
  <c r="N163" i="31"/>
  <c r="J263" i="31"/>
  <c r="T643" i="31"/>
  <c r="P37" i="31"/>
  <c r="J919" i="31"/>
  <c r="F13" i="30"/>
  <c r="I8" i="30" s="1"/>
  <c r="K92" i="27"/>
  <c r="T693" i="31"/>
  <c r="H17" i="31"/>
  <c r="P13" i="31"/>
  <c r="R669" i="31"/>
  <c r="N777" i="31"/>
  <c r="R807" i="31"/>
  <c r="T915" i="31"/>
  <c r="N915" i="31"/>
  <c r="L903" i="31"/>
  <c r="T289" i="31"/>
  <c r="N919" i="31"/>
  <c r="J669" i="31"/>
  <c r="L915" i="31"/>
  <c r="L945" i="31"/>
  <c r="V214" i="31"/>
  <c r="R427" i="31"/>
  <c r="L229" i="31"/>
  <c r="R505" i="31"/>
  <c r="F41" i="31"/>
  <c r="L29" i="31"/>
  <c r="H677" i="31"/>
  <c r="H731" i="31"/>
  <c r="H815" i="31"/>
  <c r="P593" i="31"/>
  <c r="F933" i="31"/>
  <c r="P965" i="31"/>
  <c r="T359" i="31"/>
  <c r="R431" i="31"/>
  <c r="P267" i="31"/>
  <c r="H873" i="31"/>
  <c r="F129" i="31"/>
  <c r="P209" i="31"/>
  <c r="T71" i="31"/>
  <c r="K10" i="27"/>
  <c r="O15" i="27" s="1"/>
  <c r="N41" i="31"/>
  <c r="T447" i="31"/>
  <c r="R577" i="31"/>
  <c r="P275" i="31"/>
  <c r="V184" i="31"/>
  <c r="P163" i="31"/>
  <c r="T133" i="31"/>
  <c r="J815" i="31"/>
  <c r="V760" i="31"/>
  <c r="N677" i="31"/>
  <c r="H647" i="31"/>
  <c r="N247" i="31"/>
  <c r="V507" i="31"/>
  <c r="J845" i="31"/>
  <c r="T869" i="31"/>
  <c r="V708" i="31"/>
  <c r="P949" i="31"/>
  <c r="R869" i="31"/>
  <c r="J389" i="31"/>
  <c r="J251" i="31"/>
  <c r="R335" i="31"/>
  <c r="T823" i="31"/>
  <c r="P79" i="31"/>
  <c r="L777" i="31"/>
  <c r="H915" i="31"/>
  <c r="L773" i="31"/>
  <c r="J275" i="31"/>
  <c r="N359" i="31"/>
  <c r="R477" i="31"/>
  <c r="R109" i="31"/>
  <c r="P899" i="31"/>
  <c r="J623" i="31"/>
  <c r="J271" i="31"/>
  <c r="T401" i="31"/>
  <c r="J431" i="31"/>
  <c r="F455" i="31"/>
  <c r="H509" i="31"/>
  <c r="R815" i="31"/>
  <c r="H351" i="31"/>
  <c r="J435" i="31"/>
  <c r="L459" i="31"/>
  <c r="T489" i="31"/>
  <c r="J543" i="31"/>
  <c r="R543" i="31"/>
  <c r="P657" i="31"/>
  <c r="R735" i="31"/>
  <c r="N765" i="31"/>
  <c r="J795" i="31"/>
  <c r="V900" i="31"/>
  <c r="T903" i="31"/>
  <c r="N243" i="31"/>
  <c r="R105" i="31"/>
  <c r="N949" i="31"/>
  <c r="N941" i="31"/>
  <c r="L167" i="31"/>
  <c r="T221" i="31"/>
  <c r="N275" i="31"/>
  <c r="J201" i="31"/>
  <c r="T125" i="31"/>
  <c r="T355" i="31"/>
  <c r="T217" i="31"/>
  <c r="H217" i="31"/>
  <c r="H163" i="31"/>
  <c r="R133" i="31"/>
  <c r="P133" i="31"/>
  <c r="T109" i="31"/>
  <c r="V132" i="31"/>
  <c r="V106" i="31"/>
  <c r="F133" i="31"/>
  <c r="V186" i="31"/>
  <c r="R785" i="31"/>
  <c r="N761" i="31"/>
  <c r="H569" i="31"/>
  <c r="V506" i="31"/>
  <c r="T96" i="27"/>
  <c r="L37" i="31"/>
  <c r="V16" i="31"/>
  <c r="N841" i="31"/>
  <c r="H56" i="27"/>
  <c r="V216" i="31"/>
  <c r="V215" i="31"/>
  <c r="N271" i="31"/>
  <c r="V270" i="31"/>
  <c r="P325" i="31"/>
  <c r="N463" i="31"/>
  <c r="V484" i="31"/>
  <c r="P509" i="31"/>
  <c r="V537" i="31"/>
  <c r="V567" i="31"/>
  <c r="H593" i="31"/>
  <c r="V621" i="31"/>
  <c r="N647" i="31"/>
  <c r="V646" i="31"/>
  <c r="F707" i="31"/>
  <c r="R761" i="31"/>
  <c r="T785" i="31"/>
  <c r="F785" i="31"/>
  <c r="L815" i="31"/>
  <c r="P845" i="31"/>
  <c r="V896" i="31"/>
  <c r="H899" i="31"/>
  <c r="P335" i="31"/>
  <c r="V458" i="31"/>
  <c r="N519" i="31"/>
  <c r="V541" i="31"/>
  <c r="F597" i="31"/>
  <c r="R657" i="31"/>
  <c r="V679" i="31"/>
  <c r="J711" i="31"/>
  <c r="V764" i="31"/>
  <c r="T765" i="31"/>
  <c r="L795" i="31"/>
  <c r="T795" i="31"/>
  <c r="V816" i="31"/>
  <c r="N849" i="31"/>
  <c r="P903" i="31"/>
  <c r="V931" i="31"/>
  <c r="T957" i="31"/>
  <c r="V956" i="31"/>
  <c r="N965" i="31"/>
  <c r="T627" i="31"/>
  <c r="N573" i="31"/>
  <c r="N459" i="31"/>
  <c r="L435" i="31"/>
  <c r="V404" i="31"/>
  <c r="J351" i="31"/>
  <c r="R321" i="31"/>
  <c r="J297" i="31"/>
  <c r="L297" i="31"/>
  <c r="N267" i="31"/>
  <c r="V211" i="31"/>
  <c r="V181" i="31"/>
  <c r="H129" i="31"/>
  <c r="N105" i="31"/>
  <c r="J941" i="31"/>
  <c r="T321" i="31"/>
  <c r="P405" i="31"/>
  <c r="N435" i="31"/>
  <c r="F459" i="31"/>
  <c r="R489" i="31"/>
  <c r="J573" i="31"/>
  <c r="T597" i="31"/>
  <c r="V625" i="31"/>
  <c r="V656" i="31"/>
  <c r="J681" i="31"/>
  <c r="T873" i="31"/>
  <c r="V955" i="31"/>
  <c r="V403" i="31"/>
  <c r="V74" i="31"/>
  <c r="V946" i="31"/>
  <c r="H159" i="31"/>
  <c r="R159" i="31"/>
  <c r="N183" i="31"/>
  <c r="L213" i="31"/>
  <c r="V265" i="31"/>
  <c r="N543" i="31"/>
  <c r="H681" i="31"/>
  <c r="T509" i="31"/>
  <c r="J707" i="31"/>
  <c r="T845" i="31"/>
  <c r="J155" i="31"/>
  <c r="R263" i="31"/>
  <c r="H347" i="31"/>
  <c r="L619" i="31"/>
  <c r="L589" i="31"/>
  <c r="L481" i="31"/>
  <c r="V43" i="31"/>
  <c r="J45" i="31"/>
  <c r="N29" i="31"/>
  <c r="N37" i="31"/>
  <c r="R757" i="31"/>
  <c r="T895" i="31"/>
  <c r="T121" i="31"/>
  <c r="AA95" i="27"/>
  <c r="AD99" i="27" s="1"/>
  <c r="L693" i="31"/>
  <c r="L891" i="31"/>
  <c r="N891" i="31"/>
  <c r="J915" i="31"/>
  <c r="V398" i="31"/>
  <c r="P45" i="31"/>
  <c r="V571" i="31"/>
  <c r="V457" i="31"/>
  <c r="V432" i="31"/>
  <c r="V264" i="31"/>
  <c r="J899" i="31"/>
  <c r="V844" i="31"/>
  <c r="L647" i="31"/>
  <c r="T689" i="31"/>
  <c r="P773" i="31"/>
  <c r="J803" i="31"/>
  <c r="P887" i="31"/>
  <c r="P957" i="31"/>
  <c r="V136" i="31"/>
  <c r="J167" i="31"/>
  <c r="R251" i="31"/>
  <c r="P359" i="31"/>
  <c r="L247" i="31"/>
  <c r="P961" i="31"/>
  <c r="F957" i="31"/>
  <c r="L243" i="31"/>
  <c r="L347" i="31"/>
  <c r="N781" i="31"/>
  <c r="P367" i="31"/>
  <c r="H289" i="31"/>
  <c r="R259" i="31"/>
  <c r="J151" i="31"/>
  <c r="D96" i="27"/>
  <c r="K48" i="27"/>
  <c r="M57" i="27" s="1"/>
  <c r="T13" i="31"/>
  <c r="L723" i="31"/>
  <c r="P777" i="31"/>
  <c r="T807" i="31"/>
  <c r="P807" i="31"/>
  <c r="P831" i="31"/>
  <c r="P891" i="31"/>
  <c r="N657" i="31"/>
  <c r="L543" i="31"/>
  <c r="V318" i="31"/>
  <c r="V898" i="31"/>
  <c r="T531" i="31"/>
  <c r="L831" i="31"/>
  <c r="L957" i="31"/>
  <c r="L197" i="31"/>
  <c r="T213" i="31"/>
  <c r="H669" i="31"/>
  <c r="P669" i="31"/>
  <c r="N753" i="31"/>
  <c r="T861" i="31"/>
  <c r="R915" i="31"/>
  <c r="T13" i="27"/>
  <c r="L137" i="31"/>
  <c r="P221" i="31"/>
  <c r="H335" i="31"/>
  <c r="P493" i="31"/>
  <c r="L643" i="31"/>
  <c r="F25" i="31"/>
  <c r="J41" i="31"/>
  <c r="R451" i="31"/>
  <c r="R693" i="31"/>
  <c r="T17" i="31"/>
  <c r="T749" i="31"/>
  <c r="T305" i="31"/>
  <c r="N305" i="31"/>
  <c r="J141" i="31"/>
  <c r="F601" i="31"/>
  <c r="F543" i="31"/>
  <c r="H13" i="31"/>
  <c r="N213" i="31"/>
  <c r="K89" i="27"/>
  <c r="N97" i="27" s="1"/>
  <c r="L409" i="31"/>
  <c r="R385" i="31"/>
  <c r="V28" i="31"/>
  <c r="H577" i="31"/>
  <c r="P841" i="31"/>
  <c r="L313" i="31"/>
  <c r="H313" i="31"/>
  <c r="N259" i="31"/>
  <c r="R229" i="31"/>
  <c r="H229" i="31"/>
  <c r="N205" i="31"/>
  <c r="V150" i="31"/>
  <c r="N67" i="31"/>
  <c r="N589" i="31"/>
  <c r="T727" i="31"/>
  <c r="K136" i="27"/>
  <c r="H187" i="31"/>
  <c r="R401" i="31"/>
  <c r="H485" i="31"/>
  <c r="N509" i="31"/>
  <c r="R569" i="31"/>
  <c r="N569" i="31"/>
  <c r="H409" i="31"/>
  <c r="J627" i="31"/>
  <c r="F271" i="31"/>
  <c r="F109" i="31"/>
  <c r="V156" i="31"/>
  <c r="L873" i="31"/>
  <c r="R631" i="31"/>
  <c r="F945" i="31"/>
  <c r="J75" i="31"/>
  <c r="V295" i="31"/>
  <c r="K8" i="27"/>
  <c r="M15" i="27" s="1"/>
  <c r="R25" i="31"/>
  <c r="AQ51" i="27"/>
  <c r="AS58" i="27" s="1"/>
  <c r="T37" i="31"/>
  <c r="T551" i="31"/>
  <c r="T581" i="31"/>
  <c r="P749" i="31"/>
  <c r="H803" i="31"/>
  <c r="N911" i="31"/>
  <c r="V762" i="31"/>
  <c r="V962" i="31"/>
  <c r="F849" i="31"/>
  <c r="T657" i="31"/>
  <c r="V732" i="31"/>
  <c r="P389" i="31"/>
  <c r="L443" i="31"/>
  <c r="J473" i="31"/>
  <c r="J719" i="31"/>
  <c r="L803" i="31"/>
  <c r="N827" i="31"/>
  <c r="L887" i="31"/>
  <c r="L911" i="31"/>
  <c r="T493" i="31"/>
  <c r="T623" i="31"/>
  <c r="R593" i="31"/>
  <c r="L485" i="31"/>
  <c r="T485" i="31"/>
  <c r="J539" i="31"/>
  <c r="P539" i="31"/>
  <c r="N593" i="31"/>
  <c r="P815" i="31"/>
  <c r="H869" i="31"/>
  <c r="V23" i="31"/>
  <c r="N13" i="31"/>
  <c r="H96" i="27"/>
  <c r="H493" i="31"/>
  <c r="R523" i="31"/>
  <c r="H555" i="31"/>
  <c r="F831" i="31"/>
  <c r="V630" i="31"/>
  <c r="J439" i="31"/>
  <c r="H439" i="31"/>
  <c r="R409" i="31"/>
  <c r="V383" i="31"/>
  <c r="L325" i="31"/>
  <c r="P301" i="31"/>
  <c r="V130" i="31"/>
  <c r="T79" i="31"/>
  <c r="R79" i="31"/>
  <c r="N547" i="31"/>
  <c r="L359" i="31"/>
  <c r="V82" i="31"/>
  <c r="N83" i="31"/>
  <c r="R519" i="31"/>
  <c r="R627" i="31"/>
  <c r="V680" i="31"/>
  <c r="R681" i="31"/>
  <c r="P711" i="31"/>
  <c r="N735" i="31"/>
  <c r="T735" i="31"/>
  <c r="H795" i="31"/>
  <c r="F795" i="31"/>
  <c r="F819" i="31"/>
  <c r="V847" i="31"/>
  <c r="V870" i="31"/>
  <c r="H903" i="31"/>
  <c r="L965" i="31"/>
  <c r="V964" i="31"/>
  <c r="R435" i="31"/>
  <c r="V380" i="31"/>
  <c r="H321" i="31"/>
  <c r="R243" i="31"/>
  <c r="V127" i="31"/>
  <c r="L627" i="31"/>
  <c r="F903" i="31"/>
  <c r="T183" i="31"/>
  <c r="V158" i="31"/>
  <c r="F267" i="31"/>
  <c r="V290" i="31"/>
  <c r="J593" i="31"/>
  <c r="H707" i="31"/>
  <c r="F233" i="31"/>
  <c r="F155" i="31"/>
  <c r="H95" i="31"/>
  <c r="V210" i="31"/>
  <c r="J819" i="31"/>
  <c r="H317" i="31"/>
  <c r="BC137" i="27"/>
  <c r="AO136" i="27"/>
  <c r="AP136" i="27" s="1"/>
  <c r="Y134" i="27"/>
  <c r="Z134" i="27" s="1"/>
  <c r="W137" i="27"/>
  <c r="BE91" i="27"/>
  <c r="BF91" i="27" s="1"/>
  <c r="G96" i="27"/>
  <c r="AO54" i="27"/>
  <c r="AP54" i="27" s="1"/>
  <c r="BE12" i="27"/>
  <c r="BF12" i="27" s="1"/>
  <c r="AO12" i="27"/>
  <c r="AP12" i="27" s="1"/>
  <c r="AM137" i="27"/>
  <c r="S13" i="27"/>
  <c r="AO172" i="27"/>
  <c r="AO174" i="27"/>
  <c r="AP174" i="27" s="1"/>
  <c r="N13" i="30"/>
  <c r="C13" i="30"/>
  <c r="AI178" i="27"/>
  <c r="AO134" i="27"/>
  <c r="AP134" i="27" s="1"/>
  <c r="Y130" i="27"/>
  <c r="Z130" i="27" s="1"/>
  <c r="I129" i="27"/>
  <c r="J129" i="27" s="1"/>
  <c r="I92" i="27"/>
  <c r="J92" i="27" s="1"/>
  <c r="BE53" i="27"/>
  <c r="BF53" i="27" s="1"/>
  <c r="I55" i="27"/>
  <c r="J55" i="27" s="1"/>
  <c r="I53" i="27"/>
  <c r="J53" i="27" s="1"/>
  <c r="I51" i="27"/>
  <c r="J51" i="27" s="1"/>
  <c r="AO50" i="27"/>
  <c r="AP50" i="27" s="1"/>
  <c r="AI56" i="27"/>
  <c r="W56" i="27"/>
  <c r="Y11" i="27"/>
  <c r="Z11" i="27" s="1"/>
  <c r="W178" i="27"/>
  <c r="Y170" i="27"/>
  <c r="Z170" i="27" s="1"/>
  <c r="AF7" i="31"/>
  <c r="AF8" i="31"/>
  <c r="AF9" i="31"/>
  <c r="AF10" i="31"/>
  <c r="I176" i="27"/>
  <c r="J176" i="27" s="1"/>
  <c r="AL101" i="30"/>
  <c r="AL59" i="30"/>
  <c r="N101" i="30"/>
  <c r="G13" i="27"/>
  <c r="BO307" i="4"/>
  <c r="BP307" i="4" s="1"/>
  <c r="BO157" i="4"/>
  <c r="BP157" i="4" s="1"/>
  <c r="BO272" i="4"/>
  <c r="BP272" i="4" s="1"/>
  <c r="BO66" i="4"/>
  <c r="BP66" i="4" s="1"/>
  <c r="BO375" i="4"/>
  <c r="BP375" i="4" s="1"/>
  <c r="BO82" i="4"/>
  <c r="BP82" i="4" s="1"/>
  <c r="BO315" i="4"/>
  <c r="BP315" i="4" s="1"/>
  <c r="BO225" i="4"/>
  <c r="BP225" i="4" s="1"/>
  <c r="BO59" i="4"/>
  <c r="BP59" i="4" s="1"/>
  <c r="BO328" i="4"/>
  <c r="BP328" i="4" s="1"/>
  <c r="BO114" i="4"/>
  <c r="BP114" i="4" s="1"/>
  <c r="BO44" i="4"/>
  <c r="BP44" i="4" s="1"/>
  <c r="BO362" i="4"/>
  <c r="BP362" i="4" s="1"/>
  <c r="BO361" i="4"/>
  <c r="BO304" i="4"/>
  <c r="BP304" i="4" s="1"/>
  <c r="BO117" i="4"/>
  <c r="BP117" i="4" s="1"/>
  <c r="BO266" i="4"/>
  <c r="BP266" i="4" s="1"/>
  <c r="BO179" i="4"/>
  <c r="BP179" i="4" s="1"/>
  <c r="BO143" i="4"/>
  <c r="BP143" i="4" s="1"/>
  <c r="BO20" i="4"/>
  <c r="BP20" i="4" s="1"/>
  <c r="BO198" i="4"/>
  <c r="BP198" i="4" s="1"/>
  <c r="BO153" i="4"/>
  <c r="BP153" i="4" s="1"/>
  <c r="BO285" i="4"/>
  <c r="BP285" i="4" s="1"/>
  <c r="BO214" i="4"/>
  <c r="BP214" i="4" s="1"/>
  <c r="BO137" i="4"/>
  <c r="BP137" i="4" s="1"/>
  <c r="BO35" i="4"/>
  <c r="BP35" i="4" s="1"/>
  <c r="BO303" i="4"/>
  <c r="BP303" i="4" s="1"/>
  <c r="BO313" i="4"/>
  <c r="BP313" i="4" s="1"/>
  <c r="BO219" i="4"/>
  <c r="BP219" i="4" s="1"/>
  <c r="BO376" i="4"/>
  <c r="BP376" i="4" s="1"/>
  <c r="BO383" i="4"/>
  <c r="BP383" i="4" s="1"/>
  <c r="BO283" i="4"/>
  <c r="BP283" i="4" s="1"/>
  <c r="BO95" i="4"/>
  <c r="BP95" i="4" s="1"/>
  <c r="BO22" i="4"/>
  <c r="BP22" i="4" s="1"/>
  <c r="BO213" i="4"/>
  <c r="BP213" i="4" s="1"/>
  <c r="BO55" i="4"/>
  <c r="BP55" i="4" s="1"/>
  <c r="BO109" i="4"/>
  <c r="BP109" i="4" s="1"/>
  <c r="BO189" i="4"/>
  <c r="BP189" i="4" s="1"/>
  <c r="BO206" i="4"/>
  <c r="BP206" i="4" s="1"/>
  <c r="BO271" i="4"/>
  <c r="BP271" i="4" s="1"/>
  <c r="BO281" i="4"/>
  <c r="BP281" i="4" s="1"/>
  <c r="BO221" i="4"/>
  <c r="BP221" i="4" s="1"/>
  <c r="BO270" i="4"/>
  <c r="BP270" i="4" s="1"/>
  <c r="BO207" i="4"/>
  <c r="BP207" i="4" s="1"/>
  <c r="BO18" i="4"/>
  <c r="BP18" i="4" s="1"/>
  <c r="BO251" i="4"/>
  <c r="BP251" i="4" s="1"/>
  <c r="BO56" i="4"/>
  <c r="BP56" i="4" s="1"/>
  <c r="BO32" i="4"/>
  <c r="BP32" i="4" s="1"/>
  <c r="BO357" i="4"/>
  <c r="BO295" i="4"/>
  <c r="BP295" i="4" s="1"/>
  <c r="BO334" i="4"/>
  <c r="BP334" i="4" s="1"/>
  <c r="BO243" i="4"/>
  <c r="BP243" i="4" s="1"/>
  <c r="BO222" i="4"/>
  <c r="BP222" i="4" s="1"/>
  <c r="BO141" i="4"/>
  <c r="BP141" i="4" s="1"/>
  <c r="BO91" i="4"/>
  <c r="BP91" i="4" s="1"/>
  <c r="BO280" i="4"/>
  <c r="BP280" i="4" s="1"/>
  <c r="BO381" i="4"/>
  <c r="BP381" i="4" s="1"/>
  <c r="BO21" i="4"/>
  <c r="BP21" i="4" s="1"/>
  <c r="BO99" i="4"/>
  <c r="BP99" i="4" s="1"/>
  <c r="BO372" i="4"/>
  <c r="BP372" i="4" s="1"/>
  <c r="BO42" i="4"/>
  <c r="BP42" i="4" s="1"/>
  <c r="BO338" i="4"/>
  <c r="BP338" i="4" s="1"/>
  <c r="BO352" i="4"/>
  <c r="BP352" i="4" s="1"/>
  <c r="BO138" i="4"/>
  <c r="BP138" i="4" s="1"/>
  <c r="BO197" i="4"/>
  <c r="BP197" i="4" s="1"/>
  <c r="BO325" i="4"/>
  <c r="BP325" i="4" s="1"/>
  <c r="BO72" i="4"/>
  <c r="BP72" i="4" s="1"/>
  <c r="BO77" i="4"/>
  <c r="BP77" i="4" s="1"/>
  <c r="BO67" i="4"/>
  <c r="BP67" i="4" s="1"/>
  <c r="BO335" i="4"/>
  <c r="BP335" i="4" s="1"/>
  <c r="BO345" i="4"/>
  <c r="BP345" i="4" s="1"/>
  <c r="BO184" i="4"/>
  <c r="BP184" i="4" s="1"/>
  <c r="BO255" i="4"/>
  <c r="BP255" i="4" s="1"/>
  <c r="BO347" i="4"/>
  <c r="BP347" i="4" s="1"/>
  <c r="BO102" i="4"/>
  <c r="BP102" i="4" s="1"/>
  <c r="BO339" i="4"/>
  <c r="BP339" i="4" s="1"/>
  <c r="BO234" i="4"/>
  <c r="BP234" i="4" s="1"/>
  <c r="BO100" i="4"/>
  <c r="BP100" i="4" s="1"/>
  <c r="BO15" i="4"/>
  <c r="BP15" i="4" s="1"/>
  <c r="BO17" i="4"/>
  <c r="BP17" i="4" s="1"/>
  <c r="BO228" i="4"/>
  <c r="BP228" i="4" s="1"/>
  <c r="BO136" i="4"/>
  <c r="BP136" i="4" s="1"/>
  <c r="BO380" i="4"/>
  <c r="BP380" i="4" s="1"/>
  <c r="BO300" i="4"/>
  <c r="BP300" i="4" s="1"/>
  <c r="BO120" i="4"/>
  <c r="BP120" i="4" s="1"/>
  <c r="BO226" i="4"/>
  <c r="BP226" i="4" s="1"/>
  <c r="BO245" i="4"/>
  <c r="BP245" i="4" s="1"/>
  <c r="BO216" i="4"/>
  <c r="BP216" i="4" s="1"/>
  <c r="BO187" i="4"/>
  <c r="BP187" i="4" s="1"/>
  <c r="BO265" i="4"/>
  <c r="BP265" i="4" s="1"/>
  <c r="BO358" i="4"/>
  <c r="BP358" i="4" s="1"/>
  <c r="BO273" i="4"/>
  <c r="BP273" i="4" s="1"/>
  <c r="BO302" i="4"/>
  <c r="BP302" i="4" s="1"/>
  <c r="BO249" i="4"/>
  <c r="BP249" i="4" s="1"/>
  <c r="BO152" i="4"/>
  <c r="BP152" i="4" s="1"/>
  <c r="BO108" i="4"/>
  <c r="BP108" i="4" s="1"/>
  <c r="BO320" i="4"/>
  <c r="BP320" i="4" s="1"/>
  <c r="BO193" i="4"/>
  <c r="BP193" i="4" s="1"/>
  <c r="BO63" i="4"/>
  <c r="BP63" i="4" s="1"/>
  <c r="BO132" i="4"/>
  <c r="BP132" i="4" s="1"/>
  <c r="BO238" i="4"/>
  <c r="BP238" i="4" s="1"/>
  <c r="BO297" i="4"/>
  <c r="BP297" i="4" s="1"/>
  <c r="BO264" i="4"/>
  <c r="BP264" i="4" s="1"/>
  <c r="BO220" i="4"/>
  <c r="BP220" i="4" s="1"/>
  <c r="BO400" i="4"/>
  <c r="BO405" i="4"/>
  <c r="BP405" i="4" s="1"/>
  <c r="BO394" i="4"/>
  <c r="BO387" i="4"/>
  <c r="BP387" i="4" s="1"/>
  <c r="BO64" i="4"/>
  <c r="BP64" i="4" s="1"/>
  <c r="BO81" i="4"/>
  <c r="BP81" i="4" s="1"/>
  <c r="BO404" i="4"/>
  <c r="BP404" i="4" s="1"/>
  <c r="BO68" i="4"/>
  <c r="BP68" i="4" s="1"/>
  <c r="BO28" i="4"/>
  <c r="BP28" i="4" s="1"/>
  <c r="BO185" i="4"/>
  <c r="BP185" i="4" s="1"/>
  <c r="BO122" i="4"/>
  <c r="BP122" i="4" s="1"/>
  <c r="BO135" i="4"/>
  <c r="BP135" i="4" s="1"/>
  <c r="BO331" i="4"/>
  <c r="BP331" i="4" s="1"/>
  <c r="BO290" i="4"/>
  <c r="BP290" i="4" s="1"/>
  <c r="BO318" i="4"/>
  <c r="BP318" i="4" s="1"/>
  <c r="BO107" i="4"/>
  <c r="BP107" i="4" s="1"/>
  <c r="BO407" i="4"/>
  <c r="BP407" i="4" s="1"/>
  <c r="BO26" i="4"/>
  <c r="BP26" i="4" s="1"/>
  <c r="BO268" i="4"/>
  <c r="BP268" i="4" s="1"/>
  <c r="BO106" i="4"/>
  <c r="BP106" i="4" s="1"/>
  <c r="BO41" i="4"/>
  <c r="BP41" i="4" s="1"/>
  <c r="BO321" i="4"/>
  <c r="BP321" i="4" s="1"/>
  <c r="BO229" i="4"/>
  <c r="BP229" i="4" s="1"/>
  <c r="BO163" i="4"/>
  <c r="BP163" i="4" s="1"/>
  <c r="BO269" i="4"/>
  <c r="BP269" i="4" s="1"/>
  <c r="BO29" i="4"/>
  <c r="BP29" i="4" s="1"/>
  <c r="BO181" i="4"/>
  <c r="BP181" i="4" s="1"/>
  <c r="BO40" i="4"/>
  <c r="BP40" i="4" s="1"/>
  <c r="BO62" i="4"/>
  <c r="BP62" i="4" s="1"/>
  <c r="BO34" i="4"/>
  <c r="BP34" i="4" s="1"/>
  <c r="BO176" i="4"/>
  <c r="BP176" i="4" s="1"/>
  <c r="BO262" i="4"/>
  <c r="BP262" i="4" s="1"/>
  <c r="BO374" i="4"/>
  <c r="BP374" i="4" s="1"/>
  <c r="BO168" i="4"/>
  <c r="BP168" i="4" s="1"/>
  <c r="BO369" i="4"/>
  <c r="BO329" i="4"/>
  <c r="BP329" i="4" s="1"/>
  <c r="BO327" i="4"/>
  <c r="BP327" i="4" s="1"/>
  <c r="BO147" i="4"/>
  <c r="BP147" i="4" s="1"/>
  <c r="BO293" i="4"/>
  <c r="BP293" i="4" s="1"/>
  <c r="BO294" i="4"/>
  <c r="BP294" i="4" s="1"/>
  <c r="BO282" i="4"/>
  <c r="BP282" i="4" s="1"/>
  <c r="BO203" i="4"/>
  <c r="BP203" i="4" s="1"/>
  <c r="BO199" i="4"/>
  <c r="BP199" i="4" s="1"/>
  <c r="BO123" i="4"/>
  <c r="BP123" i="4" s="1"/>
  <c r="BO388" i="4"/>
  <c r="BP388" i="4" s="1"/>
  <c r="BO30" i="4"/>
  <c r="BP30" i="4" s="1"/>
  <c r="BO349" i="4"/>
  <c r="BO180" i="4"/>
  <c r="BP180" i="4" s="1"/>
  <c r="BO291" i="4"/>
  <c r="BP291" i="4" s="1"/>
  <c r="BO195" i="4"/>
  <c r="BP195" i="4" s="1"/>
  <c r="BO208" i="4"/>
  <c r="BP208" i="4" s="1"/>
  <c r="I6" i="27"/>
  <c r="J6" i="27" s="1"/>
  <c r="BO275" i="4"/>
  <c r="BP275" i="4" s="1"/>
  <c r="BO311" i="4"/>
  <c r="BP311" i="4" s="1"/>
  <c r="BO76" i="4"/>
  <c r="BP76" i="4" s="1"/>
  <c r="BO392" i="4"/>
  <c r="BP392" i="4" s="1"/>
  <c r="BO131" i="4"/>
  <c r="BP131" i="4" s="1"/>
  <c r="BO326" i="4"/>
  <c r="BP326" i="4" s="1"/>
  <c r="BO292" i="4"/>
  <c r="BP292" i="4" s="1"/>
  <c r="BO342" i="4"/>
  <c r="BP342" i="4" s="1"/>
  <c r="BO142" i="4"/>
  <c r="BP142" i="4" s="1"/>
  <c r="BO217" i="4"/>
  <c r="BP217" i="4" s="1"/>
  <c r="BO190" i="4"/>
  <c r="BP190" i="4" s="1"/>
  <c r="BO130" i="4"/>
  <c r="BP130" i="4" s="1"/>
  <c r="BO53" i="4"/>
  <c r="BP53" i="4" s="1"/>
  <c r="BO356" i="4"/>
  <c r="BP356" i="4" s="1"/>
  <c r="BO73" i="4"/>
  <c r="BP73" i="4" s="1"/>
  <c r="BO92" i="4"/>
  <c r="BP92" i="4" s="1"/>
  <c r="BO16" i="4"/>
  <c r="BP16" i="4" s="1"/>
  <c r="BO258" i="4"/>
  <c r="BP258" i="4" s="1"/>
  <c r="BO154" i="4"/>
  <c r="BP154" i="4" s="1"/>
  <c r="BO360" i="4"/>
  <c r="BP360" i="4" s="1"/>
  <c r="BO406" i="4"/>
  <c r="BP406" i="4" s="1"/>
  <c r="BO94" i="4"/>
  <c r="BP94" i="4" s="1"/>
  <c r="BO310" i="4"/>
  <c r="BP310" i="4" s="1"/>
  <c r="BO177" i="4"/>
  <c r="BP177" i="4" s="1"/>
  <c r="BO367" i="4"/>
  <c r="BP367" i="4" s="1"/>
  <c r="BO191" i="4"/>
  <c r="BP191" i="4" s="1"/>
  <c r="BO253" i="4"/>
  <c r="BP253" i="4" s="1"/>
  <c r="BO336" i="4"/>
  <c r="BP336" i="4" s="1"/>
  <c r="BO93" i="4"/>
  <c r="BP93" i="4" s="1"/>
  <c r="BO393" i="4"/>
  <c r="BP393" i="4" s="1"/>
  <c r="BO319" i="4"/>
  <c r="BP319" i="4" s="1"/>
  <c r="BO289" i="4"/>
  <c r="BP289" i="4" s="1"/>
  <c r="BO118" i="4"/>
  <c r="BP118" i="4" s="1"/>
  <c r="BO305" i="4"/>
  <c r="BP305" i="4" s="1"/>
  <c r="BO391" i="4"/>
  <c r="BP391" i="4" s="1"/>
  <c r="BO178" i="4"/>
  <c r="BP178" i="4" s="1"/>
  <c r="BO61" i="4"/>
  <c r="BP61" i="4" s="1"/>
  <c r="BO239" i="4"/>
  <c r="BP239" i="4" s="1"/>
  <c r="BO324" i="4"/>
  <c r="BP324" i="4" s="1"/>
  <c r="BO287" i="4"/>
  <c r="BP287" i="4" s="1"/>
  <c r="BO390" i="4"/>
  <c r="BP390" i="4" s="1"/>
  <c r="BO111" i="4"/>
  <c r="BP111" i="4" s="1"/>
  <c r="BO250" i="4"/>
  <c r="BP250" i="4" s="1"/>
  <c r="BO384" i="4"/>
  <c r="BP384" i="4" s="1"/>
  <c r="H355" i="31"/>
  <c r="BP394" i="4"/>
  <c r="BP400" i="4"/>
  <c r="AO94" i="27"/>
  <c r="AP94" i="27" s="1"/>
  <c r="BP369" i="4"/>
  <c r="BP361" i="4"/>
  <c r="BP357" i="4"/>
  <c r="BP349" i="4"/>
  <c r="S137" i="27"/>
  <c r="Y129" i="27"/>
  <c r="Z129" i="27" s="1"/>
  <c r="AO9" i="27"/>
  <c r="AP9" i="27" s="1"/>
  <c r="AJ101" i="30"/>
  <c r="AJ38" i="30"/>
  <c r="BO247" i="4"/>
  <c r="BP247" i="4" s="1"/>
  <c r="BO200" i="4"/>
  <c r="BP200" i="4" s="1"/>
  <c r="BO121" i="4"/>
  <c r="BP121" i="4" s="1"/>
  <c r="BO333" i="4"/>
  <c r="BP333" i="4" s="1"/>
  <c r="BO167" i="4"/>
  <c r="BP167" i="4" s="1"/>
  <c r="BO25" i="4"/>
  <c r="BP25" i="4" s="1"/>
  <c r="BO354" i="4"/>
  <c r="BP354" i="4" s="1"/>
  <c r="BO267" i="4"/>
  <c r="BP267" i="4" s="1"/>
  <c r="BO242" i="4"/>
  <c r="BP242" i="4" s="1"/>
  <c r="BO169" i="4"/>
  <c r="BP169" i="4" s="1"/>
  <c r="BO71" i="4"/>
  <c r="BP71" i="4" s="1"/>
  <c r="BO256" i="4"/>
  <c r="BP256" i="4" s="1"/>
  <c r="BO351" i="4"/>
  <c r="BP351" i="4" s="1"/>
  <c r="BO13" i="4"/>
  <c r="BP13" i="4" s="1"/>
  <c r="BO286" i="4"/>
  <c r="BP286" i="4" s="1"/>
  <c r="BO173" i="4"/>
  <c r="BP173" i="4" s="1"/>
  <c r="BO60" i="4"/>
  <c r="BP60" i="4" s="1"/>
  <c r="BO355" i="4"/>
  <c r="BP355" i="4" s="1"/>
  <c r="BO306" i="4"/>
  <c r="BP306" i="4" s="1"/>
  <c r="BO188" i="4"/>
  <c r="BP188" i="4" s="1"/>
  <c r="BO210" i="4"/>
  <c r="BP210" i="4" s="1"/>
  <c r="BO144" i="4"/>
  <c r="BP144" i="4" s="1"/>
  <c r="BO314" i="4"/>
  <c r="BP314" i="4" s="1"/>
  <c r="BO288" i="4"/>
  <c r="BP288" i="4" s="1"/>
  <c r="BO74" i="4"/>
  <c r="BP74" i="4" s="1"/>
  <c r="BO97" i="4"/>
  <c r="BP97" i="4" s="1"/>
  <c r="BO308" i="4"/>
  <c r="BP308" i="4" s="1"/>
  <c r="BO48" i="4"/>
  <c r="BP48" i="4" s="1"/>
  <c r="BO128" i="4"/>
  <c r="BP128" i="4" s="1"/>
  <c r="BO126" i="4"/>
  <c r="BP126" i="4" s="1"/>
  <c r="BO211" i="4"/>
  <c r="BP211" i="4" s="1"/>
  <c r="BO252" i="4"/>
  <c r="BP252" i="4" s="1"/>
  <c r="BO39" i="4"/>
  <c r="BP39" i="4" s="1"/>
  <c r="BO350" i="4"/>
  <c r="BP350" i="4" s="1"/>
  <c r="BO263" i="4"/>
  <c r="BP263" i="4" s="1"/>
  <c r="BO166" i="4"/>
  <c r="BP166" i="4" s="1"/>
  <c r="BO348" i="4"/>
  <c r="BP348" i="4" s="1"/>
  <c r="BO134" i="4"/>
  <c r="BP134" i="4" s="1"/>
  <c r="BO65" i="4"/>
  <c r="BP65" i="4" s="1"/>
  <c r="BO276" i="4"/>
  <c r="BP276" i="4" s="1"/>
  <c r="BO170" i="4"/>
  <c r="BP170" i="4" s="1"/>
  <c r="BO397" i="4"/>
  <c r="BP397" i="4" s="1"/>
  <c r="BO409" i="4"/>
  <c r="BP409" i="4" s="1"/>
  <c r="BO57" i="4"/>
  <c r="BP57" i="4" s="1"/>
  <c r="BO155" i="4"/>
  <c r="BP155" i="4" s="1"/>
  <c r="BO344" i="4"/>
  <c r="BP344" i="4" s="1"/>
  <c r="BO12" i="4"/>
  <c r="BP12" i="4" s="1"/>
  <c r="BO52" i="4"/>
  <c r="BP52" i="4" s="1"/>
  <c r="BO79" i="4"/>
  <c r="BP79" i="4" s="1"/>
  <c r="BO402" i="4"/>
  <c r="BP402" i="4" s="1"/>
  <c r="BO148" i="4"/>
  <c r="BP148" i="4" s="1"/>
  <c r="BO31" i="4"/>
  <c r="BP31" i="4" s="1"/>
  <c r="BO296" i="4"/>
  <c r="BP296" i="4" s="1"/>
  <c r="BO86" i="4"/>
  <c r="BP86" i="4" s="1"/>
  <c r="BO124" i="4"/>
  <c r="BP124" i="4" s="1"/>
  <c r="BO378" i="4"/>
  <c r="BP378" i="4" s="1"/>
  <c r="BO80" i="4"/>
  <c r="BP80" i="4" s="1"/>
  <c r="BO46" i="4"/>
  <c r="BP46" i="4" s="1"/>
  <c r="BO161" i="4"/>
  <c r="BP161" i="4" s="1"/>
  <c r="BO377" i="4"/>
  <c r="BP377" i="4" s="1"/>
  <c r="BO382" i="4"/>
  <c r="BP382" i="4" s="1"/>
  <c r="BO230" i="4"/>
  <c r="BP230" i="4" s="1"/>
  <c r="BO201" i="4"/>
  <c r="BP201" i="4" s="1"/>
  <c r="BO47" i="4"/>
  <c r="BP47" i="4" s="1"/>
  <c r="BO236" i="4"/>
  <c r="BP236" i="4" s="1"/>
  <c r="BO346" i="4"/>
  <c r="BP346" i="4" s="1"/>
  <c r="BO232" i="4"/>
  <c r="BP232" i="4" s="1"/>
  <c r="BO14" i="4"/>
  <c r="BP14" i="4" s="1"/>
  <c r="BO129" i="4"/>
  <c r="BP129" i="4" s="1"/>
  <c r="BO340" i="4"/>
  <c r="BP340" i="4" s="1"/>
  <c r="BO27" i="4"/>
  <c r="BP27" i="4" s="1"/>
  <c r="BO105" i="4"/>
  <c r="BP105" i="4" s="1"/>
  <c r="BO274" i="4"/>
  <c r="BP274" i="4" s="1"/>
  <c r="BO139" i="4"/>
  <c r="BP139" i="4" s="1"/>
  <c r="BO45" i="4"/>
  <c r="BP45" i="4" s="1"/>
  <c r="BO84" i="4"/>
  <c r="BP84" i="4" s="1"/>
  <c r="BO322" i="4"/>
  <c r="BP322" i="4" s="1"/>
  <c r="BO227" i="4"/>
  <c r="BP227" i="4" s="1"/>
  <c r="BO158" i="4"/>
  <c r="BP158" i="4" s="1"/>
  <c r="BO223" i="4"/>
  <c r="BP223" i="4" s="1"/>
  <c r="BO233" i="4"/>
  <c r="BP233" i="4" s="1"/>
  <c r="BO151" i="4"/>
  <c r="BP151" i="4" s="1"/>
  <c r="BO58" i="4"/>
  <c r="BP58" i="4" s="1"/>
  <c r="BO364" i="4"/>
  <c r="BP364" i="4" s="1"/>
  <c r="BO363" i="4"/>
  <c r="BP363" i="4" s="1"/>
  <c r="BO37" i="4"/>
  <c r="BP37" i="4" s="1"/>
  <c r="BO54" i="4"/>
  <c r="BP54" i="4" s="1"/>
  <c r="BO278" i="4"/>
  <c r="BP278" i="4" s="1"/>
  <c r="BO113" i="4"/>
  <c r="BP113" i="4" s="1"/>
  <c r="BO257" i="4"/>
  <c r="BP257" i="4" s="1"/>
  <c r="BO24" i="4"/>
  <c r="BP24" i="4" s="1"/>
  <c r="BO69" i="4"/>
  <c r="BP69" i="4" s="1"/>
  <c r="BO174" i="4"/>
  <c r="BP174" i="4" s="1"/>
  <c r="BO90" i="4"/>
  <c r="BP90" i="4" s="1"/>
  <c r="BO196" i="4"/>
  <c r="BP196" i="4" s="1"/>
  <c r="BO85" i="4"/>
  <c r="BP85" i="4" s="1"/>
  <c r="BO371" i="4"/>
  <c r="BP371" i="4" s="1"/>
  <c r="BO89" i="4"/>
  <c r="BP89" i="4" s="1"/>
  <c r="BO337" i="4"/>
  <c r="BP337" i="4" s="1"/>
  <c r="BO133" i="4"/>
  <c r="BP133" i="4" s="1"/>
  <c r="BO19" i="4"/>
  <c r="BP19" i="4" s="1"/>
  <c r="BO202" i="4"/>
  <c r="BP202" i="4" s="1"/>
  <c r="BO284" i="4"/>
  <c r="BP284" i="4" s="1"/>
  <c r="BO323" i="4"/>
  <c r="BP323" i="4" s="1"/>
  <c r="BO33" i="4"/>
  <c r="BP33" i="4" s="1"/>
  <c r="BO159" i="4"/>
  <c r="BP159" i="4" s="1"/>
  <c r="BO156" i="4"/>
  <c r="BP156" i="4" s="1"/>
  <c r="BO235" i="4"/>
  <c r="BP235" i="4" s="1"/>
  <c r="BO316" i="4"/>
  <c r="BP316" i="4" s="1"/>
  <c r="BO373" i="4"/>
  <c r="BP373" i="4" s="1"/>
  <c r="BO23" i="4"/>
  <c r="BP23" i="4" s="1"/>
  <c r="BO11" i="4"/>
  <c r="BP11" i="4" s="1"/>
  <c r="BO160" i="4"/>
  <c r="BP160" i="4" s="1"/>
  <c r="BO312" i="4"/>
  <c r="BP312" i="4" s="1"/>
  <c r="BO261" i="4"/>
  <c r="BP261" i="4" s="1"/>
  <c r="BO88" i="4"/>
  <c r="BP88" i="4" s="1"/>
  <c r="BO171" i="4"/>
  <c r="BP171" i="4" s="1"/>
  <c r="BO140" i="4"/>
  <c r="BP140" i="4" s="1"/>
  <c r="BO172" i="4"/>
  <c r="BP172" i="4" s="1"/>
  <c r="BO224" i="4"/>
  <c r="BP224" i="4" s="1"/>
  <c r="BO399" i="4"/>
  <c r="BP399" i="4" s="1"/>
  <c r="BO279" i="4"/>
  <c r="BP279" i="4" s="1"/>
  <c r="BO277" i="4"/>
  <c r="BP277" i="4" s="1"/>
  <c r="BO186" i="4"/>
  <c r="BP186" i="4" s="1"/>
  <c r="BO119" i="4"/>
  <c r="BP119" i="4" s="1"/>
  <c r="BO240" i="4"/>
  <c r="BP240" i="4" s="1"/>
  <c r="BO96" i="4"/>
  <c r="BP96" i="4" s="1"/>
  <c r="BO103" i="4"/>
  <c r="BP103" i="4" s="1"/>
  <c r="BO175" i="4"/>
  <c r="BP175" i="4" s="1"/>
  <c r="BO385" i="4"/>
  <c r="BP385" i="4" s="1"/>
  <c r="BO246" i="4"/>
  <c r="BP246" i="4" s="1"/>
  <c r="BO183" i="4"/>
  <c r="BP183" i="4" s="1"/>
  <c r="BO149" i="4"/>
  <c r="BP149" i="4" s="1"/>
  <c r="BO248" i="4"/>
  <c r="BP248" i="4" s="1"/>
  <c r="BO396" i="4"/>
  <c r="BP396" i="4" s="1"/>
  <c r="BO299" i="4"/>
  <c r="BP299" i="4" s="1"/>
  <c r="BO330" i="4"/>
  <c r="BP330" i="4" s="1"/>
  <c r="BO398" i="4"/>
  <c r="BP398" i="4" s="1"/>
  <c r="BO70" i="4"/>
  <c r="BP70" i="4" s="1"/>
  <c r="BO75" i="4"/>
  <c r="BP75" i="4" s="1"/>
  <c r="BO317" i="4"/>
  <c r="BP317" i="4" s="1"/>
  <c r="BO127" i="4"/>
  <c r="BP127" i="4" s="1"/>
  <c r="BO205" i="4"/>
  <c r="BP205" i="4" s="1"/>
  <c r="BO49" i="4"/>
  <c r="BP49" i="4" s="1"/>
  <c r="BO403" i="4"/>
  <c r="BO365" i="4"/>
  <c r="BP365" i="4" s="1"/>
  <c r="BO370" i="4"/>
  <c r="BP370" i="4" s="1"/>
  <c r="BO125" i="4"/>
  <c r="BP125" i="4" s="1"/>
  <c r="BO145" i="4"/>
  <c r="BP145" i="4" s="1"/>
  <c r="BO192" i="4"/>
  <c r="BP192" i="4" s="1"/>
  <c r="BO182" i="4"/>
  <c r="BP182" i="4" s="1"/>
  <c r="BO237" i="4"/>
  <c r="BP237" i="4" s="1"/>
  <c r="BO212" i="4"/>
  <c r="BP212" i="4" s="1"/>
  <c r="BO43" i="4"/>
  <c r="BP43" i="4" s="1"/>
  <c r="BO38" i="4"/>
  <c r="BP38" i="4" s="1"/>
  <c r="BO386" i="4"/>
  <c r="BP386" i="4" s="1"/>
  <c r="BO110" i="4"/>
  <c r="BP110" i="4" s="1"/>
  <c r="BO116" i="4"/>
  <c r="BP116" i="4" s="1"/>
  <c r="BO231" i="4"/>
  <c r="BP231" i="4" s="1"/>
  <c r="BO260" i="4"/>
  <c r="BP260" i="4" s="1"/>
  <c r="BO298" i="4"/>
  <c r="BP298" i="4" s="1"/>
  <c r="BO408" i="4"/>
  <c r="BP408" i="4" s="1"/>
  <c r="BO259" i="4"/>
  <c r="BP259" i="4" s="1"/>
  <c r="BO204" i="4"/>
  <c r="BP204" i="4" s="1"/>
  <c r="BO379" i="4"/>
  <c r="BP379" i="4" s="1"/>
  <c r="BO101" i="4"/>
  <c r="BP101" i="4" s="1"/>
  <c r="BO401" i="4"/>
  <c r="BP401" i="4" s="1"/>
  <c r="BO83" i="4"/>
  <c r="BP83" i="4" s="1"/>
  <c r="BO98" i="4"/>
  <c r="BP98" i="4" s="1"/>
  <c r="BO309" i="4"/>
  <c r="BP309" i="4" s="1"/>
  <c r="BO389" i="4"/>
  <c r="BP389" i="4" s="1"/>
  <c r="BO241" i="4"/>
  <c r="BP241" i="4" s="1"/>
  <c r="BO395" i="4"/>
  <c r="BP395" i="4" s="1"/>
  <c r="BO254" i="4"/>
  <c r="BP254" i="4" s="1"/>
  <c r="BO150" i="4"/>
  <c r="BP150" i="4" s="1"/>
  <c r="BO343" i="4"/>
  <c r="BP343" i="4" s="1"/>
  <c r="BO368" i="4"/>
  <c r="BP368" i="4" s="1"/>
  <c r="BO366" i="4"/>
  <c r="BP366" i="4" s="1"/>
  <c r="BO341" i="4"/>
  <c r="BP341" i="4" s="1"/>
  <c r="BO215" i="4"/>
  <c r="BP215" i="4" s="1"/>
  <c r="BO115" i="4"/>
  <c r="BP115" i="4" s="1"/>
  <c r="BO87" i="4"/>
  <c r="BP87" i="4" s="1"/>
  <c r="BO104" i="4"/>
  <c r="BP104" i="4" s="1"/>
  <c r="BO301" i="4"/>
  <c r="BP301" i="4" s="1"/>
  <c r="BO353" i="4"/>
  <c r="BP353" i="4" s="1"/>
  <c r="BO209" i="4"/>
  <c r="BP209" i="4" s="1"/>
  <c r="BO332" i="4"/>
  <c r="BP332" i="4" s="1"/>
  <c r="BO112" i="4"/>
  <c r="BP112" i="4" s="1"/>
  <c r="BO359" i="4"/>
  <c r="BP359" i="4" s="1"/>
  <c r="BO50" i="4"/>
  <c r="BP50" i="4" s="1"/>
  <c r="BO51" i="4"/>
  <c r="BP51" i="4" s="1"/>
  <c r="BO164" i="4"/>
  <c r="BP164" i="4" s="1"/>
  <c r="BO146" i="4"/>
  <c r="BP146" i="4" s="1"/>
  <c r="BO78" i="4"/>
  <c r="BP78" i="4" s="1"/>
  <c r="BO194" i="4"/>
  <c r="BP194" i="4" s="1"/>
  <c r="BO162" i="4"/>
  <c r="BP162" i="4" s="1"/>
  <c r="BO36" i="4"/>
  <c r="BP36" i="4" s="1"/>
  <c r="BO165" i="4"/>
  <c r="BP165" i="4" s="1"/>
  <c r="T49" i="31"/>
  <c r="H41" i="31"/>
  <c r="T451" i="31"/>
  <c r="V341" i="31"/>
  <c r="R343" i="31"/>
  <c r="V312" i="31"/>
  <c r="L259" i="31"/>
  <c r="T229" i="31"/>
  <c r="V204" i="31"/>
  <c r="T175" i="31"/>
  <c r="R175" i="31"/>
  <c r="R67" i="31"/>
  <c r="P535" i="31"/>
  <c r="H703" i="31"/>
  <c r="T703" i="31"/>
  <c r="N895" i="31"/>
  <c r="K176" i="27"/>
  <c r="M181" i="27" s="1"/>
  <c r="K9" i="27"/>
  <c r="N15" i="27" s="1"/>
  <c r="N25" i="31"/>
  <c r="V14" i="31"/>
  <c r="Z14" i="31" s="1"/>
  <c r="L661" i="31"/>
  <c r="V400" i="31"/>
  <c r="L401" i="31"/>
  <c r="V430" i="31"/>
  <c r="N431" i="31"/>
  <c r="H431" i="31"/>
  <c r="L509" i="31"/>
  <c r="V591" i="31"/>
  <c r="Z591" i="31" s="1"/>
  <c r="V620" i="31"/>
  <c r="V622" i="31"/>
  <c r="F731" i="31"/>
  <c r="V952" i="31"/>
  <c r="R137" i="31"/>
  <c r="T137" i="31"/>
  <c r="R167" i="31"/>
  <c r="P167" i="31"/>
  <c r="R221" i="31"/>
  <c r="T251" i="31"/>
  <c r="R275" i="31"/>
  <c r="T275" i="31"/>
  <c r="P305" i="31"/>
  <c r="L335" i="31"/>
  <c r="T279" i="31"/>
  <c r="H715" i="31"/>
  <c r="J355" i="31"/>
  <c r="H325" i="31"/>
  <c r="R247" i="31"/>
  <c r="L217" i="31"/>
  <c r="N133" i="31"/>
  <c r="V107" i="31"/>
  <c r="P785" i="31"/>
  <c r="T569" i="31"/>
  <c r="T179" i="31"/>
  <c r="J547" i="31"/>
  <c r="F351" i="31"/>
  <c r="H735" i="31"/>
  <c r="P321" i="31"/>
  <c r="AI10" i="31"/>
  <c r="AI9" i="31"/>
  <c r="AI7" i="31"/>
  <c r="AI8" i="31"/>
  <c r="AP131" i="27"/>
  <c r="I131" i="27"/>
  <c r="C137" i="27"/>
  <c r="AM56" i="27"/>
  <c r="BE133" i="27"/>
  <c r="BF133" i="27" s="1"/>
  <c r="I136" i="27"/>
  <c r="J136" i="27" s="1"/>
  <c r="Y92" i="27"/>
  <c r="S96" i="27"/>
  <c r="AY96" i="27"/>
  <c r="S178" i="27"/>
  <c r="Y171" i="27"/>
  <c r="AO48" i="27"/>
  <c r="S56" i="27"/>
  <c r="AP5" i="27"/>
  <c r="I170" i="27"/>
  <c r="C13" i="27"/>
  <c r="N113" i="31"/>
  <c r="H137" i="31"/>
  <c r="V378" i="31"/>
  <c r="H819" i="31"/>
  <c r="J957" i="31"/>
  <c r="BE131" i="27"/>
  <c r="AY137" i="27"/>
  <c r="I9" i="31"/>
  <c r="AF3" i="31" s="1"/>
  <c r="AO132" i="27"/>
  <c r="AP132" i="27" s="1"/>
  <c r="AI137" i="27"/>
  <c r="U137" i="27"/>
  <c r="E137" i="27"/>
  <c r="I134" i="27"/>
  <c r="J134" i="27" s="1"/>
  <c r="I133" i="27"/>
  <c r="J133" i="27" s="1"/>
  <c r="G137" i="27"/>
  <c r="BE94" i="27"/>
  <c r="BF94" i="27" s="1"/>
  <c r="BC96" i="27"/>
  <c r="AO91" i="27"/>
  <c r="AI96" i="27"/>
  <c r="I95" i="27"/>
  <c r="J95" i="27" s="1"/>
  <c r="AY56" i="27"/>
  <c r="BE54" i="27"/>
  <c r="BF54" i="27" s="1"/>
  <c r="BF6" i="27"/>
  <c r="BE13" i="27"/>
  <c r="AO7" i="27"/>
  <c r="AP7" i="27" s="1"/>
  <c r="AI13" i="27"/>
  <c r="BF50" i="27"/>
  <c r="BE56" i="27"/>
  <c r="Y136" i="27"/>
  <c r="Z136" i="27" s="1"/>
  <c r="Y132" i="27"/>
  <c r="I91" i="27"/>
  <c r="C56" i="27"/>
  <c r="AP172" i="27"/>
  <c r="AO178" i="27"/>
  <c r="I175" i="27"/>
  <c r="J175" i="27" s="1"/>
  <c r="C178" i="27"/>
  <c r="Z49" i="27"/>
  <c r="Y56" i="27"/>
  <c r="AY13" i="27"/>
  <c r="Y13" i="27"/>
  <c r="BE176" i="27"/>
  <c r="BF176" i="27" s="1"/>
  <c r="BE171" i="27"/>
  <c r="BF171" i="27" s="1"/>
  <c r="AY178" i="27"/>
  <c r="E13" i="27"/>
  <c r="I56" i="27"/>
  <c r="BE170" i="27"/>
  <c r="I5" i="27"/>
  <c r="F21" i="31"/>
  <c r="K52" i="27"/>
  <c r="N58" i="27" s="1"/>
  <c r="L317" i="31"/>
  <c r="F13" i="27"/>
  <c r="N8" i="27" s="1"/>
  <c r="N873" i="31"/>
  <c r="K6" i="27"/>
  <c r="N14" i="27" s="1"/>
  <c r="K133" i="27"/>
  <c r="F56" i="27"/>
  <c r="N51" i="27" s="1"/>
  <c r="AA88" i="27"/>
  <c r="AC97" i="27" s="1"/>
  <c r="N339" i="31"/>
  <c r="L447" i="31"/>
  <c r="T769" i="31"/>
  <c r="R463" i="31"/>
  <c r="F187" i="31"/>
  <c r="R163" i="31"/>
  <c r="V161" i="31"/>
  <c r="P463" i="31"/>
  <c r="R493" i="31"/>
  <c r="N577" i="31"/>
  <c r="P137" i="31"/>
  <c r="T167" i="31"/>
  <c r="N197" i="31"/>
  <c r="V112" i="31"/>
  <c r="L267" i="31"/>
  <c r="L351" i="31"/>
  <c r="L711" i="31"/>
  <c r="H125" i="31"/>
  <c r="N179" i="31"/>
  <c r="F179" i="31"/>
  <c r="R141" i="31"/>
  <c r="F657" i="31"/>
  <c r="T685" i="31"/>
  <c r="J961" i="31"/>
  <c r="R969" i="31"/>
  <c r="J59" i="31"/>
  <c r="T59" i="31"/>
  <c r="V81" i="31"/>
  <c r="Z81" i="31" s="1"/>
  <c r="V80" i="31"/>
  <c r="T113" i="31"/>
  <c r="H113" i="31"/>
  <c r="R819" i="31"/>
  <c r="T459" i="31"/>
  <c r="T849" i="31"/>
  <c r="J903" i="31"/>
  <c r="R267" i="31"/>
  <c r="N347" i="31"/>
  <c r="BM17" i="4"/>
  <c r="BP403" i="4" s="1"/>
  <c r="BK403" i="4"/>
  <c r="L125" i="31"/>
  <c r="AN56" i="27"/>
  <c r="K55" i="27"/>
  <c r="N59" i="27" s="1"/>
  <c r="N317" i="31"/>
  <c r="V12" i="31"/>
  <c r="N555" i="31"/>
  <c r="N585" i="31"/>
  <c r="F693" i="31"/>
  <c r="V58" i="31"/>
  <c r="V57" i="31"/>
  <c r="F59" i="31"/>
  <c r="H83" i="31"/>
  <c r="L83" i="31"/>
  <c r="P297" i="31"/>
  <c r="L321" i="31"/>
  <c r="T573" i="31"/>
  <c r="R573" i="31"/>
  <c r="V709" i="31"/>
  <c r="L765" i="31"/>
  <c r="R765" i="31"/>
  <c r="H849" i="31"/>
  <c r="T933" i="31"/>
  <c r="J243" i="31"/>
  <c r="R351" i="31"/>
  <c r="H59" i="31"/>
  <c r="F915" i="31"/>
  <c r="P577" i="31"/>
  <c r="J33" i="31"/>
  <c r="P25" i="31"/>
  <c r="R13" i="31"/>
  <c r="V10" i="31"/>
  <c r="F96" i="27"/>
  <c r="N91" i="27" s="1"/>
  <c r="V44" i="31"/>
  <c r="V27" i="31"/>
  <c r="AA55" i="27"/>
  <c r="AD59" i="27" s="1"/>
  <c r="F439" i="31"/>
  <c r="V382" i="31"/>
  <c r="V352" i="31"/>
  <c r="V354" i="31"/>
  <c r="R325" i="31"/>
  <c r="V323" i="31"/>
  <c r="H271" i="31"/>
  <c r="P271" i="31"/>
  <c r="V245" i="31"/>
  <c r="F247" i="31"/>
  <c r="T163" i="31"/>
  <c r="V78" i="31"/>
  <c r="N63" i="31"/>
  <c r="R117" i="31"/>
  <c r="N171" i="31"/>
  <c r="V462" i="31"/>
  <c r="J493" i="31"/>
  <c r="L523" i="31"/>
  <c r="J577" i="31"/>
  <c r="V575" i="31"/>
  <c r="Z575" i="31" s="1"/>
  <c r="T601" i="31"/>
  <c r="N877" i="31"/>
  <c r="T907" i="31"/>
  <c r="P937" i="31"/>
  <c r="P59" i="31"/>
  <c r="R59" i="31"/>
  <c r="N59" i="31"/>
  <c r="F83" i="31"/>
  <c r="T83" i="31"/>
  <c r="J83" i="31"/>
  <c r="R113" i="31"/>
  <c r="J113" i="31"/>
  <c r="L113" i="31"/>
  <c r="P113" i="31"/>
  <c r="V110" i="31"/>
  <c r="F113" i="31"/>
  <c r="J381" i="31"/>
  <c r="T405" i="31"/>
  <c r="J597" i="31"/>
  <c r="V818" i="31"/>
  <c r="P819" i="31"/>
  <c r="R873" i="31"/>
  <c r="V872" i="31"/>
  <c r="R933" i="31"/>
  <c r="P933" i="31"/>
  <c r="V626" i="31"/>
  <c r="N405" i="31"/>
  <c r="F381" i="31"/>
  <c r="J213" i="31"/>
  <c r="P761" i="31"/>
  <c r="V56" i="31"/>
  <c r="P83" i="31"/>
  <c r="V111" i="31"/>
  <c r="V487" i="31"/>
  <c r="V794" i="31"/>
  <c r="N795" i="31"/>
  <c r="H965" i="31"/>
  <c r="V710" i="31"/>
  <c r="F489" i="31"/>
  <c r="V433" i="31"/>
  <c r="Z433" i="31" s="1"/>
  <c r="V298" i="31"/>
  <c r="J247" i="31"/>
  <c r="V460" i="31"/>
  <c r="F493" i="31"/>
  <c r="L493" i="31"/>
  <c r="V521" i="31"/>
  <c r="H523" i="31"/>
  <c r="F547" i="31"/>
  <c r="V546" i="31"/>
  <c r="P547" i="31"/>
  <c r="D13" i="27"/>
  <c r="L49" i="31"/>
  <c r="H895" i="31"/>
  <c r="L451" i="31"/>
  <c r="L427" i="31"/>
  <c r="J397" i="31"/>
  <c r="H397" i="31"/>
  <c r="P397" i="31"/>
  <c r="T367" i="31"/>
  <c r="T343" i="31"/>
  <c r="J313" i="31"/>
  <c r="N313" i="31"/>
  <c r="P229" i="31"/>
  <c r="L205" i="31"/>
  <c r="H175" i="31"/>
  <c r="T91" i="31"/>
  <c r="H67" i="31"/>
  <c r="R565" i="31"/>
  <c r="J673" i="31"/>
  <c r="D13" i="30"/>
  <c r="I4" i="30" s="1"/>
  <c r="T25" i="31"/>
  <c r="T945" i="31"/>
  <c r="AA50" i="27"/>
  <c r="AE57" i="27" s="1"/>
  <c r="AA92" i="27"/>
  <c r="K49" i="27"/>
  <c r="N57" i="27" s="1"/>
  <c r="F29" i="31"/>
  <c r="R397" i="31"/>
  <c r="H21" i="31"/>
  <c r="L21" i="31"/>
  <c r="N389" i="31"/>
  <c r="J413" i="31"/>
  <c r="J497" i="31"/>
  <c r="N581" i="31"/>
  <c r="N611" i="31"/>
  <c r="T635" i="31"/>
  <c r="N803" i="31"/>
  <c r="R911" i="31"/>
  <c r="V268" i="31"/>
  <c r="Z268" i="31" s="1"/>
  <c r="L531" i="31"/>
  <c r="T555" i="31"/>
  <c r="H615" i="31"/>
  <c r="N639" i="31"/>
  <c r="R171" i="31"/>
  <c r="H201" i="31"/>
  <c r="L201" i="31"/>
  <c r="R201" i="31"/>
  <c r="N225" i="31"/>
  <c r="P255" i="31"/>
  <c r="R255" i="31"/>
  <c r="R279" i="31"/>
  <c r="V308" i="31"/>
  <c r="N309" i="31"/>
  <c r="R309" i="31"/>
  <c r="P339" i="31"/>
  <c r="N363" i="31"/>
  <c r="R393" i="31"/>
  <c r="L417" i="31"/>
  <c r="L141" i="31"/>
  <c r="N117" i="31"/>
  <c r="V968" i="31"/>
  <c r="V959" i="31"/>
  <c r="N907" i="31"/>
  <c r="R877" i="31"/>
  <c r="N823" i="31"/>
  <c r="J739" i="31"/>
  <c r="N715" i="31"/>
  <c r="T715" i="31"/>
  <c r="R661" i="31"/>
  <c r="N601" i="31"/>
  <c r="V576" i="31"/>
  <c r="T547" i="31"/>
  <c r="V491" i="31"/>
  <c r="L439" i="31"/>
  <c r="T439" i="31"/>
  <c r="V438" i="31"/>
  <c r="N409" i="31"/>
  <c r="F409" i="31"/>
  <c r="T409" i="31"/>
  <c r="L385" i="31"/>
  <c r="J385" i="31"/>
  <c r="H385" i="31"/>
  <c r="V322" i="31"/>
  <c r="Z322" i="31" s="1"/>
  <c r="J325" i="31"/>
  <c r="N325" i="31"/>
  <c r="L301" i="31"/>
  <c r="T301" i="31"/>
  <c r="V269" i="31"/>
  <c r="T247" i="31"/>
  <c r="V246" i="31"/>
  <c r="F217" i="31"/>
  <c r="V185" i="31"/>
  <c r="T187" i="31"/>
  <c r="V160" i="31"/>
  <c r="J133" i="31"/>
  <c r="H109" i="31"/>
  <c r="L79" i="31"/>
  <c r="H63" i="31"/>
  <c r="J685" i="31"/>
  <c r="P187" i="31"/>
  <c r="V868" i="31"/>
  <c r="P647" i="31"/>
  <c r="R389" i="31"/>
  <c r="N443" i="31"/>
  <c r="J611" i="31"/>
  <c r="R635" i="31"/>
  <c r="P857" i="31"/>
  <c r="V574" i="31"/>
  <c r="J531" i="31"/>
  <c r="R585" i="31"/>
  <c r="J585" i="31"/>
  <c r="T639" i="31"/>
  <c r="V384" i="31"/>
  <c r="J187" i="31"/>
  <c r="P171" i="31"/>
  <c r="T201" i="31"/>
  <c r="N201" i="31"/>
  <c r="P225" i="31"/>
  <c r="R225" i="31"/>
  <c r="T255" i="31"/>
  <c r="N255" i="31"/>
  <c r="P279" i="31"/>
  <c r="P309" i="31"/>
  <c r="H339" i="31"/>
  <c r="R363" i="31"/>
  <c r="P363" i="31"/>
  <c r="J393" i="31"/>
  <c r="H417" i="31"/>
  <c r="J417" i="31"/>
  <c r="J477" i="31"/>
  <c r="N501" i="31"/>
  <c r="N969" i="31"/>
  <c r="J937" i="31"/>
  <c r="H907" i="31"/>
  <c r="L853" i="31"/>
  <c r="P799" i="31"/>
  <c r="J769" i="31"/>
  <c r="H739" i="31"/>
  <c r="J715" i="31"/>
  <c r="R685" i="31"/>
  <c r="P439" i="31"/>
  <c r="P385" i="31"/>
  <c r="R355" i="31"/>
  <c r="L355" i="31"/>
  <c r="F355" i="31"/>
  <c r="H301" i="31"/>
  <c r="H247" i="31"/>
  <c r="N187" i="31"/>
  <c r="L187" i="31"/>
  <c r="F163" i="31"/>
  <c r="J79" i="31"/>
  <c r="R601" i="31"/>
  <c r="N661" i="31"/>
  <c r="T385" i="31"/>
  <c r="T731" i="31"/>
  <c r="J221" i="31"/>
  <c r="T87" i="31"/>
  <c r="L739" i="31"/>
  <c r="N799" i="31"/>
  <c r="J799" i="31"/>
  <c r="J853" i="31"/>
  <c r="T877" i="31"/>
  <c r="R907" i="31"/>
  <c r="V784" i="31"/>
  <c r="N301" i="31"/>
  <c r="L845" i="31"/>
  <c r="H761" i="31"/>
  <c r="N217" i="31"/>
  <c r="T455" i="31"/>
  <c r="N953" i="31"/>
  <c r="N109" i="31"/>
  <c r="J409" i="31"/>
  <c r="R439" i="31"/>
  <c r="T539" i="31"/>
  <c r="L593" i="31"/>
  <c r="N869" i="31"/>
  <c r="T953" i="31"/>
  <c r="P953" i="31"/>
  <c r="L937" i="31"/>
  <c r="T961" i="31"/>
  <c r="N785" i="31"/>
  <c r="J923" i="31"/>
  <c r="L919" i="31"/>
  <c r="J841" i="31"/>
  <c r="L781" i="31"/>
  <c r="T757" i="31"/>
  <c r="P643" i="31"/>
  <c r="H589" i="31"/>
  <c r="J535" i="31"/>
  <c r="L631" i="31"/>
  <c r="J523" i="31"/>
  <c r="J601" i="31"/>
  <c r="P853" i="31"/>
  <c r="P631" i="31"/>
  <c r="T21" i="31"/>
  <c r="V108" i="31"/>
  <c r="T197" i="31"/>
  <c r="L221" i="31"/>
  <c r="L275" i="31"/>
  <c r="V304" i="31"/>
  <c r="J305" i="31"/>
  <c r="V170" i="31"/>
  <c r="J255" i="31"/>
  <c r="V338" i="31"/>
  <c r="T339" i="31"/>
  <c r="T363" i="31"/>
  <c r="R447" i="31"/>
  <c r="R501" i="31"/>
  <c r="V500" i="31"/>
  <c r="T853" i="31"/>
  <c r="N739" i="31"/>
  <c r="L715" i="31"/>
  <c r="V629" i="31"/>
  <c r="P601" i="31"/>
  <c r="V406" i="31"/>
  <c r="Z406" i="31" s="1"/>
  <c r="V408" i="31"/>
  <c r="N355" i="31"/>
  <c r="V353" i="31"/>
  <c r="T325" i="31"/>
  <c r="V324" i="31"/>
  <c r="P247" i="31"/>
  <c r="R217" i="31"/>
  <c r="V131" i="31"/>
  <c r="Z131" i="31" s="1"/>
  <c r="L87" i="31"/>
  <c r="T171" i="31"/>
  <c r="F309" i="31"/>
  <c r="J339" i="31"/>
  <c r="P393" i="31"/>
  <c r="L463" i="31"/>
  <c r="H463" i="31"/>
  <c r="H661" i="31"/>
  <c r="R769" i="31"/>
  <c r="R823" i="31"/>
  <c r="P969" i="31"/>
  <c r="V84" i="31"/>
  <c r="Z84" i="31" s="1"/>
  <c r="F87" i="31"/>
  <c r="F907" i="31"/>
  <c r="V904" i="31"/>
  <c r="V822" i="31"/>
  <c r="V796" i="31"/>
  <c r="F799" i="31"/>
  <c r="R799" i="31"/>
  <c r="F769" i="31"/>
  <c r="V766" i="31"/>
  <c r="V684" i="31"/>
  <c r="T631" i="31"/>
  <c r="V598" i="31"/>
  <c r="Z598" i="31" s="1"/>
  <c r="N439" i="31"/>
  <c r="V437" i="31"/>
  <c r="N385" i="31"/>
  <c r="V299" i="31"/>
  <c r="Z299" i="31" s="1"/>
  <c r="F301" i="31"/>
  <c r="L109" i="31"/>
  <c r="V76" i="31"/>
  <c r="N79" i="31"/>
  <c r="L63" i="31"/>
  <c r="P63" i="31"/>
  <c r="R63" i="31"/>
  <c r="N87" i="31"/>
  <c r="R87" i="31"/>
  <c r="V86" i="31"/>
  <c r="V138" i="31"/>
  <c r="F141" i="31"/>
  <c r="V140" i="31"/>
  <c r="V492" i="31"/>
  <c r="N523" i="31"/>
  <c r="P523" i="31"/>
  <c r="R547" i="31"/>
  <c r="L547" i="31"/>
  <c r="H547" i="31"/>
  <c r="V544" i="31"/>
  <c r="Z544" i="31" s="1"/>
  <c r="F577" i="31"/>
  <c r="T577" i="31"/>
  <c r="H601" i="31"/>
  <c r="H631" i="31"/>
  <c r="J631" i="31"/>
  <c r="V628" i="31"/>
  <c r="F631" i="31"/>
  <c r="N631" i="31"/>
  <c r="T661" i="31"/>
  <c r="F661" i="31"/>
  <c r="V659" i="31"/>
  <c r="J661" i="31"/>
  <c r="V658" i="31"/>
  <c r="L685" i="31"/>
  <c r="N685" i="31"/>
  <c r="V683" i="31"/>
  <c r="Z683" i="31" s="1"/>
  <c r="V736" i="31"/>
  <c r="F739" i="31"/>
  <c r="T739" i="31"/>
  <c r="V738" i="31"/>
  <c r="P739" i="31"/>
  <c r="H769" i="31"/>
  <c r="N769" i="31"/>
  <c r="P769" i="31"/>
  <c r="T799" i="31"/>
  <c r="V798" i="31"/>
  <c r="L799" i="31"/>
  <c r="H799" i="31"/>
  <c r="V797" i="31"/>
  <c r="V820" i="31"/>
  <c r="F823" i="31"/>
  <c r="J823" i="31"/>
  <c r="V851" i="31"/>
  <c r="H853" i="31"/>
  <c r="F877" i="31"/>
  <c r="V874" i="31"/>
  <c r="Z874" i="31" s="1"/>
  <c r="V875" i="31"/>
  <c r="J877" i="31"/>
  <c r="V906" i="31"/>
  <c r="P907" i="31"/>
  <c r="L907" i="31"/>
  <c r="V936" i="31"/>
  <c r="V958" i="31"/>
  <c r="F961" i="31"/>
  <c r="H961" i="31"/>
  <c r="L961" i="31"/>
  <c r="V960" i="31"/>
  <c r="J969" i="31"/>
  <c r="V967" i="31"/>
  <c r="T969" i="31"/>
  <c r="F969" i="31"/>
  <c r="V966" i="31"/>
  <c r="Z966" i="31" s="1"/>
  <c r="R41" i="31"/>
  <c r="N17" i="31"/>
  <c r="J17" i="31"/>
  <c r="L413" i="31"/>
  <c r="V471" i="31"/>
  <c r="J527" i="31"/>
  <c r="P611" i="31"/>
  <c r="H635" i="31"/>
  <c r="L635" i="31"/>
  <c r="T719" i="31"/>
  <c r="P719" i="31"/>
  <c r="L749" i="31"/>
  <c r="P803" i="31"/>
  <c r="N887" i="31"/>
  <c r="H531" i="31"/>
  <c r="J555" i="31"/>
  <c r="V583" i="31"/>
  <c r="P585" i="31"/>
  <c r="L615" i="31"/>
  <c r="P615" i="31"/>
  <c r="R615" i="31"/>
  <c r="N669" i="31"/>
  <c r="N723" i="31"/>
  <c r="N807" i="31"/>
  <c r="V200" i="31"/>
  <c r="H225" i="31"/>
  <c r="L309" i="31"/>
  <c r="T309" i="31"/>
  <c r="N393" i="31"/>
  <c r="H477" i="31"/>
  <c r="L501" i="31"/>
  <c r="P141" i="31"/>
  <c r="T141" i="31"/>
  <c r="V114" i="31"/>
  <c r="F117" i="31"/>
  <c r="L117" i="31"/>
  <c r="P87" i="31"/>
  <c r="V62" i="31"/>
  <c r="R961" i="31"/>
  <c r="F853" i="31"/>
  <c r="V850" i="31"/>
  <c r="N853" i="31"/>
  <c r="V767" i="31"/>
  <c r="Z767" i="31" s="1"/>
  <c r="V712" i="31"/>
  <c r="F715" i="31"/>
  <c r="H685" i="31"/>
  <c r="V545" i="31"/>
  <c r="Z545" i="31" s="1"/>
  <c r="V490" i="31"/>
  <c r="J463" i="31"/>
  <c r="V461" i="31"/>
  <c r="F463" i="31"/>
  <c r="V436" i="31"/>
  <c r="P409" i="31"/>
  <c r="V407" i="31"/>
  <c r="F385" i="31"/>
  <c r="P355" i="31"/>
  <c r="V300" i="31"/>
  <c r="J301" i="31"/>
  <c r="R271" i="31"/>
  <c r="J109" i="31"/>
  <c r="J63" i="31"/>
  <c r="V61" i="31"/>
  <c r="T63" i="31"/>
  <c r="V60" i="31"/>
  <c r="F63" i="31"/>
  <c r="J87" i="31"/>
  <c r="V85" i="31"/>
  <c r="Z85" i="31" s="1"/>
  <c r="H87" i="31"/>
  <c r="P117" i="31"/>
  <c r="V116" i="31"/>
  <c r="V115" i="31"/>
  <c r="Z115" i="31" s="1"/>
  <c r="T117" i="31"/>
  <c r="H117" i="31"/>
  <c r="J117" i="31"/>
  <c r="N141" i="31"/>
  <c r="V139" i="31"/>
  <c r="H141" i="31"/>
  <c r="F171" i="31"/>
  <c r="H255" i="31"/>
  <c r="T463" i="31"/>
  <c r="N493" i="31"/>
  <c r="V522" i="31"/>
  <c r="F523" i="31"/>
  <c r="V520" i="31"/>
  <c r="T523" i="31"/>
  <c r="L577" i="31"/>
  <c r="V600" i="31"/>
  <c r="V599" i="31"/>
  <c r="L601" i="31"/>
  <c r="P661" i="31"/>
  <c r="V660" i="31"/>
  <c r="F685" i="31"/>
  <c r="V682" i="31"/>
  <c r="P685" i="31"/>
  <c r="V714" i="31"/>
  <c r="V713" i="31"/>
  <c r="R715" i="31"/>
  <c r="P715" i="31"/>
  <c r="R739" i="31"/>
  <c r="V737" i="31"/>
  <c r="L769" i="31"/>
  <c r="V768" i="31"/>
  <c r="H823" i="31"/>
  <c r="P823" i="31"/>
  <c r="V821" i="31"/>
  <c r="L823" i="31"/>
  <c r="V852" i="31"/>
  <c r="R853" i="31"/>
  <c r="H877" i="31"/>
  <c r="L877" i="31"/>
  <c r="P877" i="31"/>
  <c r="V876" i="31"/>
  <c r="J907" i="31"/>
  <c r="V905" i="31"/>
  <c r="R937" i="31"/>
  <c r="F937" i="31"/>
  <c r="V935" i="31"/>
  <c r="T937" i="31"/>
  <c r="N937" i="31"/>
  <c r="H937" i="31"/>
  <c r="V934" i="31"/>
  <c r="N961" i="31"/>
  <c r="L969" i="31"/>
  <c r="J137" i="31"/>
  <c r="J171" i="31"/>
  <c r="V168" i="31"/>
  <c r="H171" i="31"/>
  <c r="V199" i="31"/>
  <c r="V223" i="31"/>
  <c r="J225" i="31"/>
  <c r="V254" i="31"/>
  <c r="V252" i="31"/>
  <c r="L255" i="31"/>
  <c r="V277" i="31"/>
  <c r="L279" i="31"/>
  <c r="J279" i="31"/>
  <c r="N279" i="31"/>
  <c r="H309" i="31"/>
  <c r="V307" i="31"/>
  <c r="Z307" i="31" s="1"/>
  <c r="L339" i="31"/>
  <c r="V336" i="31"/>
  <c r="L363" i="31"/>
  <c r="V362" i="31"/>
  <c r="V392" i="31"/>
  <c r="L393" i="31"/>
  <c r="T393" i="31"/>
  <c r="V391" i="31"/>
  <c r="Z391" i="31" s="1"/>
  <c r="H393" i="31"/>
  <c r="T417" i="31"/>
  <c r="V416" i="31"/>
  <c r="P447" i="31"/>
  <c r="J447" i="31"/>
  <c r="H447" i="31"/>
  <c r="V444" i="31"/>
  <c r="F447" i="31"/>
  <c r="V446" i="31"/>
  <c r="F477" i="31"/>
  <c r="V474" i="31"/>
  <c r="V476" i="31"/>
  <c r="F501" i="31"/>
  <c r="V498" i="31"/>
  <c r="V30" i="31"/>
  <c r="Z30" i="31" s="1"/>
  <c r="R33" i="31"/>
  <c r="L13" i="31"/>
  <c r="T723" i="31"/>
  <c r="V751" i="31"/>
  <c r="Z751" i="31" s="1"/>
  <c r="N861" i="31"/>
  <c r="V890" i="31"/>
  <c r="P915" i="31"/>
  <c r="H45" i="31"/>
  <c r="P413" i="31"/>
  <c r="N527" i="31"/>
  <c r="H773" i="31"/>
  <c r="L555" i="31"/>
  <c r="V169" i="31"/>
  <c r="L171" i="31"/>
  <c r="P201" i="31"/>
  <c r="V198" i="31"/>
  <c r="Z198" i="31" s="1"/>
  <c r="F201" i="31"/>
  <c r="F225" i="31"/>
  <c r="V224" i="31"/>
  <c r="V222" i="31"/>
  <c r="Z222" i="31" s="1"/>
  <c r="L225" i="31"/>
  <c r="T225" i="31"/>
  <c r="F255" i="31"/>
  <c r="V253" i="31"/>
  <c r="Z253" i="31" s="1"/>
  <c r="F279" i="31"/>
  <c r="V278" i="31"/>
  <c r="H279" i="31"/>
  <c r="V276" i="31"/>
  <c r="Z276" i="31" s="1"/>
  <c r="V306" i="31"/>
  <c r="J309" i="31"/>
  <c r="R339" i="31"/>
  <c r="F339" i="31"/>
  <c r="V337" i="31"/>
  <c r="V360" i="31"/>
  <c r="F363" i="31"/>
  <c r="J363" i="31"/>
  <c r="V361" i="31"/>
  <c r="H363" i="31"/>
  <c r="V390" i="31"/>
  <c r="F393" i="31"/>
  <c r="V414" i="31"/>
  <c r="F417" i="31"/>
  <c r="V415" i="31"/>
  <c r="R417" i="31"/>
  <c r="N417" i="31"/>
  <c r="P417" i="31"/>
  <c r="V445" i="31"/>
  <c r="N447" i="31"/>
  <c r="V475" i="31"/>
  <c r="T477" i="31"/>
  <c r="P477" i="31"/>
  <c r="L477" i="31"/>
  <c r="N477" i="31"/>
  <c r="J501" i="31"/>
  <c r="P501" i="31"/>
  <c r="H501" i="31"/>
  <c r="V135" i="31"/>
  <c r="V164" i="31"/>
  <c r="F167" i="31"/>
  <c r="V195" i="31"/>
  <c r="Z195" i="31" s="1"/>
  <c r="F197" i="31"/>
  <c r="V194" i="31"/>
  <c r="H197" i="31"/>
  <c r="J197" i="31"/>
  <c r="P197" i="31"/>
  <c r="F221" i="31"/>
  <c r="V218" i="31"/>
  <c r="V219" i="31"/>
  <c r="Z219" i="31" s="1"/>
  <c r="H221" i="31"/>
  <c r="H251" i="31"/>
  <c r="V250" i="31"/>
  <c r="F275" i="31"/>
  <c r="V272" i="31"/>
  <c r="V273" i="31"/>
  <c r="V303" i="31"/>
  <c r="F305" i="31"/>
  <c r="H305" i="31"/>
  <c r="V302" i="31"/>
  <c r="J359" i="31"/>
  <c r="V356" i="31"/>
  <c r="Z356" i="31" s="1"/>
  <c r="V358" i="31"/>
  <c r="F359" i="31"/>
  <c r="N45" i="31"/>
  <c r="V529" i="31"/>
  <c r="F137" i="31"/>
  <c r="V134" i="31"/>
  <c r="Z134" i="31" s="1"/>
  <c r="V166" i="31"/>
  <c r="N167" i="31"/>
  <c r="V165" i="31"/>
  <c r="H167" i="31"/>
  <c r="V196" i="31"/>
  <c r="R197" i="31"/>
  <c r="V220" i="31"/>
  <c r="V248" i="31"/>
  <c r="Z248" i="31" s="1"/>
  <c r="F251" i="31"/>
  <c r="V249" i="31"/>
  <c r="N251" i="31"/>
  <c r="L251" i="31"/>
  <c r="P251" i="31"/>
  <c r="V274" i="31"/>
  <c r="H275" i="31"/>
  <c r="R305" i="31"/>
  <c r="V334" i="31"/>
  <c r="J335" i="31"/>
  <c r="V332" i="31"/>
  <c r="T335" i="31"/>
  <c r="F335" i="31"/>
  <c r="V333" i="31"/>
  <c r="H359" i="31"/>
  <c r="V357" i="31"/>
  <c r="Z357" i="31" s="1"/>
  <c r="R359" i="31"/>
  <c r="N665" i="31"/>
  <c r="I7" i="30"/>
  <c r="I6" i="30"/>
  <c r="T501" i="31"/>
  <c r="V499" i="31"/>
  <c r="V530" i="31"/>
  <c r="P555" i="31"/>
  <c r="V554" i="31"/>
  <c r="F555" i="31"/>
  <c r="V552" i="31"/>
  <c r="L585" i="31"/>
  <c r="V614" i="31"/>
  <c r="V613" i="31"/>
  <c r="J615" i="31"/>
  <c r="J639" i="31"/>
  <c r="R639" i="31"/>
  <c r="P693" i="31"/>
  <c r="J807" i="31"/>
  <c r="P861" i="31"/>
  <c r="F891" i="31"/>
  <c r="P443" i="31"/>
  <c r="N551" i="31"/>
  <c r="T611" i="31"/>
  <c r="J689" i="31"/>
  <c r="V718" i="31"/>
  <c r="R719" i="31"/>
  <c r="V856" i="31"/>
  <c r="V528" i="31"/>
  <c r="F531" i="31"/>
  <c r="R531" i="31"/>
  <c r="N531" i="31"/>
  <c r="P531" i="31"/>
  <c r="R555" i="31"/>
  <c r="V553" i="31"/>
  <c r="V584" i="31"/>
  <c r="T585" i="31"/>
  <c r="H585" i="31"/>
  <c r="V582" i="31"/>
  <c r="F585" i="31"/>
  <c r="V612" i="31"/>
  <c r="F615" i="31"/>
  <c r="N615" i="31"/>
  <c r="T615" i="31"/>
  <c r="V636" i="31"/>
  <c r="F639" i="31"/>
  <c r="H639" i="31"/>
  <c r="P919" i="31"/>
  <c r="T865" i="31"/>
  <c r="H841" i="31"/>
  <c r="P811" i="31"/>
  <c r="P757" i="31"/>
  <c r="V702" i="31"/>
  <c r="H619" i="31"/>
  <c r="J619" i="31"/>
  <c r="L535" i="31"/>
  <c r="T33" i="31"/>
  <c r="J13" i="31"/>
  <c r="H137" i="27"/>
  <c r="T45" i="31"/>
  <c r="R29" i="31"/>
  <c r="L473" i="31"/>
  <c r="H497" i="31"/>
  <c r="R497" i="31"/>
  <c r="V550" i="31"/>
  <c r="L551" i="31"/>
  <c r="P581" i="31"/>
  <c r="J635" i="31"/>
  <c r="T773" i="31"/>
  <c r="T803" i="31"/>
  <c r="J827" i="31"/>
  <c r="R827" i="31"/>
  <c r="T857" i="31"/>
  <c r="J857" i="31"/>
  <c r="N857" i="31"/>
  <c r="V886" i="31"/>
  <c r="F151" i="31"/>
  <c r="J121" i="31"/>
  <c r="V42" i="31"/>
  <c r="AQ55" i="27"/>
  <c r="AT59" i="27" s="1"/>
  <c r="AT50" i="27"/>
  <c r="AD48" i="27"/>
  <c r="AA49" i="27"/>
  <c r="AD57" i="27" s="1"/>
  <c r="V387" i="31"/>
  <c r="F389" i="31"/>
  <c r="V386" i="31"/>
  <c r="H389" i="31"/>
  <c r="V388" i="31"/>
  <c r="L389" i="31"/>
  <c r="T413" i="31"/>
  <c r="N413" i="31"/>
  <c r="H413" i="31"/>
  <c r="V410" i="31"/>
  <c r="V442" i="31"/>
  <c r="J443" i="31"/>
  <c r="V440" i="31"/>
  <c r="T473" i="31"/>
  <c r="P497" i="31"/>
  <c r="V495" i="31"/>
  <c r="Z495" i="31" s="1"/>
  <c r="V496" i="31"/>
  <c r="N497" i="31"/>
  <c r="L497" i="31"/>
  <c r="R527" i="31"/>
  <c r="V526" i="31"/>
  <c r="L527" i="31"/>
  <c r="T527" i="31"/>
  <c r="F527" i="31"/>
  <c r="V524" i="31"/>
  <c r="V549" i="31"/>
  <c r="F551" i="31"/>
  <c r="J551" i="31"/>
  <c r="V548" i="31"/>
  <c r="H551" i="31"/>
  <c r="H581" i="31"/>
  <c r="V579" i="31"/>
  <c r="Z579" i="31" s="1"/>
  <c r="V580" i="31"/>
  <c r="R581" i="31"/>
  <c r="V609" i="31"/>
  <c r="V608" i="31"/>
  <c r="Z608" i="31" s="1"/>
  <c r="F611" i="31"/>
  <c r="H611" i="31"/>
  <c r="L611" i="31"/>
  <c r="V610" i="31"/>
  <c r="P635" i="31"/>
  <c r="J665" i="31"/>
  <c r="R665" i="31"/>
  <c r="H665" i="31"/>
  <c r="F665" i="31"/>
  <c r="V662" i="31"/>
  <c r="P665" i="31"/>
  <c r="V686" i="31"/>
  <c r="Z686" i="31" s="1"/>
  <c r="H689" i="31"/>
  <c r="R689" i="31"/>
  <c r="V688" i="31"/>
  <c r="L719" i="31"/>
  <c r="H719" i="31"/>
  <c r="V716" i="31"/>
  <c r="F719" i="31"/>
  <c r="V748" i="31"/>
  <c r="N749" i="31"/>
  <c r="V772" i="31"/>
  <c r="V770" i="31"/>
  <c r="N773" i="31"/>
  <c r="V800" i="31"/>
  <c r="F803" i="31"/>
  <c r="R803" i="31"/>
  <c r="V801" i="31"/>
  <c r="Z801" i="31" s="1"/>
  <c r="V825" i="31"/>
  <c r="H827" i="31"/>
  <c r="P827" i="31"/>
  <c r="F827" i="31"/>
  <c r="V824" i="31"/>
  <c r="L827" i="31"/>
  <c r="V826" i="31"/>
  <c r="V854" i="31"/>
  <c r="Z854" i="31" s="1"/>
  <c r="H857" i="31"/>
  <c r="V855" i="31"/>
  <c r="F857" i="31"/>
  <c r="V885" i="31"/>
  <c r="Z885" i="31" s="1"/>
  <c r="H887" i="31"/>
  <c r="J887" i="31"/>
  <c r="P911" i="31"/>
  <c r="T911" i="31"/>
  <c r="J37" i="31"/>
  <c r="AE88" i="27"/>
  <c r="AA90" i="27"/>
  <c r="AE97" i="27" s="1"/>
  <c r="O49" i="27"/>
  <c r="K53" i="27"/>
  <c r="O58" i="27" s="1"/>
  <c r="M54" i="27"/>
  <c r="K54" i="27"/>
  <c r="M59" i="27" s="1"/>
  <c r="K51" i="27"/>
  <c r="M58" i="27" s="1"/>
  <c r="T389" i="31"/>
  <c r="F413" i="31"/>
  <c r="V411" i="31"/>
  <c r="R413" i="31"/>
  <c r="V412" i="31"/>
  <c r="R443" i="31"/>
  <c r="H443" i="31"/>
  <c r="V441" i="31"/>
  <c r="Z441" i="31" s="1"/>
  <c r="F443" i="31"/>
  <c r="T443" i="31"/>
  <c r="V472" i="31"/>
  <c r="F473" i="31"/>
  <c r="V470" i="31"/>
  <c r="N473" i="31"/>
  <c r="H473" i="31"/>
  <c r="R473" i="31"/>
  <c r="P473" i="31"/>
  <c r="T497" i="31"/>
  <c r="F497" i="31"/>
  <c r="V494" i="31"/>
  <c r="Z494" i="31" s="1"/>
  <c r="P527" i="31"/>
  <c r="H527" i="31"/>
  <c r="V525" i="31"/>
  <c r="P551" i="31"/>
  <c r="R551" i="31"/>
  <c r="L581" i="31"/>
  <c r="J581" i="31"/>
  <c r="V578" i="31"/>
  <c r="Z578" i="31" s="1"/>
  <c r="F581" i="31"/>
  <c r="F635" i="31"/>
  <c r="V632" i="31"/>
  <c r="N635" i="31"/>
  <c r="V633" i="31"/>
  <c r="V634" i="31"/>
  <c r="V664" i="31"/>
  <c r="L665" i="31"/>
  <c r="T665" i="31"/>
  <c r="V663" i="31"/>
  <c r="N689" i="31"/>
  <c r="P689" i="31"/>
  <c r="V687" i="31"/>
  <c r="F689" i="31"/>
  <c r="L689" i="31"/>
  <c r="N719" i="31"/>
  <c r="V717" i="31"/>
  <c r="H749" i="31"/>
  <c r="V746" i="31"/>
  <c r="V747" i="31"/>
  <c r="Z747" i="31" s="1"/>
  <c r="F749" i="31"/>
  <c r="R749" i="31"/>
  <c r="J749" i="31"/>
  <c r="J773" i="31"/>
  <c r="R773" i="31"/>
  <c r="F773" i="31"/>
  <c r="V771" i="31"/>
  <c r="V802" i="31"/>
  <c r="T827" i="31"/>
  <c r="L857" i="31"/>
  <c r="R857" i="31"/>
  <c r="V884" i="31"/>
  <c r="Z884" i="31" s="1"/>
  <c r="F887" i="31"/>
  <c r="R887" i="31"/>
  <c r="T887" i="31"/>
  <c r="V910" i="31"/>
  <c r="V909" i="31"/>
  <c r="H911" i="31"/>
  <c r="F911" i="31"/>
  <c r="V908" i="31"/>
  <c r="Z908" i="31" s="1"/>
  <c r="J911" i="31"/>
  <c r="T673" i="31"/>
  <c r="P49" i="31"/>
  <c r="V918" i="31"/>
  <c r="V588" i="31"/>
  <c r="N535" i="31"/>
  <c r="P505" i="31"/>
  <c r="V503" i="31"/>
  <c r="Z503" i="31" s="1"/>
  <c r="P427" i="31"/>
  <c r="V396" i="31"/>
  <c r="J367" i="31"/>
  <c r="N151" i="31"/>
  <c r="T151" i="31"/>
  <c r="V119" i="31"/>
  <c r="V32" i="31"/>
  <c r="V24" i="31"/>
  <c r="M129" i="27"/>
  <c r="D137" i="27"/>
  <c r="K129" i="27"/>
  <c r="O133" i="27"/>
  <c r="F137" i="27"/>
  <c r="N132" i="27" s="1"/>
  <c r="O129" i="27"/>
  <c r="K131" i="27"/>
  <c r="O138" i="27" s="1"/>
  <c r="K130" i="27"/>
  <c r="N138" i="27" s="1"/>
  <c r="N129" i="27"/>
  <c r="M134" i="27"/>
  <c r="K132" i="27"/>
  <c r="K135" i="27"/>
  <c r="M140" i="27" s="1"/>
  <c r="M131" i="27"/>
  <c r="AA93" i="27"/>
  <c r="AE98" i="27" s="1"/>
  <c r="AE89" i="27"/>
  <c r="O89" i="27"/>
  <c r="K93" i="27"/>
  <c r="O98" i="27" s="1"/>
  <c r="L17" i="31"/>
  <c r="P17" i="31"/>
  <c r="J29" i="31"/>
  <c r="V19" i="31"/>
  <c r="J21" i="31"/>
  <c r="V18" i="31"/>
  <c r="V20" i="31"/>
  <c r="H25" i="31"/>
  <c r="V667" i="31"/>
  <c r="Z667" i="31" s="1"/>
  <c r="V691" i="31"/>
  <c r="J723" i="31"/>
  <c r="J753" i="31"/>
  <c r="P753" i="31"/>
  <c r="V776" i="31"/>
  <c r="R861" i="31"/>
  <c r="V859" i="31"/>
  <c r="L861" i="31"/>
  <c r="K134" i="27"/>
  <c r="O139" i="27" s="1"/>
  <c r="O130" i="27"/>
  <c r="AC89" i="27"/>
  <c r="AA91" i="27"/>
  <c r="AC98" i="27" s="1"/>
  <c r="M94" i="27"/>
  <c r="K94" i="27"/>
  <c r="M99" i="27" s="1"/>
  <c r="M93" i="27"/>
  <c r="K91" i="27"/>
  <c r="M98" i="27" s="1"/>
  <c r="V35" i="31"/>
  <c r="H37" i="31"/>
  <c r="V34" i="31"/>
  <c r="P21" i="31"/>
  <c r="R21" i="31"/>
  <c r="N21" i="31"/>
  <c r="H178" i="27"/>
  <c r="L121" i="31"/>
  <c r="O5" i="27"/>
  <c r="K7" i="27"/>
  <c r="O14" i="27" s="1"/>
  <c r="V22" i="31"/>
  <c r="Z22" i="31" s="1"/>
  <c r="J25" i="31"/>
  <c r="L33" i="31"/>
  <c r="H33" i="31"/>
  <c r="V11" i="31"/>
  <c r="Z11" i="31" s="1"/>
  <c r="F13" i="31"/>
  <c r="V637" i="31"/>
  <c r="L639" i="31"/>
  <c r="V666" i="31"/>
  <c r="Z666" i="31" s="1"/>
  <c r="F669" i="31"/>
  <c r="L669" i="31"/>
  <c r="V668" i="31"/>
  <c r="J693" i="31"/>
  <c r="R723" i="31"/>
  <c r="V721" i="31"/>
  <c r="V752" i="31"/>
  <c r="F753" i="31"/>
  <c r="H777" i="31"/>
  <c r="V774" i="31"/>
  <c r="F807" i="31"/>
  <c r="V804" i="31"/>
  <c r="Z804" i="31" s="1"/>
  <c r="H807" i="31"/>
  <c r="H831" i="31"/>
  <c r="V829" i="31"/>
  <c r="N831" i="31"/>
  <c r="T831" i="31"/>
  <c r="F861" i="31"/>
  <c r="V858" i="31"/>
  <c r="H861" i="31"/>
  <c r="V860" i="31"/>
  <c r="H891" i="31"/>
  <c r="V888" i="31"/>
  <c r="V913" i="31"/>
  <c r="Z913" i="31" s="1"/>
  <c r="P945" i="31"/>
  <c r="H945" i="31"/>
  <c r="V943" i="31"/>
  <c r="R945" i="31"/>
  <c r="V395" i="31"/>
  <c r="N397" i="31"/>
  <c r="L367" i="31"/>
  <c r="P343" i="31"/>
  <c r="J343" i="31"/>
  <c r="R289" i="31"/>
  <c r="N229" i="31"/>
  <c r="N121" i="31"/>
  <c r="V120" i="31"/>
  <c r="P91" i="31"/>
  <c r="L67" i="31"/>
  <c r="N33" i="31"/>
  <c r="F33" i="31"/>
  <c r="V31" i="31"/>
  <c r="V638" i="31"/>
  <c r="P639" i="31"/>
  <c r="T669" i="31"/>
  <c r="V690" i="31"/>
  <c r="H693" i="31"/>
  <c r="V692" i="31"/>
  <c r="N693" i="31"/>
  <c r="V720" i="31"/>
  <c r="F723" i="31"/>
  <c r="H723" i="31"/>
  <c r="V722" i="31"/>
  <c r="P723" i="31"/>
  <c r="L753" i="31"/>
  <c r="H753" i="31"/>
  <c r="V750" i="31"/>
  <c r="R777" i="31"/>
  <c r="J777" i="31"/>
  <c r="F777" i="31"/>
  <c r="V775" i="31"/>
  <c r="V805" i="31"/>
  <c r="V806" i="31"/>
  <c r="L807" i="31"/>
  <c r="V830" i="31"/>
  <c r="V828" i="31"/>
  <c r="J831" i="31"/>
  <c r="J861" i="31"/>
  <c r="V889" i="31"/>
  <c r="R891" i="31"/>
  <c r="V912" i="31"/>
  <c r="V914" i="31"/>
  <c r="N945" i="31"/>
  <c r="V942" i="31"/>
  <c r="V944" i="31"/>
  <c r="K170" i="27"/>
  <c r="M170" i="27"/>
  <c r="D178" i="27"/>
  <c r="K174" i="27"/>
  <c r="N180" i="27" s="1"/>
  <c r="N171" i="27"/>
  <c r="F178" i="27"/>
  <c r="N173" i="27" s="1"/>
  <c r="T7" i="30"/>
  <c r="T6" i="30"/>
  <c r="S10" i="30"/>
  <c r="Q13" i="30"/>
  <c r="T8" i="30" s="1"/>
  <c r="O13" i="30"/>
  <c r="T4" i="30" s="1"/>
  <c r="T5" i="30"/>
  <c r="N7" i="27"/>
  <c r="K12" i="27"/>
  <c r="N16" i="27" s="1"/>
  <c r="H13" i="27"/>
  <c r="L289" i="31"/>
  <c r="R49" i="31"/>
  <c r="T505" i="31"/>
  <c r="H535" i="31"/>
  <c r="N565" i="31"/>
  <c r="H757" i="31"/>
  <c r="P781" i="31"/>
  <c r="L811" i="31"/>
  <c r="R841" i="31"/>
  <c r="O48" i="27"/>
  <c r="D56" i="27"/>
  <c r="K50" i="27"/>
  <c r="O57" i="27" s="1"/>
  <c r="K172" i="27"/>
  <c r="O179" i="27" s="1"/>
  <c r="O170" i="27"/>
  <c r="K175" i="27"/>
  <c r="O180" i="27" s="1"/>
  <c r="O171" i="27"/>
  <c r="K173" i="27"/>
  <c r="M180" i="27" s="1"/>
  <c r="M171" i="27"/>
  <c r="K171" i="27"/>
  <c r="N179" i="27" s="1"/>
  <c r="N170" i="27"/>
  <c r="K177" i="27"/>
  <c r="N181" i="27" s="1"/>
  <c r="N172" i="27"/>
  <c r="M9" i="27"/>
  <c r="K5" i="27"/>
  <c r="M14" i="27" s="1"/>
  <c r="K11" i="27"/>
  <c r="M16" i="27" s="1"/>
  <c r="L91" i="31"/>
  <c r="AD92" i="27"/>
  <c r="AA89" i="27"/>
  <c r="V96" i="27"/>
  <c r="AD91" i="27" s="1"/>
  <c r="AU49" i="27"/>
  <c r="AQ53" i="27"/>
  <c r="AU58" i="27" s="1"/>
  <c r="AU48" i="27"/>
  <c r="AQ50" i="27"/>
  <c r="AU57" i="27" s="1"/>
  <c r="AQ8" i="27"/>
  <c r="AS15" i="27" s="1"/>
  <c r="AS10" i="27"/>
  <c r="AS54" i="27"/>
  <c r="AL56" i="27"/>
  <c r="AT51" i="27" s="1"/>
  <c r="AQ54" i="27"/>
  <c r="AS59" i="27" s="1"/>
  <c r="AT48" i="27"/>
  <c r="AQ49" i="27"/>
  <c r="AT57" i="27" s="1"/>
  <c r="AT49" i="27"/>
  <c r="AQ52" i="27"/>
  <c r="AT58" i="27" s="1"/>
  <c r="AE49" i="27"/>
  <c r="AA53" i="27"/>
  <c r="AE58" i="27" s="1"/>
  <c r="T56" i="27"/>
  <c r="AT9" i="27"/>
  <c r="AL13" i="27"/>
  <c r="AT8" i="27" s="1"/>
  <c r="AQ6" i="27"/>
  <c r="AT10" i="27"/>
  <c r="AQ9" i="27"/>
  <c r="AT15" i="27" s="1"/>
  <c r="X56" i="27"/>
  <c r="AA54" i="27"/>
  <c r="AC59" i="27" s="1"/>
  <c r="AQ12" i="27"/>
  <c r="AT16" i="27" s="1"/>
  <c r="AT7" i="27"/>
  <c r="AQ10" i="27"/>
  <c r="AU15" i="27" s="1"/>
  <c r="AU6" i="27"/>
  <c r="AU5" i="27"/>
  <c r="AQ7" i="27"/>
  <c r="AU14" i="27" s="1"/>
  <c r="AJ13" i="27"/>
  <c r="AD53" i="27"/>
  <c r="AA52" i="27"/>
  <c r="AD58" i="27" s="1"/>
  <c r="V48" i="31"/>
  <c r="V46" i="31"/>
  <c r="H49" i="31"/>
  <c r="T41" i="31"/>
  <c r="P41" i="31"/>
  <c r="J49" i="31"/>
  <c r="F865" i="31"/>
  <c r="V862" i="31"/>
  <c r="V809" i="31"/>
  <c r="F811" i="31"/>
  <c r="N757" i="31"/>
  <c r="N727" i="31"/>
  <c r="V726" i="31"/>
  <c r="H727" i="31"/>
  <c r="F643" i="31"/>
  <c r="V640" i="31"/>
  <c r="J565" i="31"/>
  <c r="F535" i="31"/>
  <c r="V532" i="31"/>
  <c r="Z532" i="31" s="1"/>
  <c r="N451" i="31"/>
  <c r="V450" i="31"/>
  <c r="V449" i="31"/>
  <c r="H451" i="31"/>
  <c r="P451" i="31"/>
  <c r="F451" i="31"/>
  <c r="V448" i="31"/>
  <c r="V424" i="31"/>
  <c r="Z424" i="31" s="1"/>
  <c r="H427" i="31"/>
  <c r="V425" i="31"/>
  <c r="L397" i="31"/>
  <c r="V366" i="31"/>
  <c r="F367" i="31"/>
  <c r="R367" i="31"/>
  <c r="V365" i="31"/>
  <c r="F343" i="31"/>
  <c r="V342" i="31"/>
  <c r="H343" i="31"/>
  <c r="V340" i="31"/>
  <c r="R313" i="31"/>
  <c r="P313" i="31"/>
  <c r="V311" i="31"/>
  <c r="N289" i="31"/>
  <c r="V288" i="31"/>
  <c r="F259" i="31"/>
  <c r="V258" i="31"/>
  <c r="P259" i="31"/>
  <c r="V257" i="31"/>
  <c r="Z257" i="31" s="1"/>
  <c r="H259" i="31"/>
  <c r="V228" i="31"/>
  <c r="P205" i="31"/>
  <c r="J205" i="31"/>
  <c r="H205" i="31"/>
  <c r="V202" i="31"/>
  <c r="T205" i="31"/>
  <c r="V203" i="31"/>
  <c r="Z203" i="31" s="1"/>
  <c r="J175" i="31"/>
  <c r="V173" i="31"/>
  <c r="N175" i="31"/>
  <c r="V118" i="31"/>
  <c r="Z118" i="31" s="1"/>
  <c r="F121" i="31"/>
  <c r="P121" i="31"/>
  <c r="N91" i="31"/>
  <c r="R91" i="31"/>
  <c r="V88" i="31"/>
  <c r="J91" i="31"/>
  <c r="V65" i="31"/>
  <c r="V64" i="31"/>
  <c r="Z64" i="31" s="1"/>
  <c r="F67" i="31"/>
  <c r="V479" i="31"/>
  <c r="F481" i="31"/>
  <c r="V478" i="31"/>
  <c r="Z478" i="31" s="1"/>
  <c r="N481" i="31"/>
  <c r="V480" i="31"/>
  <c r="V504" i="31"/>
  <c r="F505" i="31"/>
  <c r="L505" i="31"/>
  <c r="J505" i="31"/>
  <c r="V502" i="31"/>
  <c r="H505" i="31"/>
  <c r="N505" i="31"/>
  <c r="R535" i="31"/>
  <c r="V533" i="31"/>
  <c r="T565" i="31"/>
  <c r="V564" i="31"/>
  <c r="H565" i="31"/>
  <c r="V562" i="31"/>
  <c r="F589" i="31"/>
  <c r="V586" i="31"/>
  <c r="T589" i="31"/>
  <c r="V618" i="31"/>
  <c r="V617" i="31"/>
  <c r="Z617" i="31" s="1"/>
  <c r="T619" i="31"/>
  <c r="F619" i="31"/>
  <c r="V616" i="31"/>
  <c r="J643" i="31"/>
  <c r="N643" i="31"/>
  <c r="V641" i="31"/>
  <c r="R643" i="31"/>
  <c r="N673" i="31"/>
  <c r="V672" i="31"/>
  <c r="L673" i="31"/>
  <c r="L703" i="31"/>
  <c r="J703" i="31"/>
  <c r="P727" i="31"/>
  <c r="F727" i="31"/>
  <c r="V724" i="31"/>
  <c r="V725" i="31"/>
  <c r="Z725" i="31" s="1"/>
  <c r="L727" i="31"/>
  <c r="L757" i="31"/>
  <c r="V755" i="31"/>
  <c r="J781" i="31"/>
  <c r="V780" i="31"/>
  <c r="T811" i="31"/>
  <c r="N811" i="31"/>
  <c r="V808" i="31"/>
  <c r="Z808" i="31" s="1"/>
  <c r="H811" i="31"/>
  <c r="L841" i="31"/>
  <c r="V840" i="31"/>
  <c r="V839" i="31"/>
  <c r="Z839" i="31" s="1"/>
  <c r="T841" i="31"/>
  <c r="F841" i="31"/>
  <c r="V838" i="31"/>
  <c r="V864" i="31"/>
  <c r="L865" i="31"/>
  <c r="R865" i="31"/>
  <c r="L895" i="31"/>
  <c r="V916" i="31"/>
  <c r="Z916" i="31" s="1"/>
  <c r="H919" i="31"/>
  <c r="AC94" i="27"/>
  <c r="AA94" i="27"/>
  <c r="AC99" i="27" s="1"/>
  <c r="AS7" i="27"/>
  <c r="AQ11" i="27"/>
  <c r="AS16" i="27" s="1"/>
  <c r="AN13" i="27"/>
  <c r="AC52" i="27"/>
  <c r="AA48" i="27"/>
  <c r="V56" i="27"/>
  <c r="AD51" i="27" s="1"/>
  <c r="AS48" i="27"/>
  <c r="AQ48" i="27"/>
  <c r="AJ56" i="27"/>
  <c r="V47" i="31"/>
  <c r="F49" i="31"/>
  <c r="V38" i="31"/>
  <c r="L41" i="31"/>
  <c r="V39" i="31"/>
  <c r="V40" i="31"/>
  <c r="V893" i="31"/>
  <c r="F895" i="31"/>
  <c r="J811" i="31"/>
  <c r="V671" i="31"/>
  <c r="Z671" i="31" s="1"/>
  <c r="F565" i="31"/>
  <c r="V563" i="31"/>
  <c r="J481" i="31"/>
  <c r="N427" i="31"/>
  <c r="F427" i="31"/>
  <c r="V426" i="31"/>
  <c r="T427" i="31"/>
  <c r="V394" i="31"/>
  <c r="Z394" i="31" s="1"/>
  <c r="F397" i="31"/>
  <c r="V364" i="31"/>
  <c r="H367" i="31"/>
  <c r="N343" i="31"/>
  <c r="T313" i="31"/>
  <c r="V310" i="31"/>
  <c r="F313" i="31"/>
  <c r="F289" i="31"/>
  <c r="V286" i="31"/>
  <c r="J289" i="31"/>
  <c r="V287" i="31"/>
  <c r="J259" i="31"/>
  <c r="V256" i="31"/>
  <c r="J229" i="31"/>
  <c r="V227" i="31"/>
  <c r="V226" i="31"/>
  <c r="Z226" i="31" s="1"/>
  <c r="F229" i="31"/>
  <c r="V174" i="31"/>
  <c r="V172" i="31"/>
  <c r="F175" i="31"/>
  <c r="V148" i="31"/>
  <c r="H151" i="31"/>
  <c r="V149" i="31"/>
  <c r="F91" i="31"/>
  <c r="V90" i="31"/>
  <c r="H91" i="31"/>
  <c r="V89" i="31"/>
  <c r="J67" i="31"/>
  <c r="V66" i="31"/>
  <c r="T67" i="31"/>
  <c r="P481" i="31"/>
  <c r="R481" i="31"/>
  <c r="V534" i="31"/>
  <c r="P565" i="31"/>
  <c r="L565" i="31"/>
  <c r="V587" i="31"/>
  <c r="Z587" i="31" s="1"/>
  <c r="R589" i="31"/>
  <c r="P589" i="31"/>
  <c r="J589" i="31"/>
  <c r="N619" i="31"/>
  <c r="P619" i="31"/>
  <c r="V642" i="31"/>
  <c r="H643" i="31"/>
  <c r="P673" i="31"/>
  <c r="F673" i="31"/>
  <c r="V670" i="31"/>
  <c r="H673" i="31"/>
  <c r="R703" i="31"/>
  <c r="V701" i="31"/>
  <c r="F703" i="31"/>
  <c r="V700" i="31"/>
  <c r="N703" i="31"/>
  <c r="R727" i="31"/>
  <c r="J757" i="31"/>
  <c r="V756" i="31"/>
  <c r="F757" i="31"/>
  <c r="V754" i="31"/>
  <c r="F781" i="31"/>
  <c r="V779" i="31"/>
  <c r="R781" i="31"/>
  <c r="H781" i="31"/>
  <c r="V778" i="31"/>
  <c r="V810" i="31"/>
  <c r="R811" i="31"/>
  <c r="P865" i="31"/>
  <c r="V863" i="31"/>
  <c r="N865" i="31"/>
  <c r="H865" i="31"/>
  <c r="J895" i="31"/>
  <c r="V892" i="31"/>
  <c r="V894" i="31"/>
  <c r="R895" i="31"/>
  <c r="P895" i="31"/>
  <c r="F919" i="31"/>
  <c r="V917" i="31"/>
  <c r="T919" i="31"/>
  <c r="R919" i="31"/>
  <c r="AP7" i="30" l="1"/>
  <c r="AD98" i="27"/>
  <c r="AY21" i="27"/>
  <c r="BE19" i="27"/>
  <c r="BD7" i="27"/>
  <c r="BB12" i="27"/>
  <c r="BJ11" i="27" s="1"/>
  <c r="AZ12" i="27"/>
  <c r="AZ9" i="27"/>
  <c r="BB5" i="27"/>
  <c r="BB10" i="27"/>
  <c r="BK10" i="27" s="1"/>
  <c r="BF2" i="27"/>
  <c r="BD10" i="27"/>
  <c r="BC17" i="27"/>
  <c r="AZ8" i="27"/>
  <c r="BC16" i="27"/>
  <c r="BD9" i="27"/>
  <c r="BA17" i="27"/>
  <c r="BA16" i="27"/>
  <c r="AZ10" i="27"/>
  <c r="AZ7" i="27"/>
  <c r="AY19" i="27"/>
  <c r="AY20" i="27"/>
  <c r="BB7" i="27"/>
  <c r="BK9" i="27" s="1"/>
  <c r="BC20" i="27"/>
  <c r="BD11" i="27"/>
  <c r="BB8" i="27"/>
  <c r="BI10" i="27" s="1"/>
  <c r="BD12" i="27"/>
  <c r="BB11" i="27"/>
  <c r="BI11" i="27" s="1"/>
  <c r="BD6" i="27"/>
  <c r="BD5" i="27"/>
  <c r="BC21" i="27"/>
  <c r="AY16" i="27"/>
  <c r="BB9" i="27"/>
  <c r="BJ10" i="27" s="1"/>
  <c r="BD8" i="27"/>
  <c r="BB6" i="27"/>
  <c r="BJ9" i="27" s="1"/>
  <c r="AZ11" i="27"/>
  <c r="AZ5" i="27"/>
  <c r="BA19" i="27"/>
  <c r="AY17" i="27"/>
  <c r="BC19" i="27"/>
  <c r="BC15" i="27"/>
  <c r="BA15" i="27"/>
  <c r="BA20" i="27"/>
  <c r="AY15" i="27"/>
  <c r="AZ6" i="27"/>
  <c r="BA21" i="27"/>
  <c r="BK84" i="27"/>
  <c r="BI62" i="27"/>
  <c r="I32" i="30"/>
  <c r="N139" i="27"/>
  <c r="N140" i="27"/>
  <c r="N98" i="27"/>
  <c r="N99" i="27"/>
  <c r="AC16" i="27"/>
  <c r="AS14" i="27"/>
  <c r="Z178" i="31"/>
  <c r="AD15" i="27"/>
  <c r="AE14" i="27"/>
  <c r="AK13" i="30"/>
  <c r="AP4" i="30" s="1"/>
  <c r="AM13" i="30"/>
  <c r="AP8" i="30" s="1"/>
  <c r="D38" i="30"/>
  <c r="I29" i="30" s="1"/>
  <c r="O38" i="30"/>
  <c r="T29" i="30" s="1"/>
  <c r="T31" i="30"/>
  <c r="Q38" i="30"/>
  <c r="T33" i="30" s="1"/>
  <c r="AE6" i="30"/>
  <c r="Z13" i="30"/>
  <c r="AE4" i="30" s="1"/>
  <c r="F38" i="30"/>
  <c r="I33" i="30" s="1"/>
  <c r="AB13" i="30"/>
  <c r="AE8" i="30" s="1"/>
  <c r="Z266" i="31"/>
  <c r="Z73" i="31"/>
  <c r="Y92" i="31"/>
  <c r="Z940" i="31"/>
  <c r="V923" i="31"/>
  <c r="AA920" i="31" s="1"/>
  <c r="V233" i="31"/>
  <c r="AA230" i="31" s="1"/>
  <c r="Z149" i="31"/>
  <c r="Z448" i="31"/>
  <c r="Z912" i="31"/>
  <c r="Z806" i="31"/>
  <c r="Z638" i="31"/>
  <c r="Z943" i="31"/>
  <c r="Z888" i="31"/>
  <c r="Z858" i="31"/>
  <c r="Z829" i="31"/>
  <c r="Z752" i="31"/>
  <c r="Z668" i="31"/>
  <c r="Z34" i="31"/>
  <c r="Z859" i="31"/>
  <c r="Z19" i="31"/>
  <c r="Z32" i="31"/>
  <c r="Z771" i="31"/>
  <c r="Z746" i="31"/>
  <c r="Z632" i="31"/>
  <c r="Z525" i="31"/>
  <c r="Z411" i="31"/>
  <c r="Z770" i="31"/>
  <c r="Z609" i="31"/>
  <c r="Z386" i="31"/>
  <c r="Z42" i="31"/>
  <c r="Z582" i="31"/>
  <c r="Z553" i="31"/>
  <c r="Z552" i="31"/>
  <c r="Z332" i="31"/>
  <c r="Z220" i="31"/>
  <c r="Z165" i="31"/>
  <c r="Z303" i="31"/>
  <c r="Z250" i="31"/>
  <c r="Z218" i="31"/>
  <c r="Z445" i="31"/>
  <c r="Z415" i="31"/>
  <c r="Z390" i="31"/>
  <c r="Z474" i="31"/>
  <c r="Z444" i="31"/>
  <c r="Z277" i="31"/>
  <c r="Z168" i="31"/>
  <c r="Z905" i="31"/>
  <c r="Z61" i="31"/>
  <c r="Z407" i="31"/>
  <c r="Z461" i="31"/>
  <c r="Z114" i="31"/>
  <c r="Z958" i="31"/>
  <c r="Z659" i="31"/>
  <c r="Z138" i="31"/>
  <c r="Z76" i="31"/>
  <c r="Z904" i="31"/>
  <c r="Z353" i="31"/>
  <c r="Z160" i="31"/>
  <c r="Z959" i="31"/>
  <c r="Z460" i="31"/>
  <c r="Z56" i="31"/>
  <c r="Z110" i="31"/>
  <c r="Z352" i="31"/>
  <c r="Z27" i="31"/>
  <c r="Z10" i="31"/>
  <c r="Z161" i="31"/>
  <c r="Z341" i="31"/>
  <c r="Z917" i="31"/>
  <c r="Z700" i="31"/>
  <c r="Z172" i="31"/>
  <c r="Z287" i="31"/>
  <c r="Z47" i="31"/>
  <c r="Z838" i="31"/>
  <c r="Z755" i="31"/>
  <c r="Z616" i="31"/>
  <c r="Z533" i="31"/>
  <c r="Z65" i="31"/>
  <c r="Z365" i="31"/>
  <c r="Z449" i="31"/>
  <c r="Z944" i="31"/>
  <c r="Z892" i="31"/>
  <c r="Z863" i="31"/>
  <c r="Z778" i="31"/>
  <c r="Z670" i="31"/>
  <c r="Z310" i="31"/>
  <c r="Z364" i="31"/>
  <c r="Z563" i="31"/>
  <c r="Z641" i="31"/>
  <c r="Z479" i="31"/>
  <c r="Z173" i="31"/>
  <c r="Z202" i="31"/>
  <c r="Z311" i="31"/>
  <c r="Z425" i="31"/>
  <c r="Z809" i="31"/>
  <c r="Z942" i="31"/>
  <c r="Z828" i="31"/>
  <c r="Z805" i="31"/>
  <c r="Z720" i="31"/>
  <c r="Z690" i="31"/>
  <c r="Z31" i="31"/>
  <c r="Z774" i="31"/>
  <c r="Z721" i="31"/>
  <c r="Z637" i="31"/>
  <c r="Z20" i="31"/>
  <c r="Z119" i="31"/>
  <c r="Z663" i="31"/>
  <c r="Z855" i="31"/>
  <c r="Z716" i="31"/>
  <c r="Z662" i="31"/>
  <c r="Z549" i="31"/>
  <c r="Z410" i="31"/>
  <c r="Z613" i="31"/>
  <c r="Z499" i="31"/>
  <c r="Z333" i="31"/>
  <c r="Z249" i="31"/>
  <c r="Z529" i="31"/>
  <c r="Z302" i="31"/>
  <c r="Z273" i="31"/>
  <c r="Z194" i="31"/>
  <c r="Z164" i="31"/>
  <c r="Z360" i="31"/>
  <c r="Z498" i="31"/>
  <c r="Z336" i="31"/>
  <c r="Z223" i="31"/>
  <c r="Z934" i="31"/>
  <c r="Z935" i="31"/>
  <c r="Z821" i="31"/>
  <c r="Z682" i="31"/>
  <c r="Z850" i="31"/>
  <c r="Z583" i="31"/>
  <c r="Z471" i="31"/>
  <c r="Z820" i="31"/>
  <c r="Z628" i="31"/>
  <c r="Z437" i="31"/>
  <c r="Z629" i="31"/>
  <c r="Z491" i="31"/>
  <c r="Z521" i="31"/>
  <c r="Z487" i="31"/>
  <c r="Z323" i="31"/>
  <c r="Z382" i="31"/>
  <c r="Z44" i="31"/>
  <c r="Z709" i="31"/>
  <c r="Z112" i="31"/>
  <c r="Z242" i="31"/>
  <c r="Z454" i="31"/>
  <c r="Z107" i="31"/>
  <c r="Z779" i="31"/>
  <c r="Z89" i="31"/>
  <c r="Z227" i="31"/>
  <c r="Z39" i="31"/>
  <c r="Z724" i="31"/>
  <c r="Z562" i="31"/>
  <c r="Z502" i="31"/>
  <c r="Z340" i="31"/>
  <c r="Z46" i="31"/>
  <c r="Z754" i="31"/>
  <c r="Z701" i="31"/>
  <c r="Z148" i="31"/>
  <c r="Z256" i="31"/>
  <c r="Z286" i="31"/>
  <c r="Z893" i="31"/>
  <c r="Z38" i="31"/>
  <c r="Z586" i="31"/>
  <c r="Z88" i="31"/>
  <c r="Z640" i="31"/>
  <c r="Z862" i="31"/>
  <c r="Z889" i="31"/>
  <c r="Z775" i="31"/>
  <c r="Z750" i="31"/>
  <c r="Z395" i="31"/>
  <c r="Z35" i="31"/>
  <c r="Z691" i="31"/>
  <c r="Z18" i="31"/>
  <c r="Z909" i="31"/>
  <c r="Z717" i="31"/>
  <c r="Z687" i="31"/>
  <c r="Z633" i="31"/>
  <c r="Z470" i="31"/>
  <c r="Z824" i="31"/>
  <c r="Z825" i="31"/>
  <c r="Z800" i="31"/>
  <c r="Z548" i="31"/>
  <c r="Z524" i="31"/>
  <c r="Z440" i="31"/>
  <c r="Z387" i="31"/>
  <c r="Z636" i="31"/>
  <c r="Z612" i="31"/>
  <c r="Z528" i="31"/>
  <c r="Z272" i="31"/>
  <c r="Z135" i="31"/>
  <c r="Z475" i="31"/>
  <c r="Z414" i="31"/>
  <c r="Z361" i="31"/>
  <c r="Z337" i="31"/>
  <c r="Z306" i="31"/>
  <c r="Z169" i="31"/>
  <c r="Z252" i="31"/>
  <c r="Z199" i="31"/>
  <c r="Z737" i="31"/>
  <c r="Z713" i="31"/>
  <c r="Z599" i="31"/>
  <c r="Z520" i="31"/>
  <c r="Z139" i="31"/>
  <c r="Z60" i="31"/>
  <c r="Z436" i="31"/>
  <c r="Z490" i="31"/>
  <c r="Z712" i="31"/>
  <c r="Z967" i="31"/>
  <c r="Z875" i="31"/>
  <c r="Z851" i="31"/>
  <c r="Z797" i="31"/>
  <c r="Z736" i="31"/>
  <c r="Z658" i="31"/>
  <c r="Z766" i="31"/>
  <c r="Z796" i="31"/>
  <c r="Z784" i="31"/>
  <c r="Z574" i="31"/>
  <c r="Z185" i="31"/>
  <c r="Z269" i="31"/>
  <c r="Z298" i="31"/>
  <c r="Z111" i="31"/>
  <c r="Z245" i="31"/>
  <c r="Z57" i="31"/>
  <c r="Z80" i="31"/>
  <c r="Z378" i="31"/>
  <c r="Z542" i="31"/>
  <c r="Z208" i="31"/>
  <c r="Z620" i="31"/>
  <c r="Z732" i="31"/>
  <c r="Z840" i="31"/>
  <c r="Z618" i="31"/>
  <c r="Z504" i="31"/>
  <c r="Z776" i="31"/>
  <c r="Z634" i="31"/>
  <c r="Z772" i="31"/>
  <c r="Z718" i="31"/>
  <c r="Z278" i="31"/>
  <c r="Z890" i="31"/>
  <c r="Z416" i="31"/>
  <c r="Z768" i="31"/>
  <c r="Z522" i="31"/>
  <c r="Z116" i="31"/>
  <c r="Z62" i="31"/>
  <c r="Z738" i="31"/>
  <c r="Z822" i="31"/>
  <c r="Z576" i="31"/>
  <c r="Z572" i="31"/>
  <c r="Z932" i="31"/>
  <c r="Z508" i="31"/>
  <c r="Z434" i="31"/>
  <c r="Z948" i="31"/>
  <c r="Z430" i="31"/>
  <c r="Z312" i="31"/>
  <c r="Z680" i="31"/>
  <c r="Z82" i="31"/>
  <c r="Z762" i="31"/>
  <c r="Z186" i="31"/>
  <c r="Z296" i="31"/>
  <c r="X171" i="27"/>
  <c r="V173" i="27"/>
  <c r="AC175" i="27" s="1"/>
  <c r="X172" i="27"/>
  <c r="U185" i="27"/>
  <c r="Y184" i="27"/>
  <c r="W185" i="27"/>
  <c r="X174" i="27"/>
  <c r="W186" i="27"/>
  <c r="T170" i="27"/>
  <c r="T173" i="27"/>
  <c r="V177" i="27"/>
  <c r="AD176" i="27" s="1"/>
  <c r="T175" i="27"/>
  <c r="T172" i="27"/>
  <c r="T174" i="27"/>
  <c r="V176" i="27"/>
  <c r="AC176" i="27" s="1"/>
  <c r="S184" i="27"/>
  <c r="V175" i="27"/>
  <c r="AE175" i="27" s="1"/>
  <c r="T171" i="27"/>
  <c r="V174" i="27"/>
  <c r="AD175" i="27" s="1"/>
  <c r="T176" i="27"/>
  <c r="T177" i="27"/>
  <c r="X175" i="27"/>
  <c r="S185" i="27"/>
  <c r="S186" i="27"/>
  <c r="V171" i="27"/>
  <c r="AD174" i="27" s="1"/>
  <c r="X173" i="27"/>
  <c r="V170" i="27"/>
  <c r="X170" i="27"/>
  <c r="U184" i="27"/>
  <c r="X177" i="27"/>
  <c r="X176" i="27"/>
  <c r="V172" i="27"/>
  <c r="AE174" i="27" s="1"/>
  <c r="W184" i="27"/>
  <c r="U186" i="27"/>
  <c r="AT23" i="35"/>
  <c r="AU31" i="35" s="1"/>
  <c r="AF31" i="35"/>
  <c r="Z48" i="31"/>
  <c r="Z830" i="31"/>
  <c r="Z722" i="31"/>
  <c r="Z860" i="31"/>
  <c r="Z588" i="31"/>
  <c r="Z886" i="31"/>
  <c r="Z334" i="31"/>
  <c r="Z196" i="31"/>
  <c r="Z166" i="31"/>
  <c r="Z358" i="31"/>
  <c r="Z730" i="31"/>
  <c r="Z154" i="31"/>
  <c r="Z568" i="31"/>
  <c r="Z518" i="31"/>
  <c r="Z204" i="31"/>
  <c r="Z898" i="31"/>
  <c r="Z458" i="31"/>
  <c r="Z270" i="31"/>
  <c r="W144" i="27"/>
  <c r="X130" i="27"/>
  <c r="X135" i="27"/>
  <c r="V129" i="27"/>
  <c r="T132" i="27"/>
  <c r="W143" i="27"/>
  <c r="X129" i="27"/>
  <c r="X132" i="27"/>
  <c r="X131" i="27"/>
  <c r="V131" i="27"/>
  <c r="AE133" i="27" s="1"/>
  <c r="T135" i="27"/>
  <c r="W141" i="27"/>
  <c r="S143" i="27"/>
  <c r="S141" i="27"/>
  <c r="S145" i="27"/>
  <c r="U140" i="27"/>
  <c r="X134" i="27"/>
  <c r="S139" i="27"/>
  <c r="U139" i="27"/>
  <c r="U144" i="27"/>
  <c r="V135" i="27"/>
  <c r="AC135" i="27" s="1"/>
  <c r="U143" i="27"/>
  <c r="W145" i="27"/>
  <c r="U145" i="27"/>
  <c r="V134" i="27"/>
  <c r="AE134" i="27" s="1"/>
  <c r="V133" i="27"/>
  <c r="AD134" i="27" s="1"/>
  <c r="V130" i="27"/>
  <c r="AD133" i="27" s="1"/>
  <c r="V132" i="27"/>
  <c r="AC134" i="27" s="1"/>
  <c r="T130" i="27"/>
  <c r="S140" i="27"/>
  <c r="T136" i="27"/>
  <c r="W140" i="27"/>
  <c r="V136" i="27"/>
  <c r="AD135" i="27" s="1"/>
  <c r="U141" i="27"/>
  <c r="W139" i="27"/>
  <c r="S144" i="27"/>
  <c r="Y143" i="27"/>
  <c r="X133" i="27"/>
  <c r="T134" i="27"/>
  <c r="X136" i="27"/>
  <c r="T131" i="27"/>
  <c r="T129" i="27"/>
  <c r="T133" i="27"/>
  <c r="F54" i="30"/>
  <c r="H57" i="30" s="1"/>
  <c r="E64" i="30"/>
  <c r="C65" i="30"/>
  <c r="F51" i="30"/>
  <c r="D53" i="30"/>
  <c r="J51" i="30" s="1"/>
  <c r="G48" i="30"/>
  <c r="C61" i="30"/>
  <c r="F52" i="30"/>
  <c r="I56" i="30" s="1"/>
  <c r="C60" i="30"/>
  <c r="D51" i="30"/>
  <c r="D56" i="30"/>
  <c r="H52" i="30" s="1"/>
  <c r="F53" i="30"/>
  <c r="J56" i="30" s="1"/>
  <c r="D58" i="30"/>
  <c r="F57" i="30"/>
  <c r="H58" i="30" s="1"/>
  <c r="E65" i="30"/>
  <c r="C64" i="30"/>
  <c r="E66" i="30"/>
  <c r="B63" i="30"/>
  <c r="D57" i="30"/>
  <c r="H53" i="30" s="1"/>
  <c r="F58" i="30"/>
  <c r="I58" i="30" s="1"/>
  <c r="C66" i="30"/>
  <c r="F56" i="30"/>
  <c r="J57" i="30" s="1"/>
  <c r="E61" i="30"/>
  <c r="D54" i="30"/>
  <c r="D52" i="30"/>
  <c r="I51" i="30" s="1"/>
  <c r="E60" i="30"/>
  <c r="F55" i="30"/>
  <c r="I57" i="30" s="1"/>
  <c r="D55" i="30"/>
  <c r="J52" i="30" s="1"/>
  <c r="AS143" i="27"/>
  <c r="AU166" i="27"/>
  <c r="AS184" i="27" s="1"/>
  <c r="P67" i="35"/>
  <c r="B75" i="35"/>
  <c r="A89" i="35"/>
  <c r="Z642" i="31"/>
  <c r="Z174" i="31"/>
  <c r="Z426" i="31"/>
  <c r="Z780" i="31"/>
  <c r="Z672" i="31"/>
  <c r="Z564" i="31"/>
  <c r="Z342" i="31"/>
  <c r="Z910" i="31"/>
  <c r="Z802" i="31"/>
  <c r="Z748" i="31"/>
  <c r="Z610" i="31"/>
  <c r="Z584" i="31"/>
  <c r="Z856" i="31"/>
  <c r="Z446" i="31"/>
  <c r="Z392" i="31"/>
  <c r="Z876" i="31"/>
  <c r="Z936" i="31"/>
  <c r="Z798" i="31"/>
  <c r="Z492" i="31"/>
  <c r="Z86" i="31"/>
  <c r="Z684" i="31"/>
  <c r="Z500" i="31"/>
  <c r="Z384" i="31"/>
  <c r="Z868" i="31"/>
  <c r="Z968" i="31"/>
  <c r="Z710" i="31"/>
  <c r="Z872" i="31"/>
  <c r="Z212" i="31"/>
  <c r="Z592" i="31"/>
  <c r="Z902" i="31"/>
  <c r="Z848" i="31"/>
  <c r="Z764" i="31"/>
  <c r="Z484" i="31"/>
  <c r="Z36" i="31"/>
  <c r="Z370" i="31"/>
  <c r="AA40" i="30"/>
  <c r="Y45" i="30"/>
  <c r="AB32" i="30"/>
  <c r="AF35" i="30" s="1"/>
  <c r="X42" i="30"/>
  <c r="AA45" i="30"/>
  <c r="Z30" i="30"/>
  <c r="AB30" i="30"/>
  <c r="AC27" i="30"/>
  <c r="AA39" i="30"/>
  <c r="AA44" i="30"/>
  <c r="Z32" i="30"/>
  <c r="AF30" i="30" s="1"/>
  <c r="Y40" i="30"/>
  <c r="AB34" i="30"/>
  <c r="AE36" i="30" s="1"/>
  <c r="AB35" i="30"/>
  <c r="AF36" i="30" s="1"/>
  <c r="Y44" i="30"/>
  <c r="Z37" i="30"/>
  <c r="AB31" i="30"/>
  <c r="AE35" i="30" s="1"/>
  <c r="AB33" i="30"/>
  <c r="AD36" i="30" s="1"/>
  <c r="Z35" i="30"/>
  <c r="AD31" i="30" s="1"/>
  <c r="Y39" i="30"/>
  <c r="Y43" i="30"/>
  <c r="Z31" i="30"/>
  <c r="AE30" i="30" s="1"/>
  <c r="Z33" i="30"/>
  <c r="AB36" i="30"/>
  <c r="AD37" i="30" s="1"/>
  <c r="Z36" i="30"/>
  <c r="AD32" i="30" s="1"/>
  <c r="Z34" i="30"/>
  <c r="AF31" i="30" s="1"/>
  <c r="AA43" i="30"/>
  <c r="AB37" i="30"/>
  <c r="AE37" i="30" s="1"/>
  <c r="U68" i="30"/>
  <c r="J89" i="30"/>
  <c r="H84" i="30"/>
  <c r="AN93" i="27"/>
  <c r="AL92" i="27"/>
  <c r="AT93" i="27" s="1"/>
  <c r="AN91" i="27"/>
  <c r="AI103" i="27"/>
  <c r="AN94" i="27"/>
  <c r="AN90" i="27"/>
  <c r="AI100" i="27"/>
  <c r="AK103" i="27"/>
  <c r="AJ95" i="27"/>
  <c r="AL88" i="27"/>
  <c r="AO102" i="27"/>
  <c r="AL90" i="27"/>
  <c r="AU92" i="27" s="1"/>
  <c r="AN95" i="27"/>
  <c r="AJ93" i="27"/>
  <c r="AN92" i="27"/>
  <c r="AL93" i="27"/>
  <c r="AU93" i="27" s="1"/>
  <c r="AI98" i="27"/>
  <c r="AK98" i="27"/>
  <c r="AM103" i="27"/>
  <c r="AJ90" i="27"/>
  <c r="AI99" i="27"/>
  <c r="AM104" i="27"/>
  <c r="AK102" i="27"/>
  <c r="AL94" i="27"/>
  <c r="AS94" i="27" s="1"/>
  <c r="AM100" i="27"/>
  <c r="AN89" i="27"/>
  <c r="AL89" i="27"/>
  <c r="AT92" i="27" s="1"/>
  <c r="AL95" i="27"/>
  <c r="AT94" i="27" s="1"/>
  <c r="AJ92" i="27"/>
  <c r="AL91" i="27"/>
  <c r="AS93" i="27" s="1"/>
  <c r="AI104" i="27"/>
  <c r="AK99" i="27"/>
  <c r="AK104" i="27"/>
  <c r="AI102" i="27"/>
  <c r="AJ94" i="27"/>
  <c r="AJ88" i="27"/>
  <c r="AJ91" i="27"/>
  <c r="AN88" i="27"/>
  <c r="AM102" i="27"/>
  <c r="AJ89" i="27"/>
  <c r="AM99" i="27"/>
  <c r="AK100" i="27"/>
  <c r="AM98" i="27"/>
  <c r="K57" i="35"/>
  <c r="E55" i="35"/>
  <c r="F55" i="35"/>
  <c r="D55" i="35"/>
  <c r="B56" i="35"/>
  <c r="H55" i="35"/>
  <c r="L55" i="35"/>
  <c r="M55" i="35"/>
  <c r="J55" i="35"/>
  <c r="G55" i="35"/>
  <c r="B54" i="35"/>
  <c r="C53" i="35"/>
  <c r="D53" i="35" s="1"/>
  <c r="E53" i="35" s="1"/>
  <c r="F53" i="35" s="1"/>
  <c r="G53" i="35" s="1"/>
  <c r="H53" i="35" s="1"/>
  <c r="I53" i="35" s="1"/>
  <c r="E54" i="35"/>
  <c r="M53" i="35"/>
  <c r="C55" i="35"/>
  <c r="M54" i="35"/>
  <c r="K56" i="35"/>
  <c r="K55" i="35"/>
  <c r="I55" i="35"/>
  <c r="B55" i="35"/>
  <c r="B57" i="35"/>
  <c r="Z158" i="31"/>
  <c r="Z136" i="31"/>
  <c r="Z404" i="31"/>
  <c r="Z646" i="31"/>
  <c r="Z16" i="31"/>
  <c r="Z346" i="31"/>
  <c r="AK36" i="30"/>
  <c r="AO32" i="30" s="1"/>
  <c r="AM35" i="30"/>
  <c r="AQ36" i="30" s="1"/>
  <c r="AN27" i="30"/>
  <c r="AJ43" i="30"/>
  <c r="AJ44" i="30"/>
  <c r="AK37" i="30"/>
  <c r="AJ45" i="30"/>
  <c r="AJ39" i="30"/>
  <c r="AM31" i="30"/>
  <c r="AP35" i="30" s="1"/>
  <c r="AL45" i="30"/>
  <c r="AM32" i="30"/>
  <c r="AQ35" i="30" s="1"/>
  <c r="AM37" i="30"/>
  <c r="AP37" i="30" s="1"/>
  <c r="AM34" i="30"/>
  <c r="AP36" i="30" s="1"/>
  <c r="AL40" i="30"/>
  <c r="AI42" i="30"/>
  <c r="AJ40" i="30"/>
  <c r="AM33" i="30"/>
  <c r="AO36" i="30" s="1"/>
  <c r="AK31" i="30"/>
  <c r="AP30" i="30" s="1"/>
  <c r="AL39" i="30"/>
  <c r="AL44" i="30"/>
  <c r="AK32" i="30"/>
  <c r="AQ30" i="30" s="1"/>
  <c r="AM30" i="30"/>
  <c r="AK34" i="30"/>
  <c r="AQ31" i="30" s="1"/>
  <c r="AK35" i="30"/>
  <c r="AO31" i="30" s="1"/>
  <c r="AL43" i="30"/>
  <c r="AK33" i="30"/>
  <c r="AK30" i="30"/>
  <c r="AM36" i="30"/>
  <c r="AO37" i="30" s="1"/>
  <c r="AB33" i="35"/>
  <c r="Z33" i="35"/>
  <c r="Z35" i="35"/>
  <c r="T33" i="35"/>
  <c r="W33" i="35"/>
  <c r="U33" i="35"/>
  <c r="AB31" i="35"/>
  <c r="X33" i="35"/>
  <c r="Y33" i="35"/>
  <c r="S33" i="35"/>
  <c r="R33" i="35"/>
  <c r="V33" i="35"/>
  <c r="Q34" i="35"/>
  <c r="Q33" i="35"/>
  <c r="Q35" i="35"/>
  <c r="Z34" i="35"/>
  <c r="Q32" i="35"/>
  <c r="AA33" i="35"/>
  <c r="T32" i="35"/>
  <c r="R31" i="35"/>
  <c r="S31" i="35" s="1"/>
  <c r="T31" i="35" s="1"/>
  <c r="U31" i="35" s="1"/>
  <c r="V31" i="35" s="1"/>
  <c r="W31" i="35" s="1"/>
  <c r="X31" i="35" s="1"/>
  <c r="AB32" i="35"/>
  <c r="AF47" i="30"/>
  <c r="S63" i="30"/>
  <c r="Q53" i="35"/>
  <c r="AE45" i="35"/>
  <c r="V263" i="31"/>
  <c r="AA260" i="31" s="1"/>
  <c r="Y72" i="31"/>
  <c r="Y368" i="31"/>
  <c r="V371" i="31"/>
  <c r="AN368" i="31" s="1"/>
  <c r="V381" i="31"/>
  <c r="AN378" i="31" s="1"/>
  <c r="AA13" i="27"/>
  <c r="AC20" i="27" s="1"/>
  <c r="AC21" i="27" s="1"/>
  <c r="V71" i="31"/>
  <c r="AA68" i="31" s="1"/>
  <c r="V941" i="31"/>
  <c r="AN938" i="31" s="1"/>
  <c r="Y290" i="31"/>
  <c r="V75" i="31"/>
  <c r="V293" i="31"/>
  <c r="AA290" i="31" s="1"/>
  <c r="Y102" i="31"/>
  <c r="V105" i="31"/>
  <c r="AN102" i="31" s="1"/>
  <c r="V677" i="31"/>
  <c r="AA674" i="31" s="1"/>
  <c r="V347" i="31"/>
  <c r="AA344" i="31" s="1"/>
  <c r="Y540" i="31"/>
  <c r="Y674" i="31"/>
  <c r="Y206" i="31"/>
  <c r="Y68" i="31"/>
  <c r="Y920" i="31"/>
  <c r="V899" i="31"/>
  <c r="AN896" i="31" s="1"/>
  <c r="Y620" i="31"/>
  <c r="Y946" i="31"/>
  <c r="V949" i="31"/>
  <c r="AN946" i="31" s="1"/>
  <c r="V519" i="31"/>
  <c r="AN516" i="31" s="1"/>
  <c r="Y156" i="31"/>
  <c r="Y938" i="31"/>
  <c r="V489" i="31"/>
  <c r="AA486" i="31" s="1"/>
  <c r="Y678" i="31"/>
  <c r="Y260" i="31"/>
  <c r="V597" i="31"/>
  <c r="Y654" i="31"/>
  <c r="Y344" i="31"/>
  <c r="V543" i="31"/>
  <c r="AN540" i="31" s="1"/>
  <c r="V159" i="31"/>
  <c r="AA156" i="31" s="1"/>
  <c r="V569" i="31"/>
  <c r="AN566" i="31" s="1"/>
  <c r="Y152" i="31"/>
  <c r="Y516" i="31"/>
  <c r="V761" i="31"/>
  <c r="AN758" i="31" s="1"/>
  <c r="V213" i="31"/>
  <c r="AN210" i="31" s="1"/>
  <c r="V593" i="31"/>
  <c r="AN590" i="31" s="1"/>
  <c r="V957" i="31"/>
  <c r="AA954" i="31" s="1"/>
  <c r="V455" i="31"/>
  <c r="AN452" i="31" s="1"/>
  <c r="Y456" i="31"/>
  <c r="V707" i="31"/>
  <c r="AA704" i="31" s="1"/>
  <c r="Y812" i="31"/>
  <c r="V209" i="31"/>
  <c r="Y126" i="31"/>
  <c r="Y594" i="31"/>
  <c r="V431" i="31"/>
  <c r="AN428" i="31" s="1"/>
  <c r="V243" i="31"/>
  <c r="AA240" i="31" s="1"/>
  <c r="Y180" i="31"/>
  <c r="V869" i="31"/>
  <c r="AN866" i="31" s="1"/>
  <c r="V133" i="31"/>
  <c r="AA130" i="31" s="1"/>
  <c r="Y954" i="31"/>
  <c r="Y294" i="31"/>
  <c r="V405" i="31"/>
  <c r="AA402" i="31" s="1"/>
  <c r="V785" i="31"/>
  <c r="AA782" i="31" s="1"/>
  <c r="Y896" i="31"/>
  <c r="V129" i="31"/>
  <c r="AA126" i="31" s="1"/>
  <c r="V845" i="31"/>
  <c r="AN842" i="31" s="1"/>
  <c r="V163" i="31"/>
  <c r="AA160" i="31" s="1"/>
  <c r="Y644" i="31"/>
  <c r="Y210" i="31"/>
  <c r="V297" i="31"/>
  <c r="AA294" i="31" s="1"/>
  <c r="Y506" i="31"/>
  <c r="V401" i="31"/>
  <c r="AN398" i="31" s="1"/>
  <c r="Y432" i="31"/>
  <c r="V681" i="31"/>
  <c r="AN678" i="31" s="1"/>
  <c r="V623" i="31"/>
  <c r="Y452" i="31"/>
  <c r="Y230" i="31"/>
  <c r="V183" i="31"/>
  <c r="Y240" i="31"/>
  <c r="V903" i="31"/>
  <c r="AA900" i="31" s="1"/>
  <c r="Y428" i="31"/>
  <c r="V627" i="31"/>
  <c r="AA624" i="31" s="1"/>
  <c r="V459" i="31"/>
  <c r="AN456" i="31" s="1"/>
  <c r="Y122" i="31"/>
  <c r="Y566" i="31"/>
  <c r="V647" i="31"/>
  <c r="AA644" i="31" s="1"/>
  <c r="V815" i="31"/>
  <c r="AA812" i="31" s="1"/>
  <c r="V45" i="31"/>
  <c r="V915" i="31"/>
  <c r="AN912" i="31" s="1"/>
  <c r="V539" i="31"/>
  <c r="AA536" i="31" s="1"/>
  <c r="V731" i="31"/>
  <c r="AA728" i="31" s="1"/>
  <c r="V155" i="31"/>
  <c r="Y76" i="31"/>
  <c r="Y318" i="31"/>
  <c r="Y314" i="31"/>
  <c r="Y482" i="31"/>
  <c r="V509" i="31"/>
  <c r="Y704" i="31"/>
  <c r="Y398" i="31"/>
  <c r="V953" i="31"/>
  <c r="AN950" i="31" s="1"/>
  <c r="Y762" i="31"/>
  <c r="Y624" i="31"/>
  <c r="Y268" i="31"/>
  <c r="Y42" i="31"/>
  <c r="Y486" i="31"/>
  <c r="V37" i="31"/>
  <c r="AA34" i="31" s="1"/>
  <c r="V657" i="31"/>
  <c r="V317" i="31"/>
  <c r="AA314" i="31" s="1"/>
  <c r="V795" i="31"/>
  <c r="AA792" i="31" s="1"/>
  <c r="V485" i="31"/>
  <c r="Y56" i="31"/>
  <c r="V267" i="31"/>
  <c r="AA264" i="31" s="1"/>
  <c r="Y900" i="31"/>
  <c r="Y732" i="31"/>
  <c r="Y536" i="31"/>
  <c r="Y846" i="31"/>
  <c r="Y870" i="31"/>
  <c r="V95" i="31"/>
  <c r="AA92" i="31" s="1"/>
  <c r="Y912" i="31"/>
  <c r="V321" i="31"/>
  <c r="AA318" i="31" s="1"/>
  <c r="V873" i="31"/>
  <c r="AN870" i="31" s="1"/>
  <c r="V25" i="31"/>
  <c r="AA22" i="31" s="1"/>
  <c r="Y866" i="31"/>
  <c r="V109" i="31"/>
  <c r="Y322" i="31"/>
  <c r="Y782" i="31"/>
  <c r="Y590" i="31"/>
  <c r="V439" i="31"/>
  <c r="V79" i="31"/>
  <c r="AA76" i="31" s="1"/>
  <c r="Y130" i="31"/>
  <c r="Y792" i="31"/>
  <c r="V819" i="31"/>
  <c r="AN816" i="31" s="1"/>
  <c r="V735" i="31"/>
  <c r="AA732" i="31" s="1"/>
  <c r="Y10" i="31"/>
  <c r="V13" i="31"/>
  <c r="AN10" i="31" s="1"/>
  <c r="V187" i="31"/>
  <c r="AN184" i="31" s="1"/>
  <c r="Y264" i="31"/>
  <c r="Y176" i="31"/>
  <c r="Y950" i="31"/>
  <c r="V125" i="31"/>
  <c r="Y160" i="31"/>
  <c r="Y22" i="31"/>
  <c r="V493" i="31"/>
  <c r="AN490" i="31" s="1"/>
  <c r="Y758" i="31"/>
  <c r="V849" i="31"/>
  <c r="AA846" i="31" s="1"/>
  <c r="V765" i="31"/>
  <c r="AN762" i="31" s="1"/>
  <c r="V179" i="31"/>
  <c r="AN176" i="31" s="1"/>
  <c r="Z894" i="31"/>
  <c r="Z810" i="31"/>
  <c r="Z756" i="31"/>
  <c r="Z534" i="31"/>
  <c r="Z66" i="31"/>
  <c r="Z90" i="31"/>
  <c r="Z40" i="31"/>
  <c r="Z864" i="31"/>
  <c r="Z480" i="31"/>
  <c r="Z228" i="31"/>
  <c r="Z258" i="31"/>
  <c r="Z288" i="31"/>
  <c r="Z366" i="31"/>
  <c r="Z450" i="31"/>
  <c r="Z726" i="31"/>
  <c r="Z914" i="31"/>
  <c r="Z692" i="31"/>
  <c r="Z120" i="31"/>
  <c r="Z24" i="31"/>
  <c r="Z396" i="31"/>
  <c r="Z918" i="31"/>
  <c r="Z664" i="31"/>
  <c r="Z472" i="31"/>
  <c r="Z412" i="31"/>
  <c r="Z826" i="31"/>
  <c r="Z688" i="31"/>
  <c r="Z580" i="31"/>
  <c r="Z526" i="31"/>
  <c r="Z496" i="31"/>
  <c r="Z442" i="31"/>
  <c r="Z388" i="31"/>
  <c r="Z550" i="31"/>
  <c r="V29" i="31"/>
  <c r="AA26" i="31" s="1"/>
  <c r="Z702" i="31"/>
  <c r="Z614" i="31"/>
  <c r="Z554" i="31"/>
  <c r="Z530" i="31"/>
  <c r="Z274" i="31"/>
  <c r="Z224" i="31"/>
  <c r="Z476" i="31"/>
  <c r="Z362" i="31"/>
  <c r="Z254" i="31"/>
  <c r="Z852" i="31"/>
  <c r="Z714" i="31"/>
  <c r="Z660" i="31"/>
  <c r="Z600" i="31"/>
  <c r="Y490" i="31"/>
  <c r="V271" i="31"/>
  <c r="AA268" i="31" s="1"/>
  <c r="Z300" i="31"/>
  <c r="Z200" i="31"/>
  <c r="Z960" i="31"/>
  <c r="Z906" i="31"/>
  <c r="Z140" i="31"/>
  <c r="V301" i="31"/>
  <c r="AN298" i="31" s="1"/>
  <c r="Y436" i="31"/>
  <c r="V217" i="31"/>
  <c r="Z324" i="31"/>
  <c r="Z408" i="31"/>
  <c r="Z338" i="31"/>
  <c r="Z170" i="31"/>
  <c r="Z304" i="31"/>
  <c r="Z108" i="31"/>
  <c r="Z246" i="31"/>
  <c r="Z438" i="31"/>
  <c r="Z308" i="31"/>
  <c r="Z546" i="31"/>
  <c r="Z794" i="31"/>
  <c r="Y378" i="31"/>
  <c r="Z626" i="31"/>
  <c r="Z818" i="31"/>
  <c r="Z462" i="31"/>
  <c r="Z78" i="31"/>
  <c r="Z354" i="31"/>
  <c r="Y348" i="31"/>
  <c r="Z58" i="31"/>
  <c r="Z12" i="31"/>
  <c r="Z964" i="31"/>
  <c r="Z952" i="31"/>
  <c r="Z380" i="31"/>
  <c r="Z630" i="31"/>
  <c r="Z400" i="31"/>
  <c r="Z622" i="31"/>
  <c r="Z760" i="31"/>
  <c r="Z74" i="31"/>
  <c r="Z104" i="31"/>
  <c r="Z488" i="31"/>
  <c r="Z94" i="31"/>
  <c r="Z814" i="31"/>
  <c r="Z350" i="31"/>
  <c r="Z596" i="31"/>
  <c r="Z162" i="31"/>
  <c r="Z70" i="31"/>
  <c r="Z262" i="31"/>
  <c r="Z182" i="31"/>
  <c r="Z232" i="31"/>
  <c r="Z538" i="31"/>
  <c r="Z150" i="31"/>
  <c r="Z128" i="31"/>
  <c r="Z656" i="31"/>
  <c r="Z956" i="31"/>
  <c r="Z316" i="31"/>
  <c r="Z844" i="31"/>
  <c r="Z132" i="31"/>
  <c r="Z216" i="31"/>
  <c r="Z320" i="31"/>
  <c r="Z292" i="31"/>
  <c r="Z922" i="31"/>
  <c r="Z734" i="31"/>
  <c r="Z28" i="31"/>
  <c r="Z706" i="31"/>
  <c r="Z676" i="31"/>
  <c r="Z124" i="31"/>
  <c r="Z210" i="31"/>
  <c r="Z847" i="31"/>
  <c r="Z295" i="31"/>
  <c r="Z130" i="31"/>
  <c r="Z679" i="31"/>
  <c r="Z507" i="31"/>
  <c r="Z621" i="31"/>
  <c r="Z211" i="31"/>
  <c r="Z403" i="31"/>
  <c r="Z625" i="31"/>
  <c r="Z900" i="31"/>
  <c r="Z184" i="31"/>
  <c r="Z240" i="31"/>
  <c r="Z348" i="31"/>
  <c r="Z103" i="31"/>
  <c r="Z939" i="31"/>
  <c r="Z506" i="31"/>
  <c r="Z345" i="31"/>
  <c r="Z842" i="31"/>
  <c r="Z379" i="31"/>
  <c r="Z486" i="31"/>
  <c r="Z655" i="31"/>
  <c r="Z792" i="31"/>
  <c r="Z871" i="31"/>
  <c r="Z954" i="31"/>
  <c r="Z215" i="31"/>
  <c r="Z123" i="31"/>
  <c r="Z315" i="31"/>
  <c r="Z705" i="31"/>
  <c r="Z897" i="31"/>
  <c r="Z759" i="31"/>
  <c r="Z950" i="31"/>
  <c r="Z72" i="31"/>
  <c r="Z176" i="31"/>
  <c r="Z399" i="31"/>
  <c r="Z758" i="31"/>
  <c r="Z344" i="31"/>
  <c r="Z728" i="31"/>
  <c r="Z866" i="31"/>
  <c r="Z782" i="31"/>
  <c r="Z26" i="31"/>
  <c r="Z43" i="31"/>
  <c r="Z231" i="31"/>
  <c r="Z452" i="31"/>
  <c r="Z645" i="31"/>
  <c r="Z783" i="31"/>
  <c r="Z921" i="31"/>
  <c r="Z68" i="31"/>
  <c r="Z260" i="31"/>
  <c r="Z369" i="31"/>
  <c r="Z843" i="31"/>
  <c r="Z938" i="31"/>
  <c r="Z536" i="31"/>
  <c r="Z708" i="31"/>
  <c r="Z567" i="31"/>
  <c r="Z157" i="31"/>
  <c r="Z265" i="31"/>
  <c r="Z457" i="31"/>
  <c r="Z571" i="31"/>
  <c r="Z516" i="31"/>
  <c r="Z482" i="31"/>
  <c r="Z624" i="31"/>
  <c r="Z398" i="31"/>
  <c r="Z349" i="31"/>
  <c r="Z570" i="31"/>
  <c r="Z733" i="31"/>
  <c r="Z817" i="31"/>
  <c r="Z77" i="31"/>
  <c r="Z244" i="31"/>
  <c r="Z23" i="31"/>
  <c r="Z207" i="31"/>
  <c r="Z290" i="31"/>
  <c r="Z127" i="31"/>
  <c r="Z870" i="31"/>
  <c r="Z156" i="31"/>
  <c r="Z383" i="31"/>
  <c r="Z962" i="31"/>
  <c r="Z946" i="31"/>
  <c r="Z318" i="31"/>
  <c r="Z517" i="31"/>
  <c r="Z816" i="31"/>
  <c r="Z955" i="31"/>
  <c r="Z920" i="31"/>
  <c r="Z241" i="31"/>
  <c r="Z456" i="31"/>
  <c r="Z678" i="31"/>
  <c r="Z206" i="31"/>
  <c r="Z153" i="31"/>
  <c r="Z429" i="31"/>
  <c r="Z126" i="31"/>
  <c r="Z402" i="31"/>
  <c r="Z594" i="31"/>
  <c r="Z763" i="31"/>
  <c r="Z846" i="31"/>
  <c r="Z930" i="31"/>
  <c r="Z963" i="31"/>
  <c r="Z69" i="31"/>
  <c r="Z177" i="31"/>
  <c r="Z483" i="31"/>
  <c r="Z813" i="31"/>
  <c r="Z644" i="31"/>
  <c r="Z812" i="31"/>
  <c r="Z947" i="31"/>
  <c r="Z102" i="31"/>
  <c r="Z314" i="31"/>
  <c r="Z453" i="31"/>
  <c r="Z428" i="31"/>
  <c r="Z93" i="31"/>
  <c r="Z566" i="31"/>
  <c r="Z261" i="31"/>
  <c r="Z180" i="31"/>
  <c r="Z15" i="31"/>
  <c r="Z92" i="31"/>
  <c r="Z230" i="31"/>
  <c r="Z704" i="31"/>
  <c r="Z675" i="31"/>
  <c r="Z867" i="31"/>
  <c r="Z951" i="31"/>
  <c r="Z152" i="31"/>
  <c r="Z291" i="31"/>
  <c r="Z674" i="31"/>
  <c r="Z368" i="31"/>
  <c r="Z590" i="31"/>
  <c r="Z181" i="31"/>
  <c r="Z931" i="31"/>
  <c r="Z537" i="31"/>
  <c r="Z896" i="31"/>
  <c r="Z264" i="31"/>
  <c r="Z432" i="31"/>
  <c r="Z541" i="31"/>
  <c r="Z106" i="31"/>
  <c r="Z319" i="31"/>
  <c r="Z294" i="31"/>
  <c r="Z654" i="31"/>
  <c r="Z122" i="31"/>
  <c r="Z729" i="31"/>
  <c r="Z540" i="31"/>
  <c r="Z595" i="31"/>
  <c r="Z793" i="31"/>
  <c r="Z901" i="31"/>
  <c r="Z214" i="31"/>
  <c r="V435" i="31"/>
  <c r="BE178" i="27"/>
  <c r="BF170" i="27"/>
  <c r="Z132" i="27"/>
  <c r="Y137" i="27"/>
  <c r="AP91" i="27"/>
  <c r="AO96" i="27"/>
  <c r="AL7" i="31"/>
  <c r="AL9" i="31"/>
  <c r="AL8" i="31"/>
  <c r="AL10" i="31"/>
  <c r="BF131" i="27"/>
  <c r="BE137" i="27"/>
  <c r="J170" i="27"/>
  <c r="K178" i="27" s="1"/>
  <c r="I178" i="27"/>
  <c r="Z171" i="27"/>
  <c r="Y178" i="27"/>
  <c r="Z92" i="27"/>
  <c r="Y96" i="27"/>
  <c r="AO137" i="27"/>
  <c r="BN1" i="27"/>
  <c r="I13" i="27"/>
  <c r="J5" i="27"/>
  <c r="K13" i="27" s="1"/>
  <c r="M20" i="27" s="1"/>
  <c r="M21" i="27" s="1"/>
  <c r="J91" i="27"/>
  <c r="K96" i="27" s="1"/>
  <c r="M103" i="27" s="1"/>
  <c r="M104" i="27" s="1"/>
  <c r="I96" i="27"/>
  <c r="BE96" i="27"/>
  <c r="AO13" i="27"/>
  <c r="AP48" i="27"/>
  <c r="AQ56" i="27" s="1"/>
  <c r="AO56" i="27"/>
  <c r="J131" i="27"/>
  <c r="I137" i="27"/>
  <c r="Y402" i="31"/>
  <c r="V711" i="31"/>
  <c r="Y708" i="31"/>
  <c r="V351" i="31"/>
  <c r="V573" i="31"/>
  <c r="Y570" i="31"/>
  <c r="V59" i="31"/>
  <c r="AN56" i="31" s="1"/>
  <c r="V933" i="31"/>
  <c r="Y930" i="31"/>
  <c r="Y816" i="31"/>
  <c r="V965" i="31"/>
  <c r="Y962" i="31"/>
  <c r="Y110" i="31"/>
  <c r="V113" i="31"/>
  <c r="Y80" i="31"/>
  <c r="V83" i="31"/>
  <c r="Y118" i="31"/>
  <c r="Y838" i="31"/>
  <c r="Y520" i="31"/>
  <c r="Y14" i="31"/>
  <c r="Y184" i="31"/>
  <c r="Y728" i="31"/>
  <c r="Y724" i="31"/>
  <c r="V151" i="31"/>
  <c r="AA148" i="31" s="1"/>
  <c r="Y34" i="31"/>
  <c r="V577" i="31"/>
  <c r="AN574" i="31" s="1"/>
  <c r="Y106" i="31"/>
  <c r="Y842" i="31"/>
  <c r="V325" i="31"/>
  <c r="V247" i="31"/>
  <c r="Y244" i="31"/>
  <c r="Y214" i="31"/>
  <c r="V523" i="31"/>
  <c r="V63" i="31"/>
  <c r="Y60" i="31"/>
  <c r="V385" i="31"/>
  <c r="Y382" i="31"/>
  <c r="V409" i="31"/>
  <c r="Y406" i="31"/>
  <c r="Y460" i="31"/>
  <c r="V463" i="31"/>
  <c r="V715" i="31"/>
  <c r="Y712" i="31"/>
  <c r="V117" i="31"/>
  <c r="Y114" i="31"/>
  <c r="V961" i="31"/>
  <c r="Y958" i="31"/>
  <c r="V739" i="31"/>
  <c r="Y736" i="31"/>
  <c r="Y658" i="31"/>
  <c r="V661" i="31"/>
  <c r="V141" i="31"/>
  <c r="Y138" i="31"/>
  <c r="V769" i="31"/>
  <c r="Y766" i="31"/>
  <c r="Y796" i="31"/>
  <c r="V799" i="31"/>
  <c r="Y904" i="31"/>
  <c r="V907" i="31"/>
  <c r="V937" i="31"/>
  <c r="Y934" i="31"/>
  <c r="Y682" i="31"/>
  <c r="V685" i="31"/>
  <c r="V355" i="31"/>
  <c r="Y352" i="31"/>
  <c r="V853" i="31"/>
  <c r="Y850" i="31"/>
  <c r="V969" i="31"/>
  <c r="Y966" i="31"/>
  <c r="V877" i="31"/>
  <c r="Y874" i="31"/>
  <c r="V823" i="31"/>
  <c r="Y820" i="31"/>
  <c r="Y628" i="31"/>
  <c r="V631" i="31"/>
  <c r="V601" i="31"/>
  <c r="Y598" i="31"/>
  <c r="Y574" i="31"/>
  <c r="V547" i="31"/>
  <c r="Y544" i="31"/>
  <c r="Y84" i="31"/>
  <c r="V87" i="31"/>
  <c r="Y298" i="31"/>
  <c r="Y360" i="31"/>
  <c r="V363" i="31"/>
  <c r="V279" i="31"/>
  <c r="Y276" i="31"/>
  <c r="V255" i="31"/>
  <c r="Y252" i="31"/>
  <c r="V201" i="31"/>
  <c r="Y198" i="31"/>
  <c r="V477" i="31"/>
  <c r="Y474" i="31"/>
  <c r="V447" i="31"/>
  <c r="Y444" i="31"/>
  <c r="Y168" i="31"/>
  <c r="V171" i="31"/>
  <c r="V313" i="31"/>
  <c r="AA310" i="31" s="1"/>
  <c r="Y364" i="31"/>
  <c r="Y804" i="31"/>
  <c r="Y26" i="31"/>
  <c r="Y414" i="31"/>
  <c r="V417" i="31"/>
  <c r="V393" i="31"/>
  <c r="Y390" i="31"/>
  <c r="V339" i="31"/>
  <c r="Y336" i="31"/>
  <c r="Y222" i="31"/>
  <c r="V225" i="31"/>
  <c r="Y306" i="31"/>
  <c r="V309" i="31"/>
  <c r="V17" i="31"/>
  <c r="AN14" i="31" s="1"/>
  <c r="V197" i="31"/>
  <c r="Y194" i="31"/>
  <c r="V167" i="31"/>
  <c r="Y164" i="31"/>
  <c r="Y502" i="31"/>
  <c r="Y202" i="31"/>
  <c r="Y88" i="31"/>
  <c r="V335" i="31"/>
  <c r="Y332" i="31"/>
  <c r="V251" i="31"/>
  <c r="Y248" i="31"/>
  <c r="V137" i="31"/>
  <c r="Y134" i="31"/>
  <c r="V359" i="31"/>
  <c r="Y356" i="31"/>
  <c r="Y302" i="31"/>
  <c r="V305" i="31"/>
  <c r="V275" i="31"/>
  <c r="Y272" i="31"/>
  <c r="Y218" i="31"/>
  <c r="V221" i="31"/>
  <c r="V615" i="31"/>
  <c r="Y612" i="31"/>
  <c r="V585" i="31"/>
  <c r="Y582" i="31"/>
  <c r="V531" i="31"/>
  <c r="Y528" i="31"/>
  <c r="V555" i="31"/>
  <c r="Y552" i="31"/>
  <c r="V703" i="31"/>
  <c r="AA700" i="31" s="1"/>
  <c r="Y256" i="31"/>
  <c r="Y38" i="31"/>
  <c r="V693" i="31"/>
  <c r="AA690" i="31" s="1"/>
  <c r="V669" i="31"/>
  <c r="Y30" i="31"/>
  <c r="K56" i="27"/>
  <c r="M63" i="27" s="1"/>
  <c r="M64" i="27" s="1"/>
  <c r="V635" i="31"/>
  <c r="AA632" i="31" s="1"/>
  <c r="Y524" i="31"/>
  <c r="Y800" i="31"/>
  <c r="V501" i="31"/>
  <c r="Y498" i="31"/>
  <c r="Y440" i="31"/>
  <c r="Y770" i="31"/>
  <c r="V773" i="31"/>
  <c r="V689" i="31"/>
  <c r="Y686" i="31"/>
  <c r="V497" i="31"/>
  <c r="Y494" i="31"/>
  <c r="V443" i="31"/>
  <c r="V857" i="31"/>
  <c r="Y854" i="31"/>
  <c r="V803" i="31"/>
  <c r="V719" i="31"/>
  <c r="Y716" i="31"/>
  <c r="Y662" i="31"/>
  <c r="V665" i="31"/>
  <c r="V527" i="31"/>
  <c r="V389" i="31"/>
  <c r="Y386" i="31"/>
  <c r="V911" i="31"/>
  <c r="Y908" i="31"/>
  <c r="V887" i="31"/>
  <c r="Y884" i="31"/>
  <c r="Y746" i="31"/>
  <c r="V749" i="31"/>
  <c r="V581" i="31"/>
  <c r="Y578" i="31"/>
  <c r="V551" i="31"/>
  <c r="V473" i="31"/>
  <c r="Y470" i="31"/>
  <c r="Y410" i="31"/>
  <c r="V413" i="31"/>
  <c r="V827" i="31"/>
  <c r="Y824" i="31"/>
  <c r="Y632" i="31"/>
  <c r="V611" i="31"/>
  <c r="Y608" i="31"/>
  <c r="Y548" i="31"/>
  <c r="V21" i="31"/>
  <c r="Y18" i="31"/>
  <c r="M138" i="27"/>
  <c r="K137" i="27"/>
  <c r="Y310" i="31"/>
  <c r="Y720" i="31"/>
  <c r="V723" i="31"/>
  <c r="V945" i="31"/>
  <c r="Y942" i="31"/>
  <c r="V891" i="31"/>
  <c r="Y888" i="31"/>
  <c r="V861" i="31"/>
  <c r="V807" i="31"/>
  <c r="V33" i="31"/>
  <c r="Y690" i="31"/>
  <c r="Y774" i="31"/>
  <c r="V777" i="31"/>
  <c r="Y858" i="31"/>
  <c r="Y828" i="31"/>
  <c r="V831" i="31"/>
  <c r="V753" i="31"/>
  <c r="Y750" i="31"/>
  <c r="Y666" i="31"/>
  <c r="Y636" i="31"/>
  <c r="V639" i="31"/>
  <c r="Y808" i="31"/>
  <c r="Y64" i="31"/>
  <c r="M179" i="27"/>
  <c r="Y616" i="31"/>
  <c r="Y424" i="31"/>
  <c r="V781" i="31"/>
  <c r="Y754" i="31"/>
  <c r="V757" i="31"/>
  <c r="V673" i="31"/>
  <c r="V91" i="31"/>
  <c r="Y286" i="31"/>
  <c r="V289" i="31"/>
  <c r="Y394" i="31"/>
  <c r="V397" i="31"/>
  <c r="Y46" i="31"/>
  <c r="V49" i="31"/>
  <c r="AA56" i="27"/>
  <c r="AC57" i="27"/>
  <c r="V841" i="31"/>
  <c r="Y670" i="31"/>
  <c r="V619" i="31"/>
  <c r="V589" i="31"/>
  <c r="V481" i="31"/>
  <c r="V205" i="31"/>
  <c r="V343" i="31"/>
  <c r="Y340" i="31"/>
  <c r="V367" i="31"/>
  <c r="V865" i="31"/>
  <c r="Y862" i="31"/>
  <c r="AT14" i="27"/>
  <c r="AQ13" i="27"/>
  <c r="AA96" i="27"/>
  <c r="AD97" i="27"/>
  <c r="V41" i="31"/>
  <c r="V919" i="31"/>
  <c r="Y172" i="31"/>
  <c r="V175" i="31"/>
  <c r="Y226" i="31"/>
  <c r="V229" i="31"/>
  <c r="V427" i="31"/>
  <c r="V565" i="31"/>
  <c r="Y700" i="31"/>
  <c r="V895" i="31"/>
  <c r="Y916" i="31"/>
  <c r="AS57" i="27"/>
  <c r="Y892" i="31"/>
  <c r="Y778" i="31"/>
  <c r="V727" i="31"/>
  <c r="Y562" i="31"/>
  <c r="V505" i="31"/>
  <c r="V67" i="31"/>
  <c r="V121" i="31"/>
  <c r="Y148" i="31"/>
  <c r="V259" i="31"/>
  <c r="V451" i="31"/>
  <c r="Y448" i="31"/>
  <c r="Y478" i="31"/>
  <c r="V535" i="31"/>
  <c r="Y532" i="31"/>
  <c r="Y586" i="31"/>
  <c r="V643" i="31"/>
  <c r="Y640" i="31"/>
  <c r="V811" i="31"/>
  <c r="AN920" i="31" l="1"/>
  <c r="BI9" i="27"/>
  <c r="BB13" i="27"/>
  <c r="BJ8" i="27" s="1"/>
  <c r="Z233" i="31"/>
  <c r="BB55" i="27"/>
  <c r="BJ54" i="27" s="1"/>
  <c r="BD48" i="27"/>
  <c r="BC59" i="27"/>
  <c r="AZ53" i="27"/>
  <c r="BC58" i="27"/>
  <c r="BB48" i="27"/>
  <c r="AY63" i="27"/>
  <c r="AY62" i="27"/>
  <c r="AZ51" i="27"/>
  <c r="AY59" i="27"/>
  <c r="BA64" i="27"/>
  <c r="BB51" i="27"/>
  <c r="BI53" i="27" s="1"/>
  <c r="AZ49" i="27"/>
  <c r="BA63" i="27"/>
  <c r="BC64" i="27"/>
  <c r="BD53" i="27"/>
  <c r="BA60" i="27"/>
  <c r="BD51" i="27"/>
  <c r="BA62" i="27"/>
  <c r="BD49" i="27"/>
  <c r="AZ50" i="27"/>
  <c r="BB54" i="27"/>
  <c r="BI54" i="27" s="1"/>
  <c r="BA58" i="27"/>
  <c r="AZ52" i="27"/>
  <c r="BB53" i="27"/>
  <c r="BK53" i="27" s="1"/>
  <c r="BC62" i="27"/>
  <c r="BC60" i="27"/>
  <c r="AY58" i="27"/>
  <c r="AY60" i="27"/>
  <c r="BD54" i="27"/>
  <c r="BB52" i="27"/>
  <c r="BJ53" i="27" s="1"/>
  <c r="AZ48" i="27"/>
  <c r="BD55" i="27"/>
  <c r="BB49" i="27"/>
  <c r="BJ52" i="27" s="1"/>
  <c r="BE62" i="27"/>
  <c r="BC63" i="27"/>
  <c r="AZ54" i="27"/>
  <c r="BD52" i="27"/>
  <c r="BB50" i="27"/>
  <c r="BK52" i="27" s="1"/>
  <c r="AZ55" i="27"/>
  <c r="BA59" i="27"/>
  <c r="AY64" i="27"/>
  <c r="BD50" i="27"/>
  <c r="BI7" i="27"/>
  <c r="BG11" i="27"/>
  <c r="BI16" i="27" s="1"/>
  <c r="BG7" i="27"/>
  <c r="BK14" i="27" s="1"/>
  <c r="BK5" i="27"/>
  <c r="BJ6" i="27"/>
  <c r="BG9" i="27"/>
  <c r="BJ15" i="27" s="1"/>
  <c r="BJ5" i="27"/>
  <c r="BG6" i="27"/>
  <c r="BJ14" i="27" s="1"/>
  <c r="BK125" i="27"/>
  <c r="BI102" i="27"/>
  <c r="BG10" i="27"/>
  <c r="BK15" i="27" s="1"/>
  <c r="BK6" i="27"/>
  <c r="BJ7" i="27"/>
  <c r="BG12" i="27"/>
  <c r="BJ16" i="27" s="1"/>
  <c r="BI5" i="27"/>
  <c r="BG5" i="27"/>
  <c r="AZ13" i="27"/>
  <c r="BD13" i="27"/>
  <c r="BI6" i="27"/>
  <c r="BG8" i="27"/>
  <c r="BI15" i="27" s="1"/>
  <c r="AA938" i="31"/>
  <c r="AA378" i="31"/>
  <c r="AN230" i="31"/>
  <c r="AN76" i="31"/>
  <c r="AN260" i="31"/>
  <c r="Z263" i="31"/>
  <c r="AN240" i="31"/>
  <c r="AN310" i="31"/>
  <c r="AN68" i="31"/>
  <c r="AA368" i="31"/>
  <c r="AN314" i="31"/>
  <c r="AA452" i="31"/>
  <c r="Z873" i="31"/>
  <c r="Z75" i="31"/>
  <c r="O54" i="30"/>
  <c r="Q57" i="30"/>
  <c r="S58" i="30" s="1"/>
  <c r="N66" i="30"/>
  <c r="P61" i="30"/>
  <c r="P66" i="30"/>
  <c r="O58" i="30"/>
  <c r="O53" i="30"/>
  <c r="U51" i="30" s="1"/>
  <c r="Q51" i="30"/>
  <c r="N64" i="30"/>
  <c r="Q56" i="30"/>
  <c r="U57" i="30" s="1"/>
  <c r="N61" i="30"/>
  <c r="Q53" i="30"/>
  <c r="U56" i="30" s="1"/>
  <c r="O55" i="30"/>
  <c r="U52" i="30" s="1"/>
  <c r="Q52" i="30"/>
  <c r="T56" i="30" s="1"/>
  <c r="P64" i="30"/>
  <c r="P65" i="30"/>
  <c r="Q55" i="30"/>
  <c r="T57" i="30" s="1"/>
  <c r="O57" i="30"/>
  <c r="S53" i="30" s="1"/>
  <c r="Q58" i="30"/>
  <c r="T58" i="30" s="1"/>
  <c r="O51" i="30"/>
  <c r="O56" i="30"/>
  <c r="S52" i="30" s="1"/>
  <c r="P60" i="30"/>
  <c r="M63" i="30"/>
  <c r="O52" i="30"/>
  <c r="T51" i="30" s="1"/>
  <c r="R48" i="30"/>
  <c r="N60" i="30"/>
  <c r="N65" i="30"/>
  <c r="Q54" i="30"/>
  <c r="S57" i="30" s="1"/>
  <c r="AS90" i="27"/>
  <c r="AQ94" i="27"/>
  <c r="AS99" i="27" s="1"/>
  <c r="U89" i="30"/>
  <c r="H105" i="30"/>
  <c r="AD30" i="30"/>
  <c r="Z38" i="30"/>
  <c r="AE29" i="30" s="1"/>
  <c r="AJ176" i="27"/>
  <c r="AM186" i="27"/>
  <c r="AK186" i="27"/>
  <c r="AN174" i="27"/>
  <c r="AK185" i="27"/>
  <c r="AL172" i="27"/>
  <c r="AU174" i="27" s="1"/>
  <c r="AL176" i="27"/>
  <c r="AS176" i="27" s="1"/>
  <c r="AL171" i="27"/>
  <c r="AT174" i="27" s="1"/>
  <c r="AN173" i="27"/>
  <c r="AJ175" i="27"/>
  <c r="AJ171" i="27"/>
  <c r="AI184" i="27"/>
  <c r="AL170" i="27"/>
  <c r="AO184" i="27"/>
  <c r="AM185" i="27"/>
  <c r="AN176" i="27"/>
  <c r="AJ173" i="27"/>
  <c r="AJ170" i="27"/>
  <c r="AN175" i="27"/>
  <c r="AN171" i="27"/>
  <c r="AN177" i="27"/>
  <c r="AK184" i="27"/>
  <c r="AJ172" i="27"/>
  <c r="AJ177" i="27"/>
  <c r="AM184" i="27"/>
  <c r="AN170" i="27"/>
  <c r="AJ174" i="27"/>
  <c r="AI185" i="27"/>
  <c r="AL177" i="27"/>
  <c r="AT176" i="27" s="1"/>
  <c r="AI186" i="27"/>
  <c r="AN172" i="27"/>
  <c r="AL175" i="27"/>
  <c r="AU175" i="27" s="1"/>
  <c r="AL173" i="27"/>
  <c r="AS175" i="27" s="1"/>
  <c r="AL174" i="27"/>
  <c r="AT175" i="27" s="1"/>
  <c r="H51" i="30"/>
  <c r="D59" i="30"/>
  <c r="I50" i="30" s="1"/>
  <c r="AE129" i="27"/>
  <c r="AA131" i="27"/>
  <c r="AE138" i="27" s="1"/>
  <c r="AD129" i="27"/>
  <c r="AA130" i="27"/>
  <c r="AD138" i="27" s="1"/>
  <c r="AC130" i="27"/>
  <c r="AA132" i="27"/>
  <c r="AC139" i="27" s="1"/>
  <c r="BD34" i="35"/>
  <c r="BF31" i="35"/>
  <c r="AU34" i="35"/>
  <c r="AV31" i="35"/>
  <c r="AW31" i="35" s="1"/>
  <c r="AX31" i="35" s="1"/>
  <c r="AY31" i="35" s="1"/>
  <c r="AZ31" i="35" s="1"/>
  <c r="BA31" i="35" s="1"/>
  <c r="BB31" i="35" s="1"/>
  <c r="AZ33" i="35"/>
  <c r="BD33" i="35"/>
  <c r="BE33" i="35"/>
  <c r="AW33" i="35"/>
  <c r="BA33" i="35"/>
  <c r="AX33" i="35"/>
  <c r="AU32" i="35"/>
  <c r="AU33" i="35"/>
  <c r="BB33" i="35"/>
  <c r="BD35" i="35"/>
  <c r="BF33" i="35"/>
  <c r="AV33" i="35"/>
  <c r="BC33" i="35"/>
  <c r="AU35" i="35"/>
  <c r="AX32" i="35"/>
  <c r="BF32" i="35"/>
  <c r="AY33" i="35"/>
  <c r="AC174" i="27"/>
  <c r="V178" i="27"/>
  <c r="AD173" i="27" s="1"/>
  <c r="Z125" i="31"/>
  <c r="Z485" i="31"/>
  <c r="Z623" i="31"/>
  <c r="Z539" i="31"/>
  <c r="Z183" i="31"/>
  <c r="Z899" i="31"/>
  <c r="AQ47" i="30"/>
  <c r="AO63" i="30" s="1"/>
  <c r="AD63" i="30"/>
  <c r="AO35" i="30"/>
  <c r="AM38" i="30"/>
  <c r="AP33" i="30" s="1"/>
  <c r="AP31" i="30"/>
  <c r="AP32" i="30"/>
  <c r="AN96" i="27"/>
  <c r="AU89" i="27"/>
  <c r="AQ93" i="27"/>
  <c r="AU98" i="27" s="1"/>
  <c r="AS92" i="27"/>
  <c r="AL96" i="27"/>
  <c r="AT91" i="27" s="1"/>
  <c r="AF68" i="30"/>
  <c r="S84" i="30"/>
  <c r="P89" i="35"/>
  <c r="B97" i="35"/>
  <c r="AM140" i="27"/>
  <c r="AN135" i="27"/>
  <c r="AI145" i="27"/>
  <c r="AK143" i="27"/>
  <c r="AM139" i="27"/>
  <c r="AI144" i="27"/>
  <c r="AJ131" i="27"/>
  <c r="AN131" i="27"/>
  <c r="AJ134" i="27"/>
  <c r="AK139" i="27"/>
  <c r="AI141" i="27"/>
  <c r="AK144" i="27"/>
  <c r="AK140" i="27"/>
  <c r="AL134" i="27"/>
  <c r="AU134" i="27" s="1"/>
  <c r="AL133" i="27"/>
  <c r="AT134" i="27" s="1"/>
  <c r="AL129" i="27"/>
  <c r="AL132" i="27"/>
  <c r="AS134" i="27" s="1"/>
  <c r="AN133" i="27"/>
  <c r="AJ129" i="27"/>
  <c r="AL136" i="27"/>
  <c r="AT135" i="27" s="1"/>
  <c r="AI140" i="27"/>
  <c r="AL130" i="27"/>
  <c r="AT133" i="27" s="1"/>
  <c r="AN136" i="27"/>
  <c r="AI143" i="27"/>
  <c r="AJ135" i="27"/>
  <c r="AM145" i="27"/>
  <c r="AK145" i="27"/>
  <c r="AK141" i="27"/>
  <c r="AN134" i="27"/>
  <c r="AL131" i="27"/>
  <c r="AU133" i="27" s="1"/>
  <c r="AJ132" i="27"/>
  <c r="AJ133" i="27"/>
  <c r="AL135" i="27"/>
  <c r="AS135" i="27" s="1"/>
  <c r="AN129" i="27"/>
  <c r="AN130" i="27"/>
  <c r="AM143" i="27"/>
  <c r="AJ130" i="27"/>
  <c r="AN132" i="27"/>
  <c r="AO143" i="27"/>
  <c r="AI139" i="27"/>
  <c r="AM141" i="27"/>
  <c r="AM144" i="27"/>
  <c r="AJ136" i="27"/>
  <c r="I52" i="30"/>
  <c r="I53" i="30"/>
  <c r="AC133" i="27"/>
  <c r="V137" i="27"/>
  <c r="AD132" i="27" s="1"/>
  <c r="AA171" i="27"/>
  <c r="AD179" i="27" s="1"/>
  <c r="AD170" i="27"/>
  <c r="AA174" i="27"/>
  <c r="AD180" i="27" s="1"/>
  <c r="AD171" i="27"/>
  <c r="AC171" i="27"/>
  <c r="AA173" i="27"/>
  <c r="AC180" i="27" s="1"/>
  <c r="Z439" i="31"/>
  <c r="Z761" i="31"/>
  <c r="Z949" i="31"/>
  <c r="Z923" i="31"/>
  <c r="Z509" i="31"/>
  <c r="AT45" i="35"/>
  <c r="AU53" i="35" s="1"/>
  <c r="AF53" i="35"/>
  <c r="AS89" i="27"/>
  <c r="AQ91" i="27"/>
  <c r="AS98" i="27" s="1"/>
  <c r="AT89" i="27"/>
  <c r="AQ92" i="27"/>
  <c r="AT98" i="27" s="1"/>
  <c r="AT90" i="27"/>
  <c r="AQ95" i="27"/>
  <c r="AT99" i="27" s="1"/>
  <c r="AE31" i="30"/>
  <c r="AE32" i="30"/>
  <c r="K79" i="35"/>
  <c r="C77" i="35"/>
  <c r="B78" i="35"/>
  <c r="G77" i="35"/>
  <c r="J77" i="35"/>
  <c r="B77" i="35"/>
  <c r="E77" i="35"/>
  <c r="M77" i="35"/>
  <c r="E76" i="35"/>
  <c r="C75" i="35"/>
  <c r="D75" i="35" s="1"/>
  <c r="E75" i="35" s="1"/>
  <c r="F75" i="35" s="1"/>
  <c r="G75" i="35" s="1"/>
  <c r="H75" i="35" s="1"/>
  <c r="I75" i="35" s="1"/>
  <c r="K78" i="35"/>
  <c r="B79" i="35"/>
  <c r="H77" i="35"/>
  <c r="F77" i="35"/>
  <c r="B76" i="35"/>
  <c r="M75" i="35"/>
  <c r="K77" i="35"/>
  <c r="I77" i="35"/>
  <c r="L77" i="35"/>
  <c r="D77" i="35"/>
  <c r="M76" i="35"/>
  <c r="H56" i="30"/>
  <c r="F59" i="30"/>
  <c r="I54" i="30" s="1"/>
  <c r="AD130" i="27"/>
  <c r="AA133" i="27"/>
  <c r="AD139" i="27" s="1"/>
  <c r="AE130" i="27"/>
  <c r="AA134" i="27"/>
  <c r="AE139" i="27" s="1"/>
  <c r="AD131" i="27"/>
  <c r="AA136" i="27"/>
  <c r="AD140" i="27" s="1"/>
  <c r="AC131" i="27"/>
  <c r="AA135" i="27"/>
  <c r="X137" i="27"/>
  <c r="AD172" i="27"/>
  <c r="AA177" i="27"/>
  <c r="AD181" i="27" s="1"/>
  <c r="AE170" i="27"/>
  <c r="AA172" i="27"/>
  <c r="AE179" i="27" s="1"/>
  <c r="AC170" i="27"/>
  <c r="AA170" i="27"/>
  <c r="T178" i="27"/>
  <c r="AO30" i="30"/>
  <c r="AK38" i="30"/>
  <c r="AP29" i="30" s="1"/>
  <c r="Z317" i="31"/>
  <c r="Z243" i="31"/>
  <c r="Z159" i="31"/>
  <c r="Z707" i="31"/>
  <c r="Z669" i="31"/>
  <c r="Z217" i="31"/>
  <c r="Z657" i="31"/>
  <c r="Z45" i="31"/>
  <c r="Z455" i="31"/>
  <c r="Z597" i="31"/>
  <c r="Z347" i="31"/>
  <c r="Q54" i="35"/>
  <c r="T54" i="35"/>
  <c r="T55" i="35"/>
  <c r="W55" i="35"/>
  <c r="AB53" i="35"/>
  <c r="R53" i="35"/>
  <c r="S53" i="35" s="1"/>
  <c r="T53" i="35" s="1"/>
  <c r="U53" i="35" s="1"/>
  <c r="V53" i="35" s="1"/>
  <c r="W53" i="35" s="1"/>
  <c r="X53" i="35" s="1"/>
  <c r="Q55" i="35"/>
  <c r="AB55" i="35"/>
  <c r="Z56" i="35"/>
  <c r="Q57" i="35"/>
  <c r="Y55" i="35"/>
  <c r="Z55" i="35"/>
  <c r="S55" i="35"/>
  <c r="AB54" i="35"/>
  <c r="Z57" i="35"/>
  <c r="U55" i="35"/>
  <c r="R55" i="35"/>
  <c r="Q56" i="35"/>
  <c r="V55" i="35"/>
  <c r="AA55" i="35"/>
  <c r="X55" i="35"/>
  <c r="AT88" i="27"/>
  <c r="AQ89" i="27"/>
  <c r="AT97" i="27" s="1"/>
  <c r="AQ88" i="27"/>
  <c r="AS88" i="27"/>
  <c r="AJ96" i="27"/>
  <c r="AU88" i="27"/>
  <c r="AQ90" i="27"/>
  <c r="AU97" i="27" s="1"/>
  <c r="E85" i="30"/>
  <c r="D78" i="30"/>
  <c r="H74" i="30" s="1"/>
  <c r="G69" i="30"/>
  <c r="C82" i="30"/>
  <c r="D73" i="30"/>
  <c r="I72" i="30" s="1"/>
  <c r="F73" i="30"/>
  <c r="I77" i="30" s="1"/>
  <c r="F79" i="30"/>
  <c r="I79" i="30" s="1"/>
  <c r="F75" i="30"/>
  <c r="H78" i="30" s="1"/>
  <c r="E81" i="30"/>
  <c r="F76" i="30"/>
  <c r="I78" i="30" s="1"/>
  <c r="F77" i="30"/>
  <c r="J78" i="30" s="1"/>
  <c r="F74" i="30"/>
  <c r="J77" i="30" s="1"/>
  <c r="D75" i="30"/>
  <c r="E86" i="30"/>
  <c r="C85" i="30"/>
  <c r="D74" i="30"/>
  <c r="J72" i="30" s="1"/>
  <c r="D77" i="30"/>
  <c r="H73" i="30" s="1"/>
  <c r="E82" i="30"/>
  <c r="D76" i="30"/>
  <c r="J73" i="30" s="1"/>
  <c r="D79" i="30"/>
  <c r="F78" i="30"/>
  <c r="H79" i="30" s="1"/>
  <c r="C87" i="30"/>
  <c r="C81" i="30"/>
  <c r="C86" i="30"/>
  <c r="D72" i="30"/>
  <c r="E87" i="30"/>
  <c r="F72" i="30"/>
  <c r="B84" i="30"/>
  <c r="AD35" i="30"/>
  <c r="AB38" i="30"/>
  <c r="AE33" i="30" s="1"/>
  <c r="AE67" i="35"/>
  <c r="Q75" i="35"/>
  <c r="AC129" i="27"/>
  <c r="AA129" i="27"/>
  <c r="T137" i="27"/>
  <c r="AG33" i="35"/>
  <c r="AK33" i="35"/>
  <c r="AH33" i="35"/>
  <c r="AF34" i="35"/>
  <c r="AN33" i="35"/>
  <c r="AM33" i="35"/>
  <c r="AI32" i="35"/>
  <c r="AO34" i="35"/>
  <c r="AJ33" i="35"/>
  <c r="AF35" i="35"/>
  <c r="AF32" i="35"/>
  <c r="AL33" i="35"/>
  <c r="AO33" i="35"/>
  <c r="AQ33" i="35"/>
  <c r="AQ32" i="35"/>
  <c r="AI33" i="35"/>
  <c r="AP33" i="35"/>
  <c r="AF33" i="35"/>
  <c r="AG31" i="35"/>
  <c r="AH31" i="35" s="1"/>
  <c r="AI31" i="35" s="1"/>
  <c r="AJ31" i="35" s="1"/>
  <c r="AK31" i="35" s="1"/>
  <c r="AL31" i="35" s="1"/>
  <c r="AM31" i="35" s="1"/>
  <c r="AQ31" i="35"/>
  <c r="AO35" i="35"/>
  <c r="X178" i="27"/>
  <c r="AA176" i="27"/>
  <c r="AC181" i="27" s="1"/>
  <c r="AC172" i="27"/>
  <c r="AE171" i="27"/>
  <c r="AA175" i="27"/>
  <c r="AE180" i="27" s="1"/>
  <c r="AA516" i="31"/>
  <c r="AA102" i="31"/>
  <c r="AN344" i="31"/>
  <c r="Z71" i="31"/>
  <c r="AN294" i="31"/>
  <c r="Z647" i="31"/>
  <c r="AA72" i="31"/>
  <c r="AN654" i="31"/>
  <c r="AA540" i="31"/>
  <c r="AN72" i="31"/>
  <c r="AN674" i="31"/>
  <c r="AD13" i="27"/>
  <c r="Z129" i="31"/>
  <c r="AN594" i="31"/>
  <c r="AN290" i="31"/>
  <c r="N56" i="27"/>
  <c r="AA654" i="31"/>
  <c r="AA896" i="31"/>
  <c r="AA590" i="31"/>
  <c r="Z431" i="31"/>
  <c r="AN122" i="31"/>
  <c r="Z569" i="31"/>
  <c r="Z593" i="31"/>
  <c r="AA184" i="31"/>
  <c r="AN482" i="31"/>
  <c r="AA122" i="31"/>
  <c r="AN42" i="31"/>
  <c r="AN318" i="31"/>
  <c r="AN486" i="31"/>
  <c r="Z297" i="31"/>
  <c r="Z681" i="31"/>
  <c r="Z489" i="31"/>
  <c r="Z25" i="31"/>
  <c r="AA566" i="31"/>
  <c r="AN704" i="31"/>
  <c r="AA946" i="31"/>
  <c r="AA678" i="31"/>
  <c r="AN900" i="31"/>
  <c r="AA594" i="31"/>
  <c r="AA180" i="31"/>
  <c r="AA42" i="31"/>
  <c r="Z765" i="31"/>
  <c r="AN22" i="31"/>
  <c r="AN180" i="31"/>
  <c r="AN156" i="31"/>
  <c r="AA758" i="31"/>
  <c r="AA762" i="31"/>
  <c r="AA866" i="31"/>
  <c r="AA176" i="31"/>
  <c r="AN264" i="31"/>
  <c r="Z903" i="31"/>
  <c r="Z815" i="31"/>
  <c r="AN126" i="31"/>
  <c r="AN728" i="31"/>
  <c r="Z819" i="31"/>
  <c r="Z321" i="31"/>
  <c r="AA436" i="31"/>
  <c r="Z187" i="31"/>
  <c r="AA816" i="31"/>
  <c r="AN402" i="31"/>
  <c r="AN436" i="31"/>
  <c r="Z179" i="31"/>
  <c r="N96" i="27"/>
  <c r="Z543" i="31"/>
  <c r="AN732" i="31"/>
  <c r="Z849" i="31"/>
  <c r="AA428" i="31"/>
  <c r="AA506" i="31"/>
  <c r="Z703" i="31"/>
  <c r="AA620" i="31"/>
  <c r="AA870" i="31"/>
  <c r="AN268" i="31"/>
  <c r="Z163" i="31"/>
  <c r="AA210" i="31"/>
  <c r="AN148" i="31"/>
  <c r="AA842" i="31"/>
  <c r="Z313" i="31"/>
  <c r="AN954" i="31"/>
  <c r="Z37" i="31"/>
  <c r="AN506" i="31"/>
  <c r="Z915" i="31"/>
  <c r="AN160" i="31"/>
  <c r="Z301" i="31"/>
  <c r="AN34" i="31"/>
  <c r="AN620" i="31"/>
  <c r="AA912" i="31"/>
  <c r="AA298" i="31"/>
  <c r="AA950" i="31"/>
  <c r="N13" i="27"/>
  <c r="AN666" i="31"/>
  <c r="AN782" i="31"/>
  <c r="AA666" i="31"/>
  <c r="AA206" i="31"/>
  <c r="AN206" i="31"/>
  <c r="AN130" i="31"/>
  <c r="Z401" i="31"/>
  <c r="AN536" i="31"/>
  <c r="AN26" i="31"/>
  <c r="AN624" i="31"/>
  <c r="AA482" i="31"/>
  <c r="AA398" i="31"/>
  <c r="Z95" i="31"/>
  <c r="AA14" i="31"/>
  <c r="AN644" i="31"/>
  <c r="Z29" i="31"/>
  <c r="AA490" i="31"/>
  <c r="AN92" i="31"/>
  <c r="AN690" i="31"/>
  <c r="Z577" i="31"/>
  <c r="AN792" i="31"/>
  <c r="Z151" i="31"/>
  <c r="Z953" i="31"/>
  <c r="Z79" i="31"/>
  <c r="Z267" i="31"/>
  <c r="Z735" i="31"/>
  <c r="Z271" i="31"/>
  <c r="AN812" i="31"/>
  <c r="Z13" i="31"/>
  <c r="AA574" i="31"/>
  <c r="Z731" i="31"/>
  <c r="AA10" i="31"/>
  <c r="AA456" i="31"/>
  <c r="AA152" i="31"/>
  <c r="AN152" i="31"/>
  <c r="AN846" i="31"/>
  <c r="AN106" i="31"/>
  <c r="AA106" i="31"/>
  <c r="AA214" i="31"/>
  <c r="AN214" i="31"/>
  <c r="AA432" i="31"/>
  <c r="AN432" i="31"/>
  <c r="BN3" i="27"/>
  <c r="BO5" i="27"/>
  <c r="BO4" i="27"/>
  <c r="BN2" i="27"/>
  <c r="BO6" i="27"/>
  <c r="Z493" i="31"/>
  <c r="Z785" i="31"/>
  <c r="Z405" i="31"/>
  <c r="Z381" i="31"/>
  <c r="Z795" i="31"/>
  <c r="Z109" i="31"/>
  <c r="Z293" i="31"/>
  <c r="Z459" i="31"/>
  <c r="Z627" i="31"/>
  <c r="Z869" i="31"/>
  <c r="Z371" i="31"/>
  <c r="Z105" i="31"/>
  <c r="Z845" i="31"/>
  <c r="Z677" i="31"/>
  <c r="Z941" i="31"/>
  <c r="Z957" i="31"/>
  <c r="Z519" i="31"/>
  <c r="Z133" i="31"/>
  <c r="Z435" i="31"/>
  <c r="Z213" i="31"/>
  <c r="Z155" i="31"/>
  <c r="Z209" i="31"/>
  <c r="AA56" i="31"/>
  <c r="Z711" i="31"/>
  <c r="AA708" i="31"/>
  <c r="AN708" i="31"/>
  <c r="Z351" i="31"/>
  <c r="AA348" i="31"/>
  <c r="AN348" i="31"/>
  <c r="AA570" i="31"/>
  <c r="Z573" i="31"/>
  <c r="AN570" i="31"/>
  <c r="Z59" i="31"/>
  <c r="Z83" i="31"/>
  <c r="AN80" i="31"/>
  <c r="AA80" i="31"/>
  <c r="AA110" i="31"/>
  <c r="Z113" i="31"/>
  <c r="AN110" i="31"/>
  <c r="AN930" i="31"/>
  <c r="AA930" i="31"/>
  <c r="Z933" i="31"/>
  <c r="AN962" i="31"/>
  <c r="Z965" i="31"/>
  <c r="AA962" i="31"/>
  <c r="AN700" i="31"/>
  <c r="Z17" i="31"/>
  <c r="Z247" i="31"/>
  <c r="AA244" i="31"/>
  <c r="AN244" i="31"/>
  <c r="Z325" i="31"/>
  <c r="AN322" i="31"/>
  <c r="AA322" i="31"/>
  <c r="AA84" i="31"/>
  <c r="AN84" i="31"/>
  <c r="Z87" i="31"/>
  <c r="Z547" i="31"/>
  <c r="AN544" i="31"/>
  <c r="AA544" i="31"/>
  <c r="AA628" i="31"/>
  <c r="AN628" i="31"/>
  <c r="Z631" i="31"/>
  <c r="AA682" i="31"/>
  <c r="AN682" i="31"/>
  <c r="Z685" i="31"/>
  <c r="Z907" i="31"/>
  <c r="AA904" i="31"/>
  <c r="AN904" i="31"/>
  <c r="AA796" i="31"/>
  <c r="Z799" i="31"/>
  <c r="AN796" i="31"/>
  <c r="Z661" i="31"/>
  <c r="AA658" i="31"/>
  <c r="AN658" i="31"/>
  <c r="Z463" i="31"/>
  <c r="AA460" i="31"/>
  <c r="AN460" i="31"/>
  <c r="Z523" i="31"/>
  <c r="AA520" i="31"/>
  <c r="AN520" i="31"/>
  <c r="AN598" i="31"/>
  <c r="AA598" i="31"/>
  <c r="Z601" i="31"/>
  <c r="AA820" i="31"/>
  <c r="AN820" i="31"/>
  <c r="Z823" i="31"/>
  <c r="AA874" i="31"/>
  <c r="AN874" i="31"/>
  <c r="Z877" i="31"/>
  <c r="Z969" i="31"/>
  <c r="AN966" i="31"/>
  <c r="AA966" i="31"/>
  <c r="AN850" i="31"/>
  <c r="AA850" i="31"/>
  <c r="Z853" i="31"/>
  <c r="AN352" i="31"/>
  <c r="Z355" i="31"/>
  <c r="AA352" i="31"/>
  <c r="AN934" i="31"/>
  <c r="Z937" i="31"/>
  <c r="AA934" i="31"/>
  <c r="AN766" i="31"/>
  <c r="Z769" i="31"/>
  <c r="AA766" i="31"/>
  <c r="Z141" i="31"/>
  <c r="AN138" i="31"/>
  <c r="AA138" i="31"/>
  <c r="Z739" i="31"/>
  <c r="AA736" i="31"/>
  <c r="AN736" i="31"/>
  <c r="AA958" i="31"/>
  <c r="Z961" i="31"/>
  <c r="AN958" i="31"/>
  <c r="AN114" i="31"/>
  <c r="Z117" i="31"/>
  <c r="AA114" i="31"/>
  <c r="AN712" i="31"/>
  <c r="Z715" i="31"/>
  <c r="AA712" i="31"/>
  <c r="AA406" i="31"/>
  <c r="AN406" i="31"/>
  <c r="Z409" i="31"/>
  <c r="Z385" i="31"/>
  <c r="AA382" i="31"/>
  <c r="AN382" i="31"/>
  <c r="Z63" i="31"/>
  <c r="AN60" i="31"/>
  <c r="AA60" i="31"/>
  <c r="AA336" i="31"/>
  <c r="Z339" i="31"/>
  <c r="AN336" i="31"/>
  <c r="Z393" i="31"/>
  <c r="AN390" i="31"/>
  <c r="AA390" i="31"/>
  <c r="AA168" i="31"/>
  <c r="Z171" i="31"/>
  <c r="AN168" i="31"/>
  <c r="Z363" i="31"/>
  <c r="AA360" i="31"/>
  <c r="AN360" i="31"/>
  <c r="Z635" i="31"/>
  <c r="Z309" i="31"/>
  <c r="AN306" i="31"/>
  <c r="AA306" i="31"/>
  <c r="AA222" i="31"/>
  <c r="AN222" i="31"/>
  <c r="Z225" i="31"/>
  <c r="Z417" i="31"/>
  <c r="AA414" i="31"/>
  <c r="AN414" i="31"/>
  <c r="Z447" i="31"/>
  <c r="AA444" i="31"/>
  <c r="AN444" i="31"/>
  <c r="Z477" i="31"/>
  <c r="AN474" i="31"/>
  <c r="AA474" i="31"/>
  <c r="Z201" i="31"/>
  <c r="AA198" i="31"/>
  <c r="AN198" i="31"/>
  <c r="Z255" i="31"/>
  <c r="AA252" i="31"/>
  <c r="AN252" i="31"/>
  <c r="Z279" i="31"/>
  <c r="AN276" i="31"/>
  <c r="AA276" i="31"/>
  <c r="AA218" i="31"/>
  <c r="Z221" i="31"/>
  <c r="AN218" i="31"/>
  <c r="Z305" i="31"/>
  <c r="AA302" i="31"/>
  <c r="AN302" i="31"/>
  <c r="AN164" i="31"/>
  <c r="Z167" i="31"/>
  <c r="AA164" i="31"/>
  <c r="AA194" i="31"/>
  <c r="Z197" i="31"/>
  <c r="AN194" i="31"/>
  <c r="Z275" i="31"/>
  <c r="AA272" i="31"/>
  <c r="AN272" i="31"/>
  <c r="Z359" i="31"/>
  <c r="AN356" i="31"/>
  <c r="AA356" i="31"/>
  <c r="Z137" i="31"/>
  <c r="AA134" i="31"/>
  <c r="AN134" i="31"/>
  <c r="AN248" i="31"/>
  <c r="AA248" i="31"/>
  <c r="Z251" i="31"/>
  <c r="AA332" i="31"/>
  <c r="Z335" i="31"/>
  <c r="AN332" i="31"/>
  <c r="H979" i="31"/>
  <c r="H978" i="31" s="1"/>
  <c r="AN552" i="31"/>
  <c r="Z555" i="31"/>
  <c r="AA552" i="31"/>
  <c r="Z531" i="31"/>
  <c r="AN528" i="31"/>
  <c r="AA528" i="31"/>
  <c r="Z585" i="31"/>
  <c r="AN582" i="31"/>
  <c r="AA582" i="31"/>
  <c r="AN612" i="31"/>
  <c r="AA612" i="31"/>
  <c r="Z615" i="31"/>
  <c r="Z693" i="31"/>
  <c r="AN632" i="31"/>
  <c r="AA498" i="31"/>
  <c r="AN498" i="31"/>
  <c r="Z501" i="31"/>
  <c r="AN608" i="31"/>
  <c r="Z611" i="31"/>
  <c r="AA608" i="31"/>
  <c r="Z413" i="31"/>
  <c r="AN410" i="31"/>
  <c r="AA410" i="31"/>
  <c r="AA548" i="31"/>
  <c r="AN548" i="31"/>
  <c r="Z551" i="31"/>
  <c r="Z581" i="31"/>
  <c r="AA578" i="31"/>
  <c r="AN578" i="31"/>
  <c r="AA884" i="31"/>
  <c r="Z887" i="31"/>
  <c r="AN884" i="31"/>
  <c r="AN908" i="31"/>
  <c r="Z911" i="31"/>
  <c r="AA908" i="31"/>
  <c r="Z527" i="31"/>
  <c r="AA524" i="31"/>
  <c r="AN524" i="31"/>
  <c r="AA716" i="31"/>
  <c r="Z719" i="31"/>
  <c r="AN716" i="31"/>
  <c r="AN440" i="31"/>
  <c r="Z443" i="31"/>
  <c r="AA440" i="31"/>
  <c r="AA494" i="31"/>
  <c r="Z497" i="31"/>
  <c r="AN494" i="31"/>
  <c r="AA770" i="31"/>
  <c r="Z773" i="31"/>
  <c r="AN770" i="31"/>
  <c r="AN824" i="31"/>
  <c r="Z827" i="31"/>
  <c r="AA824" i="31"/>
  <c r="AN470" i="31"/>
  <c r="AA470" i="31"/>
  <c r="Z473" i="31"/>
  <c r="Z749" i="31"/>
  <c r="AA746" i="31"/>
  <c r="AN746" i="31"/>
  <c r="Z389" i="31"/>
  <c r="AA386" i="31"/>
  <c r="AN386" i="31"/>
  <c r="Z665" i="31"/>
  <c r="AN662" i="31"/>
  <c r="AA662" i="31"/>
  <c r="AA800" i="31"/>
  <c r="AN800" i="31"/>
  <c r="Z803" i="31"/>
  <c r="Z857" i="31"/>
  <c r="AA854" i="31"/>
  <c r="AN854" i="31"/>
  <c r="AA686" i="31"/>
  <c r="Z689" i="31"/>
  <c r="AN686" i="31"/>
  <c r="M144" i="27"/>
  <c r="M145" i="27" s="1"/>
  <c r="N137" i="27"/>
  <c r="AA18" i="31"/>
  <c r="AN18" i="31"/>
  <c r="Z21" i="31"/>
  <c r="AA636" i="31"/>
  <c r="AN636" i="31"/>
  <c r="Z639" i="31"/>
  <c r="Z753" i="31"/>
  <c r="AN750" i="31"/>
  <c r="AA750" i="31"/>
  <c r="Z777" i="31"/>
  <c r="AN774" i="31"/>
  <c r="AA774" i="31"/>
  <c r="Z33" i="31"/>
  <c r="AN30" i="31"/>
  <c r="AA30" i="31"/>
  <c r="Z861" i="31"/>
  <c r="AA858" i="31"/>
  <c r="AN858" i="31"/>
  <c r="Z891" i="31"/>
  <c r="AA888" i="31"/>
  <c r="AN888" i="31"/>
  <c r="Z945" i="31"/>
  <c r="AN942" i="31"/>
  <c r="AA942" i="31"/>
  <c r="AA828" i="31"/>
  <c r="Z831" i="31"/>
  <c r="AN828" i="31"/>
  <c r="Z807" i="31"/>
  <c r="AN804" i="31"/>
  <c r="AA804" i="31"/>
  <c r="AA720" i="31"/>
  <c r="Z723" i="31"/>
  <c r="AN720" i="31"/>
  <c r="P979" i="31"/>
  <c r="P978" i="31" s="1"/>
  <c r="N178" i="27"/>
  <c r="M185" i="27"/>
  <c r="AN808" i="31"/>
  <c r="AA808" i="31"/>
  <c r="Z811" i="31"/>
  <c r="Z643" i="31"/>
  <c r="AN640" i="31"/>
  <c r="AA640" i="31"/>
  <c r="AA448" i="31"/>
  <c r="AN448" i="31"/>
  <c r="Z451" i="31"/>
  <c r="AN64" i="31"/>
  <c r="Z67" i="31"/>
  <c r="AA64" i="31"/>
  <c r="AN502" i="31"/>
  <c r="Z505" i="31"/>
  <c r="AA502" i="31"/>
  <c r="AA724" i="31"/>
  <c r="AN724" i="31"/>
  <c r="Z727" i="31"/>
  <c r="AT56" i="27"/>
  <c r="AS63" i="27"/>
  <c r="AS64" i="27" s="1"/>
  <c r="Z427" i="31"/>
  <c r="AN424" i="31"/>
  <c r="AA424" i="31"/>
  <c r="AN38" i="31"/>
  <c r="AA38" i="31"/>
  <c r="Z41" i="31"/>
  <c r="AC103" i="27"/>
  <c r="AC104" i="27" s="1"/>
  <c r="AD96" i="27"/>
  <c r="E979" i="31"/>
  <c r="AN364" i="31"/>
  <c r="AA364" i="31"/>
  <c r="Z367" i="31"/>
  <c r="Z343" i="31"/>
  <c r="AN340" i="31"/>
  <c r="AA340" i="31"/>
  <c r="Z481" i="31"/>
  <c r="AN478" i="31"/>
  <c r="AA478" i="31"/>
  <c r="AN616" i="31"/>
  <c r="AA616" i="31"/>
  <c r="Z619" i="31"/>
  <c r="AA838" i="31"/>
  <c r="Z841" i="31"/>
  <c r="AN838" i="31"/>
  <c r="AC63" i="27"/>
  <c r="AC64" i="27" s="1"/>
  <c r="AD56" i="27"/>
  <c r="AA46" i="31"/>
  <c r="AN46" i="31"/>
  <c r="Z49" i="31"/>
  <c r="AN286" i="31"/>
  <c r="AA286" i="31"/>
  <c r="Z289" i="31"/>
  <c r="Z91" i="31"/>
  <c r="AA88" i="31"/>
  <c r="AN88" i="31"/>
  <c r="AN754" i="31"/>
  <c r="Z757" i="31"/>
  <c r="AA754" i="31"/>
  <c r="Z781" i="31"/>
  <c r="AN778" i="31"/>
  <c r="AA778" i="31"/>
  <c r="AA532" i="31"/>
  <c r="AN532" i="31"/>
  <c r="Z535" i="31"/>
  <c r="AA256" i="31"/>
  <c r="AN256" i="31"/>
  <c r="Z259" i="31"/>
  <c r="Z121" i="31"/>
  <c r="AA118" i="31"/>
  <c r="AN118" i="31"/>
  <c r="Z895" i="31"/>
  <c r="AA892" i="31"/>
  <c r="AN892" i="31"/>
  <c r="AN562" i="31"/>
  <c r="Z565" i="31"/>
  <c r="AA562" i="31"/>
  <c r="Z229" i="31"/>
  <c r="AN226" i="31"/>
  <c r="AA226" i="31"/>
  <c r="Z175" i="31"/>
  <c r="AN172" i="31"/>
  <c r="AA172" i="31"/>
  <c r="AN916" i="31"/>
  <c r="AA916" i="31"/>
  <c r="Z919" i="31"/>
  <c r="AT13" i="27"/>
  <c r="AS20" i="27"/>
  <c r="AS21" i="27" s="1"/>
  <c r="AN862" i="31"/>
  <c r="Z865" i="31"/>
  <c r="AA862" i="31"/>
  <c r="Z205" i="31"/>
  <c r="AN202" i="31"/>
  <c r="AA202" i="31"/>
  <c r="Z589" i="31"/>
  <c r="AA586" i="31"/>
  <c r="AN586" i="31"/>
  <c r="AN394" i="31"/>
  <c r="Z397" i="31"/>
  <c r="AA394" i="31"/>
  <c r="AA670" i="31"/>
  <c r="AN670" i="31"/>
  <c r="Z673" i="31"/>
  <c r="BD56" i="27" l="1"/>
  <c r="BD88" i="27"/>
  <c r="AZ95" i="27"/>
  <c r="AZ88" i="27"/>
  <c r="BD91" i="27"/>
  <c r="BC100" i="27"/>
  <c r="AY102" i="27"/>
  <c r="BB90" i="27"/>
  <c r="BK92" i="27" s="1"/>
  <c r="AY104" i="27"/>
  <c r="BE102" i="27"/>
  <c r="AY98" i="27"/>
  <c r="BD89" i="27"/>
  <c r="BC99" i="27"/>
  <c r="AZ93" i="27"/>
  <c r="AZ94" i="27"/>
  <c r="BC104" i="27"/>
  <c r="BD95" i="27"/>
  <c r="AY99" i="27"/>
  <c r="AZ90" i="27"/>
  <c r="BB91" i="27"/>
  <c r="BI93" i="27" s="1"/>
  <c r="AZ89" i="27"/>
  <c r="BC102" i="27"/>
  <c r="BA104" i="27"/>
  <c r="AZ91" i="27"/>
  <c r="BA99" i="27"/>
  <c r="BA103" i="27"/>
  <c r="BC98" i="27"/>
  <c r="BB95" i="27"/>
  <c r="BJ94" i="27" s="1"/>
  <c r="BB93" i="27"/>
  <c r="BK93" i="27" s="1"/>
  <c r="BB88" i="27"/>
  <c r="BA102" i="27"/>
  <c r="BA100" i="27"/>
  <c r="BD90" i="27"/>
  <c r="BB89" i="27"/>
  <c r="BJ92" i="27" s="1"/>
  <c r="AY100" i="27"/>
  <c r="BD92" i="27"/>
  <c r="AY103" i="27"/>
  <c r="BD94" i="27"/>
  <c r="BC103" i="27"/>
  <c r="BD93" i="27"/>
  <c r="BB94" i="27"/>
  <c r="BI94" i="27" s="1"/>
  <c r="BB92" i="27"/>
  <c r="BJ93" i="27" s="1"/>
  <c r="BA98" i="27"/>
  <c r="AZ92" i="27"/>
  <c r="BI50" i="27"/>
  <c r="BG54" i="27"/>
  <c r="BI59" i="27" s="1"/>
  <c r="BK48" i="27"/>
  <c r="BG50" i="27"/>
  <c r="BK57" i="27" s="1"/>
  <c r="BJ48" i="27"/>
  <c r="BG49" i="27"/>
  <c r="BJ57" i="27" s="1"/>
  <c r="BI49" i="27"/>
  <c r="BG51" i="27"/>
  <c r="BI58" i="27" s="1"/>
  <c r="BK166" i="27"/>
  <c r="BI184" i="27" s="1"/>
  <c r="BI143" i="27"/>
  <c r="BJ50" i="27"/>
  <c r="BG55" i="27"/>
  <c r="BJ59" i="27" s="1"/>
  <c r="BI48" i="27"/>
  <c r="BG48" i="27"/>
  <c r="AZ56" i="27"/>
  <c r="BJ49" i="27"/>
  <c r="BG52" i="27"/>
  <c r="BJ58" i="27" s="1"/>
  <c r="BK49" i="27"/>
  <c r="BG53" i="27"/>
  <c r="BK58" i="27" s="1"/>
  <c r="BI14" i="27"/>
  <c r="BG13" i="27"/>
  <c r="BI52" i="27"/>
  <c r="BB56" i="27"/>
  <c r="BJ51" i="27" s="1"/>
  <c r="H77" i="30"/>
  <c r="F80" i="30"/>
  <c r="I75" i="30" s="1"/>
  <c r="AY55" i="35"/>
  <c r="BE55" i="35"/>
  <c r="AW55" i="35"/>
  <c r="AV55" i="35"/>
  <c r="BD55" i="35"/>
  <c r="AV53" i="35"/>
  <c r="AW53" i="35" s="1"/>
  <c r="AX53" i="35" s="1"/>
  <c r="AY53" i="35" s="1"/>
  <c r="AZ53" i="35" s="1"/>
  <c r="BA53" i="35" s="1"/>
  <c r="BB53" i="35" s="1"/>
  <c r="BB55" i="35"/>
  <c r="AU55" i="35"/>
  <c r="BF55" i="35"/>
  <c r="AU56" i="35"/>
  <c r="BF54" i="35"/>
  <c r="BA55" i="35"/>
  <c r="AZ55" i="35"/>
  <c r="BD57" i="35"/>
  <c r="BD56" i="35"/>
  <c r="AU57" i="35"/>
  <c r="AX54" i="35"/>
  <c r="BF53" i="35"/>
  <c r="BC55" i="35"/>
  <c r="AX55" i="35"/>
  <c r="AU54" i="35"/>
  <c r="AT131" i="27"/>
  <c r="AQ136" i="27"/>
  <c r="AT140" i="27" s="1"/>
  <c r="AS130" i="27"/>
  <c r="AQ132" i="27"/>
  <c r="AS139" i="27" s="1"/>
  <c r="AS129" i="27"/>
  <c r="AJ137" i="27"/>
  <c r="AQ129" i="27"/>
  <c r="AU129" i="27"/>
  <c r="AQ131" i="27"/>
  <c r="AU138" i="27" s="1"/>
  <c r="AE89" i="35"/>
  <c r="Q97" i="35"/>
  <c r="AB54" i="30"/>
  <c r="AD57" i="30" s="1"/>
  <c r="Z53" i="30"/>
  <c r="AF51" i="30" s="1"/>
  <c r="AB51" i="30"/>
  <c r="AB55" i="30"/>
  <c r="AE57" i="30" s="1"/>
  <c r="Y61" i="30"/>
  <c r="AA61" i="30"/>
  <c r="Z55" i="30"/>
  <c r="AF52" i="30" s="1"/>
  <c r="Y65" i="30"/>
  <c r="Z52" i="30"/>
  <c r="AE51" i="30" s="1"/>
  <c r="Z51" i="30"/>
  <c r="AA66" i="30"/>
  <c r="AA65" i="30"/>
  <c r="Y60" i="30"/>
  <c r="AB58" i="30"/>
  <c r="AE58" i="30" s="1"/>
  <c r="Y64" i="30"/>
  <c r="AB57" i="30"/>
  <c r="AD58" i="30" s="1"/>
  <c r="Z57" i="30"/>
  <c r="AD53" i="30" s="1"/>
  <c r="AC48" i="30"/>
  <c r="AB56" i="30"/>
  <c r="AF57" i="30" s="1"/>
  <c r="Z56" i="30"/>
  <c r="AD52" i="30" s="1"/>
  <c r="AA64" i="30"/>
  <c r="AB53" i="30"/>
  <c r="AF56" i="30" s="1"/>
  <c r="X63" i="30"/>
  <c r="Z58" i="30"/>
  <c r="AB52" i="30"/>
  <c r="AE56" i="30" s="1"/>
  <c r="AA60" i="30"/>
  <c r="Y66" i="30"/>
  <c r="Z54" i="30"/>
  <c r="AS171" i="27"/>
  <c r="AQ173" i="27"/>
  <c r="AS180" i="27" s="1"/>
  <c r="AS174" i="27"/>
  <c r="AL178" i="27"/>
  <c r="AT173" i="27" s="1"/>
  <c r="AS172" i="27"/>
  <c r="AQ176" i="27"/>
  <c r="AS181" i="27" s="1"/>
  <c r="U77" i="35"/>
  <c r="W77" i="35"/>
  <c r="Z78" i="35"/>
  <c r="Q79" i="35"/>
  <c r="T76" i="35"/>
  <c r="AB76" i="35"/>
  <c r="Q76" i="35"/>
  <c r="AB77" i="35"/>
  <c r="S77" i="35"/>
  <c r="AA77" i="35"/>
  <c r="Y77" i="35"/>
  <c r="AB75" i="35"/>
  <c r="R75" i="35"/>
  <c r="S75" i="35" s="1"/>
  <c r="T75" i="35" s="1"/>
  <c r="U75" i="35" s="1"/>
  <c r="V75" i="35" s="1"/>
  <c r="W75" i="35" s="1"/>
  <c r="X75" i="35" s="1"/>
  <c r="Q78" i="35"/>
  <c r="R77" i="35"/>
  <c r="X77" i="35"/>
  <c r="Z79" i="35"/>
  <c r="Q77" i="35"/>
  <c r="Z77" i="35"/>
  <c r="V77" i="35"/>
  <c r="T77" i="35"/>
  <c r="AC179" i="27"/>
  <c r="AA178" i="27"/>
  <c r="AN137" i="27"/>
  <c r="P86" i="30"/>
  <c r="N81" i="30"/>
  <c r="N87" i="30"/>
  <c r="P82" i="30"/>
  <c r="O77" i="30"/>
  <c r="S73" i="30" s="1"/>
  <c r="P81" i="30"/>
  <c r="Q74" i="30"/>
  <c r="U77" i="30" s="1"/>
  <c r="N85" i="30"/>
  <c r="O78" i="30"/>
  <c r="S74" i="30" s="1"/>
  <c r="N86" i="30"/>
  <c r="N82" i="30"/>
  <c r="O74" i="30"/>
  <c r="U72" i="30" s="1"/>
  <c r="Q72" i="30"/>
  <c r="P85" i="30"/>
  <c r="O79" i="30"/>
  <c r="Q73" i="30"/>
  <c r="T77" i="30" s="1"/>
  <c r="Q76" i="30"/>
  <c r="T78" i="30" s="1"/>
  <c r="O73" i="30"/>
  <c r="T72" i="30" s="1"/>
  <c r="O75" i="30"/>
  <c r="M84" i="30"/>
  <c r="Q77" i="30"/>
  <c r="U78" i="30" s="1"/>
  <c r="Q75" i="30"/>
  <c r="S78" i="30" s="1"/>
  <c r="O76" i="30"/>
  <c r="U73" i="30" s="1"/>
  <c r="R69" i="30"/>
  <c r="Q79" i="30"/>
  <c r="T79" i="30" s="1"/>
  <c r="P87" i="30"/>
  <c r="O72" i="30"/>
  <c r="Q78" i="30"/>
  <c r="S79" i="30" s="1"/>
  <c r="AM52" i="30"/>
  <c r="AP56" i="30" s="1"/>
  <c r="AK56" i="30"/>
  <c r="AO52" i="30" s="1"/>
  <c r="AM57" i="30"/>
  <c r="AO58" i="30" s="1"/>
  <c r="AN48" i="30"/>
  <c r="AL60" i="30"/>
  <c r="AM55" i="30"/>
  <c r="AP57" i="30" s="1"/>
  <c r="AL64" i="30"/>
  <c r="AM54" i="30"/>
  <c r="AO57" i="30" s="1"/>
  <c r="AJ61" i="30"/>
  <c r="AJ65" i="30"/>
  <c r="AI63" i="30"/>
  <c r="AK58" i="30"/>
  <c r="AL61" i="30"/>
  <c r="AK55" i="30"/>
  <c r="AQ52" i="30" s="1"/>
  <c r="AK53" i="30"/>
  <c r="AQ51" i="30" s="1"/>
  <c r="AK51" i="30"/>
  <c r="AJ60" i="30"/>
  <c r="AJ64" i="30"/>
  <c r="AM53" i="30"/>
  <c r="AQ56" i="30" s="1"/>
  <c r="AM56" i="30"/>
  <c r="AQ57" i="30" s="1"/>
  <c r="AK52" i="30"/>
  <c r="AP51" i="30" s="1"/>
  <c r="AL65" i="30"/>
  <c r="AL66" i="30"/>
  <c r="AK57" i="30"/>
  <c r="AO53" i="30" s="1"/>
  <c r="AK54" i="30"/>
  <c r="AJ66" i="30"/>
  <c r="AM58" i="30"/>
  <c r="AP58" i="30" s="1"/>
  <c r="AM51" i="30"/>
  <c r="AT172" i="27"/>
  <c r="AQ177" i="27"/>
  <c r="AT181" i="27" s="1"/>
  <c r="E108" i="30"/>
  <c r="D93" i="30"/>
  <c r="D99" i="30"/>
  <c r="H95" i="30" s="1"/>
  <c r="C107" i="30"/>
  <c r="F97" i="30"/>
  <c r="I99" i="30" s="1"/>
  <c r="D100" i="30"/>
  <c r="F93" i="30"/>
  <c r="E106" i="30"/>
  <c r="F99" i="30"/>
  <c r="H100" i="30" s="1"/>
  <c r="F96" i="30"/>
  <c r="H99" i="30" s="1"/>
  <c r="B105" i="30"/>
  <c r="G90" i="30"/>
  <c r="C108" i="30"/>
  <c r="F94" i="30"/>
  <c r="I98" i="30" s="1"/>
  <c r="F95" i="30"/>
  <c r="J98" i="30" s="1"/>
  <c r="E103" i="30"/>
  <c r="D95" i="30"/>
  <c r="J93" i="30" s="1"/>
  <c r="E102" i="30"/>
  <c r="D94" i="30"/>
  <c r="I93" i="30" s="1"/>
  <c r="C102" i="30"/>
  <c r="D98" i="30"/>
  <c r="H94" i="30" s="1"/>
  <c r="C106" i="30"/>
  <c r="F100" i="30"/>
  <c r="I100" i="30" s="1"/>
  <c r="F98" i="30"/>
  <c r="J99" i="30" s="1"/>
  <c r="D96" i="30"/>
  <c r="E107" i="30"/>
  <c r="D97" i="30"/>
  <c r="J94" i="30" s="1"/>
  <c r="C103" i="30"/>
  <c r="T53" i="30"/>
  <c r="T52" i="30"/>
  <c r="AF75" i="35"/>
  <c r="AT67" i="35"/>
  <c r="AU75" i="35" s="1"/>
  <c r="H72" i="30"/>
  <c r="D80" i="30"/>
  <c r="I71" i="30" s="1"/>
  <c r="AT129" i="27"/>
  <c r="AQ130" i="27"/>
  <c r="AT138" i="27" s="1"/>
  <c r="AS131" i="27"/>
  <c r="AQ135" i="27"/>
  <c r="AS140" i="27" s="1"/>
  <c r="AU130" i="27"/>
  <c r="AQ134" i="27"/>
  <c r="AU139" i="27" s="1"/>
  <c r="AQ68" i="30"/>
  <c r="AO84" i="30" s="1"/>
  <c r="AD84" i="30"/>
  <c r="AT171" i="27"/>
  <c r="AQ174" i="27"/>
  <c r="AT180" i="27" s="1"/>
  <c r="AU170" i="27"/>
  <c r="AQ172" i="27"/>
  <c r="AU179" i="27" s="1"/>
  <c r="AT170" i="27"/>
  <c r="AQ171" i="27"/>
  <c r="AT179" i="27" s="1"/>
  <c r="AF89" i="30"/>
  <c r="S105" i="30"/>
  <c r="AC138" i="27"/>
  <c r="AA137" i="27"/>
  <c r="I73" i="30"/>
  <c r="I74" i="30"/>
  <c r="AQ96" i="27"/>
  <c r="AS97" i="27"/>
  <c r="AF54" i="35"/>
  <c r="AF57" i="35"/>
  <c r="AQ54" i="35"/>
  <c r="AQ53" i="35"/>
  <c r="AO55" i="35"/>
  <c r="AL55" i="35"/>
  <c r="AP55" i="35"/>
  <c r="AG55" i="35"/>
  <c r="AH55" i="35"/>
  <c r="AF55" i="35"/>
  <c r="AJ55" i="35"/>
  <c r="AG53" i="35"/>
  <c r="AH53" i="35" s="1"/>
  <c r="AI53" i="35" s="1"/>
  <c r="AJ53" i="35" s="1"/>
  <c r="AK53" i="35" s="1"/>
  <c r="AL53" i="35" s="1"/>
  <c r="AM53" i="35" s="1"/>
  <c r="AQ55" i="35"/>
  <c r="AF56" i="35"/>
  <c r="AM55" i="35"/>
  <c r="AO56" i="35"/>
  <c r="AI54" i="35"/>
  <c r="AK55" i="35"/>
  <c r="AO57" i="35"/>
  <c r="AN55" i="35"/>
  <c r="AI55" i="35"/>
  <c r="AT130" i="27"/>
  <c r="AQ133" i="27"/>
  <c r="AT139" i="27" s="1"/>
  <c r="AS133" i="27"/>
  <c r="AL137" i="27"/>
  <c r="AT132" i="27" s="1"/>
  <c r="K100" i="35"/>
  <c r="F99" i="35"/>
  <c r="C97" i="35"/>
  <c r="D97" i="35" s="1"/>
  <c r="E97" i="35" s="1"/>
  <c r="F97" i="35" s="1"/>
  <c r="G97" i="35" s="1"/>
  <c r="H97" i="35" s="1"/>
  <c r="I97" i="35" s="1"/>
  <c r="L99" i="35"/>
  <c r="M99" i="35"/>
  <c r="K101" i="35"/>
  <c r="E98" i="35"/>
  <c r="B99" i="35"/>
  <c r="H99" i="35"/>
  <c r="G99" i="35"/>
  <c r="E99" i="35"/>
  <c r="M97" i="35"/>
  <c r="B100" i="35"/>
  <c r="B98" i="35"/>
  <c r="M98" i="35"/>
  <c r="I99" i="35"/>
  <c r="K99" i="35"/>
  <c r="D99" i="35"/>
  <c r="B101" i="35"/>
  <c r="C99" i="35"/>
  <c r="J99" i="35"/>
  <c r="AN178" i="27"/>
  <c r="AS170" i="27"/>
  <c r="AJ178" i="27"/>
  <c r="AQ170" i="27"/>
  <c r="AU171" i="27"/>
  <c r="AQ175" i="27"/>
  <c r="AU180" i="27" s="1"/>
  <c r="S51" i="30"/>
  <c r="O59" i="30"/>
  <c r="T50" i="30" s="1"/>
  <c r="S56" i="30"/>
  <c r="Q59" i="30"/>
  <c r="T54" i="30" s="1"/>
  <c r="BO19" i="27"/>
  <c r="BO22" i="27"/>
  <c r="BO21" i="27"/>
  <c r="BO20" i="27"/>
  <c r="AT87" i="27" s="1"/>
  <c r="BO3" i="27"/>
  <c r="BO14" i="27"/>
  <c r="BO15" i="27"/>
  <c r="BO11" i="27"/>
  <c r="BO13" i="27"/>
  <c r="W979" i="31"/>
  <c r="W978" i="31" s="1"/>
  <c r="BC182" i="27"/>
  <c r="AM182" i="27"/>
  <c r="G182" i="27"/>
  <c r="E182" i="27"/>
  <c r="W182" i="27"/>
  <c r="M186" i="27"/>
  <c r="AR828" i="31"/>
  <c r="AS828" i="31" s="1"/>
  <c r="AR954" i="31"/>
  <c r="AS954" i="31" s="1"/>
  <c r="AR950" i="31"/>
  <c r="AS950" i="31" s="1"/>
  <c r="AR168" i="31"/>
  <c r="AS168" i="31" s="1"/>
  <c r="AR754" i="31"/>
  <c r="AS754" i="31" s="1"/>
  <c r="AR934" i="31"/>
  <c r="AS934" i="31" s="1"/>
  <c r="AR110" i="31"/>
  <c r="AS110" i="31" s="1"/>
  <c r="AR92" i="31"/>
  <c r="AS92" i="31" s="1"/>
  <c r="AR440" i="31"/>
  <c r="AS440" i="31" s="1"/>
  <c r="AR494" i="31"/>
  <c r="AS494" i="31" s="1"/>
  <c r="AR884" i="31"/>
  <c r="AS884" i="31" s="1"/>
  <c r="AR60" i="31"/>
  <c r="AS60" i="31" s="1"/>
  <c r="AR452" i="31"/>
  <c r="AS452" i="31" s="1"/>
  <c r="AR874" i="31"/>
  <c r="AS874" i="31" s="1"/>
  <c r="AR206" i="31"/>
  <c r="AS206" i="31" s="1"/>
  <c r="AR14" i="31"/>
  <c r="AS14" i="31" s="1"/>
  <c r="AR846" i="31"/>
  <c r="AS846" i="31" s="1"/>
  <c r="AR540" i="31"/>
  <c r="AS540" i="31" s="1"/>
  <c r="AR824" i="31"/>
  <c r="AS824" i="31" s="1"/>
  <c r="AR816" i="31"/>
  <c r="AS816" i="31" s="1"/>
  <c r="AR226" i="31"/>
  <c r="AS226" i="31" s="1"/>
  <c r="AR432" i="31"/>
  <c r="AS432" i="31" s="1"/>
  <c r="AR218" i="31"/>
  <c r="AS218" i="31" s="1"/>
  <c r="AR474" i="31"/>
  <c r="AS474" i="31" s="1"/>
  <c r="AR800" i="31"/>
  <c r="AS800" i="31" s="1"/>
  <c r="AR966" i="31"/>
  <c r="AS966" i="31" s="1"/>
  <c r="AR536" i="31"/>
  <c r="AS536" i="31" s="1"/>
  <c r="AR214" i="31"/>
  <c r="AS214" i="31" s="1"/>
  <c r="AR654" i="31"/>
  <c r="AS654" i="31" s="1"/>
  <c r="AR506" i="31"/>
  <c r="AS506" i="31" s="1"/>
  <c r="AR544" i="31"/>
  <c r="AS544" i="31" s="1"/>
  <c r="AR180" i="31"/>
  <c r="AS180" i="31" s="1"/>
  <c r="AR866" i="31"/>
  <c r="AS866" i="31" s="1"/>
  <c r="AR134" i="31"/>
  <c r="AS134" i="31" s="1"/>
  <c r="AR562" i="31"/>
  <c r="AS562" i="31" s="1"/>
  <c r="AR570" i="31"/>
  <c r="AS570" i="31" s="1"/>
  <c r="AR352" i="31"/>
  <c r="AS352" i="31" s="1"/>
  <c r="AR76" i="31"/>
  <c r="AS76" i="31" s="1"/>
  <c r="AR88" i="31"/>
  <c r="AS88" i="31" s="1"/>
  <c r="AR908" i="31"/>
  <c r="AS908" i="31" s="1"/>
  <c r="AR252" i="31"/>
  <c r="AS252" i="31" s="1"/>
  <c r="AR700" i="31"/>
  <c r="AS700" i="31" s="1"/>
  <c r="AR942" i="31"/>
  <c r="AS942" i="31" s="1"/>
  <c r="AR640" i="31"/>
  <c r="AS640" i="31" s="1"/>
  <c r="AR804" i="31"/>
  <c r="AS804" i="31" s="1"/>
  <c r="AR716" i="31"/>
  <c r="AS716" i="31" s="1"/>
  <c r="AR306" i="31"/>
  <c r="AS306" i="31" s="1"/>
  <c r="AR666" i="31"/>
  <c r="AS666" i="31" s="1"/>
  <c r="AR348" i="31"/>
  <c r="AS348" i="31" s="1"/>
  <c r="AR842" i="31"/>
  <c r="AS842" i="31" s="1"/>
  <c r="AR632" i="31"/>
  <c r="AS632" i="31" s="1"/>
  <c r="AR674" i="31"/>
  <c r="AS674" i="31" s="1"/>
  <c r="AR736" i="31"/>
  <c r="AS736" i="31" s="1"/>
  <c r="AR616" i="31"/>
  <c r="AS616" i="31" s="1"/>
  <c r="AR382" i="31"/>
  <c r="AS382" i="31" s="1"/>
  <c r="AR528" i="31"/>
  <c r="AS528" i="31" s="1"/>
  <c r="AR398" i="31"/>
  <c r="AS398" i="31" s="1"/>
  <c r="AR394" i="31"/>
  <c r="AS394" i="31" s="1"/>
  <c r="AR708" i="31"/>
  <c r="AS708" i="31" s="1"/>
  <c r="AR390" i="31"/>
  <c r="AS390" i="31" s="1"/>
  <c r="AR498" i="31"/>
  <c r="AS498" i="31" s="1"/>
  <c r="AR516" i="31"/>
  <c r="AS516" i="31" s="1"/>
  <c r="AR276" i="31"/>
  <c r="AS276" i="31" s="1"/>
  <c r="AR148" i="31"/>
  <c r="AS148" i="31" s="1"/>
  <c r="AR102" i="31"/>
  <c r="AS102" i="31" s="1"/>
  <c r="AR340" i="31"/>
  <c r="AS340" i="31" s="1"/>
  <c r="AR46" i="31"/>
  <c r="AS46" i="31" s="1"/>
  <c r="AR778" i="31"/>
  <c r="AS778" i="31" s="1"/>
  <c r="AR758" i="31"/>
  <c r="AS758" i="31" s="1"/>
  <c r="AR260" i="31"/>
  <c r="AS260" i="31" s="1"/>
  <c r="AR106" i="31"/>
  <c r="AS106" i="31" s="1"/>
  <c r="AR916" i="31"/>
  <c r="AS916" i="31" s="1"/>
  <c r="AR946" i="31"/>
  <c r="AS946" i="31" s="1"/>
  <c r="AR290" i="31"/>
  <c r="AS290" i="31" s="1"/>
  <c r="AR424" i="31"/>
  <c r="AS424" i="31" s="1"/>
  <c r="AR682" i="31"/>
  <c r="AS682" i="31" s="1"/>
  <c r="AR138" i="31"/>
  <c r="AS138" i="31" s="1"/>
  <c r="AR130" i="31"/>
  <c r="AS130" i="31" s="1"/>
  <c r="AR594" i="31"/>
  <c r="AS594" i="31" s="1"/>
  <c r="AR896" i="31"/>
  <c r="AS896" i="31" s="1"/>
  <c r="AR18" i="31"/>
  <c r="AS18" i="31" s="1"/>
  <c r="AR444" i="31"/>
  <c r="AS444" i="31" s="1"/>
  <c r="AR26" i="31"/>
  <c r="AS26" i="31" s="1"/>
  <c r="AR386" i="31"/>
  <c r="AS386" i="31" s="1"/>
  <c r="AR68" i="31"/>
  <c r="AS68" i="31" s="1"/>
  <c r="AR302" i="31"/>
  <c r="AS302" i="31" s="1"/>
  <c r="AR858" i="31"/>
  <c r="AS858" i="31" s="1"/>
  <c r="AR862" i="31"/>
  <c r="AS862" i="31" s="1"/>
  <c r="AR42" i="31"/>
  <c r="AS42" i="31" s="1"/>
  <c r="AR34" i="31"/>
  <c r="AS34" i="31" s="1"/>
  <c r="AR22" i="31"/>
  <c r="AS22" i="31" s="1"/>
  <c r="AR524" i="31"/>
  <c r="AS524" i="31" s="1"/>
  <c r="AR612" i="31"/>
  <c r="AS612" i="31" s="1"/>
  <c r="AR184" i="31"/>
  <c r="AS184" i="31" s="1"/>
  <c r="AR30" i="31"/>
  <c r="AS30" i="31" s="1"/>
  <c r="AR10" i="31"/>
  <c r="AS10" i="31" s="1"/>
  <c r="AR38" i="31"/>
  <c r="AS38" i="31" s="1"/>
  <c r="AR436" i="31"/>
  <c r="AS436" i="31" s="1"/>
  <c r="AR248" i="31"/>
  <c r="AS248" i="31" s="1"/>
  <c r="AR520" i="31"/>
  <c r="AS520" i="31" s="1"/>
  <c r="AR724" i="31"/>
  <c r="AS724" i="31" s="1"/>
  <c r="AR368" i="31"/>
  <c r="AS368" i="31" s="1"/>
  <c r="AR812" i="31"/>
  <c r="AS812" i="31" s="1"/>
  <c r="AR502" i="31"/>
  <c r="AS502" i="31" s="1"/>
  <c r="AR490" i="31"/>
  <c r="AS490" i="31" s="1"/>
  <c r="AR808" i="31"/>
  <c r="AS808" i="31" s="1"/>
  <c r="AR796" i="31"/>
  <c r="AS796" i="31" s="1"/>
  <c r="AR478" i="31"/>
  <c r="AS478" i="31" s="1"/>
  <c r="AR448" i="31"/>
  <c r="AS448" i="31" s="1"/>
  <c r="AR850" i="31"/>
  <c r="AS850" i="31" s="1"/>
  <c r="AR230" i="31"/>
  <c r="AS230" i="31" s="1"/>
  <c r="AR854" i="31"/>
  <c r="AS854" i="31" s="1"/>
  <c r="AR582" i="31"/>
  <c r="AS582" i="31" s="1"/>
  <c r="AR194" i="31"/>
  <c r="AS194" i="31" s="1"/>
  <c r="AR624" i="31"/>
  <c r="AS624" i="31" s="1"/>
  <c r="AR712" i="31"/>
  <c r="AS712" i="31" s="1"/>
  <c r="AR172" i="31"/>
  <c r="AS172" i="31" s="1"/>
  <c r="AR156" i="31"/>
  <c r="AS156" i="31" s="1"/>
  <c r="AR310" i="31"/>
  <c r="AS310" i="31" s="1"/>
  <c r="AR578" i="31"/>
  <c r="AS578" i="31" s="1"/>
  <c r="AR636" i="31"/>
  <c r="AS636" i="31" s="1"/>
  <c r="AR904" i="31"/>
  <c r="AS904" i="31" s="1"/>
  <c r="AR152" i="31"/>
  <c r="AS152" i="31" s="1"/>
  <c r="AR264" i="31"/>
  <c r="AS264" i="31" s="1"/>
  <c r="AR314" i="31"/>
  <c r="AS314" i="31" s="1"/>
  <c r="AR198" i="31"/>
  <c r="AS198" i="31" s="1"/>
  <c r="AR176" i="31"/>
  <c r="AS176" i="31" s="1"/>
  <c r="AR360" i="31"/>
  <c r="AS360" i="31" s="1"/>
  <c r="AR598" i="31"/>
  <c r="AS598" i="31" s="1"/>
  <c r="AR662" i="31"/>
  <c r="AS662" i="31" s="1"/>
  <c r="AR240" i="31"/>
  <c r="AS240" i="31" s="1"/>
  <c r="AR912" i="31"/>
  <c r="AS912" i="31" s="1"/>
  <c r="AR892" i="31"/>
  <c r="AS892" i="31" s="1"/>
  <c r="AR84" i="31"/>
  <c r="AS84" i="31" s="1"/>
  <c r="AR244" i="31"/>
  <c r="AS244" i="31" s="1"/>
  <c r="AR746" i="31"/>
  <c r="AS746" i="31" s="1"/>
  <c r="AR678" i="31"/>
  <c r="AS678" i="31" s="1"/>
  <c r="AR658" i="31"/>
  <c r="AS658" i="31" s="1"/>
  <c r="AR286" i="31"/>
  <c r="AS286" i="31" s="1"/>
  <c r="AR406" i="31"/>
  <c r="AS406" i="31" s="1"/>
  <c r="AR644" i="31"/>
  <c r="AS644" i="31" s="1"/>
  <c r="AR938" i="31"/>
  <c r="AS938" i="31" s="1"/>
  <c r="AR322" i="31"/>
  <c r="AS322" i="31" s="1"/>
  <c r="AR356" i="31"/>
  <c r="AS356" i="31" s="1"/>
  <c r="AR628" i="31"/>
  <c r="AS628" i="31" s="1"/>
  <c r="AR294" i="31"/>
  <c r="AS294" i="31" s="1"/>
  <c r="AR272" i="31"/>
  <c r="AS272" i="31" s="1"/>
  <c r="AR532" i="31"/>
  <c r="AS532" i="31" s="1"/>
  <c r="AR728" i="31"/>
  <c r="AS728" i="31" s="1"/>
  <c r="AR762" i="31"/>
  <c r="AS762" i="31" s="1"/>
  <c r="AR958" i="31"/>
  <c r="AS958" i="31" s="1"/>
  <c r="AR774" i="31"/>
  <c r="AS774" i="31" s="1"/>
  <c r="AR318" i="31"/>
  <c r="AS318" i="31" s="1"/>
  <c r="AR766" i="31"/>
  <c r="AS766" i="31" s="1"/>
  <c r="AR770" i="31"/>
  <c r="AS770" i="31" s="1"/>
  <c r="AR482" i="31"/>
  <c r="AS482" i="31" s="1"/>
  <c r="AR870" i="31"/>
  <c r="AS870" i="31" s="1"/>
  <c r="AR402" i="31"/>
  <c r="AS402" i="31" s="1"/>
  <c r="AR720" i="31"/>
  <c r="AS720" i="31" s="1"/>
  <c r="AR704" i="31"/>
  <c r="AS704" i="31" s="1"/>
  <c r="AR410" i="31"/>
  <c r="AS410" i="31" s="1"/>
  <c r="AR202" i="31"/>
  <c r="AS202" i="31" s="1"/>
  <c r="AR548" i="31"/>
  <c r="AS548" i="31" s="1"/>
  <c r="AR364" i="31"/>
  <c r="AS364" i="31" s="1"/>
  <c r="AR414" i="31"/>
  <c r="AS414" i="31" s="1"/>
  <c r="AR256" i="31"/>
  <c r="AS256" i="31" s="1"/>
  <c r="AR782" i="31"/>
  <c r="AS782" i="31" s="1"/>
  <c r="AR122" i="31"/>
  <c r="AS122" i="31" s="1"/>
  <c r="AR114" i="31"/>
  <c r="AS114" i="31" s="1"/>
  <c r="AR72" i="31"/>
  <c r="AS72" i="31" s="1"/>
  <c r="AR962" i="31"/>
  <c r="AS962" i="31" s="1"/>
  <c r="AR80" i="31"/>
  <c r="AS80" i="31" s="1"/>
  <c r="AR900" i="31"/>
  <c r="AS900" i="31" s="1"/>
  <c r="AR590" i="31"/>
  <c r="AS590" i="31" s="1"/>
  <c r="AR686" i="31"/>
  <c r="AS686" i="31" s="1"/>
  <c r="AR56" i="31"/>
  <c r="AS56" i="31" s="1"/>
  <c r="AR332" i="31"/>
  <c r="AS332" i="31" s="1"/>
  <c r="AR620" i="31"/>
  <c r="AS620" i="31" s="1"/>
  <c r="AR608" i="31"/>
  <c r="AS608" i="31" s="1"/>
  <c r="AR820" i="31"/>
  <c r="AS820" i="31" s="1"/>
  <c r="AR164" i="31"/>
  <c r="AS164" i="31" s="1"/>
  <c r="AR838" i="31"/>
  <c r="AS838" i="31" s="1"/>
  <c r="AR792" i="31"/>
  <c r="AS792" i="31" s="1"/>
  <c r="AR126" i="31"/>
  <c r="AS126" i="31" s="1"/>
  <c r="AR298" i="31"/>
  <c r="AS298" i="31" s="1"/>
  <c r="AR750" i="31"/>
  <c r="AS750" i="31" s="1"/>
  <c r="AR574" i="31"/>
  <c r="AS574" i="31" s="1"/>
  <c r="AR920" i="31"/>
  <c r="AS920" i="31" s="1"/>
  <c r="AR552" i="31"/>
  <c r="AS552" i="31" s="1"/>
  <c r="AR470" i="31"/>
  <c r="AS470" i="31" s="1"/>
  <c r="AR222" i="31"/>
  <c r="AS222" i="31" s="1"/>
  <c r="AR118" i="31"/>
  <c r="AS118" i="31" s="1"/>
  <c r="AR670" i="31"/>
  <c r="AS670" i="31" s="1"/>
  <c r="AR566" i="31"/>
  <c r="AS566" i="31" s="1"/>
  <c r="AR336" i="31"/>
  <c r="AS336" i="31" s="1"/>
  <c r="AR456" i="31"/>
  <c r="AS456" i="31" s="1"/>
  <c r="AR160" i="31"/>
  <c r="AS160" i="31" s="1"/>
  <c r="AR586" i="31"/>
  <c r="AS586" i="31" s="1"/>
  <c r="AR210" i="31"/>
  <c r="AS210" i="31" s="1"/>
  <c r="AR888" i="31"/>
  <c r="AS888" i="31" s="1"/>
  <c r="AR64" i="31"/>
  <c r="AS64" i="31" s="1"/>
  <c r="AR930" i="31"/>
  <c r="AS930" i="31" s="1"/>
  <c r="AR268" i="31"/>
  <c r="AS268" i="31" s="1"/>
  <c r="AR486" i="31"/>
  <c r="AS486" i="31" s="1"/>
  <c r="AR732" i="31"/>
  <c r="AS732" i="31" s="1"/>
  <c r="AR344" i="31"/>
  <c r="AS344" i="31" s="1"/>
  <c r="AR460" i="31"/>
  <c r="AS460" i="31" s="1"/>
  <c r="AR690" i="31"/>
  <c r="AS690" i="31" s="1"/>
  <c r="AR428" i="31"/>
  <c r="AS428" i="31" s="1"/>
  <c r="AR378" i="31"/>
  <c r="AS378" i="31" s="1"/>
  <c r="E978" i="31"/>
  <c r="C979" i="31"/>
  <c r="C978" i="31" s="1"/>
  <c r="BI20" i="27" l="1"/>
  <c r="BI21" i="27" s="1"/>
  <c r="BJ13" i="27"/>
  <c r="BB174" i="27"/>
  <c r="BJ175" i="27" s="1"/>
  <c r="BB176" i="27"/>
  <c r="BI176" i="27" s="1"/>
  <c r="BD175" i="27"/>
  <c r="AZ176" i="27"/>
  <c r="BB170" i="27"/>
  <c r="BC186" i="27"/>
  <c r="BD177" i="27"/>
  <c r="BD173" i="27"/>
  <c r="BB171" i="27"/>
  <c r="BJ174" i="27" s="1"/>
  <c r="BD172" i="27"/>
  <c r="AY185" i="27"/>
  <c r="AZ171" i="27"/>
  <c r="AZ174" i="27"/>
  <c r="BA185" i="27"/>
  <c r="BB173" i="27"/>
  <c r="BI175" i="27" s="1"/>
  <c r="AZ172" i="27"/>
  <c r="BD176" i="27"/>
  <c r="BB175" i="27"/>
  <c r="BK175" i="27" s="1"/>
  <c r="BB172" i="27"/>
  <c r="BK174" i="27" s="1"/>
  <c r="BD170" i="27"/>
  <c r="AZ173" i="27"/>
  <c r="BC185" i="27"/>
  <c r="BD174" i="27"/>
  <c r="BD171" i="27"/>
  <c r="BA186" i="27"/>
  <c r="AY184" i="27"/>
  <c r="BC184" i="27"/>
  <c r="AZ177" i="27"/>
  <c r="BA184" i="27"/>
  <c r="AZ170" i="27"/>
  <c r="BE184" i="27"/>
  <c r="AY186" i="27"/>
  <c r="BB177" i="27"/>
  <c r="BJ176" i="27" s="1"/>
  <c r="AZ175" i="27"/>
  <c r="BJ88" i="27"/>
  <c r="BG89" i="27"/>
  <c r="BJ97" i="27" s="1"/>
  <c r="BJ89" i="27"/>
  <c r="BG92" i="27"/>
  <c r="BJ98" i="27" s="1"/>
  <c r="BG91" i="27"/>
  <c r="BI98" i="27" s="1"/>
  <c r="BI89" i="27"/>
  <c r="BI88" i="27"/>
  <c r="BG88" i="27"/>
  <c r="AZ96" i="27"/>
  <c r="BJ87" i="27" s="1"/>
  <c r="BJ47" i="27"/>
  <c r="BK88" i="27"/>
  <c r="BG90" i="27"/>
  <c r="BK97" i="27" s="1"/>
  <c r="BG94" i="27"/>
  <c r="BI99" i="27" s="1"/>
  <c r="BI90" i="27"/>
  <c r="BG95" i="27"/>
  <c r="BJ99" i="27" s="1"/>
  <c r="BJ90" i="27"/>
  <c r="BI57" i="27"/>
  <c r="BG56" i="27"/>
  <c r="AY139" i="27"/>
  <c r="BD129" i="27"/>
  <c r="AZ136" i="27"/>
  <c r="AY143" i="27"/>
  <c r="AY141" i="27"/>
  <c r="BD134" i="27"/>
  <c r="BD132" i="27"/>
  <c r="AZ135" i="27"/>
  <c r="AZ130" i="27"/>
  <c r="AZ133" i="27"/>
  <c r="BC140" i="27"/>
  <c r="BD133" i="27"/>
  <c r="BC143" i="27"/>
  <c r="BB129" i="27"/>
  <c r="BD135" i="27"/>
  <c r="BA139" i="27"/>
  <c r="AZ132" i="27"/>
  <c r="AY140" i="27"/>
  <c r="BD131" i="27"/>
  <c r="BA145" i="27"/>
  <c r="BA141" i="27"/>
  <c r="AY144" i="27"/>
  <c r="BA143" i="27"/>
  <c r="BB136" i="27"/>
  <c r="BJ135" i="27" s="1"/>
  <c r="BB135" i="27"/>
  <c r="BI135" i="27" s="1"/>
  <c r="AZ129" i="27"/>
  <c r="AZ134" i="27"/>
  <c r="BB133" i="27"/>
  <c r="BJ134" i="27" s="1"/>
  <c r="BA144" i="27"/>
  <c r="BB130" i="27"/>
  <c r="BJ133" i="27" s="1"/>
  <c r="BA140" i="27"/>
  <c r="BC141" i="27"/>
  <c r="AY145" i="27"/>
  <c r="BC145" i="27"/>
  <c r="BB132" i="27"/>
  <c r="BI134" i="27" s="1"/>
  <c r="BD130" i="27"/>
  <c r="BB134" i="27"/>
  <c r="BK134" i="27" s="1"/>
  <c r="BE143" i="27"/>
  <c r="BD136" i="27"/>
  <c r="BB131" i="27"/>
  <c r="BK133" i="27" s="1"/>
  <c r="BC144" i="27"/>
  <c r="AZ131" i="27"/>
  <c r="BC139" i="27"/>
  <c r="BI92" i="27"/>
  <c r="BB96" i="27"/>
  <c r="BJ91" i="27" s="1"/>
  <c r="BK89" i="27"/>
  <c r="BG93" i="27"/>
  <c r="BK98" i="27" s="1"/>
  <c r="BD96" i="27"/>
  <c r="AT128" i="27"/>
  <c r="N169" i="27"/>
  <c r="N4" i="27"/>
  <c r="N87" i="27"/>
  <c r="AT47" i="27"/>
  <c r="AD47" i="27"/>
  <c r="AD4" i="27"/>
  <c r="N128" i="27"/>
  <c r="BJ4" i="27"/>
  <c r="AT4" i="27"/>
  <c r="N47" i="27"/>
  <c r="AD87" i="27"/>
  <c r="AT169" i="27"/>
  <c r="AD169" i="27"/>
  <c r="AD128" i="27"/>
  <c r="AQ89" i="30"/>
  <c r="AO105" i="30" s="1"/>
  <c r="AD105" i="30"/>
  <c r="AK79" i="30"/>
  <c r="AK78" i="30"/>
  <c r="AO74" i="30" s="1"/>
  <c r="AM77" i="30"/>
  <c r="AQ78" i="30" s="1"/>
  <c r="AJ85" i="30"/>
  <c r="AL81" i="30"/>
  <c r="AK72" i="30"/>
  <c r="AJ81" i="30"/>
  <c r="AJ86" i="30"/>
  <c r="AM72" i="30"/>
  <c r="AK74" i="30"/>
  <c r="AQ72" i="30" s="1"/>
  <c r="AN69" i="30"/>
  <c r="AM75" i="30"/>
  <c r="AO78" i="30" s="1"/>
  <c r="AJ87" i="30"/>
  <c r="AL85" i="30"/>
  <c r="AK76" i="30"/>
  <c r="AQ73" i="30" s="1"/>
  <c r="AK75" i="30"/>
  <c r="AM74" i="30"/>
  <c r="AQ77" i="30" s="1"/>
  <c r="AM76" i="30"/>
  <c r="AP78" i="30" s="1"/>
  <c r="AL87" i="30"/>
  <c r="AL86" i="30"/>
  <c r="AM78" i="30"/>
  <c r="AO79" i="30" s="1"/>
  <c r="AK77" i="30"/>
  <c r="AO73" i="30" s="1"/>
  <c r="AL82" i="30"/>
  <c r="AM73" i="30"/>
  <c r="AP77" i="30" s="1"/>
  <c r="AI84" i="30"/>
  <c r="AJ82" i="30"/>
  <c r="AK73" i="30"/>
  <c r="AP72" i="30" s="1"/>
  <c r="AM79" i="30"/>
  <c r="AP79" i="30" s="1"/>
  <c r="AM59" i="30"/>
  <c r="AP54" i="30" s="1"/>
  <c r="AO56" i="30"/>
  <c r="AO51" i="30"/>
  <c r="AK59" i="30"/>
  <c r="AP50" i="30" s="1"/>
  <c r="AP53" i="30"/>
  <c r="AP52" i="30"/>
  <c r="Z59" i="30"/>
  <c r="AE50" i="30" s="1"/>
  <c r="AD51" i="30"/>
  <c r="AS179" i="27"/>
  <c r="AQ178" i="27"/>
  <c r="AD137" i="27"/>
  <c r="AC144" i="27"/>
  <c r="AC145" i="27" s="1"/>
  <c r="H98" i="30"/>
  <c r="F101" i="30"/>
  <c r="I96" i="30" s="1"/>
  <c r="S72" i="30"/>
  <c r="O80" i="30"/>
  <c r="T71" i="30" s="1"/>
  <c r="T73" i="30"/>
  <c r="T74" i="30"/>
  <c r="AD178" i="27"/>
  <c r="AC185" i="27"/>
  <c r="AT96" i="27"/>
  <c r="AS103" i="27"/>
  <c r="AS104" i="27" s="1"/>
  <c r="AY77" i="35"/>
  <c r="AW77" i="35"/>
  <c r="AX77" i="35"/>
  <c r="AV77" i="35"/>
  <c r="BD78" i="35"/>
  <c r="BA77" i="35"/>
  <c r="BC77" i="35"/>
  <c r="BF75" i="35"/>
  <c r="AX76" i="35"/>
  <c r="BF77" i="35"/>
  <c r="AZ77" i="35"/>
  <c r="AU78" i="35"/>
  <c r="AU79" i="35"/>
  <c r="BD77" i="35"/>
  <c r="AV75" i="35"/>
  <c r="AW75" i="35" s="1"/>
  <c r="AX75" i="35" s="1"/>
  <c r="AY75" i="35" s="1"/>
  <c r="AZ75" i="35" s="1"/>
  <c r="BA75" i="35" s="1"/>
  <c r="BB75" i="35" s="1"/>
  <c r="BB77" i="35"/>
  <c r="BE77" i="35"/>
  <c r="BF76" i="35"/>
  <c r="AU76" i="35"/>
  <c r="AU77" i="35"/>
  <c r="BD79" i="35"/>
  <c r="I94" i="30"/>
  <c r="I95" i="30"/>
  <c r="H93" i="30"/>
  <c r="D101" i="30"/>
  <c r="I92" i="30" s="1"/>
  <c r="AE53" i="30"/>
  <c r="AE52" i="30"/>
  <c r="AB98" i="35"/>
  <c r="T99" i="35"/>
  <c r="AB97" i="35"/>
  <c r="AA99" i="35"/>
  <c r="AB99" i="35"/>
  <c r="T98" i="35"/>
  <c r="S99" i="35"/>
  <c r="Q101" i="35"/>
  <c r="Q100" i="35"/>
  <c r="Z99" i="35"/>
  <c r="Q98" i="35"/>
  <c r="R99" i="35"/>
  <c r="Q99" i="35"/>
  <c r="Z101" i="35"/>
  <c r="W99" i="35"/>
  <c r="V99" i="35"/>
  <c r="U99" i="35"/>
  <c r="Z100" i="35"/>
  <c r="X99" i="35"/>
  <c r="R97" i="35"/>
  <c r="S97" i="35" s="1"/>
  <c r="T97" i="35" s="1"/>
  <c r="U97" i="35" s="1"/>
  <c r="V97" i="35" s="1"/>
  <c r="W97" i="35" s="1"/>
  <c r="X97" i="35" s="1"/>
  <c r="Y99" i="35"/>
  <c r="AS138" i="27"/>
  <c r="AQ137" i="27"/>
  <c r="O93" i="30"/>
  <c r="P107" i="30"/>
  <c r="Q97" i="30"/>
  <c r="T99" i="30" s="1"/>
  <c r="P108" i="30"/>
  <c r="R90" i="30"/>
  <c r="Q100" i="30"/>
  <c r="T100" i="30" s="1"/>
  <c r="O100" i="30"/>
  <c r="Q94" i="30"/>
  <c r="T98" i="30" s="1"/>
  <c r="P102" i="30"/>
  <c r="N103" i="30"/>
  <c r="O95" i="30"/>
  <c r="U93" i="30" s="1"/>
  <c r="O94" i="30"/>
  <c r="T93" i="30" s="1"/>
  <c r="Q98" i="30"/>
  <c r="U99" i="30" s="1"/>
  <c r="N107" i="30"/>
  <c r="P103" i="30"/>
  <c r="O96" i="30"/>
  <c r="Q95" i="30"/>
  <c r="U98" i="30" s="1"/>
  <c r="O98" i="30"/>
  <c r="S94" i="30" s="1"/>
  <c r="Q96" i="30"/>
  <c r="S99" i="30" s="1"/>
  <c r="N106" i="30"/>
  <c r="Q99" i="30"/>
  <c r="S100" i="30" s="1"/>
  <c r="M105" i="30"/>
  <c r="O99" i="30"/>
  <c r="S95" i="30" s="1"/>
  <c r="O97" i="30"/>
  <c r="U94" i="30" s="1"/>
  <c r="N102" i="30"/>
  <c r="Q93" i="30"/>
  <c r="P106" i="30"/>
  <c r="N108" i="30"/>
  <c r="AC69" i="30"/>
  <c r="AB76" i="30"/>
  <c r="AE78" i="30" s="1"/>
  <c r="Z75" i="30"/>
  <c r="Y87" i="30"/>
  <c r="X84" i="30"/>
  <c r="AB77" i="30"/>
  <c r="AF78" i="30" s="1"/>
  <c r="Z76" i="30"/>
  <c r="AF73" i="30" s="1"/>
  <c r="Z77" i="30"/>
  <c r="AD73" i="30" s="1"/>
  <c r="AA86" i="30"/>
  <c r="Z79" i="30"/>
  <c r="Z78" i="30"/>
  <c r="AD74" i="30" s="1"/>
  <c r="AA82" i="30"/>
  <c r="AB79" i="30"/>
  <c r="AE79" i="30" s="1"/>
  <c r="Y86" i="30"/>
  <c r="AB74" i="30"/>
  <c r="AF77" i="30" s="1"/>
  <c r="AA87" i="30"/>
  <c r="AB78" i="30"/>
  <c r="AD79" i="30" s="1"/>
  <c r="AB72" i="30"/>
  <c r="Y81" i="30"/>
  <c r="Z72" i="30"/>
  <c r="Y85" i="30"/>
  <c r="Y82" i="30"/>
  <c r="Z73" i="30"/>
  <c r="AE72" i="30" s="1"/>
  <c r="Z74" i="30"/>
  <c r="AF72" i="30" s="1"/>
  <c r="AB75" i="30"/>
  <c r="AD78" i="30" s="1"/>
  <c r="AA85" i="30"/>
  <c r="AA81" i="30"/>
  <c r="AB73" i="30"/>
  <c r="AE77" i="30" s="1"/>
  <c r="AF77" i="35"/>
  <c r="AG75" i="35"/>
  <c r="AH75" i="35" s="1"/>
  <c r="AI75" i="35" s="1"/>
  <c r="AJ75" i="35" s="1"/>
  <c r="AK75" i="35" s="1"/>
  <c r="AL75" i="35" s="1"/>
  <c r="AM75" i="35" s="1"/>
  <c r="AK77" i="35"/>
  <c r="AO79" i="35"/>
  <c r="AJ77" i="35"/>
  <c r="AM77" i="35"/>
  <c r="AQ76" i="35"/>
  <c r="AL77" i="35"/>
  <c r="AI76" i="35"/>
  <c r="AF79" i="35"/>
  <c r="AH77" i="35"/>
  <c r="AN77" i="35"/>
  <c r="AO77" i="35"/>
  <c r="AF76" i="35"/>
  <c r="AQ75" i="35"/>
  <c r="AG77" i="35"/>
  <c r="AP77" i="35"/>
  <c r="AF78" i="35"/>
  <c r="AO78" i="35"/>
  <c r="AI77" i="35"/>
  <c r="AQ77" i="35"/>
  <c r="S77" i="30"/>
  <c r="Q80" i="30"/>
  <c r="T75" i="30" s="1"/>
  <c r="AD56" i="30"/>
  <c r="AB59" i="30"/>
  <c r="AE54" i="30" s="1"/>
  <c r="AF97" i="35"/>
  <c r="AT89" i="35"/>
  <c r="AU97" i="35" s="1"/>
  <c r="BK129" i="27" l="1"/>
  <c r="BG131" i="27"/>
  <c r="BK138" i="27" s="1"/>
  <c r="BI129" i="27"/>
  <c r="AZ137" i="27"/>
  <c r="BJ128" i="27" s="1"/>
  <c r="BG129" i="27"/>
  <c r="BI133" i="27"/>
  <c r="BB137" i="27"/>
  <c r="BJ132" i="27" s="1"/>
  <c r="BJ130" i="27"/>
  <c r="BG133" i="27"/>
  <c r="BJ139" i="27" s="1"/>
  <c r="BD137" i="27"/>
  <c r="BI97" i="27"/>
  <c r="BG96" i="27"/>
  <c r="BG175" i="27"/>
  <c r="BK180" i="27" s="1"/>
  <c r="BK171" i="27"/>
  <c r="AZ178" i="27"/>
  <c r="BJ169" i="27" s="1"/>
  <c r="BG170" i="27"/>
  <c r="BI170" i="27"/>
  <c r="BI130" i="27"/>
  <c r="BG132" i="27"/>
  <c r="BI139" i="27" s="1"/>
  <c r="BJ129" i="27"/>
  <c r="BG130" i="27"/>
  <c r="BJ138" i="27" s="1"/>
  <c r="BI171" i="27"/>
  <c r="BG173" i="27"/>
  <c r="BI180" i="27" s="1"/>
  <c r="BJ171" i="27"/>
  <c r="BG174" i="27"/>
  <c r="BJ180" i="27" s="1"/>
  <c r="BB178" i="27"/>
  <c r="BJ173" i="27" s="1"/>
  <c r="BI174" i="27"/>
  <c r="BI131" i="27"/>
  <c r="BG135" i="27"/>
  <c r="BI140" i="27" s="1"/>
  <c r="BJ56" i="27"/>
  <c r="BI63" i="27"/>
  <c r="BI64" i="27" s="1"/>
  <c r="BJ172" i="27"/>
  <c r="BG177" i="27"/>
  <c r="BJ181" i="27" s="1"/>
  <c r="BD178" i="27"/>
  <c r="BK170" i="27"/>
  <c r="BG172" i="27"/>
  <c r="BK179" i="27" s="1"/>
  <c r="BJ170" i="27"/>
  <c r="BG171" i="27"/>
  <c r="BJ179" i="27" s="1"/>
  <c r="BI172" i="27"/>
  <c r="BG176" i="27"/>
  <c r="BI181" i="27" s="1"/>
  <c r="BK130" i="27"/>
  <c r="BG134" i="27"/>
  <c r="BK139" i="27" s="1"/>
  <c r="BJ131" i="27"/>
  <c r="BG136" i="27"/>
  <c r="BJ140" i="27" s="1"/>
  <c r="AB80" i="30"/>
  <c r="AE75" i="30" s="1"/>
  <c r="AD77" i="30"/>
  <c r="AE74" i="30"/>
  <c r="AE73" i="30"/>
  <c r="S98" i="30"/>
  <c r="Q101" i="30"/>
  <c r="T96" i="30" s="1"/>
  <c r="AS144" i="27"/>
  <c r="AS145" i="27" s="1"/>
  <c r="AT137" i="27"/>
  <c r="U182" i="27"/>
  <c r="AC186" i="27"/>
  <c r="S182" i="27"/>
  <c r="AO72" i="30"/>
  <c r="AK80" i="30"/>
  <c r="AP71" i="30" s="1"/>
  <c r="S93" i="30"/>
  <c r="O101" i="30"/>
  <c r="T92" i="30" s="1"/>
  <c r="AO77" i="30"/>
  <c r="AM80" i="30"/>
  <c r="AP75" i="30" s="1"/>
  <c r="AP73" i="30"/>
  <c r="AP74" i="30"/>
  <c r="AF101" i="35"/>
  <c r="AO101" i="35"/>
  <c r="AG97" i="35"/>
  <c r="AH97" i="35" s="1"/>
  <c r="AI97" i="35" s="1"/>
  <c r="AJ97" i="35" s="1"/>
  <c r="AK97" i="35" s="1"/>
  <c r="AL97" i="35" s="1"/>
  <c r="AM97" i="35" s="1"/>
  <c r="AK99" i="35"/>
  <c r="AI99" i="35"/>
  <c r="AQ98" i="35"/>
  <c r="AI98" i="35"/>
  <c r="AQ99" i="35"/>
  <c r="AQ97" i="35"/>
  <c r="AG99" i="35"/>
  <c r="AF100" i="35"/>
  <c r="AJ99" i="35"/>
  <c r="AN99" i="35"/>
  <c r="AF99" i="35"/>
  <c r="AL99" i="35"/>
  <c r="AO100" i="35"/>
  <c r="AM99" i="35"/>
  <c r="AH99" i="35"/>
  <c r="AP99" i="35"/>
  <c r="AF98" i="35"/>
  <c r="AO99" i="35"/>
  <c r="Z80" i="30"/>
  <c r="AE71" i="30" s="1"/>
  <c r="AD72" i="30"/>
  <c r="AS185" i="27"/>
  <c r="AT178" i="27"/>
  <c r="AB100" i="30"/>
  <c r="AE100" i="30" s="1"/>
  <c r="Y103" i="30"/>
  <c r="Z96" i="30"/>
  <c r="Y107" i="30"/>
  <c r="AB95" i="30"/>
  <c r="AF98" i="30" s="1"/>
  <c r="AC90" i="30"/>
  <c r="Y108" i="30"/>
  <c r="Y106" i="30"/>
  <c r="AB94" i="30"/>
  <c r="AE98" i="30" s="1"/>
  <c r="Z98" i="30"/>
  <c r="AD94" i="30" s="1"/>
  <c r="AA108" i="30"/>
  <c r="Y102" i="30"/>
  <c r="Z94" i="30"/>
  <c r="AE93" i="30" s="1"/>
  <c r="AB97" i="30"/>
  <c r="AE99" i="30" s="1"/>
  <c r="Z99" i="30"/>
  <c r="AD95" i="30" s="1"/>
  <c r="Z95" i="30"/>
  <c r="AF93" i="30" s="1"/>
  <c r="Z93" i="30"/>
  <c r="AA102" i="30"/>
  <c r="AA106" i="30"/>
  <c r="Z97" i="30"/>
  <c r="AF94" i="30" s="1"/>
  <c r="X105" i="30"/>
  <c r="AB98" i="30"/>
  <c r="AF99" i="30" s="1"/>
  <c r="AB96" i="30"/>
  <c r="AD99" i="30" s="1"/>
  <c r="AB93" i="30"/>
  <c r="AA107" i="30"/>
  <c r="AA103" i="30"/>
  <c r="Z100" i="30"/>
  <c r="AB99" i="30"/>
  <c r="AD100" i="30" s="1"/>
  <c r="BF99" i="35"/>
  <c r="BD100" i="35"/>
  <c r="AY99" i="35"/>
  <c r="BF97" i="35"/>
  <c r="BC99" i="35"/>
  <c r="AU101" i="35"/>
  <c r="AV97" i="35"/>
  <c r="AW97" i="35" s="1"/>
  <c r="AX97" i="35" s="1"/>
  <c r="AY97" i="35" s="1"/>
  <c r="AZ97" i="35" s="1"/>
  <c r="BA97" i="35" s="1"/>
  <c r="BB97" i="35" s="1"/>
  <c r="AX99" i="35"/>
  <c r="BE99" i="35"/>
  <c r="BD99" i="35"/>
  <c r="AU98" i="35"/>
  <c r="AW99" i="35"/>
  <c r="BF98" i="35"/>
  <c r="AU100" i="35"/>
  <c r="AU99" i="35"/>
  <c r="AV99" i="35"/>
  <c r="BD101" i="35"/>
  <c r="BA99" i="35"/>
  <c r="AZ99" i="35"/>
  <c r="BB99" i="35"/>
  <c r="AX98" i="35"/>
  <c r="T95" i="30"/>
  <c r="T94" i="30"/>
  <c r="AM98" i="30"/>
  <c r="AQ99" i="30" s="1"/>
  <c r="AL102" i="30"/>
  <c r="AL107" i="30"/>
  <c r="AJ107" i="30"/>
  <c r="AK93" i="30"/>
  <c r="AK98" i="30"/>
  <c r="AO94" i="30" s="1"/>
  <c r="AK99" i="30"/>
  <c r="AO95" i="30" s="1"/>
  <c r="AM100" i="30"/>
  <c r="AP100" i="30" s="1"/>
  <c r="AL103" i="30"/>
  <c r="AM96" i="30"/>
  <c r="AO99" i="30" s="1"/>
  <c r="AK94" i="30"/>
  <c r="AP93" i="30" s="1"/>
  <c r="AK95" i="30"/>
  <c r="AQ93" i="30" s="1"/>
  <c r="AN90" i="30"/>
  <c r="AJ102" i="30"/>
  <c r="AJ103" i="30"/>
  <c r="AM93" i="30"/>
  <c r="AK96" i="30"/>
  <c r="AM95" i="30"/>
  <c r="AQ98" i="30" s="1"/>
  <c r="AK100" i="30"/>
  <c r="AJ106" i="30"/>
  <c r="AJ108" i="30"/>
  <c r="AL108" i="30"/>
  <c r="AI105" i="30"/>
  <c r="AM94" i="30"/>
  <c r="AP98" i="30" s="1"/>
  <c r="AM99" i="30"/>
  <c r="AO100" i="30" s="1"/>
  <c r="AM97" i="30"/>
  <c r="AP99" i="30" s="1"/>
  <c r="AK97" i="30"/>
  <c r="AQ94" i="30" s="1"/>
  <c r="AL106" i="30"/>
  <c r="BI179" i="27" l="1"/>
  <c r="BG178" i="27"/>
  <c r="BI103" i="27"/>
  <c r="BI104" i="27" s="1"/>
  <c r="BJ96" i="27"/>
  <c r="BG137" i="27"/>
  <c r="BI138" i="27"/>
  <c r="AO93" i="30"/>
  <c r="AK101" i="30"/>
  <c r="AP92" i="30" s="1"/>
  <c r="AD98" i="30"/>
  <c r="AB101" i="30"/>
  <c r="AE96" i="30" s="1"/>
  <c r="AE94" i="30"/>
  <c r="AE95" i="30"/>
  <c r="AI182" i="27"/>
  <c r="AK182" i="27"/>
  <c r="AS186" i="27"/>
  <c r="AO98" i="30"/>
  <c r="AM101" i="30"/>
  <c r="AP96" i="30" s="1"/>
  <c r="AP94" i="30"/>
  <c r="AP95" i="30"/>
  <c r="AD93" i="30"/>
  <c r="Z101" i="30"/>
  <c r="AE92" i="30" s="1"/>
  <c r="BI185" i="27" l="1"/>
  <c r="BJ178" i="27"/>
  <c r="BJ137" i="27"/>
  <c r="BI144" i="27"/>
  <c r="BI145" i="27" s="1"/>
  <c r="AY182" i="27" l="1"/>
  <c r="BI186" i="27"/>
  <c r="BA182" i="27"/>
</calcChain>
</file>

<file path=xl/sharedStrings.xml><?xml version="1.0" encoding="utf-8"?>
<sst xmlns="http://schemas.openxmlformats.org/spreadsheetml/2006/main" count="5047" uniqueCount="234">
  <si>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</si>
  <si>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</si>
  <si>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</si>
  <si>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</si>
  <si>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</si>
  <si>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</si>
  <si>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</si>
  <si>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</si>
  <si>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</si>
  <si>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</si>
  <si>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</si>
  <si>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</si>
  <si>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</si>
  <si>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</si>
  <si>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</si>
  <si>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</si>
  <si>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</si>
  <si>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العلوم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</si>
  <si>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</si>
  <si>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</si>
  <si>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</si>
  <si>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</si>
  <si>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</si>
  <si>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</si>
  <si>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</si>
  <si>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</si>
  <si>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</si>
  <si>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</si>
  <si>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</si>
  <si>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</si>
  <si>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</si>
  <si>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</si>
  <si>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</si>
  <si>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</si>
  <si>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</si>
  <si>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</si>
  <si>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</si>
  <si>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</si>
  <si>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</si>
  <si>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</si>
  <si>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</si>
  <si>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إدارة الامتحانات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</si>
  <si>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</si>
  <si>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</si>
  <si>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</si>
  <si>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</si>
  <si>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</si>
  <si>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</si>
  <si>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</si>
  <si>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</si>
  <si>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</si>
  <si>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</si>
  <si>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</si>
  <si>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</si>
  <si>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</si>
  <si>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</si>
  <si>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Calibri"/>
        <family val="2"/>
        <scheme val="minor"/>
      </rPr>
      <t>الأولي</t>
    </r>
    <r>
      <rPr>
        <b/>
        <sz val="12"/>
        <color theme="1"/>
        <rFont val="Calibri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</si>
  <si>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</si>
  <si>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</si>
  <si>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</si>
  <si>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</si>
  <si>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</si>
  <si>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</si>
  <si>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</si>
  <si>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</si>
  <si>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</si>
  <si>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</si>
  <si>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</si>
  <si>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</si>
  <si>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</si>
  <si>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</si>
  <si>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</si>
  <si>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</si>
  <si>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</si>
  <si>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</si>
  <si>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</si>
  <si>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</si>
  <si>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</si>
  <si>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</si>
  <si>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</si>
  <si>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</si>
  <si>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</si>
  <si>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</si>
  <si>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Calibri"/>
        <family val="2"/>
        <scheme val="minor"/>
      </rPr>
      <t>الثانية</t>
    </r>
    <r>
      <rPr>
        <b/>
        <sz val="12"/>
        <color theme="1"/>
        <rFont val="Calibri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</si>
  <si>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</si>
  <si>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</si>
  <si>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</si>
  <si>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</si>
  <si>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</si>
  <si>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</si>
  <si>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</si>
  <si>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</si>
  <si>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</si>
  <si>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</si>
  <si>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</si>
  <si>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</si>
  <si>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</si>
  <si>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</si>
  <si>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</si>
  <si>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</si>
  <si>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</si>
  <si>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</si>
  <si>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</si>
  <si>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</si>
  <si>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</si>
  <si>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</si>
  <si>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</si>
  <si>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</si>
  <si>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</si>
  <si>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</si>
  <si>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Calibri"/>
        <family val="2"/>
        <scheme val="minor"/>
      </rPr>
      <t>الأولي</t>
    </r>
    <r>
      <rPr>
        <b/>
        <sz val="11"/>
        <color theme="1"/>
        <rFont val="Calibri"/>
        <family val="2"/>
        <scheme val="minor"/>
      </rPr>
      <t xml:space="preserve"> :  </t>
    </r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</si>
  <si>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</si>
  <si>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</si>
  <si>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</si>
  <si>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</si>
  <si>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</si>
  <si>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</si>
  <si>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</si>
  <si>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</si>
  <si>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</si>
  <si>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</si>
  <si>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</si>
  <si>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</si>
  <si>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</si>
  <si>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</si>
  <si>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</si>
  <si>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</si>
  <si>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</si>
  <si>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</si>
  <si>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</si>
  <si>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</si>
  <si>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</si>
  <si>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</si>
  <si>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</si>
  <si>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</si>
  <si>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</si>
  <si>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</si>
  <si>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</si>
  <si>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</si>
  <si>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</si>
  <si>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</si>
  <si>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</si>
  <si>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</si>
  <si>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</si>
  <si>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</si>
  <si>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</si>
  <si>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</si>
  <si>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</si>
  <si>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</si>
  <si>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</si>
  <si>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</si>
  <si>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</si>
  <si>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</si>
  <si>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</si>
  <si>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</si>
  <si>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</si>
  <si>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توقيع مدير مكتب الامتحانات</t>
  </si>
  <si>
    <t>تقدير النتيجة النهائية</t>
  </si>
  <si>
    <t xml:space="preserve">الثانية :- </t>
  </si>
  <si>
    <t xml:space="preserve">الصف / 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</si>
  <si>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</si>
  <si>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</si>
  <si>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>الحاسوب</t>
  </si>
  <si>
    <t>التربية الموسيقية</t>
  </si>
  <si>
    <t>التربية البدنية</t>
  </si>
  <si>
    <t>الكتابة</t>
  </si>
  <si>
    <t>الاجتماعيات</t>
  </si>
  <si>
    <t xml:space="preserve">الأولي :  </t>
  </si>
  <si>
    <t xml:space="preserve">كل كشط أو تغيير في هذه البطاقة يلغيها. </t>
  </si>
  <si>
    <t xml:space="preserve">سهول العلم للتعليم الخاص </t>
  </si>
  <si>
    <t>الرياضيات</t>
  </si>
  <si>
    <t>جيد جداً</t>
  </si>
  <si>
    <t>د.عبدالرحمن خليفة العريبي</t>
  </si>
  <si>
    <t>ليبية</t>
  </si>
  <si>
    <t xml:space="preserve"> 2026 /2025</t>
  </si>
  <si>
    <t>1447ـ/1448 هـ</t>
  </si>
  <si>
    <t>الرابع</t>
  </si>
  <si>
    <r>
      <t xml:space="preserve">العام الدراسي 1447 - 1448 هجرية/ الموافق :  2025 - 2026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</si>
  <si>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 xml:space="preserve">كشف رصد النتائج النهائية للصف الرابع من مرحلة التعليم الاساسي  </t>
  </si>
  <si>
    <t>ليبي</t>
  </si>
  <si>
    <t>أحمد نورالدين أحمد الذيب</t>
  </si>
  <si>
    <t>امنه صالح المعداني</t>
  </si>
  <si>
    <t>أدم أحمد الفرجاني الترهوني</t>
  </si>
  <si>
    <t>ريمة عثمان احمد مسعود</t>
  </si>
  <si>
    <t>إلين محمد النفاتي الهليب</t>
  </si>
  <si>
    <t>فاطمة النفاتي الهروال</t>
  </si>
  <si>
    <t>جنان عبدالسلام محمد الجوادي</t>
  </si>
  <si>
    <t>هدى زيدام علي الجماعي</t>
  </si>
  <si>
    <t>حور حمدي عبدالهادي ديهوم</t>
  </si>
  <si>
    <t>هدى حسين مسعود</t>
  </si>
  <si>
    <t>خديجة خليل محمد علي</t>
  </si>
  <si>
    <t>انتصار على على</t>
  </si>
  <si>
    <t xml:space="preserve">سالم عمر سالم التائب </t>
  </si>
  <si>
    <t>منية حسن عويدات</t>
  </si>
  <si>
    <t>سفيان عبدالباسط اللافي محمد</t>
  </si>
  <si>
    <t>حليمة علي محمد زريق</t>
  </si>
  <si>
    <t>سوار وليد مصطفي الورشفاني</t>
  </si>
  <si>
    <t>إيمان علي سالم</t>
  </si>
  <si>
    <t>عبد السميع محمد الهادي موسى</t>
  </si>
  <si>
    <t>مريم علي حسين علي</t>
  </si>
  <si>
    <t>عبد العزيز عبدالله محمد المغربي</t>
  </si>
  <si>
    <t>زينب إبراهيم النقراط</t>
  </si>
  <si>
    <t>عبد الوهاب علي عبد الوهاب بودجاجة</t>
  </si>
  <si>
    <t>بشرى عبداللطيف بو غرارة</t>
  </si>
  <si>
    <t>كنان حسني محمد محمد سمالوس</t>
  </si>
  <si>
    <t>سمية محمد الطاهر أبوالخير</t>
  </si>
  <si>
    <t>محمد مجدي عبدالله سليمان</t>
  </si>
  <si>
    <t>أميرة بشير سالم</t>
  </si>
  <si>
    <t>مصطفى طارق فتحي الختال</t>
  </si>
  <si>
    <t>صبرية محمد الصادق</t>
  </si>
  <si>
    <t>معاوية عز الدين محمد أحفيظان</t>
  </si>
  <si>
    <t>فجرة المبروك ابوبريق</t>
  </si>
  <si>
    <t xml:space="preserve">ميّار صالح محمد ديماس </t>
  </si>
  <si>
    <t>دالين متير كاحيل</t>
  </si>
  <si>
    <t>الذيب</t>
  </si>
  <si>
    <t>الترهوني</t>
  </si>
  <si>
    <t>الهليب</t>
  </si>
  <si>
    <t>الجوادي</t>
  </si>
  <si>
    <t>ديهوم</t>
  </si>
  <si>
    <t>على</t>
  </si>
  <si>
    <t>التائب</t>
  </si>
  <si>
    <t>محمد</t>
  </si>
  <si>
    <t>موسى</t>
  </si>
  <si>
    <t>المغربي</t>
  </si>
  <si>
    <t>بودجاجة</t>
  </si>
  <si>
    <t>سمالوس</t>
  </si>
  <si>
    <t>سليمان</t>
  </si>
  <si>
    <t>الختال</t>
  </si>
  <si>
    <t>احفيظان</t>
  </si>
  <si>
    <t>سلسبيل الكاسح</t>
  </si>
  <si>
    <t>سورية</t>
  </si>
  <si>
    <t>الورشفاني</t>
  </si>
  <si>
    <t>ديماس</t>
  </si>
  <si>
    <t>سوري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</si>
</sst>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0" x14ac:knownFonts="1"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sz val="6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PT Bold Heading"/>
      <charset val="178"/>
    </font>
    <font>
      <sz val="9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Calibri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Calibri"/>
      <family val="2"/>
      <scheme val="minor"/>
    </font>
    <font>
      <sz val="12"/>
      <color theme="1"/>
      <name val="Bernard MT Condensed"/>
      <family val="1"/>
    </font>
    <font>
      <sz val="28"/>
      <color theme="1"/>
      <name val="Calibri"/>
      <family val="2"/>
      <charset val="178"/>
      <scheme val="minor"/>
    </font>
    <font>
      <sz val="7"/>
      <color theme="1"/>
      <name val="Calibri"/>
      <family val="2"/>
      <charset val="178"/>
      <scheme val="minor"/>
    </font>
    <font>
      <sz val="24"/>
      <color theme="1"/>
      <name val="Calibri"/>
      <family val="2"/>
      <charset val="178"/>
      <scheme val="minor"/>
    </font>
    <font>
      <sz val="24"/>
      <color theme="2" tint="-0.499984740745262"/>
      <name val="Calibri"/>
      <family val="2"/>
      <charset val="178"/>
      <scheme val="minor"/>
    </font>
    <font>
      <sz val="24"/>
      <name val="Calibri"/>
      <family val="2"/>
      <charset val="178"/>
      <scheme val="minor"/>
    </font>
    <font>
      <i/>
      <sz val="24"/>
      <name val="DecoType Naskh Swashes"/>
      <charset val="178"/>
    </font>
    <font>
      <sz val="22"/>
      <name val="Calibri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Calibri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Calibri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Calibri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Calibri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Calibri"/>
      <family val="2"/>
      <charset val="178"/>
      <scheme val="minor"/>
    </font>
    <font>
      <sz val="26"/>
      <color theme="1"/>
      <name val="Calibri"/>
      <family val="2"/>
      <charset val="178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8"/>
      <color theme="1"/>
      <name val="DecoType Naskh Variants"/>
      <charset val="178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94">
    <xf numFmtId="0" fontId="0" fillId="0" borderId="0" xfId="0"/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61" xfId="0" applyFont="1" applyBorder="1" applyAlignment="1">
      <alignment horizontal="center" vertic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6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1" fillId="0" borderId="2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6" xfId="0" applyFont="1" applyBorder="1" applyAlignment="1">
      <alignment horizontal="center" vertical="center" wrapText="1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2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0" fontId="12" fillId="6" borderId="6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7" fillId="6" borderId="4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0" fontId="60" fillId="0" borderId="1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 shrinkToFit="1"/>
    </xf>
    <xf numFmtId="0" fontId="16" fillId="11" borderId="6" xfId="0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8" borderId="32" xfId="0" applyFont="1" applyFill="1" applyBorder="1" applyAlignment="1">
      <alignment horizontal="center" vertical="center" shrinkToFit="1"/>
    </xf>
    <xf numFmtId="0" fontId="16" fillId="11" borderId="14" xfId="0" applyFont="1" applyFill="1" applyBorder="1" applyAlignment="1">
      <alignment horizontal="center" vertical="center" shrinkToFi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4" fillId="8" borderId="33" xfId="0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6" fillId="10" borderId="6" xfId="0" applyFont="1" applyFill="1" applyBorder="1" applyAlignment="1">
      <alignment horizontal="center" vertical="center" shrinkToFit="1"/>
    </xf>
    <xf numFmtId="0" fontId="14" fillId="11" borderId="33" xfId="0" applyFont="1" applyFill="1" applyBorder="1" applyAlignment="1">
      <alignment horizontal="center" vertical="center"/>
    </xf>
    <xf numFmtId="0" fontId="16" fillId="11" borderId="85" xfId="0" applyFont="1" applyFill="1" applyBorder="1" applyAlignment="1">
      <alignment horizontal="center" vertical="center"/>
    </xf>
    <xf numFmtId="0" fontId="16" fillId="11" borderId="32" xfId="0" applyFont="1" applyFill="1" applyBorder="1" applyAlignment="1">
      <alignment horizontal="center" vertical="center"/>
    </xf>
    <xf numFmtId="0" fontId="16" fillId="11" borderId="34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6" fillId="10" borderId="34" xfId="0" applyFont="1" applyFill="1" applyBorder="1" applyAlignment="1">
      <alignment horizontal="center" vertical="center"/>
    </xf>
    <xf numFmtId="0" fontId="16" fillId="10" borderId="104" xfId="0" applyFont="1" applyFill="1" applyBorder="1" applyAlignment="1">
      <alignment horizontal="center" vertical="center"/>
    </xf>
    <xf numFmtId="0" fontId="16" fillId="9" borderId="85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34" xfId="0" applyFont="1" applyFill="1" applyBorder="1" applyAlignment="1">
      <alignment horizontal="center"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shrinkToFit="1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67" fillId="0" borderId="0" xfId="1" applyFont="1" applyAlignment="1">
      <alignment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3" fillId="0" borderId="40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8" fillId="0" borderId="10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 shrinkToFit="1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 shrinkToFit="1"/>
    </xf>
    <xf numFmtId="0" fontId="8" fillId="0" borderId="105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 shrinkToFit="1"/>
    </xf>
    <xf numFmtId="0" fontId="8" fillId="0" borderId="70" xfId="0" applyFont="1" applyBorder="1" applyAlignment="1">
      <alignment horizontal="center" vertical="center" shrinkToFit="1"/>
    </xf>
    <xf numFmtId="0" fontId="8" fillId="0" borderId="107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 shrinkToFit="1"/>
    </xf>
    <xf numFmtId="0" fontId="8" fillId="0" borderId="45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shrinkToFit="1"/>
    </xf>
    <xf numFmtId="0" fontId="8" fillId="0" borderId="35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shrinkToFit="1"/>
    </xf>
    <xf numFmtId="0" fontId="8" fillId="0" borderId="29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shrinkToFit="1"/>
    </xf>
    <xf numFmtId="0" fontId="8" fillId="0" borderId="31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8" fillId="0" borderId="110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6" fillId="0" borderId="111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shrinkToFit="1"/>
    </xf>
    <xf numFmtId="0" fontId="16" fillId="0" borderId="48" xfId="0" applyFont="1" applyBorder="1" applyAlignment="1">
      <alignment vertical="center" wrapText="1"/>
    </xf>
    <xf numFmtId="0" fontId="16" fillId="0" borderId="44" xfId="0" applyFont="1" applyBorder="1" applyAlignment="1">
      <alignment vertical="center" wrapText="1"/>
    </xf>
    <xf numFmtId="0" fontId="3" fillId="0" borderId="48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5" fillId="0" borderId="60" xfId="0" applyFont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16" fillId="11" borderId="12" xfId="0" applyFont="1" applyFill="1" applyBorder="1" applyAlignment="1">
      <alignment horizontal="center" vertical="center" textRotation="90"/>
    </xf>
    <xf numFmtId="0" fontId="16" fillId="8" borderId="12" xfId="0" applyFont="1" applyFill="1" applyBorder="1" applyAlignment="1">
      <alignment horizontal="center" vertical="center" textRotation="90"/>
    </xf>
    <xf numFmtId="0" fontId="16" fillId="10" borderId="33" xfId="0" applyFont="1" applyFill="1" applyBorder="1" applyAlignment="1">
      <alignment horizontal="center" vertical="center" textRotation="90"/>
    </xf>
    <xf numFmtId="0" fontId="16" fillId="10" borderId="8" xfId="0" applyFont="1" applyFill="1" applyBorder="1" applyAlignment="1">
      <alignment horizontal="center" vertical="center" textRotation="90"/>
    </xf>
    <xf numFmtId="0" fontId="16" fillId="10" borderId="34" xfId="0" applyFont="1" applyFill="1" applyBorder="1" applyAlignment="1">
      <alignment horizontal="center" vertical="center" textRotation="90"/>
    </xf>
    <xf numFmtId="0" fontId="16" fillId="8" borderId="15" xfId="0" applyFont="1" applyFill="1" applyBorder="1" applyAlignment="1">
      <alignment horizontal="center" vertical="center" textRotation="90"/>
    </xf>
    <xf numFmtId="0" fontId="16" fillId="11" borderId="13" xfId="0" applyFont="1" applyFill="1" applyBorder="1" applyAlignment="1">
      <alignment horizontal="center" vertical="center" textRotation="90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44" fillId="0" borderId="20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8" fillId="0" borderId="22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0" fontId="57" fillId="0" borderId="98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 vertical="center"/>
    </xf>
    <xf numFmtId="0" fontId="57" fillId="0" borderId="100" xfId="0" applyFont="1" applyBorder="1" applyAlignment="1">
      <alignment horizontal="center" vertical="center"/>
    </xf>
    <xf numFmtId="0" fontId="57" fillId="0" borderId="101" xfId="0" applyFont="1" applyBorder="1" applyAlignment="1">
      <alignment horizontal="center"/>
    </xf>
    <xf numFmtId="0" fontId="57" fillId="0" borderId="102" xfId="0" applyFont="1" applyBorder="1" applyAlignment="1">
      <alignment horizontal="center"/>
    </xf>
    <xf numFmtId="0" fontId="57" fillId="0" borderId="103" xfId="0" applyFont="1" applyBorder="1" applyAlignment="1">
      <alignment horizontal="center"/>
    </xf>
    <xf numFmtId="0" fontId="57" fillId="0" borderId="22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9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1" fillId="6" borderId="24" xfId="0" applyFont="1" applyFill="1" applyBorder="1" applyAlignment="1">
      <alignment horizontal="center" vertical="center" textRotation="90"/>
    </xf>
    <xf numFmtId="0" fontId="21" fillId="6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1" fontId="60" fillId="0" borderId="90" xfId="0" applyNumberFormat="1" applyFont="1" applyBorder="1" applyAlignment="1">
      <alignment horizontal="center" vertical="center"/>
    </xf>
    <xf numFmtId="1" fontId="60" fillId="0" borderId="27" xfId="0" applyNumberFormat="1" applyFont="1" applyBorder="1" applyAlignment="1">
      <alignment horizontal="center" vertical="center"/>
    </xf>
    <xf numFmtId="1" fontId="60" fillId="0" borderId="1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21" fillId="0" borderId="113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1" fillId="6" borderId="55" xfId="0" applyFont="1" applyFill="1" applyBorder="1" applyAlignment="1">
      <alignment horizontal="center" vertical="center" textRotation="90"/>
    </xf>
    <xf numFmtId="0" fontId="21" fillId="6" borderId="114" xfId="0" applyFont="1" applyFill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1" fillId="0" borderId="4" xfId="0" applyFont="1" applyBorder="1" applyAlignment="1">
      <alignment horizontal="center" vertical="center" shrinkToFit="1"/>
    </xf>
    <xf numFmtId="0" fontId="41" fillId="0" borderId="73" xfId="0" applyFont="1" applyBorder="1" applyAlignment="1">
      <alignment horizontal="center" vertical="center" shrinkToFit="1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12" fillId="6" borderId="47" xfId="0" applyFont="1" applyFill="1" applyBorder="1" applyAlignment="1">
      <alignment horizontal="center" vertical="center" textRotation="90"/>
    </xf>
    <xf numFmtId="0" fontId="12" fillId="6" borderId="60" xfId="0" applyFont="1" applyFill="1" applyBorder="1" applyAlignment="1">
      <alignment horizontal="center" vertical="center" textRotation="90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5" fillId="0" borderId="40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38" fillId="0" borderId="85" xfId="0" applyFont="1" applyBorder="1" applyAlignment="1">
      <alignment horizontal="right" vertical="center" shrinkToFit="1"/>
    </xf>
    <xf numFmtId="0" fontId="38" fillId="0" borderId="44" xfId="0" applyFont="1" applyBorder="1" applyAlignment="1">
      <alignment horizontal="right" vertical="center" shrinkToFit="1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 shrinkToFit="1"/>
    </xf>
    <xf numFmtId="0" fontId="41" fillId="0" borderId="42" xfId="0" applyFont="1" applyBorder="1" applyAlignment="1">
      <alignment horizontal="center" vertical="center" shrinkToFit="1"/>
    </xf>
    <xf numFmtId="0" fontId="61" fillId="0" borderId="2" xfId="0" applyFont="1" applyBorder="1" applyAlignment="1">
      <alignment horizontal="center" vertical="center"/>
    </xf>
    <xf numFmtId="0" fontId="61" fillId="0" borderId="30" xfId="0" applyFont="1" applyBorder="1" applyAlignment="1">
      <alignment horizontal="center" vertical="center"/>
    </xf>
    <xf numFmtId="1" fontId="62" fillId="0" borderId="1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66" fillId="0" borderId="2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8" fillId="0" borderId="3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 shrinkToFit="1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wrapText="1" shrinkToFit="1"/>
    </xf>
    <xf numFmtId="165" fontId="0" fillId="0" borderId="0" xfId="0" applyNumberFormat="1" applyAlignment="1">
      <alignment horizontal="center" vertical="center"/>
    </xf>
    <xf numFmtId="0" fontId="8" fillId="0" borderId="41" xfId="0" applyFont="1" applyBorder="1" applyAlignment="1">
      <alignment horizontal="center" vertical="center" textRotation="90"/>
    </xf>
    <xf numFmtId="0" fontId="8" fillId="0" borderId="35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 shrinkToFit="1"/>
    </xf>
    <xf numFmtId="0" fontId="8" fillId="0" borderId="4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shrinkToFit="1"/>
    </xf>
    <xf numFmtId="0" fontId="8" fillId="0" borderId="4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 textRotation="90"/>
    </xf>
    <xf numFmtId="164" fontId="12" fillId="0" borderId="6" xfId="0" applyNumberFormat="1" applyFont="1" applyBorder="1" applyAlignment="1">
      <alignment horizontal="center" vertical="center" textRotation="90"/>
    </xf>
    <xf numFmtId="164" fontId="12" fillId="0" borderId="32" xfId="0" applyNumberFormat="1" applyFont="1" applyBorder="1" applyAlignment="1">
      <alignment horizontal="center" vertical="center" textRotation="90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9" fontId="13" fillId="0" borderId="8" xfId="2" applyFont="1" applyBorder="1" applyAlignment="1">
      <alignment horizontal="center" vertical="center"/>
    </xf>
    <xf numFmtId="9" fontId="13" fillId="0" borderId="9" xfId="2" applyFont="1" applyBorder="1" applyAlignment="1">
      <alignment horizontal="center" vertical="center"/>
    </xf>
    <xf numFmtId="9" fontId="13" fillId="0" borderId="45" xfId="2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shrinkToFit="1"/>
    </xf>
    <xf numFmtId="0" fontId="13" fillId="0" borderId="89" xfId="0" applyFont="1" applyBorder="1" applyAlignment="1">
      <alignment horizontal="center" vertical="center"/>
    </xf>
    <xf numFmtId="9" fontId="13" fillId="0" borderId="90" xfId="2" applyFont="1" applyBorder="1" applyAlignment="1">
      <alignment horizontal="center" vertical="center"/>
    </xf>
    <xf numFmtId="9" fontId="13" fillId="0" borderId="27" xfId="2" applyFont="1" applyBorder="1" applyAlignment="1">
      <alignment horizontal="center" vertical="center"/>
    </xf>
    <xf numFmtId="9" fontId="13" fillId="0" borderId="28" xfId="2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40" xfId="0" applyFont="1" applyBorder="1" applyAlignment="1">
      <alignment horizontal="center" vertical="center" shrinkToFi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 textRotation="90"/>
    </xf>
    <xf numFmtId="0" fontId="1" fillId="0" borderId="71" xfId="0" applyFont="1" applyBorder="1" applyAlignment="1">
      <alignment horizontal="center" vertical="center" textRotation="90"/>
    </xf>
    <xf numFmtId="0" fontId="9" fillId="0" borderId="52" xfId="0" applyFont="1" applyBorder="1" applyAlignment="1">
      <alignment horizontal="center" vertical="center" textRotation="90"/>
    </xf>
    <xf numFmtId="0" fontId="9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10" fillId="0" borderId="14" xfId="0" applyFont="1" applyBorder="1" applyAlignment="1">
      <alignment horizontal="center" vertical="center" textRotation="90"/>
    </xf>
    <xf numFmtId="0" fontId="10" fillId="0" borderId="39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39" xfId="0" applyFont="1" applyBorder="1" applyAlignment="1">
      <alignment horizontal="center" vertical="center" textRotation="90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8" fillId="0" borderId="56" xfId="0" applyNumberFormat="1" applyFont="1" applyBorder="1" applyAlignment="1">
      <alignment horizontal="center" vertical="center" textRotation="90" wrapText="1"/>
    </xf>
    <xf numFmtId="164" fontId="68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 textRotation="90"/>
    </xf>
    <xf numFmtId="0" fontId="43" fillId="0" borderId="39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6" fillId="10" borderId="12" xfId="0" applyFont="1" applyFill="1" applyBorder="1" applyAlignment="1">
      <alignment horizontal="center" vertical="center" textRotation="90" wrapText="1"/>
    </xf>
    <xf numFmtId="0" fontId="16" fillId="10" borderId="16" xfId="0" applyFont="1" applyFill="1" applyBorder="1" applyAlignment="1">
      <alignment horizontal="center" vertical="center" textRotation="90" wrapText="1"/>
    </xf>
    <xf numFmtId="0" fontId="16" fillId="11" borderId="12" xfId="0" applyFont="1" applyFill="1" applyBorder="1" applyAlignment="1">
      <alignment horizontal="center" vertical="center" textRotation="90" wrapText="1"/>
    </xf>
    <xf numFmtId="0" fontId="16" fillId="11" borderId="16" xfId="0" applyFont="1" applyFill="1" applyBorder="1" applyAlignment="1">
      <alignment horizontal="center" vertical="center" textRotation="90" wrapText="1"/>
    </xf>
    <xf numFmtId="0" fontId="16" fillId="11" borderId="1" xfId="0" applyFont="1" applyFill="1" applyBorder="1" applyAlignment="1">
      <alignment horizontal="center" vertical="center" textRotation="90"/>
    </xf>
    <xf numFmtId="0" fontId="16" fillId="11" borderId="12" xfId="0" applyFont="1" applyFill="1" applyBorder="1" applyAlignment="1">
      <alignment horizontal="center" vertical="center" textRotation="90"/>
    </xf>
    <xf numFmtId="0" fontId="16" fillId="11" borderId="89" xfId="0" applyFont="1" applyFill="1" applyBorder="1" applyAlignment="1">
      <alignment horizontal="center" vertical="center" textRotation="90"/>
    </xf>
    <xf numFmtId="0" fontId="19" fillId="7" borderId="3" xfId="0" applyFont="1" applyFill="1" applyBorder="1" applyAlignment="1">
      <alignment horizontal="center" vertical="center" textRotation="90"/>
    </xf>
    <xf numFmtId="0" fontId="19" fillId="7" borderId="6" xfId="0" applyFont="1" applyFill="1" applyBorder="1" applyAlignment="1">
      <alignment horizontal="center" vertical="center" textRotation="90"/>
    </xf>
    <xf numFmtId="0" fontId="19" fillId="7" borderId="14" xfId="0" applyFont="1" applyFill="1" applyBorder="1" applyAlignment="1">
      <alignment horizontal="center" vertical="center" textRotation="90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textRotation="90"/>
    </xf>
    <xf numFmtId="0" fontId="16" fillId="10" borderId="89" xfId="0" applyFont="1" applyFill="1" applyBorder="1" applyAlignment="1">
      <alignment horizontal="center" vertical="center" textRotation="90"/>
    </xf>
    <xf numFmtId="0" fontId="16" fillId="10" borderId="1" xfId="0" applyFont="1" applyFill="1" applyBorder="1" applyAlignment="1">
      <alignment horizontal="center" vertical="center" textRotation="90"/>
    </xf>
    <xf numFmtId="0" fontId="16" fillId="8" borderId="12" xfId="0" applyFont="1" applyFill="1" applyBorder="1" applyAlignment="1">
      <alignment horizontal="center" vertical="center" textRotation="90"/>
    </xf>
    <xf numFmtId="0" fontId="16" fillId="8" borderId="89" xfId="0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33" xfId="0" applyFont="1" applyFill="1" applyBorder="1" applyAlignment="1">
      <alignment horizontal="center" vertical="center" textRotation="90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textRotation="90"/>
    </xf>
    <xf numFmtId="0" fontId="1" fillId="8" borderId="7" xfId="0" applyFont="1" applyFill="1" applyBorder="1" applyAlignment="1">
      <alignment horizontal="center" vertical="center" textRotation="90"/>
    </xf>
    <xf numFmtId="0" fontId="63" fillId="7" borderId="4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3" fillId="7" borderId="12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textRotation="90"/>
    </xf>
    <xf numFmtId="0" fontId="1" fillId="11" borderId="2" xfId="0" applyFont="1" applyFill="1" applyBorder="1" applyAlignment="1">
      <alignment horizontal="center" vertical="center" textRotation="90"/>
    </xf>
    <xf numFmtId="0" fontId="1" fillId="10" borderId="7" xfId="0" applyFont="1" applyFill="1" applyBorder="1" applyAlignment="1">
      <alignment horizontal="center" vertical="center" textRotation="90"/>
    </xf>
    <xf numFmtId="0" fontId="16" fillId="8" borderId="12" xfId="0" applyFont="1" applyFill="1" applyBorder="1" applyAlignment="1">
      <alignment horizontal="center" vertical="center" textRotation="90" wrapText="1"/>
    </xf>
    <xf numFmtId="0" fontId="16" fillId="8" borderId="89" xfId="0" applyFont="1" applyFill="1" applyBorder="1" applyAlignment="1">
      <alignment horizontal="center" vertical="center" textRotation="90" wrapText="1"/>
    </xf>
    <xf numFmtId="0" fontId="0" fillId="0" borderId="9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1" fillId="10" borderId="12" xfId="0" applyFont="1" applyFill="1" applyBorder="1" applyAlignment="1">
      <alignment horizontal="center" vertical="center" textRotation="90"/>
    </xf>
    <xf numFmtId="0" fontId="1" fillId="10" borderId="17" xfId="0" applyFont="1" applyFill="1" applyBorder="1" applyAlignment="1">
      <alignment horizontal="center" vertical="center" textRotation="90"/>
    </xf>
    <xf numFmtId="0" fontId="1" fillId="11" borderId="12" xfId="0" applyFont="1" applyFill="1" applyBorder="1" applyAlignment="1">
      <alignment horizontal="center" vertical="center" textRotation="90"/>
    </xf>
    <xf numFmtId="0" fontId="1" fillId="11" borderId="17" xfId="0" applyFont="1" applyFill="1" applyBorder="1" applyAlignment="1">
      <alignment horizontal="center" vertical="center" textRotation="90"/>
    </xf>
    <xf numFmtId="0" fontId="30" fillId="8" borderId="58" xfId="0" applyFont="1" applyFill="1" applyBorder="1" applyAlignment="1">
      <alignment horizontal="center" vertical="center"/>
    </xf>
    <xf numFmtId="0" fontId="30" fillId="8" borderId="41" xfId="0" applyFont="1" applyFill="1" applyBorder="1" applyAlignment="1">
      <alignment horizontal="center" vertical="center"/>
    </xf>
    <xf numFmtId="0" fontId="30" fillId="8" borderId="42" xfId="0" applyFont="1" applyFill="1" applyBorder="1" applyAlignment="1">
      <alignment horizontal="center" vertical="center"/>
    </xf>
    <xf numFmtId="0" fontId="30" fillId="10" borderId="24" xfId="0" applyFont="1" applyFill="1" applyBorder="1" applyAlignment="1">
      <alignment horizontal="center" vertical="center"/>
    </xf>
    <xf numFmtId="0" fontId="30" fillId="11" borderId="36" xfId="0" applyFont="1" applyFill="1" applyBorder="1" applyAlignment="1">
      <alignment horizontal="center" vertical="center"/>
    </xf>
    <xf numFmtId="0" fontId="30" fillId="11" borderId="41" xfId="0" applyFont="1" applyFill="1" applyBorder="1" applyAlignment="1">
      <alignment horizontal="center" vertical="center"/>
    </xf>
    <xf numFmtId="0" fontId="1" fillId="10" borderId="56" xfId="0" applyFont="1" applyFill="1" applyBorder="1" applyAlignment="1">
      <alignment horizontal="center" vertical="center" textRotation="90"/>
    </xf>
    <xf numFmtId="0" fontId="1" fillId="10" borderId="16" xfId="0" applyFont="1" applyFill="1" applyBorder="1" applyAlignment="1">
      <alignment horizontal="center" vertical="center" textRotation="90"/>
    </xf>
    <xf numFmtId="0" fontId="1" fillId="11" borderId="16" xfId="0" applyFont="1" applyFill="1" applyBorder="1" applyAlignment="1">
      <alignment horizontal="center" vertical="center" textRotation="90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1" fillId="10" borderId="1" xfId="0" applyFont="1" applyFill="1" applyBorder="1" applyAlignment="1">
      <alignment horizontal="center" vertical="center" textRotation="90"/>
    </xf>
    <xf numFmtId="0" fontId="16" fillId="11" borderId="2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54" fillId="7" borderId="3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horizontal="center" vertical="center"/>
    </xf>
    <xf numFmtId="0" fontId="54" fillId="7" borderId="6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0" fontId="54" fillId="7" borderId="7" xfId="0" applyFont="1" applyFill="1" applyBorder="1" applyAlignment="1">
      <alignment horizontal="center" vertical="center"/>
    </xf>
    <xf numFmtId="0" fontId="54" fillId="7" borderId="14" xfId="0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54" fillId="7" borderId="13" xfId="0" applyFont="1" applyFill="1" applyBorder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4" xfId="0" applyFont="1" applyFill="1" applyBorder="1" applyAlignment="1">
      <alignment horizontal="center" vertical="center"/>
    </xf>
    <xf numFmtId="0" fontId="64" fillId="7" borderId="5" xfId="0" applyFont="1" applyFill="1" applyBorder="1" applyAlignment="1">
      <alignment horizontal="center" vertical="center"/>
    </xf>
    <xf numFmtId="0" fontId="64" fillId="7" borderId="6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64" fillId="7" borderId="7" xfId="0" applyFont="1" applyFill="1" applyBorder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64" fillId="7" borderId="1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textRotation="90"/>
    </xf>
    <xf numFmtId="0" fontId="1" fillId="8" borderId="16" xfId="0" applyFont="1" applyFill="1" applyBorder="1" applyAlignment="1">
      <alignment horizontal="center" vertical="center" textRotation="90"/>
    </xf>
    <xf numFmtId="0" fontId="1" fillId="8" borderId="17" xfId="0" applyFont="1" applyFill="1" applyBorder="1" applyAlignment="1">
      <alignment horizontal="center" vertical="center" textRotation="90"/>
    </xf>
  </cellXfs>
  <cellStyles count="3">
    <cellStyle name="Normal" xfId="0" builtinId="0"/>
    <cellStyle name="Normal 2 2" xfId="1"/>
    <cellStyle name="Percent" xfId="2" builtinId="5"/>
  </cellStyles>
  <dxfs count="178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AA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'&#1576;&#1610;&#1575;&#1606;&#1575;&#1578; &#1575;&#1604;&#1589;&#1581;&#1610;&#1601;&#1577;'!A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887730</xdr:colOff>
      <xdr:row>0</xdr:row>
      <xdr:rowOff>110490</xdr:rowOff>
    </xdr:from>
    <xdr:to>
      <xdr:col>13</xdr:col>
      <xdr:colOff>1263015</xdr:colOff>
      <xdr:row>0</xdr:row>
      <xdr:rowOff>426720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971050035" y="110490"/>
          <a:ext cx="375285" cy="31623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29441</xdr:rowOff>
    </xdr:from>
    <xdr:to>
      <xdr:col>15</xdr:col>
      <xdr:colOff>657225</xdr:colOff>
      <xdr:row>40</xdr:row>
      <xdr:rowOff>0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-5443" y="29441"/>
          <a:ext cx="9367157" cy="7590559"/>
          <a:chOff x="26843" y="29441"/>
          <a:chExt cx="10918248" cy="7244195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8" cy="7244195"/>
            <a:chOff x="26843" y="0"/>
            <a:chExt cx="10918248" cy="7244195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3" y="545522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25</xdr:row>
      <xdr:rowOff>163285</xdr:rowOff>
    </xdr:from>
    <xdr:to>
      <xdr:col>8</xdr:col>
      <xdr:colOff>462644</xdr:colOff>
      <xdr:row>26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221539931" y="16328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25</xdr:row>
      <xdr:rowOff>163285</xdr:rowOff>
    </xdr:from>
    <xdr:to>
      <xdr:col>19</xdr:col>
      <xdr:colOff>462644</xdr:colOff>
      <xdr:row>26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221539931" y="16328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46</xdr:row>
      <xdr:rowOff>163285</xdr:rowOff>
    </xdr:from>
    <xdr:to>
      <xdr:col>8</xdr:col>
      <xdr:colOff>462644</xdr:colOff>
      <xdr:row>47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67</xdr:row>
      <xdr:rowOff>163285</xdr:rowOff>
    </xdr:from>
    <xdr:to>
      <xdr:col>8</xdr:col>
      <xdr:colOff>462644</xdr:colOff>
      <xdr:row>68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88</xdr:row>
      <xdr:rowOff>163285</xdr:rowOff>
    </xdr:from>
    <xdr:to>
      <xdr:col>8</xdr:col>
      <xdr:colOff>462644</xdr:colOff>
      <xdr:row>89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46</xdr:row>
      <xdr:rowOff>163285</xdr:rowOff>
    </xdr:from>
    <xdr:to>
      <xdr:col>19</xdr:col>
      <xdr:colOff>462644</xdr:colOff>
      <xdr:row>47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67</xdr:row>
      <xdr:rowOff>163285</xdr:rowOff>
    </xdr:from>
    <xdr:to>
      <xdr:col>19</xdr:col>
      <xdr:colOff>462644</xdr:colOff>
      <xdr:row>68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88</xdr:row>
      <xdr:rowOff>163285</xdr:rowOff>
    </xdr:from>
    <xdr:to>
      <xdr:col>19</xdr:col>
      <xdr:colOff>462644</xdr:colOff>
      <xdr:row>89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25</xdr:row>
      <xdr:rowOff>163285</xdr:rowOff>
    </xdr:from>
    <xdr:to>
      <xdr:col>30</xdr:col>
      <xdr:colOff>462644</xdr:colOff>
      <xdr:row>26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46</xdr:row>
      <xdr:rowOff>163285</xdr:rowOff>
    </xdr:from>
    <xdr:to>
      <xdr:col>30</xdr:col>
      <xdr:colOff>462644</xdr:colOff>
      <xdr:row>47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67</xdr:row>
      <xdr:rowOff>163285</xdr:rowOff>
    </xdr:from>
    <xdr:to>
      <xdr:col>30</xdr:col>
      <xdr:colOff>462644</xdr:colOff>
      <xdr:row>68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88</xdr:row>
      <xdr:rowOff>163285</xdr:rowOff>
    </xdr:from>
    <xdr:to>
      <xdr:col>30</xdr:col>
      <xdr:colOff>462644</xdr:colOff>
      <xdr:row>89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25</xdr:row>
      <xdr:rowOff>163285</xdr:rowOff>
    </xdr:from>
    <xdr:to>
      <xdr:col>41</xdr:col>
      <xdr:colOff>462644</xdr:colOff>
      <xdr:row>26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46</xdr:row>
      <xdr:rowOff>163285</xdr:rowOff>
    </xdr:from>
    <xdr:to>
      <xdr:col>41</xdr:col>
      <xdr:colOff>462644</xdr:colOff>
      <xdr:row>47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67</xdr:row>
      <xdr:rowOff>163285</xdr:rowOff>
    </xdr:from>
    <xdr:to>
      <xdr:col>41</xdr:col>
      <xdr:colOff>462644</xdr:colOff>
      <xdr:row>68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88</xdr:row>
      <xdr:rowOff>163285</xdr:rowOff>
    </xdr:from>
    <xdr:to>
      <xdr:col>41</xdr:col>
      <xdr:colOff>462644</xdr:colOff>
      <xdr:row>89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1221539931" y="9059635"/>
          <a:ext cx="421822" cy="22587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0</xdr:row>
      <xdr:rowOff>63499</xdr:rowOff>
    </xdr:from>
    <xdr:to>
      <xdr:col>10</xdr:col>
      <xdr:colOff>63500</xdr:colOff>
      <xdr:row>0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1162855500" y="63499"/>
          <a:ext cx="41275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</xdr:row>
      <xdr:rowOff>101600</xdr:rowOff>
    </xdr:from>
    <xdr:to>
      <xdr:col>12</xdr:col>
      <xdr:colOff>152400</xdr:colOff>
      <xdr:row>17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10013643386" y="5068207"/>
          <a:ext cx="33201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60</xdr:row>
      <xdr:rowOff>101600</xdr:rowOff>
    </xdr:from>
    <xdr:to>
      <xdr:col>12</xdr:col>
      <xdr:colOff>152400</xdr:colOff>
      <xdr:row>60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60</xdr:row>
      <xdr:rowOff>101600</xdr:rowOff>
    </xdr:from>
    <xdr:to>
      <xdr:col>28</xdr:col>
      <xdr:colOff>152400</xdr:colOff>
      <xdr:row>60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60</xdr:row>
      <xdr:rowOff>101600</xdr:rowOff>
    </xdr:from>
    <xdr:to>
      <xdr:col>44</xdr:col>
      <xdr:colOff>152400</xdr:colOff>
      <xdr:row>60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60</xdr:row>
      <xdr:rowOff>101600</xdr:rowOff>
    </xdr:from>
    <xdr:to>
      <xdr:col>60</xdr:col>
      <xdr:colOff>152400</xdr:colOff>
      <xdr:row>60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100</xdr:row>
      <xdr:rowOff>101600</xdr:rowOff>
    </xdr:from>
    <xdr:to>
      <xdr:col>12</xdr:col>
      <xdr:colOff>152400</xdr:colOff>
      <xdr:row>100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100</xdr:row>
      <xdr:rowOff>101600</xdr:rowOff>
    </xdr:from>
    <xdr:to>
      <xdr:col>28</xdr:col>
      <xdr:colOff>152400</xdr:colOff>
      <xdr:row>100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100</xdr:row>
      <xdr:rowOff>101600</xdr:rowOff>
    </xdr:from>
    <xdr:to>
      <xdr:col>44</xdr:col>
      <xdr:colOff>152400</xdr:colOff>
      <xdr:row>100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100</xdr:row>
      <xdr:rowOff>101600</xdr:rowOff>
    </xdr:from>
    <xdr:to>
      <xdr:col>60</xdr:col>
      <xdr:colOff>152400</xdr:colOff>
      <xdr:row>100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141</xdr:row>
      <xdr:rowOff>101600</xdr:rowOff>
    </xdr:from>
    <xdr:to>
      <xdr:col>12</xdr:col>
      <xdr:colOff>152400</xdr:colOff>
      <xdr:row>141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141</xdr:row>
      <xdr:rowOff>101600</xdr:rowOff>
    </xdr:from>
    <xdr:to>
      <xdr:col>28</xdr:col>
      <xdr:colOff>152400</xdr:colOff>
      <xdr:row>141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141</xdr:row>
      <xdr:rowOff>101600</xdr:rowOff>
    </xdr:from>
    <xdr:to>
      <xdr:col>44</xdr:col>
      <xdr:colOff>152400</xdr:colOff>
      <xdr:row>141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141</xdr:row>
      <xdr:rowOff>101600</xdr:rowOff>
    </xdr:from>
    <xdr:to>
      <xdr:col>60</xdr:col>
      <xdr:colOff>152400</xdr:colOff>
      <xdr:row>141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182</xdr:row>
      <xdr:rowOff>101600</xdr:rowOff>
    </xdr:from>
    <xdr:to>
      <xdr:col>12</xdr:col>
      <xdr:colOff>152400</xdr:colOff>
      <xdr:row>182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182</xdr:row>
      <xdr:rowOff>101600</xdr:rowOff>
    </xdr:from>
    <xdr:to>
      <xdr:col>28</xdr:col>
      <xdr:colOff>152400</xdr:colOff>
      <xdr:row>182</xdr:row>
      <xdr:rowOff>253999</xdr:rowOff>
    </xdr:to>
    <xdr:sp macro="" textlink="">
      <xdr:nvSpPr>
        <xdr:cNvPr id="184" name="سهم إلى اليسار 183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182</xdr:row>
      <xdr:rowOff>101600</xdr:rowOff>
    </xdr:from>
    <xdr:to>
      <xdr:col>44</xdr:col>
      <xdr:colOff>152400</xdr:colOff>
      <xdr:row>182</xdr:row>
      <xdr:rowOff>253999</xdr:rowOff>
    </xdr:to>
    <xdr:sp macro="" textlink="">
      <xdr:nvSpPr>
        <xdr:cNvPr id="185" name="سهم إلى اليسار 184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182</xdr:row>
      <xdr:rowOff>101600</xdr:rowOff>
    </xdr:from>
    <xdr:to>
      <xdr:col>60</xdr:col>
      <xdr:colOff>152400</xdr:colOff>
      <xdr:row>182</xdr:row>
      <xdr:rowOff>253999</xdr:rowOff>
    </xdr:to>
    <xdr:sp macro="" textlink="">
      <xdr:nvSpPr>
        <xdr:cNvPr id="186" name="سهم إلى اليسار 185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SpPr/>
      </xdr:nvSpPr>
      <xdr:spPr>
        <a:xfrm>
          <a:off x="9969436500" y="52260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17</xdr:row>
      <xdr:rowOff>101600</xdr:rowOff>
    </xdr:from>
    <xdr:to>
      <xdr:col>28</xdr:col>
      <xdr:colOff>152400</xdr:colOff>
      <xdr:row>17</xdr:row>
      <xdr:rowOff>253999</xdr:rowOff>
    </xdr:to>
    <xdr:sp macro="" textlink="">
      <xdr:nvSpPr>
        <xdr:cNvPr id="187" name="سهم إلى اليسار 186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17</xdr:row>
      <xdr:rowOff>101600</xdr:rowOff>
    </xdr:from>
    <xdr:to>
      <xdr:col>44</xdr:col>
      <xdr:colOff>152400</xdr:colOff>
      <xdr:row>17</xdr:row>
      <xdr:rowOff>253999</xdr:rowOff>
    </xdr:to>
    <xdr:sp macro="" textlink="">
      <xdr:nvSpPr>
        <xdr:cNvPr id="188" name="سهم إلى اليسار 187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</xdr:row>
      <xdr:rowOff>101600</xdr:rowOff>
    </xdr:from>
    <xdr:to>
      <xdr:col>60</xdr:col>
      <xdr:colOff>152400</xdr:colOff>
      <xdr:row>17</xdr:row>
      <xdr:rowOff>253999</xdr:rowOff>
    </xdr:to>
    <xdr:sp macro="" textlink="">
      <xdr:nvSpPr>
        <xdr:cNvPr id="189" name="سهم إلى اليسار 188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60</xdr:row>
      <xdr:rowOff>101600</xdr:rowOff>
    </xdr:from>
    <xdr:to>
      <xdr:col>12</xdr:col>
      <xdr:colOff>152400</xdr:colOff>
      <xdr:row>60</xdr:row>
      <xdr:rowOff>253999</xdr:rowOff>
    </xdr:to>
    <xdr:sp macro="" textlink="">
      <xdr:nvSpPr>
        <xdr:cNvPr id="190" name="سهم إلى اليسار 189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60</xdr:row>
      <xdr:rowOff>101600</xdr:rowOff>
    </xdr:from>
    <xdr:to>
      <xdr:col>28</xdr:col>
      <xdr:colOff>152400</xdr:colOff>
      <xdr:row>60</xdr:row>
      <xdr:rowOff>253999</xdr:rowOff>
    </xdr:to>
    <xdr:sp macro="" textlink="">
      <xdr:nvSpPr>
        <xdr:cNvPr id="191" name="سهم إلى اليسار 190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60</xdr:row>
      <xdr:rowOff>101600</xdr:rowOff>
    </xdr:from>
    <xdr:to>
      <xdr:col>44</xdr:col>
      <xdr:colOff>152400</xdr:colOff>
      <xdr:row>60</xdr:row>
      <xdr:rowOff>253999</xdr:rowOff>
    </xdr:to>
    <xdr:sp macro="" textlink="">
      <xdr:nvSpPr>
        <xdr:cNvPr id="192" name="سهم إلى اليسار 191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60</xdr:row>
      <xdr:rowOff>101600</xdr:rowOff>
    </xdr:from>
    <xdr:to>
      <xdr:col>60</xdr:col>
      <xdr:colOff>152400</xdr:colOff>
      <xdr:row>60</xdr:row>
      <xdr:rowOff>253999</xdr:rowOff>
    </xdr:to>
    <xdr:sp macro="" textlink="">
      <xdr:nvSpPr>
        <xdr:cNvPr id="193" name="سهم إلى اليسار 192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100</xdr:row>
      <xdr:rowOff>101600</xdr:rowOff>
    </xdr:from>
    <xdr:to>
      <xdr:col>12</xdr:col>
      <xdr:colOff>152400</xdr:colOff>
      <xdr:row>100</xdr:row>
      <xdr:rowOff>253999</xdr:rowOff>
    </xdr:to>
    <xdr:sp macro="" textlink="">
      <xdr:nvSpPr>
        <xdr:cNvPr id="194" name="سهم إلى اليسار 193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100</xdr:row>
      <xdr:rowOff>101600</xdr:rowOff>
    </xdr:from>
    <xdr:to>
      <xdr:col>28</xdr:col>
      <xdr:colOff>152400</xdr:colOff>
      <xdr:row>100</xdr:row>
      <xdr:rowOff>253999</xdr:rowOff>
    </xdr:to>
    <xdr:sp macro="" textlink="">
      <xdr:nvSpPr>
        <xdr:cNvPr id="195" name="سهم إلى اليسار 194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100</xdr:row>
      <xdr:rowOff>101600</xdr:rowOff>
    </xdr:from>
    <xdr:to>
      <xdr:col>44</xdr:col>
      <xdr:colOff>152400</xdr:colOff>
      <xdr:row>100</xdr:row>
      <xdr:rowOff>253999</xdr:rowOff>
    </xdr:to>
    <xdr:sp macro="" textlink="">
      <xdr:nvSpPr>
        <xdr:cNvPr id="196" name="سهم إلى اليسار 195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100</xdr:row>
      <xdr:rowOff>101600</xdr:rowOff>
    </xdr:from>
    <xdr:to>
      <xdr:col>60</xdr:col>
      <xdr:colOff>152400</xdr:colOff>
      <xdr:row>100</xdr:row>
      <xdr:rowOff>253999</xdr:rowOff>
    </xdr:to>
    <xdr:sp macro="" textlink="">
      <xdr:nvSpPr>
        <xdr:cNvPr id="197" name="سهم إلى اليسار 196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141</xdr:row>
      <xdr:rowOff>101600</xdr:rowOff>
    </xdr:from>
    <xdr:to>
      <xdr:col>12</xdr:col>
      <xdr:colOff>152400</xdr:colOff>
      <xdr:row>141</xdr:row>
      <xdr:rowOff>253999</xdr:rowOff>
    </xdr:to>
    <xdr:sp macro="" textlink="">
      <xdr:nvSpPr>
        <xdr:cNvPr id="198" name="سهم إلى اليسار 197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141</xdr:row>
      <xdr:rowOff>101600</xdr:rowOff>
    </xdr:from>
    <xdr:to>
      <xdr:col>28</xdr:col>
      <xdr:colOff>152400</xdr:colOff>
      <xdr:row>141</xdr:row>
      <xdr:rowOff>253999</xdr:rowOff>
    </xdr:to>
    <xdr:sp macro="" textlink="">
      <xdr:nvSpPr>
        <xdr:cNvPr id="199" name="سهم إلى اليسار 198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141</xdr:row>
      <xdr:rowOff>101600</xdr:rowOff>
    </xdr:from>
    <xdr:to>
      <xdr:col>44</xdr:col>
      <xdr:colOff>152400</xdr:colOff>
      <xdr:row>141</xdr:row>
      <xdr:rowOff>253999</xdr:rowOff>
    </xdr:to>
    <xdr:sp macro="" textlink="">
      <xdr:nvSpPr>
        <xdr:cNvPr id="200" name="سهم إلى اليسار 199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141</xdr:row>
      <xdr:rowOff>101600</xdr:rowOff>
    </xdr:from>
    <xdr:to>
      <xdr:col>60</xdr:col>
      <xdr:colOff>152400</xdr:colOff>
      <xdr:row>141</xdr:row>
      <xdr:rowOff>253999</xdr:rowOff>
    </xdr:to>
    <xdr:sp macro="" textlink="">
      <xdr:nvSpPr>
        <xdr:cNvPr id="201" name="سهم إلى اليسار 200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SpPr/>
      </xdr:nvSpPr>
      <xdr:spPr>
        <a:xfrm>
          <a:off x="9969436500" y="554990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95250</xdr:rowOff>
    </xdr:from>
    <xdr:to>
      <xdr:col>3</xdr:col>
      <xdr:colOff>581025</xdr:colOff>
      <xdr:row>2</xdr:row>
      <xdr:rowOff>9525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224440975" y="352425"/>
          <a:ext cx="304800" cy="17145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0</xdr:colOff>
      <xdr:row>2</xdr:row>
      <xdr:rowOff>0</xdr:rowOff>
    </xdr:from>
    <xdr:to>
      <xdr:col>57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93</xdr:col>
      <xdr:colOff>0</xdr:colOff>
      <xdr:row>2</xdr:row>
      <xdr:rowOff>0</xdr:rowOff>
    </xdr:from>
    <xdr:to>
      <xdr:col>93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76</xdr:col>
      <xdr:colOff>0</xdr:colOff>
      <xdr:row>2</xdr:row>
      <xdr:rowOff>0</xdr:rowOff>
    </xdr:from>
    <xdr:to>
      <xdr:col>76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0"/>
  <sheetViews>
    <sheetView rightToLeft="1" tabSelected="1" view="pageBreakPreview" topLeftCell="A2" zoomScale="96" zoomScaleNormal="70" zoomScaleSheetLayoutView="96" workbookViewId="0">
      <selection activeCell="B8" sqref="B8:I8"/>
    </sheetView>
  </sheetViews>
  <sheetFormatPr defaultRowHeight="15" x14ac:dyDescent="0.25"/>
  <cols>
    <col min="1" max="1" width="20" style="1" customWidth="1"/>
    <col min="2" max="5" width="3.7109375" customWidth="1"/>
    <col min="6" max="6" width="7.140625" customWidth="1"/>
    <col min="7" max="13" width="3.7109375" customWidth="1"/>
    <col min="14" max="14" width="25" customWidth="1"/>
    <col min="15" max="15" width="3.140625" customWidth="1"/>
    <col min="16" max="16" width="22.140625" customWidth="1"/>
    <col min="17" max="28" width="3.7109375" customWidth="1"/>
    <col min="29" max="29" width="23.7109375" customWidth="1"/>
    <col min="30" max="30" width="2.140625" customWidth="1"/>
    <col min="31" max="31" width="22.7109375" customWidth="1"/>
    <col min="32" max="43" width="3.7109375" customWidth="1"/>
    <col min="44" max="44" width="25" customWidth="1"/>
    <col min="45" max="45" width="1.140625" customWidth="1"/>
    <col min="46" max="46" width="23.140625" customWidth="1"/>
    <col min="47" max="58" width="3.7109375" customWidth="1"/>
    <col min="59" max="59" width="25" customWidth="1"/>
  </cols>
  <sheetData>
    <row r="1" spans="1:59" s="182" customFormat="1" ht="39.950000000000003" customHeight="1" thickTop="1" x14ac:dyDescent="0.5">
      <c r="A1" s="180">
        <v>15</v>
      </c>
      <c r="B1" s="383" t="s">
        <v>39</v>
      </c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181"/>
      <c r="P1" s="180">
        <f>A1-5</f>
        <v>10</v>
      </c>
      <c r="Q1" s="383" t="s">
        <v>39</v>
      </c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181"/>
      <c r="AE1" s="180">
        <f>P1-5</f>
        <v>5</v>
      </c>
      <c r="AF1" s="383" t="s">
        <v>39</v>
      </c>
      <c r="AG1" s="383"/>
      <c r="AH1" s="383"/>
      <c r="AI1" s="383"/>
      <c r="AJ1" s="383"/>
      <c r="AK1" s="383"/>
      <c r="AL1" s="383"/>
      <c r="AM1" s="383"/>
      <c r="AN1" s="383"/>
      <c r="AO1" s="383"/>
      <c r="AP1" s="383"/>
      <c r="AQ1" s="383"/>
      <c r="AR1" s="181"/>
      <c r="AT1" s="180">
        <f>AE1-5</f>
        <v>0</v>
      </c>
      <c r="AU1" s="383" t="s">
        <v>39</v>
      </c>
      <c r="AV1" s="383"/>
      <c r="AW1" s="383"/>
      <c r="AX1" s="383"/>
      <c r="AY1" s="383"/>
      <c r="AZ1" s="383"/>
      <c r="BA1" s="383"/>
      <c r="BB1" s="383"/>
      <c r="BC1" s="383"/>
      <c r="BD1" s="383"/>
      <c r="BE1" s="383"/>
      <c r="BF1" s="383"/>
      <c r="BG1" s="181"/>
    </row>
    <row r="2" spans="1:59" s="182" customFormat="1" ht="39.950000000000003" customHeight="1" x14ac:dyDescent="0.5">
      <c r="A2" s="384" t="s">
        <v>40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6"/>
      <c r="P2" s="384" t="s">
        <v>40</v>
      </c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6"/>
      <c r="AE2" s="384" t="s">
        <v>40</v>
      </c>
      <c r="AF2" s="385"/>
      <c r="AG2" s="385"/>
      <c r="AH2" s="385"/>
      <c r="AI2" s="385"/>
      <c r="AJ2" s="385"/>
      <c r="AK2" s="385"/>
      <c r="AL2" s="385"/>
      <c r="AM2" s="385"/>
      <c r="AN2" s="385"/>
      <c r="AO2" s="385"/>
      <c r="AP2" s="385"/>
      <c r="AQ2" s="385"/>
      <c r="AR2" s="386"/>
      <c r="AT2" s="384" t="s">
        <v>40</v>
      </c>
      <c r="AU2" s="385"/>
      <c r="AV2" s="385"/>
      <c r="AW2" s="385"/>
      <c r="AX2" s="385"/>
      <c r="AY2" s="385"/>
      <c r="AZ2" s="385"/>
      <c r="BA2" s="385"/>
      <c r="BB2" s="385"/>
      <c r="BC2" s="385"/>
      <c r="BD2" s="385"/>
      <c r="BE2" s="385"/>
      <c r="BF2" s="385"/>
      <c r="BG2" s="386"/>
    </row>
    <row r="3" spans="1:59" s="182" customFormat="1" ht="39.950000000000003" customHeight="1" x14ac:dyDescent="0.5">
      <c r="A3" s="387" t="s">
        <v>161</v>
      </c>
      <c r="B3" s="388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9"/>
      <c r="P3" s="387" t="s">
        <v>161</v>
      </c>
      <c r="Q3" s="388"/>
      <c r="R3" s="388"/>
      <c r="S3" s="388"/>
      <c r="T3" s="388"/>
      <c r="U3" s="388"/>
      <c r="V3" s="388"/>
      <c r="W3" s="388"/>
      <c r="X3" s="388"/>
      <c r="Y3" s="388"/>
      <c r="Z3" s="388"/>
      <c r="AA3" s="388"/>
      <c r="AB3" s="388"/>
      <c r="AC3" s="389"/>
      <c r="AE3" s="387" t="s">
        <v>161</v>
      </c>
      <c r="AF3" s="388"/>
      <c r="AG3" s="388"/>
      <c r="AH3" s="388"/>
      <c r="AI3" s="388"/>
      <c r="AJ3" s="388"/>
      <c r="AK3" s="388"/>
      <c r="AL3" s="388"/>
      <c r="AM3" s="388"/>
      <c r="AN3" s="388"/>
      <c r="AO3" s="388"/>
      <c r="AP3" s="388"/>
      <c r="AQ3" s="388"/>
      <c r="AR3" s="389"/>
      <c r="AT3" s="387" t="s">
        <v>161</v>
      </c>
      <c r="AU3" s="388"/>
      <c r="AV3" s="388"/>
      <c r="AW3" s="388"/>
      <c r="AX3" s="388"/>
      <c r="AY3" s="388"/>
      <c r="AZ3" s="388"/>
      <c r="BA3" s="388"/>
      <c r="BB3" s="388"/>
      <c r="BC3" s="388"/>
      <c r="BD3" s="388"/>
      <c r="BE3" s="388"/>
      <c r="BF3" s="388"/>
      <c r="BG3" s="389"/>
    </row>
    <row r="4" spans="1:59" s="182" customFormat="1" ht="39.950000000000003" customHeight="1" x14ac:dyDescent="0.5">
      <c r="A4" s="390" t="s">
        <v>125</v>
      </c>
      <c r="B4" s="391"/>
      <c r="C4" s="391"/>
      <c r="D4" s="391"/>
      <c r="E4" s="391"/>
      <c r="F4" s="391"/>
      <c r="G4" s="391"/>
      <c r="H4" s="391"/>
      <c r="I4" s="391"/>
      <c r="J4" s="391"/>
      <c r="K4" s="392" t="str">
        <f>ادخال1!$CM$7</f>
        <v>الاساسي</v>
      </c>
      <c r="L4" s="392"/>
      <c r="M4" s="392"/>
      <c r="N4" s="393"/>
      <c r="P4" s="390" t="s">
        <v>125</v>
      </c>
      <c r="Q4" s="391"/>
      <c r="R4" s="391"/>
      <c r="S4" s="391"/>
      <c r="T4" s="391"/>
      <c r="U4" s="391"/>
      <c r="V4" s="391"/>
      <c r="W4" s="391"/>
      <c r="X4" s="391"/>
      <c r="Y4" s="391"/>
      <c r="Z4" s="392" t="str">
        <f>ادخال1!$CM$7</f>
        <v>الاساسي</v>
      </c>
      <c r="AA4" s="392"/>
      <c r="AB4" s="392"/>
      <c r="AC4" s="393"/>
      <c r="AE4" s="390" t="s">
        <v>125</v>
      </c>
      <c r="AF4" s="391"/>
      <c r="AG4" s="391"/>
      <c r="AH4" s="391"/>
      <c r="AI4" s="391"/>
      <c r="AJ4" s="391"/>
      <c r="AK4" s="391"/>
      <c r="AL4" s="391"/>
      <c r="AM4" s="391"/>
      <c r="AN4" s="391"/>
      <c r="AO4" s="392" t="str">
        <f>ادخال1!$CM$7</f>
        <v>الاساسي</v>
      </c>
      <c r="AP4" s="392"/>
      <c r="AQ4" s="392"/>
      <c r="AR4" s="393"/>
      <c r="AT4" s="390" t="s">
        <v>125</v>
      </c>
      <c r="AU4" s="391"/>
      <c r="AV4" s="391"/>
      <c r="AW4" s="391"/>
      <c r="AX4" s="391"/>
      <c r="AY4" s="391"/>
      <c r="AZ4" s="391"/>
      <c r="BA4" s="391"/>
      <c r="BB4" s="391"/>
      <c r="BC4" s="391"/>
      <c r="BD4" s="392" t="str">
        <f>ادخال1!$CM$7</f>
        <v>الاساسي</v>
      </c>
      <c r="BE4" s="392"/>
      <c r="BF4" s="392"/>
      <c r="BG4" s="393"/>
    </row>
    <row r="5" spans="1:59" s="182" customFormat="1" ht="39.950000000000003" customHeight="1" x14ac:dyDescent="0.5">
      <c r="A5" s="394" t="s">
        <v>126</v>
      </c>
      <c r="B5" s="395"/>
      <c r="C5" s="395"/>
      <c r="D5" s="395"/>
      <c r="E5" s="395"/>
      <c r="F5" s="395"/>
      <c r="G5" s="396" t="str">
        <f>ادخال1!$CK$5</f>
        <v>الرابع</v>
      </c>
      <c r="H5" s="396"/>
      <c r="I5" s="396"/>
      <c r="J5" s="396"/>
      <c r="K5" s="396"/>
      <c r="L5" s="396"/>
      <c r="M5" s="396"/>
      <c r="N5" s="397"/>
      <c r="P5" s="394" t="s">
        <v>126</v>
      </c>
      <c r="Q5" s="395"/>
      <c r="R5" s="395"/>
      <c r="S5" s="395"/>
      <c r="T5" s="395"/>
      <c r="U5" s="395"/>
      <c r="V5" s="396" t="str">
        <f>ادخال1!$CK$5</f>
        <v>الرابع</v>
      </c>
      <c r="W5" s="396"/>
      <c r="X5" s="396"/>
      <c r="Y5" s="396"/>
      <c r="Z5" s="396"/>
      <c r="AA5" s="396"/>
      <c r="AB5" s="396"/>
      <c r="AC5" s="397"/>
      <c r="AE5" s="394" t="s">
        <v>126</v>
      </c>
      <c r="AF5" s="395"/>
      <c r="AG5" s="395"/>
      <c r="AH5" s="395"/>
      <c r="AI5" s="395"/>
      <c r="AJ5" s="395"/>
      <c r="AK5" s="396" t="str">
        <f>ادخال1!$CK$5</f>
        <v>الرابع</v>
      </c>
      <c r="AL5" s="396"/>
      <c r="AM5" s="396"/>
      <c r="AN5" s="396"/>
      <c r="AO5" s="396"/>
      <c r="AP5" s="396"/>
      <c r="AQ5" s="396"/>
      <c r="AR5" s="397"/>
      <c r="AT5" s="394" t="s">
        <v>126</v>
      </c>
      <c r="AU5" s="395"/>
      <c r="AV5" s="395"/>
      <c r="AW5" s="395"/>
      <c r="AX5" s="395"/>
      <c r="AY5" s="395"/>
      <c r="AZ5" s="396" t="str">
        <f>ادخال1!$CK$5</f>
        <v>الرابع</v>
      </c>
      <c r="BA5" s="396"/>
      <c r="BB5" s="396"/>
      <c r="BC5" s="396"/>
      <c r="BD5" s="396"/>
      <c r="BE5" s="396"/>
      <c r="BF5" s="396"/>
      <c r="BG5" s="397"/>
    </row>
    <row r="6" spans="1:59" s="182" customFormat="1" ht="39.950000000000003" customHeight="1" x14ac:dyDescent="0.5">
      <c r="A6" s="183" t="s">
        <v>115</v>
      </c>
      <c r="B6" s="398" t="str">
        <f>ادخال1!$CJ$8</f>
        <v>1447ـ/1448 هـ</v>
      </c>
      <c r="C6" s="398"/>
      <c r="D6" s="398"/>
      <c r="E6" s="398"/>
      <c r="F6" s="399" t="s">
        <v>127</v>
      </c>
      <c r="G6" s="399"/>
      <c r="H6" s="400" t="s">
        <v>128</v>
      </c>
      <c r="I6" s="400"/>
      <c r="J6" s="401" t="str">
        <f>ادخال1!$CK$8</f>
        <v xml:space="preserve"> 2026 /2025</v>
      </c>
      <c r="K6" s="401"/>
      <c r="L6" s="401"/>
      <c r="M6" s="401"/>
      <c r="N6" s="184" t="s">
        <v>129</v>
      </c>
      <c r="P6" s="183" t="s">
        <v>115</v>
      </c>
      <c r="Q6" s="398" t="str">
        <f>ادخال1!$CJ$8</f>
        <v>1447ـ/1448 هـ</v>
      </c>
      <c r="R6" s="398"/>
      <c r="S6" s="398"/>
      <c r="T6" s="398"/>
      <c r="U6" s="399" t="s">
        <v>127</v>
      </c>
      <c r="V6" s="399"/>
      <c r="W6" s="400" t="s">
        <v>128</v>
      </c>
      <c r="X6" s="400"/>
      <c r="Y6" s="401" t="str">
        <f>ادخال1!$CK$8</f>
        <v xml:space="preserve"> 2026 /2025</v>
      </c>
      <c r="Z6" s="401"/>
      <c r="AA6" s="401"/>
      <c r="AB6" s="401"/>
      <c r="AC6" s="184" t="s">
        <v>129</v>
      </c>
      <c r="AE6" s="183" t="s">
        <v>115</v>
      </c>
      <c r="AF6" s="398" t="str">
        <f>ادخال1!$CJ$8</f>
        <v>1447ـ/1448 هـ</v>
      </c>
      <c r="AG6" s="398"/>
      <c r="AH6" s="398"/>
      <c r="AI6" s="398"/>
      <c r="AJ6" s="399" t="s">
        <v>127</v>
      </c>
      <c r="AK6" s="399"/>
      <c r="AL6" s="400" t="s">
        <v>128</v>
      </c>
      <c r="AM6" s="400"/>
      <c r="AN6" s="401" t="str">
        <f>ادخال1!$CK$8</f>
        <v xml:space="preserve"> 2026 /2025</v>
      </c>
      <c r="AO6" s="401"/>
      <c r="AP6" s="401"/>
      <c r="AQ6" s="401"/>
      <c r="AR6" s="184" t="s">
        <v>129</v>
      </c>
      <c r="AT6" s="183" t="s">
        <v>115</v>
      </c>
      <c r="AU6" s="398" t="str">
        <f>ادخال1!$CJ$8</f>
        <v>1447ـ/1448 هـ</v>
      </c>
      <c r="AV6" s="398"/>
      <c r="AW6" s="398"/>
      <c r="AX6" s="398"/>
      <c r="AY6" s="399" t="s">
        <v>127</v>
      </c>
      <c r="AZ6" s="399"/>
      <c r="BA6" s="400" t="s">
        <v>128</v>
      </c>
      <c r="BB6" s="400"/>
      <c r="BC6" s="401" t="str">
        <f>ادخال1!$CK$8</f>
        <v xml:space="preserve"> 2026 /2025</v>
      </c>
      <c r="BD6" s="401"/>
      <c r="BE6" s="401"/>
      <c r="BF6" s="401"/>
      <c r="BG6" s="184" t="s">
        <v>129</v>
      </c>
    </row>
    <row r="7" spans="1:59" ht="45" customHeight="1" x14ac:dyDescent="0.25">
      <c r="A7" s="185" t="s">
        <v>130</v>
      </c>
      <c r="B7" s="402" t="str">
        <f>ادخال1!$CK$4</f>
        <v>تاجوراء</v>
      </c>
      <c r="C7" s="402"/>
      <c r="D7" s="402"/>
      <c r="E7" s="402"/>
      <c r="F7" s="402"/>
      <c r="G7" s="402"/>
      <c r="H7" s="402"/>
      <c r="I7" s="402"/>
      <c r="J7" s="402"/>
      <c r="K7" s="402"/>
      <c r="L7" s="402"/>
      <c r="M7" s="402"/>
      <c r="N7" s="403"/>
      <c r="P7" s="185" t="s">
        <v>130</v>
      </c>
      <c r="Q7" s="402" t="str">
        <f>ادخال1!$CK$4</f>
        <v>تاجوراء</v>
      </c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3"/>
      <c r="AE7" s="185" t="s">
        <v>130</v>
      </c>
      <c r="AF7" s="402" t="str">
        <f>ادخال1!$CK$4</f>
        <v>تاجوراء</v>
      </c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3"/>
      <c r="AT7" s="185" t="s">
        <v>130</v>
      </c>
      <c r="AU7" s="402" t="str">
        <f>ادخال1!$CK$4</f>
        <v>تاجوراء</v>
      </c>
      <c r="AV7" s="402"/>
      <c r="AW7" s="402"/>
      <c r="AX7" s="402"/>
      <c r="AY7" s="402"/>
      <c r="AZ7" s="402"/>
      <c r="BA7" s="402"/>
      <c r="BB7" s="402"/>
      <c r="BC7" s="402"/>
      <c r="BD7" s="402"/>
      <c r="BE7" s="402"/>
      <c r="BF7" s="402"/>
      <c r="BG7" s="403"/>
    </row>
    <row r="8" spans="1:59" ht="45" customHeight="1" x14ac:dyDescent="0.25">
      <c r="A8" s="185" t="s">
        <v>131</v>
      </c>
      <c r="B8" s="404" t="str">
        <f>ادخال1!$B$5</f>
        <v xml:space="preserve">سهول العلم للتعليم الخاص </v>
      </c>
      <c r="C8" s="404"/>
      <c r="D8" s="404"/>
      <c r="E8" s="404"/>
      <c r="F8" s="404"/>
      <c r="G8" s="404"/>
      <c r="H8" s="404"/>
      <c r="I8" s="404"/>
      <c r="J8" s="405" t="s">
        <v>132</v>
      </c>
      <c r="K8" s="405"/>
      <c r="L8" s="405"/>
      <c r="M8" s="404" t="str">
        <f>ادخال1!$CI$8</f>
        <v>تاجوراء</v>
      </c>
      <c r="N8" s="406"/>
      <c r="P8" s="185" t="s">
        <v>131</v>
      </c>
      <c r="Q8" s="404" t="str">
        <f>ادخال1!$CI$6</f>
        <v xml:space="preserve">سهول العلم للتعليم الخاص </v>
      </c>
      <c r="R8" s="404"/>
      <c r="S8" s="404"/>
      <c r="T8" s="404"/>
      <c r="U8" s="404"/>
      <c r="V8" s="404"/>
      <c r="W8" s="404"/>
      <c r="X8" s="404"/>
      <c r="Y8" s="405" t="s">
        <v>132</v>
      </c>
      <c r="Z8" s="405"/>
      <c r="AA8" s="405"/>
      <c r="AB8" s="404" t="str">
        <f>ادخال1!$CI$8</f>
        <v>تاجوراء</v>
      </c>
      <c r="AC8" s="406"/>
      <c r="AE8" s="185" t="s">
        <v>131</v>
      </c>
      <c r="AF8" s="404" t="str">
        <f>ادخال1!$CI$6</f>
        <v xml:space="preserve">سهول العلم للتعليم الخاص </v>
      </c>
      <c r="AG8" s="404"/>
      <c r="AH8" s="404"/>
      <c r="AI8" s="404"/>
      <c r="AJ8" s="404"/>
      <c r="AK8" s="404"/>
      <c r="AL8" s="404"/>
      <c r="AM8" s="404"/>
      <c r="AN8" s="405" t="s">
        <v>132</v>
      </c>
      <c r="AO8" s="405"/>
      <c r="AP8" s="405"/>
      <c r="AQ8" s="404" t="str">
        <f>ادخال1!$CI$8</f>
        <v>تاجوراء</v>
      </c>
      <c r="AR8" s="406"/>
      <c r="AT8" s="185" t="s">
        <v>131</v>
      </c>
      <c r="AU8" s="404" t="str">
        <f>ادخال1!$CI$6</f>
        <v xml:space="preserve">سهول العلم للتعليم الخاص </v>
      </c>
      <c r="AV8" s="404"/>
      <c r="AW8" s="404"/>
      <c r="AX8" s="404"/>
      <c r="AY8" s="404"/>
      <c r="AZ8" s="404"/>
      <c r="BA8" s="404"/>
      <c r="BB8" s="404"/>
      <c r="BC8" s="405" t="s">
        <v>132</v>
      </c>
      <c r="BD8" s="405"/>
      <c r="BE8" s="405"/>
      <c r="BF8" s="404" t="str">
        <f>ادخال1!$CI$8</f>
        <v>تاجوراء</v>
      </c>
      <c r="BG8" s="406"/>
    </row>
    <row r="9" spans="1:59" ht="45" customHeight="1" x14ac:dyDescent="0.25">
      <c r="A9" s="185" t="s">
        <v>133</v>
      </c>
      <c r="B9" s="407" t="str">
        <f>IFERROR(VLOOKUP(A1,مسلسل,2,0),0)</f>
        <v>مصطفى طارق فتحي الختال</v>
      </c>
      <c r="C9" s="407">
        <f t="shared" ref="C9:I9" si="0">IFERROR(VLOOKUP(B9,مسلسل,2,0),0)</f>
        <v>0</v>
      </c>
      <c r="D9" s="407">
        <f t="shared" si="0"/>
        <v>0</v>
      </c>
      <c r="E9" s="407">
        <f t="shared" si="0"/>
        <v>0</v>
      </c>
      <c r="F9" s="407">
        <f t="shared" si="0"/>
        <v>0</v>
      </c>
      <c r="G9" s="407">
        <f t="shared" si="0"/>
        <v>0</v>
      </c>
      <c r="H9" s="407">
        <f t="shared" si="0"/>
        <v>0</v>
      </c>
      <c r="I9" s="407">
        <f t="shared" si="0"/>
        <v>0</v>
      </c>
      <c r="J9" s="405" t="s">
        <v>134</v>
      </c>
      <c r="K9" s="405"/>
      <c r="L9" s="405"/>
      <c r="M9" s="404" t="str">
        <f>IFERROR(VLOOKUP(B9,اسماء,72,0),"")</f>
        <v>الختال</v>
      </c>
      <c r="N9" s="406"/>
      <c r="P9" s="185" t="s">
        <v>133</v>
      </c>
      <c r="Q9" s="407" t="str">
        <f>IFERROR(VLOOKUP(P1,مسلسل,2,0),0)</f>
        <v>عبد السميع محمد الهادي موسى</v>
      </c>
      <c r="R9" s="407">
        <f t="shared" ref="R9" si="1">IFERROR(VLOOKUP(Q9,مسلسل,2,0),0)</f>
        <v>0</v>
      </c>
      <c r="S9" s="407">
        <f t="shared" ref="S9" si="2">IFERROR(VLOOKUP(R9,مسلسل,2,0),0)</f>
        <v>0</v>
      </c>
      <c r="T9" s="407">
        <f t="shared" ref="T9" si="3">IFERROR(VLOOKUP(S9,مسلسل,2,0),0)</f>
        <v>0</v>
      </c>
      <c r="U9" s="407">
        <f t="shared" ref="U9" si="4">IFERROR(VLOOKUP(T9,مسلسل,2,0),0)</f>
        <v>0</v>
      </c>
      <c r="V9" s="407">
        <f t="shared" ref="V9" si="5">IFERROR(VLOOKUP(U9,مسلسل,2,0),0)</f>
        <v>0</v>
      </c>
      <c r="W9" s="407">
        <f t="shared" ref="W9" si="6">IFERROR(VLOOKUP(V9,مسلسل,2,0),0)</f>
        <v>0</v>
      </c>
      <c r="X9" s="407">
        <f t="shared" ref="X9" si="7">IFERROR(VLOOKUP(W9,مسلسل,2,0),0)</f>
        <v>0</v>
      </c>
      <c r="Y9" s="405" t="s">
        <v>134</v>
      </c>
      <c r="Z9" s="405"/>
      <c r="AA9" s="405"/>
      <c r="AB9" s="404" t="str">
        <f>IFERROR(VLOOKUP(Q9,اسماء,72,0),"")</f>
        <v>موسى</v>
      </c>
      <c r="AC9" s="406"/>
      <c r="AE9" s="185" t="s">
        <v>133</v>
      </c>
      <c r="AF9" s="407" t="str">
        <f>IFERROR(VLOOKUP(AE1,مسلسل,2,0),0)</f>
        <v>حور حمدي عبدالهادي ديهوم</v>
      </c>
      <c r="AG9" s="407">
        <f t="shared" ref="AG9" si="8">IFERROR(VLOOKUP(AF9,مسلسل,2,0),0)</f>
        <v>0</v>
      </c>
      <c r="AH9" s="407">
        <f t="shared" ref="AH9" si="9">IFERROR(VLOOKUP(AG9,مسلسل,2,0),0)</f>
        <v>0</v>
      </c>
      <c r="AI9" s="407">
        <f t="shared" ref="AI9" si="10">IFERROR(VLOOKUP(AH9,مسلسل,2,0),0)</f>
        <v>0</v>
      </c>
      <c r="AJ9" s="407">
        <f t="shared" ref="AJ9" si="11">IFERROR(VLOOKUP(AI9,مسلسل,2,0),0)</f>
        <v>0</v>
      </c>
      <c r="AK9" s="407">
        <f t="shared" ref="AK9" si="12">IFERROR(VLOOKUP(AJ9,مسلسل,2,0),0)</f>
        <v>0</v>
      </c>
      <c r="AL9" s="407">
        <f t="shared" ref="AL9" si="13">IFERROR(VLOOKUP(AK9,مسلسل,2,0),0)</f>
        <v>0</v>
      </c>
      <c r="AM9" s="407">
        <f t="shared" ref="AM9" si="14">IFERROR(VLOOKUP(AL9,مسلسل,2,0),0)</f>
        <v>0</v>
      </c>
      <c r="AN9" s="405" t="s">
        <v>134</v>
      </c>
      <c r="AO9" s="405"/>
      <c r="AP9" s="405"/>
      <c r="AQ9" s="404" t="str">
        <f>IFERROR(VLOOKUP(AF9,اسماء,72,0),"")</f>
        <v>ديهوم</v>
      </c>
      <c r="AR9" s="406"/>
      <c r="AT9" s="185" t="s">
        <v>133</v>
      </c>
      <c r="AU9" s="407">
        <f>IFERROR(VLOOKUP(AT1,مسلسل,2,0),0)</f>
        <v>0</v>
      </c>
      <c r="AV9" s="407">
        <f t="shared" ref="AV9" si="15">IFERROR(VLOOKUP(AU9,مسلسل,2,0),0)</f>
        <v>0</v>
      </c>
      <c r="AW9" s="407">
        <f t="shared" ref="AW9" si="16">IFERROR(VLOOKUP(AV9,مسلسل,2,0),0)</f>
        <v>0</v>
      </c>
      <c r="AX9" s="407">
        <f t="shared" ref="AX9" si="17">IFERROR(VLOOKUP(AW9,مسلسل,2,0),0)</f>
        <v>0</v>
      </c>
      <c r="AY9" s="407">
        <f t="shared" ref="AY9" si="18">IFERROR(VLOOKUP(AX9,مسلسل,2,0),0)</f>
        <v>0</v>
      </c>
      <c r="AZ9" s="407">
        <f t="shared" ref="AZ9" si="19">IFERROR(VLOOKUP(AY9,مسلسل,2,0),0)</f>
        <v>0</v>
      </c>
      <c r="BA9" s="407">
        <f t="shared" ref="BA9" si="20">IFERROR(VLOOKUP(AZ9,مسلسل,2,0),0)</f>
        <v>0</v>
      </c>
      <c r="BB9" s="407">
        <f t="shared" ref="BB9" si="21">IFERROR(VLOOKUP(BA9,مسلسل,2,0),0)</f>
        <v>0</v>
      </c>
      <c r="BC9" s="405" t="s">
        <v>134</v>
      </c>
      <c r="BD9" s="405"/>
      <c r="BE9" s="405"/>
      <c r="BF9" s="404" t="str">
        <f>IFERROR(VLOOKUP(AU9,اسماء,72,0),"")</f>
        <v/>
      </c>
      <c r="BG9" s="406"/>
    </row>
    <row r="10" spans="1:59" ht="45" customHeight="1" x14ac:dyDescent="0.25">
      <c r="A10" s="185" t="s">
        <v>135</v>
      </c>
      <c r="B10" s="408" t="str">
        <f>IFERROR(VLOOKUP(B9,اسماء,85,0),"")</f>
        <v>ليبي</v>
      </c>
      <c r="C10" s="408"/>
      <c r="D10" s="408"/>
      <c r="E10" s="409">
        <f>IFERROR(VLOOKUP(B9,اسماء,2,0),"")</f>
        <v>42569</v>
      </c>
      <c r="F10" s="409"/>
      <c r="G10" s="409"/>
      <c r="H10" s="409"/>
      <c r="I10" s="410" t="s">
        <v>136</v>
      </c>
      <c r="J10" s="410"/>
      <c r="K10" s="410"/>
      <c r="L10" s="410"/>
      <c r="M10" s="404" t="str">
        <f>IFERROR(VLOOKUP(B9,اسماء,3,0),"")</f>
        <v>صبرية محمد الصادق</v>
      </c>
      <c r="N10" s="406"/>
      <c r="P10" s="185" t="s">
        <v>135</v>
      </c>
      <c r="Q10" s="408" t="str">
        <f>IFERROR(VLOOKUP(Q9,اسماء,85,0),"")</f>
        <v>ليبي</v>
      </c>
      <c r="R10" s="408"/>
      <c r="S10" s="408"/>
      <c r="T10" s="409">
        <f>IFERROR(VLOOKUP(Q9,اسماء,2,0),"")</f>
        <v>42626</v>
      </c>
      <c r="U10" s="409"/>
      <c r="V10" s="409"/>
      <c r="W10" s="409"/>
      <c r="X10" s="410" t="s">
        <v>136</v>
      </c>
      <c r="Y10" s="410"/>
      <c r="Z10" s="410"/>
      <c r="AA10" s="410"/>
      <c r="AB10" s="404" t="str">
        <f>IFERROR(VLOOKUP(Q9,اسماء,3,0),"")</f>
        <v>مريم علي حسين علي</v>
      </c>
      <c r="AC10" s="406"/>
      <c r="AE10" s="185" t="s">
        <v>135</v>
      </c>
      <c r="AF10" s="408" t="str">
        <f>IFERROR(VLOOKUP(AF9,اسماء,85,0),"")</f>
        <v>ليبية</v>
      </c>
      <c r="AG10" s="408"/>
      <c r="AH10" s="408"/>
      <c r="AI10" s="409">
        <f>IFERROR(VLOOKUP(AF9,اسماء,2,0),"")</f>
        <v>42569</v>
      </c>
      <c r="AJ10" s="409"/>
      <c r="AK10" s="409"/>
      <c r="AL10" s="409"/>
      <c r="AM10" s="410" t="s">
        <v>136</v>
      </c>
      <c r="AN10" s="410"/>
      <c r="AO10" s="410"/>
      <c r="AP10" s="410"/>
      <c r="AQ10" s="404" t="str">
        <f>IFERROR(VLOOKUP(AF9,اسماء,3,0),"")</f>
        <v>هدى حسين مسعود</v>
      </c>
      <c r="AR10" s="406"/>
      <c r="AT10" s="185" t="s">
        <v>135</v>
      </c>
      <c r="AU10" s="408" t="str">
        <f>IFERROR(VLOOKUP(AU9,اسماء,85,0),"")</f>
        <v/>
      </c>
      <c r="AV10" s="408"/>
      <c r="AW10" s="408"/>
      <c r="AX10" s="409" t="str">
        <f>IFERROR(VLOOKUP(AU9,اسماء,2,0),"")</f>
        <v/>
      </c>
      <c r="AY10" s="409"/>
      <c r="AZ10" s="409"/>
      <c r="BA10" s="409"/>
      <c r="BB10" s="410" t="s">
        <v>136</v>
      </c>
      <c r="BC10" s="410"/>
      <c r="BD10" s="410"/>
      <c r="BE10" s="410"/>
      <c r="BF10" s="404" t="str">
        <f>IFERROR(VLOOKUP(AU9,اسماء,3,0),"")</f>
        <v/>
      </c>
      <c r="BG10" s="406"/>
    </row>
    <row r="11" spans="1:59" ht="35.1" customHeight="1" x14ac:dyDescent="0.25">
      <c r="A11" s="185" t="s">
        <v>137</v>
      </c>
      <c r="B11" s="186" t="str">
        <f>IFERROR(VLOOKUP(B9,اسماء,73,0),"")</f>
        <v>5</v>
      </c>
      <c r="C11" s="186" t="str">
        <f>IFERROR(VLOOKUP(B9,اسماء,74,0),"")</f>
        <v>6</v>
      </c>
      <c r="D11" s="186" t="str">
        <f>IFERROR(VLOOKUP(B9,اسماء,75,0),"")</f>
        <v>4</v>
      </c>
      <c r="E11" s="186" t="str">
        <f>IFERROR(VLOOKUP(B9,اسماء,76,0),"")</f>
        <v>4</v>
      </c>
      <c r="F11" s="186" t="str">
        <f>IFERROR(VLOOKUP(B9,اسماء,77,0),"")</f>
        <v>5</v>
      </c>
      <c r="G11" s="186" t="str">
        <f>IFERROR(VLOOKUP(B9,اسماء,78,0),"")</f>
        <v>4</v>
      </c>
      <c r="H11" s="186">
        <v>0</v>
      </c>
      <c r="I11" s="186">
        <v>6</v>
      </c>
      <c r="J11" s="186">
        <v>1</v>
      </c>
      <c r="K11" s="186" t="str">
        <f>IFERROR(VLOOKUP(B9,اسماء,82,0),"")</f>
        <v>0</v>
      </c>
      <c r="L11" s="186" t="str">
        <f>IFERROR(VLOOKUP(B9,اسماء,83,0),"")</f>
        <v>2</v>
      </c>
      <c r="M11" s="186" t="str">
        <f>IFERROR(VLOOKUP(B9,اسماء,84,0),"")</f>
        <v>1</v>
      </c>
      <c r="N11" s="187"/>
      <c r="P11" s="185" t="s">
        <v>137</v>
      </c>
      <c r="Q11" s="186" t="str">
        <f>IFERROR(VLOOKUP(Q9,اسماء,73,0),"")</f>
        <v>9</v>
      </c>
      <c r="R11" s="186" t="str">
        <f>IFERROR(VLOOKUP(Q9,اسماء,74,0),"")</f>
        <v>5</v>
      </c>
      <c r="S11" s="186" t="str">
        <f>IFERROR(VLOOKUP(Q9,اسماء,75,0),"")</f>
        <v>0</v>
      </c>
      <c r="T11" s="186" t="str">
        <f>IFERROR(VLOOKUP(Q9,اسماء,76,0),"")</f>
        <v>2</v>
      </c>
      <c r="U11" s="186" t="str">
        <f>IFERROR(VLOOKUP(Q9,اسماء,77,0),"")</f>
        <v>7</v>
      </c>
      <c r="V11" s="186" t="str">
        <f>IFERROR(VLOOKUP(Q9,اسماء,78,0),"")</f>
        <v>5</v>
      </c>
      <c r="W11" s="186" t="str">
        <f>IFERROR(VLOOKUP(Q9,اسماء,78,0),"")</f>
        <v>5</v>
      </c>
      <c r="X11" s="186" t="str">
        <f>IFERROR(VLOOKUP(Q9,اسماء,79,0),"")</f>
        <v>0</v>
      </c>
      <c r="Y11" s="186" t="str">
        <f>IFERROR(VLOOKUP(Q9,اسماء,80,0),"")</f>
        <v>6</v>
      </c>
      <c r="Z11" s="186" t="str">
        <f>IFERROR(VLOOKUP(Q9,اسماء,82,0),"")</f>
        <v>0</v>
      </c>
      <c r="AA11" s="186" t="str">
        <f>IFERROR(VLOOKUP(Q9,اسماء,83,0),"")</f>
        <v>2</v>
      </c>
      <c r="AB11" s="186" t="str">
        <f>IFERROR(VLOOKUP(Q9,اسماء,84,0),"")</f>
        <v>1</v>
      </c>
      <c r="AC11" s="187"/>
      <c r="AE11" s="185" t="s">
        <v>137</v>
      </c>
      <c r="AF11" s="186" t="str">
        <f>IFERROR(VLOOKUP(AF9,اسماء,73,0),"")</f>
        <v>4</v>
      </c>
      <c r="AG11" s="186" t="str">
        <f>IFERROR(VLOOKUP(AF9,اسماء,74,0),"")</f>
        <v>4</v>
      </c>
      <c r="AH11" s="186" t="str">
        <f>IFERROR(VLOOKUP(AF9,اسماء,75,0),"")</f>
        <v>4</v>
      </c>
      <c r="AI11" s="186" t="str">
        <f>IFERROR(VLOOKUP(AF9,اسماء,76,0),"")</f>
        <v>4</v>
      </c>
      <c r="AJ11" s="186" t="str">
        <f>IFERROR(VLOOKUP(AF9,اسماء,77,0),"")</f>
        <v>7</v>
      </c>
      <c r="AK11" s="186" t="str">
        <f>IFERROR(VLOOKUP(AF9,اسماء,78,0),"")</f>
        <v>4</v>
      </c>
      <c r="AL11" s="186" t="str">
        <f>IFERROR(VLOOKUP(AF9,اسماء,78,0),"")</f>
        <v>4</v>
      </c>
      <c r="AM11" s="186" t="str">
        <f>IFERROR(VLOOKUP(AF9,اسماء,79,0),"")</f>
        <v>0</v>
      </c>
      <c r="AN11" s="186" t="str">
        <f>IFERROR(VLOOKUP(AF9,اسماء,80,0),"")</f>
        <v>6</v>
      </c>
      <c r="AO11" s="186" t="str">
        <f>IFERROR(VLOOKUP(AF9,اسماء,82,0),"")</f>
        <v>0</v>
      </c>
      <c r="AP11" s="186" t="str">
        <f>IFERROR(VLOOKUP(AF9,اسماء,83,0),"")</f>
        <v>2</v>
      </c>
      <c r="AQ11" s="186" t="str">
        <f>IFERROR(VLOOKUP(AF9,اسماء,84,0),"")</f>
        <v>2</v>
      </c>
      <c r="AR11" s="187"/>
      <c r="AT11" s="185" t="s">
        <v>137</v>
      </c>
      <c r="AU11" s="186" t="str">
        <f>IFERROR(VLOOKUP(AU9,اسماء,73,0),"")</f>
        <v/>
      </c>
      <c r="AV11" s="186" t="str">
        <f>IFERROR(VLOOKUP(AU9,اسماء,74,0),"")</f>
        <v/>
      </c>
      <c r="AW11" s="186" t="str">
        <f>IFERROR(VLOOKUP(AU9,اسماء,75,0),"")</f>
        <v/>
      </c>
      <c r="AX11" s="186" t="str">
        <f>IFERROR(VLOOKUP(AU9,اسماء,76,0),"")</f>
        <v/>
      </c>
      <c r="AY11" s="186" t="str">
        <f>IFERROR(VLOOKUP(AU9,اسماء,77,0),"")</f>
        <v/>
      </c>
      <c r="AZ11" s="186" t="str">
        <f>IFERROR(VLOOKUP(AU9,اسماء,78,0),"")</f>
        <v/>
      </c>
      <c r="BA11" s="186" t="str">
        <f>IFERROR(VLOOKUP(AU9,اسماء,78,0),"")</f>
        <v/>
      </c>
      <c r="BB11" s="186" t="str">
        <f>IFERROR(VLOOKUP(AU9,اسماء,79,0),"")</f>
        <v/>
      </c>
      <c r="BC11" s="186" t="str">
        <f>IFERROR(VLOOKUP(AU9,اسماء,80,0),"")</f>
        <v/>
      </c>
      <c r="BD11" s="186" t="str">
        <f>IFERROR(VLOOKUP(AU9,اسماء,82,0),"")</f>
        <v/>
      </c>
      <c r="BE11" s="186" t="str">
        <f>IFERROR(VLOOKUP(AU9,اسماء,83,0),"")</f>
        <v/>
      </c>
      <c r="BF11" s="186" t="str">
        <f>IFERROR(VLOOKUP(AU9,اسماء,84,0),"")</f>
        <v/>
      </c>
      <c r="BG11" s="187"/>
    </row>
    <row r="12" spans="1:59" ht="45" customHeight="1" x14ac:dyDescent="0.25">
      <c r="A12" s="185" t="s">
        <v>138</v>
      </c>
      <c r="B12" s="411" t="str">
        <f>IFERROR(VLOOKUP(B9,اسماء,86,0),"")</f>
        <v>ليبي</v>
      </c>
      <c r="C12" s="411"/>
      <c r="D12" s="411"/>
      <c r="E12" s="411"/>
      <c r="F12" s="411"/>
      <c r="G12" s="408" t="s">
        <v>139</v>
      </c>
      <c r="H12" s="408"/>
      <c r="I12" s="408" t="s">
        <v>140</v>
      </c>
      <c r="J12" s="408"/>
      <c r="K12" s="404" t="str">
        <f>IFERROR(VLOOKUP(B9,اسماء,87,0),"")</f>
        <v>مستجد</v>
      </c>
      <c r="L12" s="404"/>
      <c r="M12" s="404"/>
      <c r="N12" s="406"/>
      <c r="P12" s="185" t="s">
        <v>138</v>
      </c>
      <c r="Q12" s="411" t="str">
        <f>IFERROR(VLOOKUP(Q9,اسماء,86,0),"")</f>
        <v>ليبي</v>
      </c>
      <c r="R12" s="411"/>
      <c r="S12" s="411"/>
      <c r="T12" s="411"/>
      <c r="U12" s="411"/>
      <c r="V12" s="408" t="s">
        <v>139</v>
      </c>
      <c r="W12" s="408"/>
      <c r="X12" s="408" t="s">
        <v>140</v>
      </c>
      <c r="Y12" s="408"/>
      <c r="Z12" s="404" t="str">
        <f>IFERROR(VLOOKUP(Q9,اسماء,87,0),"")</f>
        <v>مستجد</v>
      </c>
      <c r="AA12" s="404"/>
      <c r="AB12" s="404"/>
      <c r="AC12" s="406"/>
      <c r="AE12" s="185" t="s">
        <v>138</v>
      </c>
      <c r="AF12" s="411" t="str">
        <f>IFERROR(VLOOKUP(AF9,اسماء,86,0),"")</f>
        <v>ليبية</v>
      </c>
      <c r="AG12" s="411"/>
      <c r="AH12" s="411"/>
      <c r="AI12" s="411"/>
      <c r="AJ12" s="411"/>
      <c r="AK12" s="408" t="s">
        <v>139</v>
      </c>
      <c r="AL12" s="408"/>
      <c r="AM12" s="408" t="s">
        <v>140</v>
      </c>
      <c r="AN12" s="408"/>
      <c r="AO12" s="404" t="str">
        <f>IFERROR(VLOOKUP(AF9,اسماء,87,0),"")</f>
        <v>مستجد</v>
      </c>
      <c r="AP12" s="404"/>
      <c r="AQ12" s="404"/>
      <c r="AR12" s="406"/>
      <c r="AT12" s="185" t="s">
        <v>138</v>
      </c>
      <c r="AU12" s="411" t="str">
        <f>IFERROR(VLOOKUP(AU9,اسماء,86,0),"")</f>
        <v/>
      </c>
      <c r="AV12" s="411"/>
      <c r="AW12" s="411"/>
      <c r="AX12" s="411"/>
      <c r="AY12" s="411"/>
      <c r="AZ12" s="408" t="s">
        <v>139</v>
      </c>
      <c r="BA12" s="408"/>
      <c r="BB12" s="408" t="s">
        <v>140</v>
      </c>
      <c r="BC12" s="408"/>
      <c r="BD12" s="404" t="str">
        <f>IFERROR(VLOOKUP(AU9,اسماء,87,0),"")</f>
        <v/>
      </c>
      <c r="BE12" s="404"/>
      <c r="BF12" s="404"/>
      <c r="BG12" s="406"/>
    </row>
    <row r="13" spans="1:59" ht="45" customHeight="1" x14ac:dyDescent="0.25">
      <c r="A13" s="185" t="s">
        <v>141</v>
      </c>
      <c r="B13" s="404" t="str">
        <f>IFERROR(VLOOKUP(B9,اسماء,89,0),"")</f>
        <v>سلسبيل الكاسح</v>
      </c>
      <c r="C13" s="404"/>
      <c r="D13" s="404"/>
      <c r="E13" s="404"/>
      <c r="F13" s="404"/>
      <c r="G13" s="408" t="s">
        <v>124</v>
      </c>
      <c r="H13" s="408"/>
      <c r="I13" s="408"/>
      <c r="J13" s="408"/>
      <c r="K13" s="404" t="str">
        <f>IFERROR(VLOOKUP(B9,اسماء,88,0),"")</f>
        <v>نظامي</v>
      </c>
      <c r="L13" s="404"/>
      <c r="M13" s="404"/>
      <c r="N13" s="406"/>
      <c r="P13" s="185" t="s">
        <v>141</v>
      </c>
      <c r="Q13" s="404" t="str">
        <f>IFERROR(VLOOKUP(Q9,اسماء,89,0),"")</f>
        <v>سلسبيل الكاسح</v>
      </c>
      <c r="R13" s="404"/>
      <c r="S13" s="404"/>
      <c r="T13" s="404"/>
      <c r="U13" s="404"/>
      <c r="V13" s="408" t="s">
        <v>124</v>
      </c>
      <c r="W13" s="408"/>
      <c r="X13" s="408"/>
      <c r="Y13" s="408"/>
      <c r="Z13" s="404" t="str">
        <f>IFERROR(VLOOKUP(Q9,اسماء,88,0),"")</f>
        <v>نظامي</v>
      </c>
      <c r="AA13" s="404"/>
      <c r="AB13" s="404"/>
      <c r="AC13" s="406"/>
      <c r="AE13" s="185" t="s">
        <v>141</v>
      </c>
      <c r="AF13" s="404" t="str">
        <f>IFERROR(VLOOKUP(AF9,اسماء,89,0),"")</f>
        <v>سلسبيل الكاسح</v>
      </c>
      <c r="AG13" s="404"/>
      <c r="AH13" s="404"/>
      <c r="AI13" s="404"/>
      <c r="AJ13" s="404"/>
      <c r="AK13" s="408" t="s">
        <v>124</v>
      </c>
      <c r="AL13" s="408"/>
      <c r="AM13" s="408"/>
      <c r="AN13" s="408"/>
      <c r="AO13" s="404" t="str">
        <f>IFERROR(VLOOKUP(AF9,اسماء,88,0),"")</f>
        <v>نظامي</v>
      </c>
      <c r="AP13" s="404"/>
      <c r="AQ13" s="404"/>
      <c r="AR13" s="406"/>
      <c r="AT13" s="185" t="s">
        <v>141</v>
      </c>
      <c r="AU13" s="404" t="str">
        <f>IFERROR(VLOOKUP(AU9,اسماء,89,0),"")</f>
        <v/>
      </c>
      <c r="AV13" s="404"/>
      <c r="AW13" s="404"/>
      <c r="AX13" s="404"/>
      <c r="AY13" s="404"/>
      <c r="AZ13" s="408" t="s">
        <v>124</v>
      </c>
      <c r="BA13" s="408"/>
      <c r="BB13" s="408"/>
      <c r="BC13" s="408"/>
      <c r="BD13" s="404" t="str">
        <f>IFERROR(VLOOKUP(AU9,اسماء,88,0),"")</f>
        <v/>
      </c>
      <c r="BE13" s="404"/>
      <c r="BF13" s="404"/>
      <c r="BG13" s="406"/>
    </row>
    <row r="14" spans="1:59" ht="45" customHeight="1" thickBot="1" x14ac:dyDescent="0.3">
      <c r="A14" s="412" t="s">
        <v>142</v>
      </c>
      <c r="B14" s="413"/>
      <c r="C14" s="413"/>
      <c r="D14" s="413"/>
      <c r="E14" s="413"/>
      <c r="F14" s="413"/>
      <c r="G14" s="413"/>
      <c r="H14" s="413"/>
      <c r="I14" s="413"/>
      <c r="J14" s="413"/>
      <c r="K14" s="413"/>
      <c r="L14" s="413"/>
      <c r="M14" s="413"/>
      <c r="N14" s="414"/>
      <c r="P14" s="412" t="s">
        <v>142</v>
      </c>
      <c r="Q14" s="413"/>
      <c r="R14" s="413"/>
      <c r="S14" s="413"/>
      <c r="T14" s="413"/>
      <c r="U14" s="413"/>
      <c r="V14" s="413"/>
      <c r="W14" s="413"/>
      <c r="X14" s="413"/>
      <c r="Y14" s="413"/>
      <c r="Z14" s="413"/>
      <c r="AA14" s="413"/>
      <c r="AB14" s="413"/>
      <c r="AC14" s="414"/>
      <c r="AE14" s="412" t="s">
        <v>142</v>
      </c>
      <c r="AF14" s="413"/>
      <c r="AG14" s="413"/>
      <c r="AH14" s="413"/>
      <c r="AI14" s="413"/>
      <c r="AJ14" s="413"/>
      <c r="AK14" s="413"/>
      <c r="AL14" s="413"/>
      <c r="AM14" s="413"/>
      <c r="AN14" s="413"/>
      <c r="AO14" s="413"/>
      <c r="AP14" s="413"/>
      <c r="AQ14" s="413"/>
      <c r="AR14" s="414"/>
      <c r="AT14" s="412" t="s">
        <v>142</v>
      </c>
      <c r="AU14" s="413"/>
      <c r="AV14" s="413"/>
      <c r="AW14" s="413"/>
      <c r="AX14" s="413"/>
      <c r="AY14" s="413"/>
      <c r="AZ14" s="413"/>
      <c r="BA14" s="413"/>
      <c r="BB14" s="413"/>
      <c r="BC14" s="413"/>
      <c r="BD14" s="413"/>
      <c r="BE14" s="413"/>
      <c r="BF14" s="413"/>
      <c r="BG14" s="414"/>
    </row>
    <row r="15" spans="1:59" ht="45" customHeight="1" thickTop="1" x14ac:dyDescent="0.4">
      <c r="A15" s="415" t="s">
        <v>143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  <c r="L15" s="416"/>
      <c r="M15" s="416"/>
      <c r="N15" s="417"/>
      <c r="P15" s="415" t="s">
        <v>143</v>
      </c>
      <c r="Q15" s="416"/>
      <c r="R15" s="416"/>
      <c r="S15" s="416"/>
      <c r="T15" s="416"/>
      <c r="U15" s="416"/>
      <c r="V15" s="416"/>
      <c r="W15" s="416"/>
      <c r="X15" s="416"/>
      <c r="Y15" s="416"/>
      <c r="Z15" s="416"/>
      <c r="AA15" s="416"/>
      <c r="AB15" s="416"/>
      <c r="AC15" s="417"/>
      <c r="AE15" s="415" t="s">
        <v>143</v>
      </c>
      <c r="AF15" s="416"/>
      <c r="AG15" s="416"/>
      <c r="AH15" s="416"/>
      <c r="AI15" s="416"/>
      <c r="AJ15" s="416"/>
      <c r="AK15" s="416"/>
      <c r="AL15" s="416"/>
      <c r="AM15" s="416"/>
      <c r="AN15" s="416"/>
      <c r="AO15" s="416"/>
      <c r="AP15" s="416"/>
      <c r="AQ15" s="416"/>
      <c r="AR15" s="417"/>
      <c r="AT15" s="415" t="s">
        <v>143</v>
      </c>
      <c r="AU15" s="416"/>
      <c r="AV15" s="416"/>
      <c r="AW15" s="416"/>
      <c r="AX15" s="416"/>
      <c r="AY15" s="416"/>
      <c r="AZ15" s="416"/>
      <c r="BA15" s="416"/>
      <c r="BB15" s="416"/>
      <c r="BC15" s="416"/>
      <c r="BD15" s="416"/>
      <c r="BE15" s="416"/>
      <c r="BF15" s="416"/>
      <c r="BG15" s="417"/>
    </row>
    <row r="16" spans="1:59" s="67" customFormat="1" ht="33" customHeight="1" x14ac:dyDescent="0.25">
      <c r="A16" s="418" t="s">
        <v>160</v>
      </c>
      <c r="B16" s="408"/>
      <c r="C16" s="408"/>
      <c r="D16" s="408"/>
      <c r="E16" s="408"/>
      <c r="F16" s="408"/>
      <c r="G16" s="408"/>
      <c r="H16" s="408"/>
      <c r="I16" s="408"/>
      <c r="J16" s="408"/>
      <c r="K16" s="408"/>
      <c r="L16" s="408"/>
      <c r="M16" s="408"/>
      <c r="N16" s="419"/>
      <c r="P16" s="418" t="s">
        <v>160</v>
      </c>
      <c r="Q16" s="408"/>
      <c r="R16" s="408"/>
      <c r="S16" s="408"/>
      <c r="T16" s="408"/>
      <c r="U16" s="408"/>
      <c r="V16" s="408"/>
      <c r="W16" s="408"/>
      <c r="X16" s="408"/>
      <c r="Y16" s="408"/>
      <c r="Z16" s="408"/>
      <c r="AA16" s="408"/>
      <c r="AB16" s="408"/>
      <c r="AC16" s="419"/>
      <c r="AE16" s="418" t="s">
        <v>160</v>
      </c>
      <c r="AF16" s="408"/>
      <c r="AG16" s="408"/>
      <c r="AH16" s="408"/>
      <c r="AI16" s="408"/>
      <c r="AJ16" s="408"/>
      <c r="AK16" s="408"/>
      <c r="AL16" s="408"/>
      <c r="AM16" s="408"/>
      <c r="AN16" s="408"/>
      <c r="AO16" s="408"/>
      <c r="AP16" s="408"/>
      <c r="AQ16" s="408"/>
      <c r="AR16" s="419"/>
      <c r="AT16" s="418" t="s">
        <v>160</v>
      </c>
      <c r="AU16" s="408"/>
      <c r="AV16" s="408"/>
      <c r="AW16" s="408"/>
      <c r="AX16" s="408"/>
      <c r="AY16" s="408"/>
      <c r="AZ16" s="408"/>
      <c r="BA16" s="408"/>
      <c r="BB16" s="408"/>
      <c r="BC16" s="408"/>
      <c r="BD16" s="408"/>
      <c r="BE16" s="408"/>
      <c r="BF16" s="408"/>
      <c r="BG16" s="419"/>
    </row>
    <row r="17" spans="1:59" ht="33" customHeight="1" x14ac:dyDescent="0.4">
      <c r="A17" s="420" t="s">
        <v>144</v>
      </c>
      <c r="B17" s="421"/>
      <c r="C17" s="421"/>
      <c r="D17" s="421"/>
      <c r="E17" s="421"/>
      <c r="F17" s="421"/>
      <c r="G17" s="408"/>
      <c r="H17" s="408"/>
      <c r="I17" s="408"/>
      <c r="J17" s="408"/>
      <c r="K17" s="408"/>
      <c r="L17" s="408"/>
      <c r="M17" s="408"/>
      <c r="N17" s="419"/>
      <c r="P17" s="420" t="s">
        <v>144</v>
      </c>
      <c r="Q17" s="421"/>
      <c r="R17" s="421"/>
      <c r="S17" s="421"/>
      <c r="T17" s="421"/>
      <c r="U17" s="421"/>
      <c r="V17" s="408"/>
      <c r="W17" s="408"/>
      <c r="X17" s="408"/>
      <c r="Y17" s="408"/>
      <c r="Z17" s="408"/>
      <c r="AA17" s="408"/>
      <c r="AB17" s="408"/>
      <c r="AC17" s="419"/>
      <c r="AE17" s="420" t="s">
        <v>144</v>
      </c>
      <c r="AF17" s="421"/>
      <c r="AG17" s="421"/>
      <c r="AH17" s="421"/>
      <c r="AI17" s="421"/>
      <c r="AJ17" s="421"/>
      <c r="AK17" s="408"/>
      <c r="AL17" s="408"/>
      <c r="AM17" s="408"/>
      <c r="AN17" s="408"/>
      <c r="AO17" s="408"/>
      <c r="AP17" s="408"/>
      <c r="AQ17" s="408"/>
      <c r="AR17" s="419"/>
      <c r="AT17" s="420" t="s">
        <v>144</v>
      </c>
      <c r="AU17" s="421"/>
      <c r="AV17" s="421"/>
      <c r="AW17" s="421"/>
      <c r="AX17" s="421"/>
      <c r="AY17" s="421"/>
      <c r="AZ17" s="408"/>
      <c r="BA17" s="408"/>
      <c r="BB17" s="408"/>
      <c r="BC17" s="408"/>
      <c r="BD17" s="408"/>
      <c r="BE17" s="408"/>
      <c r="BF17" s="408"/>
      <c r="BG17" s="419"/>
    </row>
    <row r="18" spans="1:59" s="190" customFormat="1" ht="30" customHeight="1" x14ac:dyDescent="0.4">
      <c r="A18" s="185" t="s">
        <v>145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9" t="s">
        <v>146</v>
      </c>
      <c r="P18" s="185" t="s">
        <v>145</v>
      </c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9" t="s">
        <v>146</v>
      </c>
      <c r="AE18" s="185" t="s">
        <v>145</v>
      </c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9" t="s">
        <v>146</v>
      </c>
      <c r="AT18" s="185" t="s">
        <v>145</v>
      </c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9" t="s">
        <v>146</v>
      </c>
    </row>
    <row r="19" spans="1:59" ht="30" customHeight="1" x14ac:dyDescent="0.4">
      <c r="A19" s="191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92"/>
      <c r="P19" s="191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92"/>
      <c r="AE19" s="191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92"/>
      <c r="AT19" s="191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92"/>
    </row>
    <row r="20" spans="1:59" ht="24.95" customHeight="1" x14ac:dyDescent="0.5">
      <c r="A20" s="193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94"/>
      <c r="P20" s="193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94"/>
      <c r="AE20" s="193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94"/>
      <c r="AT20" s="193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94"/>
    </row>
    <row r="21" spans="1:59" ht="24.95" customHeight="1" thickBot="1" x14ac:dyDescent="0.55000000000000004">
      <c r="A21" s="195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7"/>
      <c r="P21" s="195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7"/>
      <c r="AE21" s="195"/>
      <c r="AF21" s="196"/>
      <c r="AG21" s="196"/>
      <c r="AH21" s="196"/>
      <c r="AI21" s="196"/>
      <c r="AJ21" s="196"/>
      <c r="AK21" s="196"/>
      <c r="AL21" s="196"/>
      <c r="AM21" s="196"/>
      <c r="AN21" s="196"/>
      <c r="AO21" s="196"/>
      <c r="AP21" s="196"/>
      <c r="AQ21" s="196"/>
      <c r="AR21" s="197"/>
      <c r="AT21" s="195"/>
      <c r="AU21" s="196"/>
      <c r="AV21" s="196"/>
      <c r="AW21" s="196"/>
      <c r="AX21" s="196"/>
      <c r="AY21" s="196"/>
      <c r="AZ21" s="196"/>
      <c r="BA21" s="196"/>
      <c r="BB21" s="196"/>
      <c r="BC21" s="196"/>
      <c r="BD21" s="196"/>
      <c r="BE21" s="196"/>
      <c r="BF21" s="196"/>
      <c r="BG21" s="197"/>
    </row>
    <row r="22" spans="1:59" ht="16.5" thickTop="1" thickBot="1" x14ac:dyDescent="0.3"/>
    <row r="23" spans="1:59" s="182" customFormat="1" ht="39.950000000000003" customHeight="1" thickTop="1" x14ac:dyDescent="0.5">
      <c r="A23" s="180">
        <f>A1-1</f>
        <v>14</v>
      </c>
      <c r="B23" s="383" t="s">
        <v>39</v>
      </c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181"/>
      <c r="P23" s="180">
        <f>A23-5</f>
        <v>9</v>
      </c>
      <c r="Q23" s="383" t="s">
        <v>39</v>
      </c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  <c r="AC23" s="181"/>
      <c r="AE23" s="180">
        <f>P23-5</f>
        <v>4</v>
      </c>
      <c r="AF23" s="383" t="s">
        <v>39</v>
      </c>
      <c r="AG23" s="383"/>
      <c r="AH23" s="383"/>
      <c r="AI23" s="383"/>
      <c r="AJ23" s="383"/>
      <c r="AK23" s="383"/>
      <c r="AL23" s="383"/>
      <c r="AM23" s="383"/>
      <c r="AN23" s="383"/>
      <c r="AO23" s="383"/>
      <c r="AP23" s="383"/>
      <c r="AQ23" s="383"/>
      <c r="AR23" s="181"/>
      <c r="AT23" s="180">
        <f>AE23-5</f>
        <v>-1</v>
      </c>
      <c r="AU23" s="383" t="s">
        <v>39</v>
      </c>
      <c r="AV23" s="383"/>
      <c r="AW23" s="383"/>
      <c r="AX23" s="383"/>
      <c r="AY23" s="383"/>
      <c r="AZ23" s="383"/>
      <c r="BA23" s="383"/>
      <c r="BB23" s="383"/>
      <c r="BC23" s="383"/>
      <c r="BD23" s="383"/>
      <c r="BE23" s="383"/>
      <c r="BF23" s="383"/>
      <c r="BG23" s="181"/>
    </row>
    <row r="24" spans="1:59" s="182" customFormat="1" ht="39.950000000000003" customHeight="1" x14ac:dyDescent="0.5">
      <c r="A24" s="384" t="s">
        <v>40</v>
      </c>
      <c r="B24" s="385"/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386"/>
      <c r="P24" s="384" t="s">
        <v>40</v>
      </c>
      <c r="Q24" s="385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  <c r="AC24" s="386"/>
      <c r="AE24" s="384" t="s">
        <v>40</v>
      </c>
      <c r="AF24" s="385"/>
      <c r="AG24" s="385"/>
      <c r="AH24" s="385"/>
      <c r="AI24" s="385"/>
      <c r="AJ24" s="385"/>
      <c r="AK24" s="385"/>
      <c r="AL24" s="385"/>
      <c r="AM24" s="385"/>
      <c r="AN24" s="385"/>
      <c r="AO24" s="385"/>
      <c r="AP24" s="385"/>
      <c r="AQ24" s="385"/>
      <c r="AR24" s="386"/>
      <c r="AT24" s="384" t="s">
        <v>40</v>
      </c>
      <c r="AU24" s="385"/>
      <c r="AV24" s="385"/>
      <c r="AW24" s="385"/>
      <c r="AX24" s="385"/>
      <c r="AY24" s="385"/>
      <c r="AZ24" s="385"/>
      <c r="BA24" s="385"/>
      <c r="BB24" s="385"/>
      <c r="BC24" s="385"/>
      <c r="BD24" s="385"/>
      <c r="BE24" s="385"/>
      <c r="BF24" s="385"/>
      <c r="BG24" s="386"/>
    </row>
    <row r="25" spans="1:59" s="182" customFormat="1" ht="39.950000000000003" customHeight="1" x14ac:dyDescent="0.5">
      <c r="A25" s="387" t="s">
        <v>161</v>
      </c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9"/>
      <c r="P25" s="387" t="s">
        <v>161</v>
      </c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9"/>
      <c r="AE25" s="387" t="s">
        <v>161</v>
      </c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9"/>
      <c r="AT25" s="387" t="s">
        <v>161</v>
      </c>
      <c r="AU25" s="388"/>
      <c r="AV25" s="388"/>
      <c r="AW25" s="388"/>
      <c r="AX25" s="388"/>
      <c r="AY25" s="388"/>
      <c r="AZ25" s="388"/>
      <c r="BA25" s="388"/>
      <c r="BB25" s="388"/>
      <c r="BC25" s="388"/>
      <c r="BD25" s="388"/>
      <c r="BE25" s="388"/>
      <c r="BF25" s="388"/>
      <c r="BG25" s="389"/>
    </row>
    <row r="26" spans="1:59" s="182" customFormat="1" ht="39.950000000000003" customHeight="1" x14ac:dyDescent="0.5">
      <c r="A26" s="390" t="s">
        <v>125</v>
      </c>
      <c r="B26" s="391"/>
      <c r="C26" s="391"/>
      <c r="D26" s="391"/>
      <c r="E26" s="391"/>
      <c r="F26" s="391"/>
      <c r="G26" s="391"/>
      <c r="H26" s="391"/>
      <c r="I26" s="391"/>
      <c r="J26" s="391"/>
      <c r="K26" s="392" t="str">
        <f>ادخال1!$CM$7</f>
        <v>الاساسي</v>
      </c>
      <c r="L26" s="392"/>
      <c r="M26" s="392"/>
      <c r="N26" s="393"/>
      <c r="P26" s="390" t="s">
        <v>125</v>
      </c>
      <c r="Q26" s="391"/>
      <c r="R26" s="391"/>
      <c r="S26" s="391"/>
      <c r="T26" s="391"/>
      <c r="U26" s="391"/>
      <c r="V26" s="391"/>
      <c r="W26" s="391"/>
      <c r="X26" s="391"/>
      <c r="Y26" s="391"/>
      <c r="Z26" s="392" t="str">
        <f>ادخال1!$CM$7</f>
        <v>الاساسي</v>
      </c>
      <c r="AA26" s="392"/>
      <c r="AB26" s="392"/>
      <c r="AC26" s="393"/>
      <c r="AE26" s="390" t="s">
        <v>125</v>
      </c>
      <c r="AF26" s="391"/>
      <c r="AG26" s="391"/>
      <c r="AH26" s="391"/>
      <c r="AI26" s="391"/>
      <c r="AJ26" s="391"/>
      <c r="AK26" s="391"/>
      <c r="AL26" s="391"/>
      <c r="AM26" s="391"/>
      <c r="AN26" s="391"/>
      <c r="AO26" s="392" t="str">
        <f>ادخال1!$CM$7</f>
        <v>الاساسي</v>
      </c>
      <c r="AP26" s="392"/>
      <c r="AQ26" s="392"/>
      <c r="AR26" s="393"/>
      <c r="AT26" s="390" t="s">
        <v>125</v>
      </c>
      <c r="AU26" s="391"/>
      <c r="AV26" s="391"/>
      <c r="AW26" s="391"/>
      <c r="AX26" s="391"/>
      <c r="AY26" s="391"/>
      <c r="AZ26" s="391"/>
      <c r="BA26" s="391"/>
      <c r="BB26" s="391"/>
      <c r="BC26" s="391"/>
      <c r="BD26" s="392" t="str">
        <f>ادخال1!$CM$7</f>
        <v>الاساسي</v>
      </c>
      <c r="BE26" s="392"/>
      <c r="BF26" s="392"/>
      <c r="BG26" s="393"/>
    </row>
    <row r="27" spans="1:59" s="182" customFormat="1" ht="39.950000000000003" customHeight="1" x14ac:dyDescent="0.5">
      <c r="A27" s="394" t="s">
        <v>126</v>
      </c>
      <c r="B27" s="395"/>
      <c r="C27" s="395"/>
      <c r="D27" s="395"/>
      <c r="E27" s="395"/>
      <c r="F27" s="395"/>
      <c r="G27" s="396" t="str">
        <f>ادخال1!$CK$5</f>
        <v>الرابع</v>
      </c>
      <c r="H27" s="396"/>
      <c r="I27" s="396"/>
      <c r="J27" s="396"/>
      <c r="K27" s="396"/>
      <c r="L27" s="396"/>
      <c r="M27" s="396"/>
      <c r="N27" s="397"/>
      <c r="P27" s="394" t="s">
        <v>126</v>
      </c>
      <c r="Q27" s="395"/>
      <c r="R27" s="395"/>
      <c r="S27" s="395"/>
      <c r="T27" s="395"/>
      <c r="U27" s="395"/>
      <c r="V27" s="396" t="str">
        <f>ادخال1!$CK$5</f>
        <v>الرابع</v>
      </c>
      <c r="W27" s="396"/>
      <c r="X27" s="396"/>
      <c r="Y27" s="396"/>
      <c r="Z27" s="396"/>
      <c r="AA27" s="396"/>
      <c r="AB27" s="396"/>
      <c r="AC27" s="397"/>
      <c r="AE27" s="394" t="s">
        <v>126</v>
      </c>
      <c r="AF27" s="395"/>
      <c r="AG27" s="395"/>
      <c r="AH27" s="395"/>
      <c r="AI27" s="395"/>
      <c r="AJ27" s="395"/>
      <c r="AK27" s="396" t="str">
        <f>ادخال1!$CK$5</f>
        <v>الرابع</v>
      </c>
      <c r="AL27" s="396"/>
      <c r="AM27" s="396"/>
      <c r="AN27" s="396"/>
      <c r="AO27" s="396"/>
      <c r="AP27" s="396"/>
      <c r="AQ27" s="396"/>
      <c r="AR27" s="397"/>
      <c r="AT27" s="394" t="s">
        <v>126</v>
      </c>
      <c r="AU27" s="395"/>
      <c r="AV27" s="395"/>
      <c r="AW27" s="395"/>
      <c r="AX27" s="395"/>
      <c r="AY27" s="395"/>
      <c r="AZ27" s="396" t="str">
        <f>ادخال1!$CK$5</f>
        <v>الرابع</v>
      </c>
      <c r="BA27" s="396"/>
      <c r="BB27" s="396"/>
      <c r="BC27" s="396"/>
      <c r="BD27" s="396"/>
      <c r="BE27" s="396"/>
      <c r="BF27" s="396"/>
      <c r="BG27" s="397"/>
    </row>
    <row r="28" spans="1:59" s="182" customFormat="1" ht="39.950000000000003" customHeight="1" x14ac:dyDescent="0.5">
      <c r="A28" s="183" t="s">
        <v>115</v>
      </c>
      <c r="B28" s="398" t="str">
        <f>ادخال1!$CJ$8</f>
        <v>1447ـ/1448 هـ</v>
      </c>
      <c r="C28" s="398"/>
      <c r="D28" s="398"/>
      <c r="E28" s="398"/>
      <c r="F28" s="399" t="s">
        <v>127</v>
      </c>
      <c r="G28" s="399"/>
      <c r="H28" s="400" t="s">
        <v>128</v>
      </c>
      <c r="I28" s="400"/>
      <c r="J28" s="401" t="str">
        <f>ادخال1!$CK$8</f>
        <v xml:space="preserve"> 2026 /2025</v>
      </c>
      <c r="K28" s="401"/>
      <c r="L28" s="401"/>
      <c r="M28" s="401"/>
      <c r="N28" s="184" t="s">
        <v>129</v>
      </c>
      <c r="P28" s="183" t="s">
        <v>115</v>
      </c>
      <c r="Q28" s="398" t="str">
        <f>ادخال1!$CJ$8</f>
        <v>1447ـ/1448 هـ</v>
      </c>
      <c r="R28" s="398"/>
      <c r="S28" s="398"/>
      <c r="T28" s="398"/>
      <c r="U28" s="399" t="s">
        <v>127</v>
      </c>
      <c r="V28" s="399"/>
      <c r="W28" s="400" t="s">
        <v>128</v>
      </c>
      <c r="X28" s="400"/>
      <c r="Y28" s="401" t="str">
        <f>ادخال1!$CK$8</f>
        <v xml:space="preserve"> 2026 /2025</v>
      </c>
      <c r="Z28" s="401"/>
      <c r="AA28" s="401"/>
      <c r="AB28" s="401"/>
      <c r="AC28" s="184" t="s">
        <v>129</v>
      </c>
      <c r="AE28" s="183" t="s">
        <v>115</v>
      </c>
      <c r="AF28" s="398" t="str">
        <f>ادخال1!$CJ$8</f>
        <v>1447ـ/1448 هـ</v>
      </c>
      <c r="AG28" s="398"/>
      <c r="AH28" s="398"/>
      <c r="AI28" s="398"/>
      <c r="AJ28" s="399" t="s">
        <v>127</v>
      </c>
      <c r="AK28" s="399"/>
      <c r="AL28" s="400" t="s">
        <v>128</v>
      </c>
      <c r="AM28" s="400"/>
      <c r="AN28" s="401" t="str">
        <f>ادخال1!$CK$8</f>
        <v xml:space="preserve"> 2026 /2025</v>
      </c>
      <c r="AO28" s="401"/>
      <c r="AP28" s="401"/>
      <c r="AQ28" s="401"/>
      <c r="AR28" s="184" t="s">
        <v>129</v>
      </c>
      <c r="AT28" s="183" t="s">
        <v>115</v>
      </c>
      <c r="AU28" s="398" t="str">
        <f>ادخال1!$CJ$8</f>
        <v>1447ـ/1448 هـ</v>
      </c>
      <c r="AV28" s="398"/>
      <c r="AW28" s="398"/>
      <c r="AX28" s="398"/>
      <c r="AY28" s="399" t="s">
        <v>127</v>
      </c>
      <c r="AZ28" s="399"/>
      <c r="BA28" s="400" t="s">
        <v>128</v>
      </c>
      <c r="BB28" s="400"/>
      <c r="BC28" s="401" t="str">
        <f>ادخال1!$CK$8</f>
        <v xml:space="preserve"> 2026 /2025</v>
      </c>
      <c r="BD28" s="401"/>
      <c r="BE28" s="401"/>
      <c r="BF28" s="401"/>
      <c r="BG28" s="184" t="s">
        <v>129</v>
      </c>
    </row>
    <row r="29" spans="1:59" ht="45" customHeight="1" x14ac:dyDescent="0.25">
      <c r="A29" s="185" t="s">
        <v>130</v>
      </c>
      <c r="B29" s="402" t="str">
        <f>ادخال1!$CK$4</f>
        <v>تاجوراء</v>
      </c>
      <c r="C29" s="402"/>
      <c r="D29" s="402"/>
      <c r="E29" s="402"/>
      <c r="F29" s="402"/>
      <c r="G29" s="402"/>
      <c r="H29" s="402"/>
      <c r="I29" s="402"/>
      <c r="J29" s="402"/>
      <c r="K29" s="402"/>
      <c r="L29" s="402"/>
      <c r="M29" s="402"/>
      <c r="N29" s="403"/>
      <c r="P29" s="185" t="s">
        <v>130</v>
      </c>
      <c r="Q29" s="402" t="str">
        <f>ادخال1!$CK$4</f>
        <v>تاجوراء</v>
      </c>
      <c r="R29" s="402"/>
      <c r="S29" s="402"/>
      <c r="T29" s="402"/>
      <c r="U29" s="402"/>
      <c r="V29" s="402"/>
      <c r="W29" s="402"/>
      <c r="X29" s="402"/>
      <c r="Y29" s="402"/>
      <c r="Z29" s="402"/>
      <c r="AA29" s="402"/>
      <c r="AB29" s="402"/>
      <c r="AC29" s="403"/>
      <c r="AE29" s="185" t="s">
        <v>130</v>
      </c>
      <c r="AF29" s="402" t="str">
        <f>ادخال1!$CK$4</f>
        <v>تاجوراء</v>
      </c>
      <c r="AG29" s="402"/>
      <c r="AH29" s="402"/>
      <c r="AI29" s="402"/>
      <c r="AJ29" s="402"/>
      <c r="AK29" s="402"/>
      <c r="AL29" s="402"/>
      <c r="AM29" s="402"/>
      <c r="AN29" s="402"/>
      <c r="AO29" s="402"/>
      <c r="AP29" s="402"/>
      <c r="AQ29" s="402"/>
      <c r="AR29" s="403"/>
      <c r="AT29" s="185" t="s">
        <v>130</v>
      </c>
      <c r="AU29" s="402" t="str">
        <f>ادخال1!$CK$4</f>
        <v>تاجوراء</v>
      </c>
      <c r="AV29" s="402"/>
      <c r="AW29" s="402"/>
      <c r="AX29" s="402"/>
      <c r="AY29" s="402"/>
      <c r="AZ29" s="402"/>
      <c r="BA29" s="402"/>
      <c r="BB29" s="402"/>
      <c r="BC29" s="402"/>
      <c r="BD29" s="402"/>
      <c r="BE29" s="402"/>
      <c r="BF29" s="402"/>
      <c r="BG29" s="403"/>
    </row>
    <row r="30" spans="1:59" ht="45" customHeight="1" x14ac:dyDescent="0.25">
      <c r="A30" s="185" t="s">
        <v>131</v>
      </c>
      <c r="B30" s="404" t="str">
        <f>ادخال1!$CI$6</f>
        <v xml:space="preserve">سهول العلم للتعليم الخاص </v>
      </c>
      <c r="C30" s="404"/>
      <c r="D30" s="404"/>
      <c r="E30" s="404"/>
      <c r="F30" s="404"/>
      <c r="G30" s="404"/>
      <c r="H30" s="404"/>
      <c r="I30" s="404"/>
      <c r="J30" s="405" t="s">
        <v>132</v>
      </c>
      <c r="K30" s="405"/>
      <c r="L30" s="405"/>
      <c r="M30" s="404" t="str">
        <f>ادخال1!$CI$8</f>
        <v>تاجوراء</v>
      </c>
      <c r="N30" s="406"/>
      <c r="P30" s="185" t="s">
        <v>131</v>
      </c>
      <c r="Q30" s="404" t="str">
        <f>ادخال1!$CI$6</f>
        <v xml:space="preserve">سهول العلم للتعليم الخاص </v>
      </c>
      <c r="R30" s="404"/>
      <c r="S30" s="404"/>
      <c r="T30" s="404"/>
      <c r="U30" s="404"/>
      <c r="V30" s="404"/>
      <c r="W30" s="404"/>
      <c r="X30" s="404"/>
      <c r="Y30" s="405" t="s">
        <v>132</v>
      </c>
      <c r="Z30" s="405"/>
      <c r="AA30" s="405"/>
      <c r="AB30" s="404" t="str">
        <f>ادخال1!$CI$8</f>
        <v>تاجوراء</v>
      </c>
      <c r="AC30" s="406"/>
      <c r="AE30" s="185" t="s">
        <v>131</v>
      </c>
      <c r="AF30" s="404" t="str">
        <f>ادخال1!$CI$6</f>
        <v xml:space="preserve">سهول العلم للتعليم الخاص </v>
      </c>
      <c r="AG30" s="404"/>
      <c r="AH30" s="404"/>
      <c r="AI30" s="404"/>
      <c r="AJ30" s="404"/>
      <c r="AK30" s="404"/>
      <c r="AL30" s="404"/>
      <c r="AM30" s="404"/>
      <c r="AN30" s="405" t="s">
        <v>132</v>
      </c>
      <c r="AO30" s="405"/>
      <c r="AP30" s="405"/>
      <c r="AQ30" s="404" t="str">
        <f>ادخال1!$CI$8</f>
        <v>تاجوراء</v>
      </c>
      <c r="AR30" s="406"/>
      <c r="AT30" s="185" t="s">
        <v>131</v>
      </c>
      <c r="AU30" s="404" t="str">
        <f>ادخال1!$CI$6</f>
        <v xml:space="preserve">سهول العلم للتعليم الخاص </v>
      </c>
      <c r="AV30" s="404"/>
      <c r="AW30" s="404"/>
      <c r="AX30" s="404"/>
      <c r="AY30" s="404"/>
      <c r="AZ30" s="404"/>
      <c r="BA30" s="404"/>
      <c r="BB30" s="404"/>
      <c r="BC30" s="405" t="s">
        <v>132</v>
      </c>
      <c r="BD30" s="405"/>
      <c r="BE30" s="405"/>
      <c r="BF30" s="404" t="str">
        <f>ادخال1!$CI$8</f>
        <v>تاجوراء</v>
      </c>
      <c r="BG30" s="406"/>
    </row>
    <row r="31" spans="1:59" ht="45" customHeight="1" x14ac:dyDescent="0.25">
      <c r="A31" s="185" t="s">
        <v>133</v>
      </c>
      <c r="B31" s="407" t="str">
        <f>IFERROR(VLOOKUP(A23,مسلسل,2,0),0)</f>
        <v>محمد مجدي عبدالله سليمان</v>
      </c>
      <c r="C31" s="407">
        <f t="shared" ref="C31" si="22">IFERROR(VLOOKUP(B31,مسلسل,2,0),0)</f>
        <v>0</v>
      </c>
      <c r="D31" s="407">
        <f t="shared" ref="D31" si="23">IFERROR(VLOOKUP(C31,مسلسل,2,0),0)</f>
        <v>0</v>
      </c>
      <c r="E31" s="407">
        <f t="shared" ref="E31" si="24">IFERROR(VLOOKUP(D31,مسلسل,2,0),0)</f>
        <v>0</v>
      </c>
      <c r="F31" s="407">
        <f t="shared" ref="F31" si="25">IFERROR(VLOOKUP(E31,مسلسل,2,0),0)</f>
        <v>0</v>
      </c>
      <c r="G31" s="407">
        <f t="shared" ref="G31" si="26">IFERROR(VLOOKUP(F31,مسلسل,2,0),0)</f>
        <v>0</v>
      </c>
      <c r="H31" s="407">
        <f t="shared" ref="H31" si="27">IFERROR(VLOOKUP(G31,مسلسل,2,0),0)</f>
        <v>0</v>
      </c>
      <c r="I31" s="407">
        <f t="shared" ref="I31" si="28">IFERROR(VLOOKUP(H31,مسلسل,2,0),0)</f>
        <v>0</v>
      </c>
      <c r="J31" s="405" t="s">
        <v>134</v>
      </c>
      <c r="K31" s="405"/>
      <c r="L31" s="405"/>
      <c r="M31" s="404" t="str">
        <f>IFERROR(VLOOKUP(B31,اسماء,72,0),"")</f>
        <v>سليمان</v>
      </c>
      <c r="N31" s="406"/>
      <c r="P31" s="185" t="s">
        <v>133</v>
      </c>
      <c r="Q31" s="407" t="str">
        <f>IFERROR(VLOOKUP(P23,مسلسل,2,0),0)</f>
        <v>سوار وليد مصطفي الورشفاني</v>
      </c>
      <c r="R31" s="407">
        <f t="shared" ref="R31" si="29">IFERROR(VLOOKUP(Q31,مسلسل,2,0),0)</f>
        <v>0</v>
      </c>
      <c r="S31" s="407">
        <f t="shared" ref="S31" si="30">IFERROR(VLOOKUP(R31,مسلسل,2,0),0)</f>
        <v>0</v>
      </c>
      <c r="T31" s="407">
        <f t="shared" ref="T31" si="31">IFERROR(VLOOKUP(S31,مسلسل,2,0),0)</f>
        <v>0</v>
      </c>
      <c r="U31" s="407">
        <f t="shared" ref="U31" si="32">IFERROR(VLOOKUP(T31,مسلسل,2,0),0)</f>
        <v>0</v>
      </c>
      <c r="V31" s="407">
        <f t="shared" ref="V31" si="33">IFERROR(VLOOKUP(U31,مسلسل,2,0),0)</f>
        <v>0</v>
      </c>
      <c r="W31" s="407">
        <f t="shared" ref="W31" si="34">IFERROR(VLOOKUP(V31,مسلسل,2,0),0)</f>
        <v>0</v>
      </c>
      <c r="X31" s="407">
        <f t="shared" ref="X31" si="35">IFERROR(VLOOKUP(W31,مسلسل,2,0),0)</f>
        <v>0</v>
      </c>
      <c r="Y31" s="405" t="s">
        <v>134</v>
      </c>
      <c r="Z31" s="405"/>
      <c r="AA31" s="405"/>
      <c r="AB31" s="404" t="str">
        <f>IFERROR(VLOOKUP(Q31,اسماء,72,0),"")</f>
        <v>الورشفاني</v>
      </c>
      <c r="AC31" s="406"/>
      <c r="AE31" s="185" t="s">
        <v>133</v>
      </c>
      <c r="AF31" s="407" t="str">
        <f>IFERROR(VLOOKUP(AE23,مسلسل,2,0),0)</f>
        <v>جنان عبدالسلام محمد الجوادي</v>
      </c>
      <c r="AG31" s="407">
        <f t="shared" ref="AG31" si="36">IFERROR(VLOOKUP(AF31,مسلسل,2,0),0)</f>
        <v>0</v>
      </c>
      <c r="AH31" s="407">
        <f t="shared" ref="AH31" si="37">IFERROR(VLOOKUP(AG31,مسلسل,2,0),0)</f>
        <v>0</v>
      </c>
      <c r="AI31" s="407">
        <f t="shared" ref="AI31" si="38">IFERROR(VLOOKUP(AH31,مسلسل,2,0),0)</f>
        <v>0</v>
      </c>
      <c r="AJ31" s="407">
        <f t="shared" ref="AJ31" si="39">IFERROR(VLOOKUP(AI31,مسلسل,2,0),0)</f>
        <v>0</v>
      </c>
      <c r="AK31" s="407">
        <f t="shared" ref="AK31" si="40">IFERROR(VLOOKUP(AJ31,مسلسل,2,0),0)</f>
        <v>0</v>
      </c>
      <c r="AL31" s="407">
        <f t="shared" ref="AL31" si="41">IFERROR(VLOOKUP(AK31,مسلسل,2,0),0)</f>
        <v>0</v>
      </c>
      <c r="AM31" s="407">
        <f t="shared" ref="AM31" si="42">IFERROR(VLOOKUP(AL31,مسلسل,2,0),0)</f>
        <v>0</v>
      </c>
      <c r="AN31" s="405" t="s">
        <v>134</v>
      </c>
      <c r="AO31" s="405"/>
      <c r="AP31" s="405"/>
      <c r="AQ31" s="404" t="str">
        <f>IFERROR(VLOOKUP(AF31,اسماء,72,0),"")</f>
        <v>الجوادي</v>
      </c>
      <c r="AR31" s="406"/>
      <c r="AT31" s="185" t="s">
        <v>133</v>
      </c>
      <c r="AU31" s="407">
        <f>IFERROR(VLOOKUP(AT23,مسلسل,2,0),0)</f>
        <v>0</v>
      </c>
      <c r="AV31" s="407">
        <f t="shared" ref="AV31" si="43">IFERROR(VLOOKUP(AU31,مسلسل,2,0),0)</f>
        <v>0</v>
      </c>
      <c r="AW31" s="407">
        <f t="shared" ref="AW31" si="44">IFERROR(VLOOKUP(AV31,مسلسل,2,0),0)</f>
        <v>0</v>
      </c>
      <c r="AX31" s="407">
        <f t="shared" ref="AX31" si="45">IFERROR(VLOOKUP(AW31,مسلسل,2,0),0)</f>
        <v>0</v>
      </c>
      <c r="AY31" s="407">
        <f t="shared" ref="AY31" si="46">IFERROR(VLOOKUP(AX31,مسلسل,2,0),0)</f>
        <v>0</v>
      </c>
      <c r="AZ31" s="407">
        <f t="shared" ref="AZ31" si="47">IFERROR(VLOOKUP(AY31,مسلسل,2,0),0)</f>
        <v>0</v>
      </c>
      <c r="BA31" s="407">
        <f t="shared" ref="BA31" si="48">IFERROR(VLOOKUP(AZ31,مسلسل,2,0),0)</f>
        <v>0</v>
      </c>
      <c r="BB31" s="407">
        <f t="shared" ref="BB31" si="49">IFERROR(VLOOKUP(BA31,مسلسل,2,0),0)</f>
        <v>0</v>
      </c>
      <c r="BC31" s="405" t="s">
        <v>134</v>
      </c>
      <c r="BD31" s="405"/>
      <c r="BE31" s="405"/>
      <c r="BF31" s="404" t="str">
        <f>IFERROR(VLOOKUP(AU31,اسماء,72,0),"")</f>
        <v/>
      </c>
      <c r="BG31" s="406"/>
    </row>
    <row r="32" spans="1:59" ht="45" customHeight="1" x14ac:dyDescent="0.25">
      <c r="A32" s="185" t="s">
        <v>135</v>
      </c>
      <c r="B32" s="408" t="str">
        <f>IFERROR(VLOOKUP(B31,اسماء,85,0),"")</f>
        <v>ليبي</v>
      </c>
      <c r="C32" s="408"/>
      <c r="D32" s="408"/>
      <c r="E32" s="409">
        <f>IFERROR(VLOOKUP(B31,اسماء,2,0),"")</f>
        <v>42656</v>
      </c>
      <c r="F32" s="409"/>
      <c r="G32" s="409"/>
      <c r="H32" s="409"/>
      <c r="I32" s="410" t="s">
        <v>136</v>
      </c>
      <c r="J32" s="410"/>
      <c r="K32" s="410"/>
      <c r="L32" s="410"/>
      <c r="M32" s="404" t="str">
        <f>IFERROR(VLOOKUP(B31,اسماء,3,0),"")</f>
        <v>أميرة بشير سالم</v>
      </c>
      <c r="N32" s="406"/>
      <c r="P32" s="185" t="s">
        <v>135</v>
      </c>
      <c r="Q32" s="408" t="str">
        <f>IFERROR(VLOOKUP(Q31,اسماء,85,0),"")</f>
        <v>ليبية</v>
      </c>
      <c r="R32" s="408"/>
      <c r="S32" s="408"/>
      <c r="T32" s="409">
        <f>IFERROR(VLOOKUP(Q31,اسماء,2,0),"")</f>
        <v>42527</v>
      </c>
      <c r="U32" s="409"/>
      <c r="V32" s="409"/>
      <c r="W32" s="409"/>
      <c r="X32" s="410" t="s">
        <v>136</v>
      </c>
      <c r="Y32" s="410"/>
      <c r="Z32" s="410"/>
      <c r="AA32" s="410"/>
      <c r="AB32" s="404" t="str">
        <f>IFERROR(VLOOKUP(Q31,اسماء,3,0),"")</f>
        <v>إيمان علي سالم</v>
      </c>
      <c r="AC32" s="406"/>
      <c r="AE32" s="185" t="s">
        <v>135</v>
      </c>
      <c r="AF32" s="408" t="str">
        <f>IFERROR(VLOOKUP(AF31,اسماء,85,0),"")</f>
        <v>ليبية</v>
      </c>
      <c r="AG32" s="408"/>
      <c r="AH32" s="408"/>
      <c r="AI32" s="409">
        <f>IFERROR(VLOOKUP(AF31,اسماء,2,0),"")</f>
        <v>42705</v>
      </c>
      <c r="AJ32" s="409"/>
      <c r="AK32" s="409"/>
      <c r="AL32" s="409"/>
      <c r="AM32" s="410" t="s">
        <v>136</v>
      </c>
      <c r="AN32" s="410"/>
      <c r="AO32" s="410"/>
      <c r="AP32" s="410"/>
      <c r="AQ32" s="404" t="str">
        <f>IFERROR(VLOOKUP(AF31,اسماء,3,0),"")</f>
        <v>هدى زيدام علي الجماعي</v>
      </c>
      <c r="AR32" s="406"/>
      <c r="AT32" s="185" t="s">
        <v>135</v>
      </c>
      <c r="AU32" s="408" t="str">
        <f>IFERROR(VLOOKUP(AU31,اسماء,85,0),"")</f>
        <v/>
      </c>
      <c r="AV32" s="408"/>
      <c r="AW32" s="408"/>
      <c r="AX32" s="409" t="str">
        <f>IFERROR(VLOOKUP(AU31,اسماء,2,0),"")</f>
        <v/>
      </c>
      <c r="AY32" s="409"/>
      <c r="AZ32" s="409"/>
      <c r="BA32" s="409"/>
      <c r="BB32" s="410" t="s">
        <v>136</v>
      </c>
      <c r="BC32" s="410"/>
      <c r="BD32" s="410"/>
      <c r="BE32" s="410"/>
      <c r="BF32" s="404" t="str">
        <f>IFERROR(VLOOKUP(AU31,اسماء,3,0),"")</f>
        <v/>
      </c>
      <c r="BG32" s="406"/>
    </row>
    <row r="33" spans="1:59" ht="35.1" customHeight="1" x14ac:dyDescent="0.25">
      <c r="A33" s="185" t="s">
        <v>137</v>
      </c>
      <c r="B33" s="186" t="str">
        <f>IFERROR(VLOOKUP(B31,اسماء,73,0),"")</f>
        <v>8</v>
      </c>
      <c r="C33" s="186" t="str">
        <f>IFERROR(VLOOKUP(B31,اسماء,74,0),"")</f>
        <v>8</v>
      </c>
      <c r="D33" s="186" t="str">
        <f>IFERROR(VLOOKUP(B31,اسماء,75,0),"")</f>
        <v>7</v>
      </c>
      <c r="E33" s="186" t="str">
        <f>IFERROR(VLOOKUP(B31,اسماء,76,0),"")</f>
        <v>4</v>
      </c>
      <c r="F33" s="186" t="str">
        <f>IFERROR(VLOOKUP(B31,اسماء,77,0),"")</f>
        <v>7</v>
      </c>
      <c r="G33" s="186" t="str">
        <f>IFERROR(VLOOKUP(B31,اسماء,78,0),"")</f>
        <v>6</v>
      </c>
      <c r="H33" s="186" t="str">
        <f>IFERROR(VLOOKUP(B31,اسماء,78,0),"")</f>
        <v>6</v>
      </c>
      <c r="I33" s="186" t="str">
        <f>IFERROR(VLOOKUP(B31,اسماء,79,0),"")</f>
        <v>0</v>
      </c>
      <c r="J33" s="186" t="str">
        <f>IFERROR(VLOOKUP(B31,اسماء,80,0),"")</f>
        <v>6</v>
      </c>
      <c r="K33" s="186" t="str">
        <f>IFERROR(VLOOKUP(B31,اسماء,82,0),"")</f>
        <v>0</v>
      </c>
      <c r="L33" s="186" t="str">
        <f>IFERROR(VLOOKUP(B31,اسماء,83,0),"")</f>
        <v>2</v>
      </c>
      <c r="M33" s="186" t="str">
        <f>IFERROR(VLOOKUP(B31,اسماء,84,0),"")</f>
        <v>1</v>
      </c>
      <c r="N33" s="187"/>
      <c r="P33" s="185" t="s">
        <v>137</v>
      </c>
      <c r="Q33" s="186" t="str">
        <f>IFERROR(VLOOKUP(Q31,اسماء,73,0),"")</f>
        <v/>
      </c>
      <c r="R33" s="186" t="str">
        <f>IFERROR(VLOOKUP(Q31,اسماء,74,0),"")</f>
        <v/>
      </c>
      <c r="S33" s="186" t="str">
        <f>IFERROR(VLOOKUP(Q31,اسماء,75,0),"")</f>
        <v/>
      </c>
      <c r="T33" s="186" t="str">
        <f>IFERROR(VLOOKUP(Q31,اسماء,76,0),"")</f>
        <v/>
      </c>
      <c r="U33" s="186" t="str">
        <f>IFERROR(VLOOKUP(Q31,اسماء,77,0),"")</f>
        <v/>
      </c>
      <c r="V33" s="186" t="str">
        <f>IFERROR(VLOOKUP(Q31,اسماء,78,0),"")</f>
        <v/>
      </c>
      <c r="W33" s="186" t="str">
        <f>IFERROR(VLOOKUP(Q31,اسماء,78,0),"")</f>
        <v/>
      </c>
      <c r="X33" s="186" t="str">
        <f>IFERROR(VLOOKUP(Q31,اسماء,79,0),"")</f>
        <v/>
      </c>
      <c r="Y33" s="186" t="str">
        <f>IFERROR(VLOOKUP(Q31,اسماء,80,0),"")</f>
        <v/>
      </c>
      <c r="Z33" s="186" t="str">
        <f>IFERROR(VLOOKUP(Q31,اسماء,82,0),"")</f>
        <v/>
      </c>
      <c r="AA33" s="186" t="str">
        <f>IFERROR(VLOOKUP(Q31,اسماء,83,0),"")</f>
        <v/>
      </c>
      <c r="AB33" s="186" t="str">
        <f>IFERROR(VLOOKUP(Q31,اسماء,84,0),"")</f>
        <v/>
      </c>
      <c r="AC33" s="187"/>
      <c r="AE33" s="185" t="s">
        <v>137</v>
      </c>
      <c r="AF33" s="186" t="str">
        <f>IFERROR(VLOOKUP(AF31,اسماء,73,0),"")</f>
        <v>5</v>
      </c>
      <c r="AG33" s="186" t="str">
        <f>IFERROR(VLOOKUP(AF31,اسماء,74,0),"")</f>
        <v>0</v>
      </c>
      <c r="AH33" s="186" t="str">
        <f>IFERROR(VLOOKUP(AF31,اسماء,75,0),"")</f>
        <v>1</v>
      </c>
      <c r="AI33" s="186" t="str">
        <f>IFERROR(VLOOKUP(AF31,اسماء,76,0),"")</f>
        <v>8</v>
      </c>
      <c r="AJ33" s="186" t="str">
        <f>IFERROR(VLOOKUP(AF31,اسماء,77,0),"")</f>
        <v>4</v>
      </c>
      <c r="AK33" s="186" t="str">
        <f>IFERROR(VLOOKUP(AF31,اسماء,78,0),"")</f>
        <v>9</v>
      </c>
      <c r="AL33" s="186" t="str">
        <f>IFERROR(VLOOKUP(AF31,اسماء,78,0),"")</f>
        <v>9</v>
      </c>
      <c r="AM33" s="186" t="str">
        <f>IFERROR(VLOOKUP(AF31,اسماء,79,0),"")</f>
        <v>0</v>
      </c>
      <c r="AN33" s="186" t="str">
        <f>IFERROR(VLOOKUP(AF31,اسماء,80,0),"")</f>
        <v>6</v>
      </c>
      <c r="AO33" s="186" t="str">
        <f>IFERROR(VLOOKUP(AF31,اسماء,82,0),"")</f>
        <v>0</v>
      </c>
      <c r="AP33" s="186" t="str">
        <f>IFERROR(VLOOKUP(AF31,اسماء,83,0),"")</f>
        <v>2</v>
      </c>
      <c r="AQ33" s="186" t="str">
        <f>IFERROR(VLOOKUP(AF31,اسماء,84,0),"")</f>
        <v>2</v>
      </c>
      <c r="AR33" s="187"/>
      <c r="AT33" s="185" t="s">
        <v>137</v>
      </c>
      <c r="AU33" s="186" t="str">
        <f>IFERROR(VLOOKUP(AU31,اسماء,73,0),"")</f>
        <v/>
      </c>
      <c r="AV33" s="186" t="str">
        <f>IFERROR(VLOOKUP(AU31,اسماء,74,0),"")</f>
        <v/>
      </c>
      <c r="AW33" s="186" t="str">
        <f>IFERROR(VLOOKUP(AU31,اسماء,75,0),"")</f>
        <v/>
      </c>
      <c r="AX33" s="186" t="str">
        <f>IFERROR(VLOOKUP(AU31,اسماء,76,0),"")</f>
        <v/>
      </c>
      <c r="AY33" s="186" t="str">
        <f>IFERROR(VLOOKUP(AU31,اسماء,77,0),"")</f>
        <v/>
      </c>
      <c r="AZ33" s="186" t="str">
        <f>IFERROR(VLOOKUP(AU31,اسماء,78,0),"")</f>
        <v/>
      </c>
      <c r="BA33" s="186" t="str">
        <f>IFERROR(VLOOKUP(AU31,اسماء,78,0),"")</f>
        <v/>
      </c>
      <c r="BB33" s="186" t="str">
        <f>IFERROR(VLOOKUP(AU31,اسماء,79,0),"")</f>
        <v/>
      </c>
      <c r="BC33" s="186" t="str">
        <f>IFERROR(VLOOKUP(AU31,اسماء,80,0),"")</f>
        <v/>
      </c>
      <c r="BD33" s="186" t="str">
        <f>IFERROR(VLOOKUP(AU31,اسماء,82,0),"")</f>
        <v/>
      </c>
      <c r="BE33" s="186" t="str">
        <f>IFERROR(VLOOKUP(AU31,اسماء,83,0),"")</f>
        <v/>
      </c>
      <c r="BF33" s="186" t="str">
        <f>IFERROR(VLOOKUP(AU31,اسماء,84,0),"")</f>
        <v/>
      </c>
      <c r="BG33" s="187"/>
    </row>
    <row r="34" spans="1:59" ht="45" customHeight="1" x14ac:dyDescent="0.25">
      <c r="A34" s="185" t="s">
        <v>138</v>
      </c>
      <c r="B34" s="411" t="str">
        <f>IFERROR(VLOOKUP(B31,اسماء,86,0),"")</f>
        <v>ليبي</v>
      </c>
      <c r="C34" s="411"/>
      <c r="D34" s="411"/>
      <c r="E34" s="411"/>
      <c r="F34" s="411"/>
      <c r="G34" s="408" t="s">
        <v>139</v>
      </c>
      <c r="H34" s="408"/>
      <c r="I34" s="408" t="s">
        <v>140</v>
      </c>
      <c r="J34" s="408"/>
      <c r="K34" s="404" t="str">
        <f>IFERROR(VLOOKUP(B31,اسماء,87,0),"")</f>
        <v>مستجد</v>
      </c>
      <c r="L34" s="404"/>
      <c r="M34" s="404"/>
      <c r="N34" s="406"/>
      <c r="P34" s="185" t="s">
        <v>138</v>
      </c>
      <c r="Q34" s="411" t="str">
        <f>IFERROR(VLOOKUP(Q31,اسماء,86,0),"")</f>
        <v>ليبية</v>
      </c>
      <c r="R34" s="411"/>
      <c r="S34" s="411"/>
      <c r="T34" s="411"/>
      <c r="U34" s="411"/>
      <c r="V34" s="408" t="s">
        <v>139</v>
      </c>
      <c r="W34" s="408"/>
      <c r="X34" s="408" t="s">
        <v>140</v>
      </c>
      <c r="Y34" s="408"/>
      <c r="Z34" s="404" t="str">
        <f>IFERROR(VLOOKUP(Q31,اسماء,87,0),"")</f>
        <v>مستجد</v>
      </c>
      <c r="AA34" s="404"/>
      <c r="AB34" s="404"/>
      <c r="AC34" s="406"/>
      <c r="AE34" s="185" t="s">
        <v>138</v>
      </c>
      <c r="AF34" s="411" t="str">
        <f>IFERROR(VLOOKUP(AF31,اسماء,86,0),"")</f>
        <v>ليبية</v>
      </c>
      <c r="AG34" s="411"/>
      <c r="AH34" s="411"/>
      <c r="AI34" s="411"/>
      <c r="AJ34" s="411"/>
      <c r="AK34" s="408" t="s">
        <v>139</v>
      </c>
      <c r="AL34" s="408"/>
      <c r="AM34" s="408" t="s">
        <v>140</v>
      </c>
      <c r="AN34" s="408"/>
      <c r="AO34" s="404" t="str">
        <f>IFERROR(VLOOKUP(AF31,اسماء,87,0),"")</f>
        <v>مستجد</v>
      </c>
      <c r="AP34" s="404"/>
      <c r="AQ34" s="404"/>
      <c r="AR34" s="406"/>
      <c r="AT34" s="185" t="s">
        <v>138</v>
      </c>
      <c r="AU34" s="411" t="str">
        <f>IFERROR(VLOOKUP(AU31,اسماء,86,0),"")</f>
        <v/>
      </c>
      <c r="AV34" s="411"/>
      <c r="AW34" s="411"/>
      <c r="AX34" s="411"/>
      <c r="AY34" s="411"/>
      <c r="AZ34" s="408" t="s">
        <v>139</v>
      </c>
      <c r="BA34" s="408"/>
      <c r="BB34" s="408" t="s">
        <v>140</v>
      </c>
      <c r="BC34" s="408"/>
      <c r="BD34" s="404" t="str">
        <f>IFERROR(VLOOKUP(AU31,اسماء,87,0),"")</f>
        <v/>
      </c>
      <c r="BE34" s="404"/>
      <c r="BF34" s="404"/>
      <c r="BG34" s="406"/>
    </row>
    <row r="35" spans="1:59" ht="45" customHeight="1" x14ac:dyDescent="0.25">
      <c r="A35" s="185" t="s">
        <v>141</v>
      </c>
      <c r="B35" s="404" t="str">
        <f>IFERROR(VLOOKUP(B31,اسماء,89,0),"")</f>
        <v>سلسبيل الكاسح</v>
      </c>
      <c r="C35" s="404"/>
      <c r="D35" s="404"/>
      <c r="E35" s="404"/>
      <c r="F35" s="404"/>
      <c r="G35" s="408" t="s">
        <v>124</v>
      </c>
      <c r="H35" s="408"/>
      <c r="I35" s="408"/>
      <c r="J35" s="408"/>
      <c r="K35" s="404" t="str">
        <f>IFERROR(VLOOKUP(B31,اسماء,88,0),"")</f>
        <v>نظامي</v>
      </c>
      <c r="L35" s="404"/>
      <c r="M35" s="404"/>
      <c r="N35" s="406"/>
      <c r="P35" s="185" t="s">
        <v>141</v>
      </c>
      <c r="Q35" s="404" t="str">
        <f>IFERROR(VLOOKUP(Q31,اسماء,89,0),"")</f>
        <v>سلسبيل الكاسح</v>
      </c>
      <c r="R35" s="404"/>
      <c r="S35" s="404"/>
      <c r="T35" s="404"/>
      <c r="U35" s="404"/>
      <c r="V35" s="408" t="s">
        <v>124</v>
      </c>
      <c r="W35" s="408"/>
      <c r="X35" s="408"/>
      <c r="Y35" s="408"/>
      <c r="Z35" s="404" t="str">
        <f>IFERROR(VLOOKUP(Q31,اسماء,88,0),"")</f>
        <v>نظامي</v>
      </c>
      <c r="AA35" s="404"/>
      <c r="AB35" s="404"/>
      <c r="AC35" s="406"/>
      <c r="AE35" s="185" t="s">
        <v>141</v>
      </c>
      <c r="AF35" s="404" t="str">
        <f>IFERROR(VLOOKUP(AF31,اسماء,89,0),"")</f>
        <v>سلسبيل الكاسح</v>
      </c>
      <c r="AG35" s="404"/>
      <c r="AH35" s="404"/>
      <c r="AI35" s="404"/>
      <c r="AJ35" s="404"/>
      <c r="AK35" s="408" t="s">
        <v>124</v>
      </c>
      <c r="AL35" s="408"/>
      <c r="AM35" s="408"/>
      <c r="AN35" s="408"/>
      <c r="AO35" s="404" t="str">
        <f>IFERROR(VLOOKUP(AF31,اسماء,88,0),"")</f>
        <v>نظامي</v>
      </c>
      <c r="AP35" s="404"/>
      <c r="AQ35" s="404"/>
      <c r="AR35" s="406"/>
      <c r="AT35" s="185" t="s">
        <v>141</v>
      </c>
      <c r="AU35" s="404" t="str">
        <f>IFERROR(VLOOKUP(AU31,اسماء,89,0),"")</f>
        <v/>
      </c>
      <c r="AV35" s="404"/>
      <c r="AW35" s="404"/>
      <c r="AX35" s="404"/>
      <c r="AY35" s="404"/>
      <c r="AZ35" s="408" t="s">
        <v>124</v>
      </c>
      <c r="BA35" s="408"/>
      <c r="BB35" s="408"/>
      <c r="BC35" s="408"/>
      <c r="BD35" s="404" t="str">
        <f>IFERROR(VLOOKUP(AU31,اسماء,88,0),"")</f>
        <v/>
      </c>
      <c r="BE35" s="404"/>
      <c r="BF35" s="404"/>
      <c r="BG35" s="406"/>
    </row>
    <row r="36" spans="1:59" ht="45" customHeight="1" thickBot="1" x14ac:dyDescent="0.3">
      <c r="A36" s="412" t="s">
        <v>142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  <c r="L36" s="413"/>
      <c r="M36" s="413"/>
      <c r="N36" s="414"/>
      <c r="P36" s="412" t="s">
        <v>142</v>
      </c>
      <c r="Q36" s="413"/>
      <c r="R36" s="413"/>
      <c r="S36" s="413"/>
      <c r="T36" s="413"/>
      <c r="U36" s="413"/>
      <c r="V36" s="413"/>
      <c r="W36" s="413"/>
      <c r="X36" s="413"/>
      <c r="Y36" s="413"/>
      <c r="Z36" s="413"/>
      <c r="AA36" s="413"/>
      <c r="AB36" s="413"/>
      <c r="AC36" s="414"/>
      <c r="AE36" s="412" t="s">
        <v>142</v>
      </c>
      <c r="AF36" s="413"/>
      <c r="AG36" s="413"/>
      <c r="AH36" s="413"/>
      <c r="AI36" s="413"/>
      <c r="AJ36" s="413"/>
      <c r="AK36" s="413"/>
      <c r="AL36" s="413"/>
      <c r="AM36" s="413"/>
      <c r="AN36" s="413"/>
      <c r="AO36" s="413"/>
      <c r="AP36" s="413"/>
      <c r="AQ36" s="413"/>
      <c r="AR36" s="414"/>
      <c r="AT36" s="412" t="s">
        <v>142</v>
      </c>
      <c r="AU36" s="413"/>
      <c r="AV36" s="413"/>
      <c r="AW36" s="413"/>
      <c r="AX36" s="413"/>
      <c r="AY36" s="413"/>
      <c r="AZ36" s="413"/>
      <c r="BA36" s="413"/>
      <c r="BB36" s="413"/>
      <c r="BC36" s="413"/>
      <c r="BD36" s="413"/>
      <c r="BE36" s="413"/>
      <c r="BF36" s="413"/>
      <c r="BG36" s="414"/>
    </row>
    <row r="37" spans="1:59" ht="45" customHeight="1" thickTop="1" x14ac:dyDescent="0.4">
      <c r="A37" s="415" t="s">
        <v>143</v>
      </c>
      <c r="B37" s="416"/>
      <c r="C37" s="416"/>
      <c r="D37" s="416"/>
      <c r="E37" s="416"/>
      <c r="F37" s="416"/>
      <c r="G37" s="416"/>
      <c r="H37" s="416"/>
      <c r="I37" s="416"/>
      <c r="J37" s="416"/>
      <c r="K37" s="416"/>
      <c r="L37" s="416"/>
      <c r="M37" s="416"/>
      <c r="N37" s="417"/>
      <c r="P37" s="415" t="s">
        <v>143</v>
      </c>
      <c r="Q37" s="416"/>
      <c r="R37" s="416"/>
      <c r="S37" s="416"/>
      <c r="T37" s="416"/>
      <c r="U37" s="416"/>
      <c r="V37" s="416"/>
      <c r="W37" s="416"/>
      <c r="X37" s="416"/>
      <c r="Y37" s="416"/>
      <c r="Z37" s="416"/>
      <c r="AA37" s="416"/>
      <c r="AB37" s="416"/>
      <c r="AC37" s="417"/>
      <c r="AE37" s="415" t="s">
        <v>143</v>
      </c>
      <c r="AF37" s="416"/>
      <c r="AG37" s="416"/>
      <c r="AH37" s="416"/>
      <c r="AI37" s="416"/>
      <c r="AJ37" s="416"/>
      <c r="AK37" s="416"/>
      <c r="AL37" s="416"/>
      <c r="AM37" s="416"/>
      <c r="AN37" s="416"/>
      <c r="AO37" s="416"/>
      <c r="AP37" s="416"/>
      <c r="AQ37" s="416"/>
      <c r="AR37" s="417"/>
      <c r="AT37" s="415" t="s">
        <v>143</v>
      </c>
      <c r="AU37" s="416"/>
      <c r="AV37" s="416"/>
      <c r="AW37" s="416"/>
      <c r="AX37" s="416"/>
      <c r="AY37" s="416"/>
      <c r="AZ37" s="416"/>
      <c r="BA37" s="416"/>
      <c r="BB37" s="416"/>
      <c r="BC37" s="416"/>
      <c r="BD37" s="416"/>
      <c r="BE37" s="416"/>
      <c r="BF37" s="416"/>
      <c r="BG37" s="417"/>
    </row>
    <row r="38" spans="1:59" s="67" customFormat="1" ht="33" customHeight="1" x14ac:dyDescent="0.25">
      <c r="A38" s="418" t="s">
        <v>160</v>
      </c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19"/>
      <c r="P38" s="418" t="s">
        <v>160</v>
      </c>
      <c r="Q38" s="408"/>
      <c r="R38" s="408"/>
      <c r="S38" s="408"/>
      <c r="T38" s="408"/>
      <c r="U38" s="408"/>
      <c r="V38" s="408"/>
      <c r="W38" s="408"/>
      <c r="X38" s="408"/>
      <c r="Y38" s="408"/>
      <c r="Z38" s="408"/>
      <c r="AA38" s="408"/>
      <c r="AB38" s="408"/>
      <c r="AC38" s="419"/>
      <c r="AE38" s="418" t="s">
        <v>160</v>
      </c>
      <c r="AF38" s="408"/>
      <c r="AG38" s="408"/>
      <c r="AH38" s="408"/>
      <c r="AI38" s="408"/>
      <c r="AJ38" s="408"/>
      <c r="AK38" s="408"/>
      <c r="AL38" s="408"/>
      <c r="AM38" s="408"/>
      <c r="AN38" s="408"/>
      <c r="AO38" s="408"/>
      <c r="AP38" s="408"/>
      <c r="AQ38" s="408"/>
      <c r="AR38" s="419"/>
      <c r="AT38" s="418" t="s">
        <v>160</v>
      </c>
      <c r="AU38" s="408"/>
      <c r="AV38" s="408"/>
      <c r="AW38" s="408"/>
      <c r="AX38" s="408"/>
      <c r="AY38" s="408"/>
      <c r="AZ38" s="408"/>
      <c r="BA38" s="408"/>
      <c r="BB38" s="408"/>
      <c r="BC38" s="408"/>
      <c r="BD38" s="408"/>
      <c r="BE38" s="408"/>
      <c r="BF38" s="408"/>
      <c r="BG38" s="419"/>
    </row>
    <row r="39" spans="1:59" ht="33" customHeight="1" x14ac:dyDescent="0.4">
      <c r="A39" s="420" t="s">
        <v>144</v>
      </c>
      <c r="B39" s="421"/>
      <c r="C39" s="421"/>
      <c r="D39" s="421"/>
      <c r="E39" s="421"/>
      <c r="F39" s="421"/>
      <c r="G39" s="408"/>
      <c r="H39" s="408"/>
      <c r="I39" s="408"/>
      <c r="J39" s="408"/>
      <c r="K39" s="408"/>
      <c r="L39" s="408"/>
      <c r="M39" s="408"/>
      <c r="N39" s="419"/>
      <c r="P39" s="420" t="s">
        <v>144</v>
      </c>
      <c r="Q39" s="421"/>
      <c r="R39" s="421"/>
      <c r="S39" s="421"/>
      <c r="T39" s="421"/>
      <c r="U39" s="421"/>
      <c r="V39" s="408"/>
      <c r="W39" s="408"/>
      <c r="X39" s="408"/>
      <c r="Y39" s="408"/>
      <c r="Z39" s="408"/>
      <c r="AA39" s="408"/>
      <c r="AB39" s="408"/>
      <c r="AC39" s="419"/>
      <c r="AE39" s="420" t="s">
        <v>144</v>
      </c>
      <c r="AF39" s="421"/>
      <c r="AG39" s="421"/>
      <c r="AH39" s="421"/>
      <c r="AI39" s="421"/>
      <c r="AJ39" s="421"/>
      <c r="AK39" s="408"/>
      <c r="AL39" s="408"/>
      <c r="AM39" s="408"/>
      <c r="AN39" s="408"/>
      <c r="AO39" s="408"/>
      <c r="AP39" s="408"/>
      <c r="AQ39" s="408"/>
      <c r="AR39" s="419"/>
      <c r="AT39" s="420" t="s">
        <v>144</v>
      </c>
      <c r="AU39" s="421"/>
      <c r="AV39" s="421"/>
      <c r="AW39" s="421"/>
      <c r="AX39" s="421"/>
      <c r="AY39" s="421"/>
      <c r="AZ39" s="408"/>
      <c r="BA39" s="408"/>
      <c r="BB39" s="408"/>
      <c r="BC39" s="408"/>
      <c r="BD39" s="408"/>
      <c r="BE39" s="408"/>
      <c r="BF39" s="408"/>
      <c r="BG39" s="419"/>
    </row>
    <row r="40" spans="1:59" s="190" customFormat="1" ht="30" customHeight="1" x14ac:dyDescent="0.4">
      <c r="A40" s="185" t="s">
        <v>145</v>
      </c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9" t="s">
        <v>146</v>
      </c>
      <c r="P40" s="185" t="s">
        <v>145</v>
      </c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9" t="s">
        <v>146</v>
      </c>
      <c r="AE40" s="185" t="s">
        <v>145</v>
      </c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9" t="s">
        <v>146</v>
      </c>
      <c r="AT40" s="185" t="s">
        <v>145</v>
      </c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9" t="s">
        <v>146</v>
      </c>
    </row>
    <row r="41" spans="1:59" ht="30" customHeight="1" x14ac:dyDescent="0.4">
      <c r="A41" s="19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92"/>
      <c r="P41" s="191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92"/>
      <c r="AE41" s="191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92"/>
      <c r="AT41" s="191"/>
      <c r="AU41" s="188"/>
      <c r="AV41" s="188"/>
      <c r="AW41" s="188"/>
      <c r="AX41" s="188"/>
      <c r="AY41" s="188"/>
      <c r="AZ41" s="188"/>
      <c r="BA41" s="188"/>
      <c r="BB41" s="188"/>
      <c r="BC41" s="188"/>
      <c r="BD41" s="188"/>
      <c r="BE41" s="188"/>
      <c r="BF41" s="188"/>
      <c r="BG41" s="192"/>
    </row>
    <row r="42" spans="1:59" ht="24.95" customHeight="1" x14ac:dyDescent="0.5">
      <c r="A42" s="193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94"/>
      <c r="P42" s="193"/>
      <c r="Q42" s="182"/>
      <c r="R42" s="182"/>
      <c r="S42" s="182"/>
      <c r="T42" s="182"/>
      <c r="U42" s="182"/>
      <c r="V42" s="182"/>
      <c r="W42" s="182"/>
      <c r="X42" s="182"/>
      <c r="Y42" s="182"/>
      <c r="Z42" s="182"/>
      <c r="AA42" s="182"/>
      <c r="AB42" s="182"/>
      <c r="AC42" s="194"/>
      <c r="AE42" s="193"/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182"/>
      <c r="AR42" s="194"/>
      <c r="AT42" s="193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94"/>
    </row>
    <row r="43" spans="1:59" ht="24.95" customHeight="1" thickBot="1" x14ac:dyDescent="0.55000000000000004">
      <c r="A43" s="195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7"/>
      <c r="P43" s="195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7"/>
      <c r="AE43" s="195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7"/>
      <c r="AT43" s="195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7"/>
    </row>
    <row r="44" spans="1:59" ht="16.5" thickTop="1" thickBot="1" x14ac:dyDescent="0.3"/>
    <row r="45" spans="1:59" s="182" customFormat="1" ht="39.950000000000003" customHeight="1" thickTop="1" x14ac:dyDescent="0.5">
      <c r="A45" s="180">
        <f>A23-1</f>
        <v>13</v>
      </c>
      <c r="B45" s="383" t="s">
        <v>39</v>
      </c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181"/>
      <c r="P45" s="180">
        <f>A45-5</f>
        <v>8</v>
      </c>
      <c r="Q45" s="383" t="s">
        <v>39</v>
      </c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  <c r="AC45" s="181"/>
      <c r="AE45" s="180">
        <f>P45-5</f>
        <v>3</v>
      </c>
      <c r="AF45" s="383" t="s">
        <v>39</v>
      </c>
      <c r="AG45" s="383"/>
      <c r="AH45" s="383"/>
      <c r="AI45" s="383"/>
      <c r="AJ45" s="383"/>
      <c r="AK45" s="383"/>
      <c r="AL45" s="383"/>
      <c r="AM45" s="383"/>
      <c r="AN45" s="383"/>
      <c r="AO45" s="383"/>
      <c r="AP45" s="383"/>
      <c r="AQ45" s="383"/>
      <c r="AR45" s="181"/>
      <c r="AT45" s="180">
        <f>AE45-5</f>
        <v>-2</v>
      </c>
      <c r="AU45" s="383" t="s">
        <v>39</v>
      </c>
      <c r="AV45" s="383"/>
      <c r="AW45" s="383"/>
      <c r="AX45" s="383"/>
      <c r="AY45" s="383"/>
      <c r="AZ45" s="383"/>
      <c r="BA45" s="383"/>
      <c r="BB45" s="383"/>
      <c r="BC45" s="383"/>
      <c r="BD45" s="383"/>
      <c r="BE45" s="383"/>
      <c r="BF45" s="383"/>
      <c r="BG45" s="181"/>
    </row>
    <row r="46" spans="1:59" s="182" customFormat="1" ht="39.950000000000003" customHeight="1" x14ac:dyDescent="0.5">
      <c r="A46" s="384" t="s">
        <v>40</v>
      </c>
      <c r="B46" s="385"/>
      <c r="C46" s="385"/>
      <c r="D46" s="385"/>
      <c r="E46" s="385"/>
      <c r="F46" s="385"/>
      <c r="G46" s="385"/>
      <c r="H46" s="385"/>
      <c r="I46" s="385"/>
      <c r="J46" s="385"/>
      <c r="K46" s="385"/>
      <c r="L46" s="385"/>
      <c r="M46" s="385"/>
      <c r="N46" s="386"/>
      <c r="P46" s="384" t="s">
        <v>40</v>
      </c>
      <c r="Q46" s="385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  <c r="AC46" s="386"/>
      <c r="AE46" s="384" t="s">
        <v>40</v>
      </c>
      <c r="AF46" s="385"/>
      <c r="AG46" s="385"/>
      <c r="AH46" s="385"/>
      <c r="AI46" s="385"/>
      <c r="AJ46" s="385"/>
      <c r="AK46" s="385"/>
      <c r="AL46" s="385"/>
      <c r="AM46" s="385"/>
      <c r="AN46" s="385"/>
      <c r="AO46" s="385"/>
      <c r="AP46" s="385"/>
      <c r="AQ46" s="385"/>
      <c r="AR46" s="386"/>
      <c r="AT46" s="384" t="s">
        <v>40</v>
      </c>
      <c r="AU46" s="385"/>
      <c r="AV46" s="385"/>
      <c r="AW46" s="385"/>
      <c r="AX46" s="385"/>
      <c r="AY46" s="385"/>
      <c r="AZ46" s="385"/>
      <c r="BA46" s="385"/>
      <c r="BB46" s="385"/>
      <c r="BC46" s="385"/>
      <c r="BD46" s="385"/>
      <c r="BE46" s="385"/>
      <c r="BF46" s="385"/>
      <c r="BG46" s="386"/>
    </row>
    <row r="47" spans="1:59" s="182" customFormat="1" ht="39.950000000000003" customHeight="1" x14ac:dyDescent="0.5">
      <c r="A47" s="387" t="s">
        <v>161</v>
      </c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9"/>
      <c r="P47" s="387" t="s">
        <v>161</v>
      </c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9"/>
      <c r="AE47" s="387" t="s">
        <v>161</v>
      </c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9"/>
      <c r="AT47" s="387" t="s">
        <v>161</v>
      </c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9"/>
    </row>
    <row r="48" spans="1:59" s="182" customFormat="1" ht="39.950000000000003" customHeight="1" x14ac:dyDescent="0.5">
      <c r="A48" s="390" t="s">
        <v>125</v>
      </c>
      <c r="B48" s="391"/>
      <c r="C48" s="391"/>
      <c r="D48" s="391"/>
      <c r="E48" s="391"/>
      <c r="F48" s="391"/>
      <c r="G48" s="391"/>
      <c r="H48" s="391"/>
      <c r="I48" s="391"/>
      <c r="J48" s="391"/>
      <c r="K48" s="392" t="str">
        <f>ادخال1!$CM$7</f>
        <v>الاساسي</v>
      </c>
      <c r="L48" s="392"/>
      <c r="M48" s="392"/>
      <c r="N48" s="393"/>
      <c r="P48" s="390" t="s">
        <v>125</v>
      </c>
      <c r="Q48" s="391"/>
      <c r="R48" s="391"/>
      <c r="S48" s="391"/>
      <c r="T48" s="391"/>
      <c r="U48" s="391"/>
      <c r="V48" s="391"/>
      <c r="W48" s="391"/>
      <c r="X48" s="391"/>
      <c r="Y48" s="391"/>
      <c r="Z48" s="392" t="str">
        <f>ادخال1!$CM$7</f>
        <v>الاساسي</v>
      </c>
      <c r="AA48" s="392"/>
      <c r="AB48" s="392"/>
      <c r="AC48" s="393"/>
      <c r="AE48" s="390" t="s">
        <v>125</v>
      </c>
      <c r="AF48" s="391"/>
      <c r="AG48" s="391"/>
      <c r="AH48" s="391"/>
      <c r="AI48" s="391"/>
      <c r="AJ48" s="391"/>
      <c r="AK48" s="391"/>
      <c r="AL48" s="391"/>
      <c r="AM48" s="391"/>
      <c r="AN48" s="391"/>
      <c r="AO48" s="392" t="str">
        <f>ادخال1!$CM$7</f>
        <v>الاساسي</v>
      </c>
      <c r="AP48" s="392"/>
      <c r="AQ48" s="392"/>
      <c r="AR48" s="393"/>
      <c r="AT48" s="390" t="s">
        <v>125</v>
      </c>
      <c r="AU48" s="391"/>
      <c r="AV48" s="391"/>
      <c r="AW48" s="391"/>
      <c r="AX48" s="391"/>
      <c r="AY48" s="391"/>
      <c r="AZ48" s="391"/>
      <c r="BA48" s="391"/>
      <c r="BB48" s="391"/>
      <c r="BC48" s="391"/>
      <c r="BD48" s="392" t="str">
        <f>ادخال1!$CM$7</f>
        <v>الاساسي</v>
      </c>
      <c r="BE48" s="392"/>
      <c r="BF48" s="392"/>
      <c r="BG48" s="393"/>
    </row>
    <row r="49" spans="1:59" s="182" customFormat="1" ht="39.950000000000003" customHeight="1" x14ac:dyDescent="0.5">
      <c r="A49" s="394" t="s">
        <v>126</v>
      </c>
      <c r="B49" s="395"/>
      <c r="C49" s="395"/>
      <c r="D49" s="395"/>
      <c r="E49" s="395"/>
      <c r="F49" s="395"/>
      <c r="G49" s="396" t="str">
        <f>ادخال1!$CK$5</f>
        <v>الرابع</v>
      </c>
      <c r="H49" s="396"/>
      <c r="I49" s="396"/>
      <c r="J49" s="396"/>
      <c r="K49" s="396"/>
      <c r="L49" s="396"/>
      <c r="M49" s="396"/>
      <c r="N49" s="397"/>
      <c r="P49" s="394" t="s">
        <v>126</v>
      </c>
      <c r="Q49" s="395"/>
      <c r="R49" s="395"/>
      <c r="S49" s="395"/>
      <c r="T49" s="395"/>
      <c r="U49" s="395"/>
      <c r="V49" s="396" t="str">
        <f>ادخال1!$CK$5</f>
        <v>الرابع</v>
      </c>
      <c r="W49" s="396"/>
      <c r="X49" s="396"/>
      <c r="Y49" s="396"/>
      <c r="Z49" s="396"/>
      <c r="AA49" s="396"/>
      <c r="AB49" s="396"/>
      <c r="AC49" s="397"/>
      <c r="AE49" s="394" t="s">
        <v>126</v>
      </c>
      <c r="AF49" s="395"/>
      <c r="AG49" s="395"/>
      <c r="AH49" s="395"/>
      <c r="AI49" s="395"/>
      <c r="AJ49" s="395"/>
      <c r="AK49" s="396" t="str">
        <f>ادخال1!$CK$5</f>
        <v>الرابع</v>
      </c>
      <c r="AL49" s="396"/>
      <c r="AM49" s="396"/>
      <c r="AN49" s="396"/>
      <c r="AO49" s="396"/>
      <c r="AP49" s="396"/>
      <c r="AQ49" s="396"/>
      <c r="AR49" s="397"/>
      <c r="AT49" s="394" t="s">
        <v>126</v>
      </c>
      <c r="AU49" s="395"/>
      <c r="AV49" s="395"/>
      <c r="AW49" s="395"/>
      <c r="AX49" s="395"/>
      <c r="AY49" s="395"/>
      <c r="AZ49" s="396" t="str">
        <f>ادخال1!$CK$5</f>
        <v>الرابع</v>
      </c>
      <c r="BA49" s="396"/>
      <c r="BB49" s="396"/>
      <c r="BC49" s="396"/>
      <c r="BD49" s="396"/>
      <c r="BE49" s="396"/>
      <c r="BF49" s="396"/>
      <c r="BG49" s="397"/>
    </row>
    <row r="50" spans="1:59" s="182" customFormat="1" ht="39.950000000000003" customHeight="1" x14ac:dyDescent="0.5">
      <c r="A50" s="183" t="s">
        <v>115</v>
      </c>
      <c r="B50" s="398" t="str">
        <f>ادخال1!$CJ$8</f>
        <v>1447ـ/1448 هـ</v>
      </c>
      <c r="C50" s="398"/>
      <c r="D50" s="398"/>
      <c r="E50" s="398"/>
      <c r="F50" s="399" t="s">
        <v>127</v>
      </c>
      <c r="G50" s="399"/>
      <c r="H50" s="400" t="s">
        <v>128</v>
      </c>
      <c r="I50" s="400"/>
      <c r="J50" s="401" t="str">
        <f>ادخال1!$CK$8</f>
        <v xml:space="preserve"> 2026 /2025</v>
      </c>
      <c r="K50" s="401"/>
      <c r="L50" s="401"/>
      <c r="M50" s="401"/>
      <c r="N50" s="184" t="s">
        <v>129</v>
      </c>
      <c r="P50" s="183" t="s">
        <v>115</v>
      </c>
      <c r="Q50" s="398" t="str">
        <f>ادخال1!$CJ$8</f>
        <v>1447ـ/1448 هـ</v>
      </c>
      <c r="R50" s="398"/>
      <c r="S50" s="398"/>
      <c r="T50" s="398"/>
      <c r="U50" s="399" t="s">
        <v>127</v>
      </c>
      <c r="V50" s="399"/>
      <c r="W50" s="400" t="s">
        <v>128</v>
      </c>
      <c r="X50" s="400"/>
      <c r="Y50" s="401" t="str">
        <f>ادخال1!$CK$8</f>
        <v xml:space="preserve"> 2026 /2025</v>
      </c>
      <c r="Z50" s="401"/>
      <c r="AA50" s="401"/>
      <c r="AB50" s="401"/>
      <c r="AC50" s="184" t="s">
        <v>129</v>
      </c>
      <c r="AE50" s="183" t="s">
        <v>115</v>
      </c>
      <c r="AF50" s="398" t="str">
        <f>ادخال1!$CJ$8</f>
        <v>1447ـ/1448 هـ</v>
      </c>
      <c r="AG50" s="398"/>
      <c r="AH50" s="398"/>
      <c r="AI50" s="398"/>
      <c r="AJ50" s="399" t="s">
        <v>127</v>
      </c>
      <c r="AK50" s="399"/>
      <c r="AL50" s="400" t="s">
        <v>128</v>
      </c>
      <c r="AM50" s="400"/>
      <c r="AN50" s="401" t="str">
        <f>ادخال1!$CK$8</f>
        <v xml:space="preserve"> 2026 /2025</v>
      </c>
      <c r="AO50" s="401"/>
      <c r="AP50" s="401"/>
      <c r="AQ50" s="401"/>
      <c r="AR50" s="184" t="s">
        <v>129</v>
      </c>
      <c r="AT50" s="183" t="s">
        <v>115</v>
      </c>
      <c r="AU50" s="398" t="str">
        <f>ادخال1!$CJ$8</f>
        <v>1447ـ/1448 هـ</v>
      </c>
      <c r="AV50" s="398"/>
      <c r="AW50" s="398"/>
      <c r="AX50" s="398"/>
      <c r="AY50" s="399" t="s">
        <v>127</v>
      </c>
      <c r="AZ50" s="399"/>
      <c r="BA50" s="400" t="s">
        <v>128</v>
      </c>
      <c r="BB50" s="400"/>
      <c r="BC50" s="401" t="str">
        <f>ادخال1!$CK$8</f>
        <v xml:space="preserve"> 2026 /2025</v>
      </c>
      <c r="BD50" s="401"/>
      <c r="BE50" s="401"/>
      <c r="BF50" s="401"/>
      <c r="BG50" s="184" t="s">
        <v>129</v>
      </c>
    </row>
    <row r="51" spans="1:59" ht="45" customHeight="1" x14ac:dyDescent="0.25">
      <c r="A51" s="185" t="s">
        <v>130</v>
      </c>
      <c r="B51" s="402" t="str">
        <f>ادخال1!$CK$4</f>
        <v>تاجوراء</v>
      </c>
      <c r="C51" s="402"/>
      <c r="D51" s="402"/>
      <c r="E51" s="402"/>
      <c r="F51" s="402"/>
      <c r="G51" s="402"/>
      <c r="H51" s="402"/>
      <c r="I51" s="402"/>
      <c r="J51" s="402"/>
      <c r="K51" s="402"/>
      <c r="L51" s="402"/>
      <c r="M51" s="402"/>
      <c r="N51" s="403"/>
      <c r="P51" s="185" t="s">
        <v>130</v>
      </c>
      <c r="Q51" s="402" t="str">
        <f>ادخال1!$CK$4</f>
        <v>تاجوراء</v>
      </c>
      <c r="R51" s="402"/>
      <c r="S51" s="402"/>
      <c r="T51" s="402"/>
      <c r="U51" s="402"/>
      <c r="V51" s="402"/>
      <c r="W51" s="402"/>
      <c r="X51" s="402"/>
      <c r="Y51" s="402"/>
      <c r="Z51" s="402"/>
      <c r="AA51" s="402"/>
      <c r="AB51" s="402"/>
      <c r="AC51" s="403"/>
      <c r="AE51" s="185" t="s">
        <v>130</v>
      </c>
      <c r="AF51" s="402" t="str">
        <f>ادخال1!$CK$4</f>
        <v>تاجوراء</v>
      </c>
      <c r="AG51" s="402"/>
      <c r="AH51" s="402"/>
      <c r="AI51" s="402"/>
      <c r="AJ51" s="402"/>
      <c r="AK51" s="402"/>
      <c r="AL51" s="402"/>
      <c r="AM51" s="402"/>
      <c r="AN51" s="402"/>
      <c r="AO51" s="402"/>
      <c r="AP51" s="402"/>
      <c r="AQ51" s="402"/>
      <c r="AR51" s="403"/>
      <c r="AT51" s="185" t="s">
        <v>130</v>
      </c>
      <c r="AU51" s="402" t="str">
        <f>ادخال1!$CK$4</f>
        <v>تاجوراء</v>
      </c>
      <c r="AV51" s="402"/>
      <c r="AW51" s="402"/>
      <c r="AX51" s="402"/>
      <c r="AY51" s="402"/>
      <c r="AZ51" s="402"/>
      <c r="BA51" s="402"/>
      <c r="BB51" s="402"/>
      <c r="BC51" s="402"/>
      <c r="BD51" s="402"/>
      <c r="BE51" s="402"/>
      <c r="BF51" s="402"/>
      <c r="BG51" s="403"/>
    </row>
    <row r="52" spans="1:59" ht="45" customHeight="1" x14ac:dyDescent="0.25">
      <c r="A52" s="185" t="s">
        <v>131</v>
      </c>
      <c r="B52" s="404" t="str">
        <f>ادخال1!$CI$6</f>
        <v xml:space="preserve">سهول العلم للتعليم الخاص </v>
      </c>
      <c r="C52" s="404"/>
      <c r="D52" s="404"/>
      <c r="E52" s="404"/>
      <c r="F52" s="404"/>
      <c r="G52" s="404"/>
      <c r="H52" s="404"/>
      <c r="I52" s="404"/>
      <c r="J52" s="405" t="s">
        <v>132</v>
      </c>
      <c r="K52" s="405"/>
      <c r="L52" s="405"/>
      <c r="M52" s="404" t="str">
        <f>ادخال1!$CI$8</f>
        <v>تاجوراء</v>
      </c>
      <c r="N52" s="406"/>
      <c r="P52" s="185" t="s">
        <v>131</v>
      </c>
      <c r="Q52" s="404" t="str">
        <f>ادخال1!$CI$6</f>
        <v xml:space="preserve">سهول العلم للتعليم الخاص </v>
      </c>
      <c r="R52" s="404"/>
      <c r="S52" s="404"/>
      <c r="T52" s="404"/>
      <c r="U52" s="404"/>
      <c r="V52" s="404"/>
      <c r="W52" s="404"/>
      <c r="X52" s="404"/>
      <c r="Y52" s="405" t="s">
        <v>132</v>
      </c>
      <c r="Z52" s="405"/>
      <c r="AA52" s="405"/>
      <c r="AB52" s="404" t="str">
        <f>ادخال1!$CI$8</f>
        <v>تاجوراء</v>
      </c>
      <c r="AC52" s="406"/>
      <c r="AE52" s="185" t="s">
        <v>131</v>
      </c>
      <c r="AF52" s="404" t="str">
        <f>ادخال1!$CI$6</f>
        <v xml:space="preserve">سهول العلم للتعليم الخاص </v>
      </c>
      <c r="AG52" s="404"/>
      <c r="AH52" s="404"/>
      <c r="AI52" s="404"/>
      <c r="AJ52" s="404"/>
      <c r="AK52" s="404"/>
      <c r="AL52" s="404"/>
      <c r="AM52" s="404"/>
      <c r="AN52" s="405" t="s">
        <v>132</v>
      </c>
      <c r="AO52" s="405"/>
      <c r="AP52" s="405"/>
      <c r="AQ52" s="404" t="str">
        <f>ادخال1!$CI$8</f>
        <v>تاجوراء</v>
      </c>
      <c r="AR52" s="406"/>
      <c r="AT52" s="185" t="s">
        <v>131</v>
      </c>
      <c r="AU52" s="404" t="str">
        <f>ادخال1!$CI$6</f>
        <v xml:space="preserve">سهول العلم للتعليم الخاص </v>
      </c>
      <c r="AV52" s="404"/>
      <c r="AW52" s="404"/>
      <c r="AX52" s="404"/>
      <c r="AY52" s="404"/>
      <c r="AZ52" s="404"/>
      <c r="BA52" s="404"/>
      <c r="BB52" s="404"/>
      <c r="BC52" s="405" t="s">
        <v>132</v>
      </c>
      <c r="BD52" s="405"/>
      <c r="BE52" s="405"/>
      <c r="BF52" s="404" t="str">
        <f>ادخال1!$CI$8</f>
        <v>تاجوراء</v>
      </c>
      <c r="BG52" s="406"/>
    </row>
    <row r="53" spans="1:59" ht="45" customHeight="1" x14ac:dyDescent="0.25">
      <c r="A53" s="185" t="s">
        <v>133</v>
      </c>
      <c r="B53" s="407" t="str">
        <f>IFERROR(VLOOKUP(A45,مسلسل,2,0),0)</f>
        <v>كنان حسني محمد محمد سمالوس</v>
      </c>
      <c r="C53" s="407">
        <f t="shared" ref="C53" si="50">IFERROR(VLOOKUP(B53,مسلسل,2,0),0)</f>
        <v>0</v>
      </c>
      <c r="D53" s="407">
        <f t="shared" ref="D53" si="51">IFERROR(VLOOKUP(C53,مسلسل,2,0),0)</f>
        <v>0</v>
      </c>
      <c r="E53" s="407">
        <f t="shared" ref="E53" si="52">IFERROR(VLOOKUP(D53,مسلسل,2,0),0)</f>
        <v>0</v>
      </c>
      <c r="F53" s="407">
        <f t="shared" ref="F53" si="53">IFERROR(VLOOKUP(E53,مسلسل,2,0),0)</f>
        <v>0</v>
      </c>
      <c r="G53" s="407">
        <f t="shared" ref="G53" si="54">IFERROR(VLOOKUP(F53,مسلسل,2,0),0)</f>
        <v>0</v>
      </c>
      <c r="H53" s="407">
        <f t="shared" ref="H53" si="55">IFERROR(VLOOKUP(G53,مسلسل,2,0),0)</f>
        <v>0</v>
      </c>
      <c r="I53" s="407">
        <f t="shared" ref="I53" si="56">IFERROR(VLOOKUP(H53,مسلسل,2,0),0)</f>
        <v>0</v>
      </c>
      <c r="J53" s="405" t="s">
        <v>134</v>
      </c>
      <c r="K53" s="405"/>
      <c r="L53" s="405"/>
      <c r="M53" s="404" t="str">
        <f>IFERROR(VLOOKUP(B53,اسماء,72,0),"")</f>
        <v>سمالوس</v>
      </c>
      <c r="N53" s="406"/>
      <c r="P53" s="185" t="s">
        <v>133</v>
      </c>
      <c r="Q53" s="407" t="str">
        <f>IFERROR(VLOOKUP(P45,مسلسل,2,0),0)</f>
        <v>سفيان عبدالباسط اللافي محمد</v>
      </c>
      <c r="R53" s="407">
        <f t="shared" ref="R53" si="57">IFERROR(VLOOKUP(Q53,مسلسل,2,0),0)</f>
        <v>0</v>
      </c>
      <c r="S53" s="407">
        <f t="shared" ref="S53" si="58">IFERROR(VLOOKUP(R53,مسلسل,2,0),0)</f>
        <v>0</v>
      </c>
      <c r="T53" s="407">
        <f t="shared" ref="T53" si="59">IFERROR(VLOOKUP(S53,مسلسل,2,0),0)</f>
        <v>0</v>
      </c>
      <c r="U53" s="407">
        <f t="shared" ref="U53" si="60">IFERROR(VLOOKUP(T53,مسلسل,2,0),0)</f>
        <v>0</v>
      </c>
      <c r="V53" s="407">
        <f t="shared" ref="V53" si="61">IFERROR(VLOOKUP(U53,مسلسل,2,0),0)</f>
        <v>0</v>
      </c>
      <c r="W53" s="407">
        <f t="shared" ref="W53" si="62">IFERROR(VLOOKUP(V53,مسلسل,2,0),0)</f>
        <v>0</v>
      </c>
      <c r="X53" s="407">
        <f t="shared" ref="X53" si="63">IFERROR(VLOOKUP(W53,مسلسل,2,0),0)</f>
        <v>0</v>
      </c>
      <c r="Y53" s="405" t="s">
        <v>134</v>
      </c>
      <c r="Z53" s="405"/>
      <c r="AA53" s="405"/>
      <c r="AB53" s="404" t="str">
        <f>IFERROR(VLOOKUP(Q53,اسماء,72,0),"")</f>
        <v>محمد</v>
      </c>
      <c r="AC53" s="406"/>
      <c r="AE53" s="185" t="s">
        <v>133</v>
      </c>
      <c r="AF53" s="407" t="str">
        <f>IFERROR(VLOOKUP(AE45,مسلسل,2,0),0)</f>
        <v>إلين محمد النفاتي الهليب</v>
      </c>
      <c r="AG53" s="407">
        <f t="shared" ref="AG53" si="64">IFERROR(VLOOKUP(AF53,مسلسل,2,0),0)</f>
        <v>0</v>
      </c>
      <c r="AH53" s="407">
        <f t="shared" ref="AH53" si="65">IFERROR(VLOOKUP(AG53,مسلسل,2,0),0)</f>
        <v>0</v>
      </c>
      <c r="AI53" s="407">
        <f t="shared" ref="AI53" si="66">IFERROR(VLOOKUP(AH53,مسلسل,2,0),0)</f>
        <v>0</v>
      </c>
      <c r="AJ53" s="407">
        <f t="shared" ref="AJ53" si="67">IFERROR(VLOOKUP(AI53,مسلسل,2,0),0)</f>
        <v>0</v>
      </c>
      <c r="AK53" s="407">
        <f t="shared" ref="AK53" si="68">IFERROR(VLOOKUP(AJ53,مسلسل,2,0),0)</f>
        <v>0</v>
      </c>
      <c r="AL53" s="407">
        <f t="shared" ref="AL53" si="69">IFERROR(VLOOKUP(AK53,مسلسل,2,0),0)</f>
        <v>0</v>
      </c>
      <c r="AM53" s="407">
        <f t="shared" ref="AM53" si="70">IFERROR(VLOOKUP(AL53,مسلسل,2,0),0)</f>
        <v>0</v>
      </c>
      <c r="AN53" s="405" t="s">
        <v>134</v>
      </c>
      <c r="AO53" s="405"/>
      <c r="AP53" s="405"/>
      <c r="AQ53" s="404" t="str">
        <f>IFERROR(VLOOKUP(AF53,اسماء,72,0),"")</f>
        <v>الهليب</v>
      </c>
      <c r="AR53" s="406"/>
      <c r="AT53" s="185" t="s">
        <v>133</v>
      </c>
      <c r="AU53" s="407">
        <f>IFERROR(VLOOKUP(AT45,مسلسل,2,0),0)</f>
        <v>0</v>
      </c>
      <c r="AV53" s="407">
        <f t="shared" ref="AV53" si="71">IFERROR(VLOOKUP(AU53,مسلسل,2,0),0)</f>
        <v>0</v>
      </c>
      <c r="AW53" s="407">
        <f t="shared" ref="AW53" si="72">IFERROR(VLOOKUP(AV53,مسلسل,2,0),0)</f>
        <v>0</v>
      </c>
      <c r="AX53" s="407">
        <f t="shared" ref="AX53" si="73">IFERROR(VLOOKUP(AW53,مسلسل,2,0),0)</f>
        <v>0</v>
      </c>
      <c r="AY53" s="407">
        <f t="shared" ref="AY53" si="74">IFERROR(VLOOKUP(AX53,مسلسل,2,0),0)</f>
        <v>0</v>
      </c>
      <c r="AZ53" s="407">
        <f t="shared" ref="AZ53" si="75">IFERROR(VLOOKUP(AY53,مسلسل,2,0),0)</f>
        <v>0</v>
      </c>
      <c r="BA53" s="407">
        <f t="shared" ref="BA53" si="76">IFERROR(VLOOKUP(AZ53,مسلسل,2,0),0)</f>
        <v>0</v>
      </c>
      <c r="BB53" s="407">
        <f t="shared" ref="BB53" si="77">IFERROR(VLOOKUP(BA53,مسلسل,2,0),0)</f>
        <v>0</v>
      </c>
      <c r="BC53" s="405" t="s">
        <v>134</v>
      </c>
      <c r="BD53" s="405"/>
      <c r="BE53" s="405"/>
      <c r="BF53" s="404" t="str">
        <f>IFERROR(VLOOKUP(AU53,اسماء,72,0),"")</f>
        <v/>
      </c>
      <c r="BG53" s="406"/>
    </row>
    <row r="54" spans="1:59" ht="45" customHeight="1" x14ac:dyDescent="0.25">
      <c r="A54" s="185" t="s">
        <v>135</v>
      </c>
      <c r="B54" s="408" t="str">
        <f>IFERROR(VLOOKUP(B53,اسماء,85,0),"")</f>
        <v>ليبي</v>
      </c>
      <c r="C54" s="408"/>
      <c r="D54" s="408"/>
      <c r="E54" s="409">
        <f>IFERROR(VLOOKUP(B53,اسماء,2,0),"")</f>
        <v>42712</v>
      </c>
      <c r="F54" s="409"/>
      <c r="G54" s="409"/>
      <c r="H54" s="409"/>
      <c r="I54" s="410" t="s">
        <v>136</v>
      </c>
      <c r="J54" s="410"/>
      <c r="K54" s="410"/>
      <c r="L54" s="410"/>
      <c r="M54" s="404" t="str">
        <f>IFERROR(VLOOKUP(B53,اسماء,3,0),"")</f>
        <v>سمية محمد الطاهر أبوالخير</v>
      </c>
      <c r="N54" s="406"/>
      <c r="P54" s="185" t="s">
        <v>135</v>
      </c>
      <c r="Q54" s="408" t="str">
        <f>IFERROR(VLOOKUP(Q53,اسماء,85,0),"")</f>
        <v>ليبي</v>
      </c>
      <c r="R54" s="408"/>
      <c r="S54" s="408"/>
      <c r="T54" s="409">
        <f>IFERROR(VLOOKUP(Q53,اسماء,2,0),"")</f>
        <v>42418</v>
      </c>
      <c r="U54" s="409"/>
      <c r="V54" s="409"/>
      <c r="W54" s="409"/>
      <c r="X54" s="410" t="s">
        <v>136</v>
      </c>
      <c r="Y54" s="410"/>
      <c r="Z54" s="410"/>
      <c r="AA54" s="410"/>
      <c r="AB54" s="404" t="str">
        <f>IFERROR(VLOOKUP(Q53,اسماء,3,0),"")</f>
        <v>حليمة علي محمد زريق</v>
      </c>
      <c r="AC54" s="406"/>
      <c r="AE54" s="185" t="s">
        <v>135</v>
      </c>
      <c r="AF54" s="408" t="str">
        <f>IFERROR(VLOOKUP(AF53,اسماء,85,0),"")</f>
        <v>ليبية</v>
      </c>
      <c r="AG54" s="408"/>
      <c r="AH54" s="408"/>
      <c r="AI54" s="409">
        <f>IFERROR(VLOOKUP(AF53,اسماء,2,0),"")</f>
        <v>42436</v>
      </c>
      <c r="AJ54" s="409"/>
      <c r="AK54" s="409"/>
      <c r="AL54" s="409"/>
      <c r="AM54" s="410" t="s">
        <v>136</v>
      </c>
      <c r="AN54" s="410"/>
      <c r="AO54" s="410"/>
      <c r="AP54" s="410"/>
      <c r="AQ54" s="404" t="str">
        <f>IFERROR(VLOOKUP(AF53,اسماء,3,0),"")</f>
        <v>فاطمة النفاتي الهروال</v>
      </c>
      <c r="AR54" s="406"/>
      <c r="AT54" s="185" t="s">
        <v>135</v>
      </c>
      <c r="AU54" s="408" t="str">
        <f>IFERROR(VLOOKUP(AU53,اسماء,85,0),"")</f>
        <v/>
      </c>
      <c r="AV54" s="408"/>
      <c r="AW54" s="408"/>
      <c r="AX54" s="409" t="str">
        <f>IFERROR(VLOOKUP(AU53,اسماء,2,0),"")</f>
        <v/>
      </c>
      <c r="AY54" s="409"/>
      <c r="AZ54" s="409"/>
      <c r="BA54" s="409"/>
      <c r="BB54" s="410" t="s">
        <v>136</v>
      </c>
      <c r="BC54" s="410"/>
      <c r="BD54" s="410"/>
      <c r="BE54" s="410"/>
      <c r="BF54" s="404" t="str">
        <f>IFERROR(VLOOKUP(AU53,اسماء,3,0),"")</f>
        <v/>
      </c>
      <c r="BG54" s="406"/>
    </row>
    <row r="55" spans="1:59" ht="35.1" customHeight="1" x14ac:dyDescent="0.25">
      <c r="A55" s="185" t="s">
        <v>137</v>
      </c>
      <c r="B55" s="186" t="str">
        <f>IFERROR(VLOOKUP(B53,اسماء,73,0),"")</f>
        <v>3</v>
      </c>
      <c r="C55" s="186" t="str">
        <f>IFERROR(VLOOKUP(B53,اسماء,74,0),"")</f>
        <v>2</v>
      </c>
      <c r="D55" s="186" t="str">
        <f>IFERROR(VLOOKUP(B53,اسماء,75,0),"")</f>
        <v>5</v>
      </c>
      <c r="E55" s="186" t="str">
        <f>IFERROR(VLOOKUP(B53,اسماء,76,0),"")</f>
        <v>9</v>
      </c>
      <c r="F55" s="186" t="str">
        <f>IFERROR(VLOOKUP(B53,اسماء,77,0),"")</f>
        <v>0</v>
      </c>
      <c r="G55" s="186" t="str">
        <f>IFERROR(VLOOKUP(B53,اسماء,78,0),"")</f>
        <v>0</v>
      </c>
      <c r="H55" s="186" t="str">
        <f>IFERROR(VLOOKUP(B53,اسماء,78,0),"")</f>
        <v>0</v>
      </c>
      <c r="I55" s="186" t="str">
        <f>IFERROR(VLOOKUP(B53,اسماء,79,0),"")</f>
        <v>1</v>
      </c>
      <c r="J55" s="186" t="str">
        <f>IFERROR(VLOOKUP(B53,اسماء,80,0),"")</f>
        <v>6</v>
      </c>
      <c r="K55" s="186" t="str">
        <f>IFERROR(VLOOKUP(B53,اسماء,82,0),"")</f>
        <v>0</v>
      </c>
      <c r="L55" s="186" t="str">
        <f>IFERROR(VLOOKUP(B53,اسماء,83,0),"")</f>
        <v>2</v>
      </c>
      <c r="M55" s="186" t="str">
        <f>IFERROR(VLOOKUP(B53,اسماء,84,0),"")</f>
        <v>1</v>
      </c>
      <c r="N55" s="187"/>
      <c r="P55" s="185" t="s">
        <v>137</v>
      </c>
      <c r="Q55" s="186" t="str">
        <f>IFERROR(VLOOKUP(Q53,اسماء,73,0),"")</f>
        <v>5</v>
      </c>
      <c r="R55" s="186" t="str">
        <f>IFERROR(VLOOKUP(Q53,اسماء,74,0),"")</f>
        <v>3</v>
      </c>
      <c r="S55" s="186" t="str">
        <f>IFERROR(VLOOKUP(Q53,اسماء,75,0),"")</f>
        <v>2</v>
      </c>
      <c r="T55" s="186" t="str">
        <f>IFERROR(VLOOKUP(Q53,اسماء,76,0),"")</f>
        <v>1</v>
      </c>
      <c r="U55" s="186" t="str">
        <f>IFERROR(VLOOKUP(Q53,اسماء,77,0),"")</f>
        <v>8</v>
      </c>
      <c r="V55" s="186" t="str">
        <f>IFERROR(VLOOKUP(Q53,اسماء,78,0),"")</f>
        <v>0</v>
      </c>
      <c r="W55" s="186" t="str">
        <f>IFERROR(VLOOKUP(Q53,اسماء,78,0),"")</f>
        <v>0</v>
      </c>
      <c r="X55" s="186" t="str">
        <f>IFERROR(VLOOKUP(Q53,اسماء,79,0),"")</f>
        <v>1</v>
      </c>
      <c r="Y55" s="186" t="str">
        <f>IFERROR(VLOOKUP(Q53,اسماء,80,0),"")</f>
        <v>6</v>
      </c>
      <c r="Z55" s="186" t="str">
        <f>IFERROR(VLOOKUP(Q53,اسماء,82,0),"")</f>
        <v>0</v>
      </c>
      <c r="AA55" s="186" t="str">
        <f>IFERROR(VLOOKUP(Q53,اسماء,83,0),"")</f>
        <v>2</v>
      </c>
      <c r="AB55" s="186" t="str">
        <f>IFERROR(VLOOKUP(Q53,اسماء,84,0),"")</f>
        <v>1</v>
      </c>
      <c r="AC55" s="187"/>
      <c r="AE55" s="185" t="s">
        <v>137</v>
      </c>
      <c r="AF55" s="186" t="str">
        <f>IFERROR(VLOOKUP(AF53,اسماء,73,0),"")</f>
        <v>2</v>
      </c>
      <c r="AG55" s="186" t="str">
        <f>IFERROR(VLOOKUP(AF53,اسماء,74,0),"")</f>
        <v>6</v>
      </c>
      <c r="AH55" s="186" t="str">
        <f>IFERROR(VLOOKUP(AF53,اسماء,75,0),"")</f>
        <v>1</v>
      </c>
      <c r="AI55" s="186" t="str">
        <f>IFERROR(VLOOKUP(AF53,اسماء,76,0),"")</f>
        <v>0</v>
      </c>
      <c r="AJ55" s="186" t="str">
        <f>IFERROR(VLOOKUP(AF53,اسماء,77,0),"")</f>
        <v>1</v>
      </c>
      <c r="AK55" s="186" t="str">
        <f>IFERROR(VLOOKUP(AF53,اسماء,78,0),"")</f>
        <v>2</v>
      </c>
      <c r="AL55" s="186" t="str">
        <f>IFERROR(VLOOKUP(AF53,اسماء,78,0),"")</f>
        <v>2</v>
      </c>
      <c r="AM55" s="186" t="str">
        <f>IFERROR(VLOOKUP(AF53,اسماء,79,0),"")</f>
        <v>1</v>
      </c>
      <c r="AN55" s="186" t="str">
        <f>IFERROR(VLOOKUP(AF53,اسماء,80,0),"")</f>
        <v>6</v>
      </c>
      <c r="AO55" s="186" t="str">
        <f>IFERROR(VLOOKUP(AF53,اسماء,82,0),"")</f>
        <v>0</v>
      </c>
      <c r="AP55" s="186" t="str">
        <f>IFERROR(VLOOKUP(AF53,اسماء,83,0),"")</f>
        <v>2</v>
      </c>
      <c r="AQ55" s="186" t="str">
        <f>IFERROR(VLOOKUP(AF53,اسماء,84,0),"")</f>
        <v>2</v>
      </c>
      <c r="AR55" s="187"/>
      <c r="AT55" s="185" t="s">
        <v>137</v>
      </c>
      <c r="AU55" s="186" t="str">
        <f>IFERROR(VLOOKUP(AU53,اسماء,73,0),"")</f>
        <v/>
      </c>
      <c r="AV55" s="186" t="str">
        <f>IFERROR(VLOOKUP(AU53,اسماء,74,0),"")</f>
        <v/>
      </c>
      <c r="AW55" s="186" t="str">
        <f>IFERROR(VLOOKUP(AU53,اسماء,75,0),"")</f>
        <v/>
      </c>
      <c r="AX55" s="186" t="str">
        <f>IFERROR(VLOOKUP(AU53,اسماء,76,0),"")</f>
        <v/>
      </c>
      <c r="AY55" s="186" t="str">
        <f>IFERROR(VLOOKUP(AU53,اسماء,77,0),"")</f>
        <v/>
      </c>
      <c r="AZ55" s="186" t="str">
        <f>IFERROR(VLOOKUP(AU53,اسماء,78,0),"")</f>
        <v/>
      </c>
      <c r="BA55" s="186" t="str">
        <f>IFERROR(VLOOKUP(AU53,اسماء,78,0),"")</f>
        <v/>
      </c>
      <c r="BB55" s="186" t="str">
        <f>IFERROR(VLOOKUP(AU53,اسماء,79,0),"")</f>
        <v/>
      </c>
      <c r="BC55" s="186" t="str">
        <f>IFERROR(VLOOKUP(AU53,اسماء,80,0),"")</f>
        <v/>
      </c>
      <c r="BD55" s="186" t="str">
        <f>IFERROR(VLOOKUP(AU53,اسماء,82,0),"")</f>
        <v/>
      </c>
      <c r="BE55" s="186" t="str">
        <f>IFERROR(VLOOKUP(AU53,اسماء,83,0),"")</f>
        <v/>
      </c>
      <c r="BF55" s="186" t="str">
        <f>IFERROR(VLOOKUP(AU53,اسماء,84,0),"")</f>
        <v/>
      </c>
      <c r="BG55" s="187"/>
    </row>
    <row r="56" spans="1:59" ht="45" customHeight="1" x14ac:dyDescent="0.25">
      <c r="A56" s="185" t="s">
        <v>138</v>
      </c>
      <c r="B56" s="411" t="str">
        <f>IFERROR(VLOOKUP(B53,اسماء,86,0),"")</f>
        <v>ليبي</v>
      </c>
      <c r="C56" s="411"/>
      <c r="D56" s="411"/>
      <c r="E56" s="411"/>
      <c r="F56" s="411"/>
      <c r="G56" s="408" t="s">
        <v>139</v>
      </c>
      <c r="H56" s="408"/>
      <c r="I56" s="408" t="s">
        <v>140</v>
      </c>
      <c r="J56" s="408"/>
      <c r="K56" s="404" t="str">
        <f>IFERROR(VLOOKUP(B53,اسماء,87,0),"")</f>
        <v>مستجد</v>
      </c>
      <c r="L56" s="404"/>
      <c r="M56" s="404"/>
      <c r="N56" s="406"/>
      <c r="P56" s="185" t="s">
        <v>138</v>
      </c>
      <c r="Q56" s="411" t="str">
        <f>IFERROR(VLOOKUP(Q53,اسماء,86,0),"")</f>
        <v>ليبي</v>
      </c>
      <c r="R56" s="411"/>
      <c r="S56" s="411"/>
      <c r="T56" s="411"/>
      <c r="U56" s="411"/>
      <c r="V56" s="408" t="s">
        <v>139</v>
      </c>
      <c r="W56" s="408"/>
      <c r="X56" s="408" t="s">
        <v>140</v>
      </c>
      <c r="Y56" s="408"/>
      <c r="Z56" s="404" t="str">
        <f>IFERROR(VLOOKUP(Q53,اسماء,87,0),"")</f>
        <v>مستجد</v>
      </c>
      <c r="AA56" s="404"/>
      <c r="AB56" s="404"/>
      <c r="AC56" s="406"/>
      <c r="AE56" s="185" t="s">
        <v>138</v>
      </c>
      <c r="AF56" s="411" t="str">
        <f>IFERROR(VLOOKUP(AF53,اسماء,86,0),"")</f>
        <v>ليبية</v>
      </c>
      <c r="AG56" s="411"/>
      <c r="AH56" s="411"/>
      <c r="AI56" s="411"/>
      <c r="AJ56" s="411"/>
      <c r="AK56" s="408" t="s">
        <v>139</v>
      </c>
      <c r="AL56" s="408"/>
      <c r="AM56" s="408" t="s">
        <v>140</v>
      </c>
      <c r="AN56" s="408"/>
      <c r="AO56" s="404" t="str">
        <f>IFERROR(VLOOKUP(AF53,اسماء,87,0),"")</f>
        <v>مستجد</v>
      </c>
      <c r="AP56" s="404"/>
      <c r="AQ56" s="404"/>
      <c r="AR56" s="406"/>
      <c r="AT56" s="185" t="s">
        <v>138</v>
      </c>
      <c r="AU56" s="411" t="str">
        <f>IFERROR(VLOOKUP(AU53,اسماء,86,0),"")</f>
        <v/>
      </c>
      <c r="AV56" s="411"/>
      <c r="AW56" s="411"/>
      <c r="AX56" s="411"/>
      <c r="AY56" s="411"/>
      <c r="AZ56" s="408" t="s">
        <v>139</v>
      </c>
      <c r="BA56" s="408"/>
      <c r="BB56" s="408" t="s">
        <v>140</v>
      </c>
      <c r="BC56" s="408"/>
      <c r="BD56" s="404" t="str">
        <f>IFERROR(VLOOKUP(AU53,اسماء,87,0),"")</f>
        <v/>
      </c>
      <c r="BE56" s="404"/>
      <c r="BF56" s="404"/>
      <c r="BG56" s="406"/>
    </row>
    <row r="57" spans="1:59" ht="45" customHeight="1" x14ac:dyDescent="0.25">
      <c r="A57" s="185" t="s">
        <v>141</v>
      </c>
      <c r="B57" s="404" t="str">
        <f>IFERROR(VLOOKUP(B53,اسماء,89,0),"")</f>
        <v>سلسبيل الكاسح</v>
      </c>
      <c r="C57" s="404"/>
      <c r="D57" s="404"/>
      <c r="E57" s="404"/>
      <c r="F57" s="404"/>
      <c r="G57" s="408" t="s">
        <v>124</v>
      </c>
      <c r="H57" s="408"/>
      <c r="I57" s="408"/>
      <c r="J57" s="408"/>
      <c r="K57" s="404" t="str">
        <f>IFERROR(VLOOKUP(B53,اسماء,88,0),"")</f>
        <v>نظامي</v>
      </c>
      <c r="L57" s="404"/>
      <c r="M57" s="404"/>
      <c r="N57" s="406"/>
      <c r="P57" s="185" t="s">
        <v>141</v>
      </c>
      <c r="Q57" s="404" t="str">
        <f>IFERROR(VLOOKUP(Q53,اسماء,89,0),"")</f>
        <v>سلسبيل الكاسح</v>
      </c>
      <c r="R57" s="404"/>
      <c r="S57" s="404"/>
      <c r="T57" s="404"/>
      <c r="U57" s="404"/>
      <c r="V57" s="408" t="s">
        <v>124</v>
      </c>
      <c r="W57" s="408"/>
      <c r="X57" s="408"/>
      <c r="Y57" s="408"/>
      <c r="Z57" s="404" t="str">
        <f>IFERROR(VLOOKUP(Q53,اسماء,88,0),"")</f>
        <v>نظامي</v>
      </c>
      <c r="AA57" s="404"/>
      <c r="AB57" s="404"/>
      <c r="AC57" s="406"/>
      <c r="AE57" s="185" t="s">
        <v>141</v>
      </c>
      <c r="AF57" s="404" t="str">
        <f>IFERROR(VLOOKUP(AF53,اسماء,89,0),"")</f>
        <v>سلسبيل الكاسح</v>
      </c>
      <c r="AG57" s="404"/>
      <c r="AH57" s="404"/>
      <c r="AI57" s="404"/>
      <c r="AJ57" s="404"/>
      <c r="AK57" s="408" t="s">
        <v>124</v>
      </c>
      <c r="AL57" s="408"/>
      <c r="AM57" s="408"/>
      <c r="AN57" s="408"/>
      <c r="AO57" s="404" t="str">
        <f>IFERROR(VLOOKUP(AF53,اسماء,88,0),"")</f>
        <v>نظامي</v>
      </c>
      <c r="AP57" s="404"/>
      <c r="AQ57" s="404"/>
      <c r="AR57" s="406"/>
      <c r="AT57" s="185" t="s">
        <v>141</v>
      </c>
      <c r="AU57" s="404" t="str">
        <f>IFERROR(VLOOKUP(AU53,اسماء,89,0),"")</f>
        <v/>
      </c>
      <c r="AV57" s="404"/>
      <c r="AW57" s="404"/>
      <c r="AX57" s="404"/>
      <c r="AY57" s="404"/>
      <c r="AZ57" s="408" t="s">
        <v>124</v>
      </c>
      <c r="BA57" s="408"/>
      <c r="BB57" s="408"/>
      <c r="BC57" s="408"/>
      <c r="BD57" s="404" t="str">
        <f>IFERROR(VLOOKUP(AU53,اسماء,88,0),"")</f>
        <v/>
      </c>
      <c r="BE57" s="404"/>
      <c r="BF57" s="404"/>
      <c r="BG57" s="406"/>
    </row>
    <row r="58" spans="1:59" ht="45" customHeight="1" thickBot="1" x14ac:dyDescent="0.3">
      <c r="A58" s="412" t="s">
        <v>142</v>
      </c>
      <c r="B58" s="413"/>
      <c r="C58" s="413"/>
      <c r="D58" s="413"/>
      <c r="E58" s="413"/>
      <c r="F58" s="413"/>
      <c r="G58" s="413"/>
      <c r="H58" s="413"/>
      <c r="I58" s="413"/>
      <c r="J58" s="413"/>
      <c r="K58" s="413"/>
      <c r="L58" s="413"/>
      <c r="M58" s="413"/>
      <c r="N58" s="414"/>
      <c r="P58" s="412" t="s">
        <v>142</v>
      </c>
      <c r="Q58" s="413"/>
      <c r="R58" s="413"/>
      <c r="S58" s="413"/>
      <c r="T58" s="413"/>
      <c r="U58" s="413"/>
      <c r="V58" s="413"/>
      <c r="W58" s="413"/>
      <c r="X58" s="413"/>
      <c r="Y58" s="413"/>
      <c r="Z58" s="413"/>
      <c r="AA58" s="413"/>
      <c r="AB58" s="413"/>
      <c r="AC58" s="414"/>
      <c r="AE58" s="412" t="s">
        <v>142</v>
      </c>
      <c r="AF58" s="413"/>
      <c r="AG58" s="413"/>
      <c r="AH58" s="413"/>
      <c r="AI58" s="413"/>
      <c r="AJ58" s="413"/>
      <c r="AK58" s="413"/>
      <c r="AL58" s="413"/>
      <c r="AM58" s="413"/>
      <c r="AN58" s="413"/>
      <c r="AO58" s="413"/>
      <c r="AP58" s="413"/>
      <c r="AQ58" s="413"/>
      <c r="AR58" s="414"/>
      <c r="AT58" s="412" t="s">
        <v>142</v>
      </c>
      <c r="AU58" s="413"/>
      <c r="AV58" s="413"/>
      <c r="AW58" s="413"/>
      <c r="AX58" s="413"/>
      <c r="AY58" s="413"/>
      <c r="AZ58" s="413"/>
      <c r="BA58" s="413"/>
      <c r="BB58" s="413"/>
      <c r="BC58" s="413"/>
      <c r="BD58" s="413"/>
      <c r="BE58" s="413"/>
      <c r="BF58" s="413"/>
      <c r="BG58" s="414"/>
    </row>
    <row r="59" spans="1:59" ht="45" customHeight="1" thickTop="1" x14ac:dyDescent="0.4">
      <c r="A59" s="415" t="s">
        <v>143</v>
      </c>
      <c r="B59" s="416"/>
      <c r="C59" s="416"/>
      <c r="D59" s="416"/>
      <c r="E59" s="416"/>
      <c r="F59" s="416"/>
      <c r="G59" s="416"/>
      <c r="H59" s="416"/>
      <c r="I59" s="416"/>
      <c r="J59" s="416"/>
      <c r="K59" s="416"/>
      <c r="L59" s="416"/>
      <c r="M59" s="416"/>
      <c r="N59" s="417"/>
      <c r="P59" s="415" t="s">
        <v>143</v>
      </c>
      <c r="Q59" s="416"/>
      <c r="R59" s="416"/>
      <c r="S59" s="416"/>
      <c r="T59" s="416"/>
      <c r="U59" s="416"/>
      <c r="V59" s="416"/>
      <c r="W59" s="416"/>
      <c r="X59" s="416"/>
      <c r="Y59" s="416"/>
      <c r="Z59" s="416"/>
      <c r="AA59" s="416"/>
      <c r="AB59" s="416"/>
      <c r="AC59" s="417"/>
      <c r="AE59" s="415" t="s">
        <v>143</v>
      </c>
      <c r="AF59" s="416"/>
      <c r="AG59" s="416"/>
      <c r="AH59" s="416"/>
      <c r="AI59" s="416"/>
      <c r="AJ59" s="416"/>
      <c r="AK59" s="416"/>
      <c r="AL59" s="416"/>
      <c r="AM59" s="416"/>
      <c r="AN59" s="416"/>
      <c r="AO59" s="416"/>
      <c r="AP59" s="416"/>
      <c r="AQ59" s="416"/>
      <c r="AR59" s="417"/>
      <c r="AT59" s="415" t="s">
        <v>143</v>
      </c>
      <c r="AU59" s="416"/>
      <c r="AV59" s="416"/>
      <c r="AW59" s="416"/>
      <c r="AX59" s="416"/>
      <c r="AY59" s="416"/>
      <c r="AZ59" s="416"/>
      <c r="BA59" s="416"/>
      <c r="BB59" s="416"/>
      <c r="BC59" s="416"/>
      <c r="BD59" s="416"/>
      <c r="BE59" s="416"/>
      <c r="BF59" s="416"/>
      <c r="BG59" s="417"/>
    </row>
    <row r="60" spans="1:59" s="67" customFormat="1" ht="33" customHeight="1" x14ac:dyDescent="0.25">
      <c r="A60" s="418" t="s">
        <v>160</v>
      </c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19"/>
      <c r="P60" s="418" t="s">
        <v>160</v>
      </c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19"/>
      <c r="AE60" s="418" t="s">
        <v>160</v>
      </c>
      <c r="AF60" s="408"/>
      <c r="AG60" s="408"/>
      <c r="AH60" s="408"/>
      <c r="AI60" s="408"/>
      <c r="AJ60" s="408"/>
      <c r="AK60" s="408"/>
      <c r="AL60" s="408"/>
      <c r="AM60" s="408"/>
      <c r="AN60" s="408"/>
      <c r="AO60" s="408"/>
      <c r="AP60" s="408"/>
      <c r="AQ60" s="408"/>
      <c r="AR60" s="419"/>
      <c r="AT60" s="418" t="s">
        <v>160</v>
      </c>
      <c r="AU60" s="408"/>
      <c r="AV60" s="408"/>
      <c r="AW60" s="408"/>
      <c r="AX60" s="408"/>
      <c r="AY60" s="408"/>
      <c r="AZ60" s="408"/>
      <c r="BA60" s="408"/>
      <c r="BB60" s="408"/>
      <c r="BC60" s="408"/>
      <c r="BD60" s="408"/>
      <c r="BE60" s="408"/>
      <c r="BF60" s="408"/>
      <c r="BG60" s="419"/>
    </row>
    <row r="61" spans="1:59" ht="33" customHeight="1" x14ac:dyDescent="0.4">
      <c r="A61" s="420" t="s">
        <v>144</v>
      </c>
      <c r="B61" s="421"/>
      <c r="C61" s="421"/>
      <c r="D61" s="421"/>
      <c r="E61" s="421"/>
      <c r="F61" s="421"/>
      <c r="G61" s="408"/>
      <c r="H61" s="408"/>
      <c r="I61" s="408"/>
      <c r="J61" s="408"/>
      <c r="K61" s="408"/>
      <c r="L61" s="408"/>
      <c r="M61" s="408"/>
      <c r="N61" s="419"/>
      <c r="P61" s="420" t="s">
        <v>144</v>
      </c>
      <c r="Q61" s="421"/>
      <c r="R61" s="421"/>
      <c r="S61" s="421"/>
      <c r="T61" s="421"/>
      <c r="U61" s="421"/>
      <c r="V61" s="408"/>
      <c r="W61" s="408"/>
      <c r="X61" s="408"/>
      <c r="Y61" s="408"/>
      <c r="Z61" s="408"/>
      <c r="AA61" s="408"/>
      <c r="AB61" s="408"/>
      <c r="AC61" s="419"/>
      <c r="AE61" s="420" t="s">
        <v>144</v>
      </c>
      <c r="AF61" s="421"/>
      <c r="AG61" s="421"/>
      <c r="AH61" s="421"/>
      <c r="AI61" s="421"/>
      <c r="AJ61" s="421"/>
      <c r="AK61" s="408"/>
      <c r="AL61" s="408"/>
      <c r="AM61" s="408"/>
      <c r="AN61" s="408"/>
      <c r="AO61" s="408"/>
      <c r="AP61" s="408"/>
      <c r="AQ61" s="408"/>
      <c r="AR61" s="419"/>
      <c r="AT61" s="420" t="s">
        <v>144</v>
      </c>
      <c r="AU61" s="421"/>
      <c r="AV61" s="421"/>
      <c r="AW61" s="421"/>
      <c r="AX61" s="421"/>
      <c r="AY61" s="421"/>
      <c r="AZ61" s="408"/>
      <c r="BA61" s="408"/>
      <c r="BB61" s="408"/>
      <c r="BC61" s="408"/>
      <c r="BD61" s="408"/>
      <c r="BE61" s="408"/>
      <c r="BF61" s="408"/>
      <c r="BG61" s="419"/>
    </row>
    <row r="62" spans="1:59" s="190" customFormat="1" ht="30" customHeight="1" x14ac:dyDescent="0.4">
      <c r="A62" s="185" t="s">
        <v>145</v>
      </c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9" t="s">
        <v>146</v>
      </c>
      <c r="P62" s="185" t="s">
        <v>145</v>
      </c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9" t="s">
        <v>146</v>
      </c>
      <c r="AE62" s="185" t="s">
        <v>145</v>
      </c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9" t="s">
        <v>146</v>
      </c>
      <c r="AT62" s="185" t="s">
        <v>145</v>
      </c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E62" s="188"/>
      <c r="BF62" s="188"/>
      <c r="BG62" s="189" t="s">
        <v>146</v>
      </c>
    </row>
    <row r="63" spans="1:59" ht="30" customHeight="1" x14ac:dyDescent="0.4">
      <c r="A63" s="191"/>
      <c r="B63" s="188"/>
      <c r="C63" s="188"/>
      <c r="D63" s="188"/>
      <c r="E63" s="188"/>
      <c r="F63" s="188"/>
      <c r="G63" s="188"/>
      <c r="H63" s="188"/>
      <c r="I63" s="188"/>
      <c r="J63" s="188"/>
      <c r="K63" s="188"/>
      <c r="L63" s="188"/>
      <c r="M63" s="188"/>
      <c r="N63" s="192"/>
      <c r="P63" s="191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92"/>
      <c r="AE63" s="191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92"/>
      <c r="AT63" s="191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E63" s="188"/>
      <c r="BF63" s="188"/>
      <c r="BG63" s="192"/>
    </row>
    <row r="64" spans="1:59" ht="24.95" customHeight="1" x14ac:dyDescent="0.5">
      <c r="A64" s="193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94"/>
      <c r="P64" s="193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94"/>
      <c r="AE64" s="193"/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182"/>
      <c r="AR64" s="194"/>
      <c r="AT64" s="193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94"/>
    </row>
    <row r="65" spans="1:59" ht="24.95" customHeight="1" thickBot="1" x14ac:dyDescent="0.55000000000000004">
      <c r="A65" s="195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7"/>
      <c r="P65" s="195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7"/>
      <c r="AE65" s="195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7"/>
      <c r="AT65" s="195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7"/>
    </row>
    <row r="66" spans="1:59" ht="16.5" thickTop="1" thickBot="1" x14ac:dyDescent="0.3"/>
    <row r="67" spans="1:59" s="182" customFormat="1" ht="39.950000000000003" customHeight="1" thickTop="1" x14ac:dyDescent="0.5">
      <c r="A67" s="180">
        <f>A45-1</f>
        <v>12</v>
      </c>
      <c r="B67" s="383" t="s">
        <v>39</v>
      </c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181"/>
      <c r="P67" s="180">
        <f>A67-5</f>
        <v>7</v>
      </c>
      <c r="Q67" s="383" t="s">
        <v>39</v>
      </c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181"/>
      <c r="AE67" s="180">
        <f>P67-5</f>
        <v>2</v>
      </c>
      <c r="AF67" s="383" t="s">
        <v>39</v>
      </c>
      <c r="AG67" s="383"/>
      <c r="AH67" s="383"/>
      <c r="AI67" s="383"/>
      <c r="AJ67" s="383"/>
      <c r="AK67" s="383"/>
      <c r="AL67" s="383"/>
      <c r="AM67" s="383"/>
      <c r="AN67" s="383"/>
      <c r="AO67" s="383"/>
      <c r="AP67" s="383"/>
      <c r="AQ67" s="383"/>
      <c r="AR67" s="181"/>
      <c r="AT67" s="180">
        <f>AE67-5</f>
        <v>-3</v>
      </c>
      <c r="AU67" s="383" t="s">
        <v>39</v>
      </c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181"/>
    </row>
    <row r="68" spans="1:59" s="182" customFormat="1" ht="39.950000000000003" customHeight="1" x14ac:dyDescent="0.5">
      <c r="A68" s="384" t="s">
        <v>40</v>
      </c>
      <c r="B68" s="385"/>
      <c r="C68" s="385"/>
      <c r="D68" s="385"/>
      <c r="E68" s="385"/>
      <c r="F68" s="385"/>
      <c r="G68" s="385"/>
      <c r="H68" s="385"/>
      <c r="I68" s="385"/>
      <c r="J68" s="385"/>
      <c r="K68" s="385"/>
      <c r="L68" s="385"/>
      <c r="M68" s="385"/>
      <c r="N68" s="386"/>
      <c r="P68" s="384" t="s">
        <v>40</v>
      </c>
      <c r="Q68" s="385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386"/>
      <c r="AE68" s="384" t="s">
        <v>40</v>
      </c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5"/>
      <c r="AR68" s="386"/>
      <c r="AT68" s="384" t="s">
        <v>40</v>
      </c>
      <c r="AU68" s="385"/>
      <c r="AV68" s="385"/>
      <c r="AW68" s="385"/>
      <c r="AX68" s="385"/>
      <c r="AY68" s="385"/>
      <c r="AZ68" s="385"/>
      <c r="BA68" s="385"/>
      <c r="BB68" s="385"/>
      <c r="BC68" s="385"/>
      <c r="BD68" s="385"/>
      <c r="BE68" s="385"/>
      <c r="BF68" s="385"/>
      <c r="BG68" s="386"/>
    </row>
    <row r="69" spans="1:59" s="182" customFormat="1" ht="39.950000000000003" customHeight="1" x14ac:dyDescent="0.5">
      <c r="A69" s="387" t="s">
        <v>161</v>
      </c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9"/>
      <c r="P69" s="387" t="s">
        <v>161</v>
      </c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9"/>
      <c r="AE69" s="387" t="s">
        <v>161</v>
      </c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9"/>
      <c r="AT69" s="387" t="s">
        <v>161</v>
      </c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9"/>
    </row>
    <row r="70" spans="1:59" s="182" customFormat="1" ht="39.950000000000003" customHeight="1" x14ac:dyDescent="0.5">
      <c r="A70" s="390" t="s">
        <v>125</v>
      </c>
      <c r="B70" s="391"/>
      <c r="C70" s="391"/>
      <c r="D70" s="391"/>
      <c r="E70" s="391"/>
      <c r="F70" s="391"/>
      <c r="G70" s="391"/>
      <c r="H70" s="391"/>
      <c r="I70" s="391"/>
      <c r="J70" s="391"/>
      <c r="K70" s="392" t="str">
        <f>ادخال1!$CM$7</f>
        <v>الاساسي</v>
      </c>
      <c r="L70" s="392"/>
      <c r="M70" s="392"/>
      <c r="N70" s="393"/>
      <c r="P70" s="390" t="s">
        <v>125</v>
      </c>
      <c r="Q70" s="391"/>
      <c r="R70" s="391"/>
      <c r="S70" s="391"/>
      <c r="T70" s="391"/>
      <c r="U70" s="391"/>
      <c r="V70" s="391"/>
      <c r="W70" s="391"/>
      <c r="X70" s="391"/>
      <c r="Y70" s="391"/>
      <c r="Z70" s="392" t="str">
        <f>ادخال1!$CM$7</f>
        <v>الاساسي</v>
      </c>
      <c r="AA70" s="392"/>
      <c r="AB70" s="392"/>
      <c r="AC70" s="393"/>
      <c r="AE70" s="390" t="s">
        <v>125</v>
      </c>
      <c r="AF70" s="391"/>
      <c r="AG70" s="391"/>
      <c r="AH70" s="391"/>
      <c r="AI70" s="391"/>
      <c r="AJ70" s="391"/>
      <c r="AK70" s="391"/>
      <c r="AL70" s="391"/>
      <c r="AM70" s="391"/>
      <c r="AN70" s="391"/>
      <c r="AO70" s="392" t="str">
        <f>ادخال1!$CM$7</f>
        <v>الاساسي</v>
      </c>
      <c r="AP70" s="392"/>
      <c r="AQ70" s="392"/>
      <c r="AR70" s="393"/>
      <c r="AT70" s="390" t="s">
        <v>125</v>
      </c>
      <c r="AU70" s="391"/>
      <c r="AV70" s="391"/>
      <c r="AW70" s="391"/>
      <c r="AX70" s="391"/>
      <c r="AY70" s="391"/>
      <c r="AZ70" s="391"/>
      <c r="BA70" s="391"/>
      <c r="BB70" s="391"/>
      <c r="BC70" s="391"/>
      <c r="BD70" s="392" t="str">
        <f>ادخال1!$CM$7</f>
        <v>الاساسي</v>
      </c>
      <c r="BE70" s="392"/>
      <c r="BF70" s="392"/>
      <c r="BG70" s="393"/>
    </row>
    <row r="71" spans="1:59" s="182" customFormat="1" ht="39.950000000000003" customHeight="1" x14ac:dyDescent="0.5">
      <c r="A71" s="394" t="s">
        <v>126</v>
      </c>
      <c r="B71" s="395"/>
      <c r="C71" s="395"/>
      <c r="D71" s="395"/>
      <c r="E71" s="395"/>
      <c r="F71" s="395"/>
      <c r="G71" s="396" t="str">
        <f>ادخال1!$CK$5</f>
        <v>الرابع</v>
      </c>
      <c r="H71" s="396"/>
      <c r="I71" s="396"/>
      <c r="J71" s="396"/>
      <c r="K71" s="396"/>
      <c r="L71" s="396"/>
      <c r="M71" s="396"/>
      <c r="N71" s="397"/>
      <c r="P71" s="394" t="s">
        <v>126</v>
      </c>
      <c r="Q71" s="395"/>
      <c r="R71" s="395"/>
      <c r="S71" s="395"/>
      <c r="T71" s="395"/>
      <c r="U71" s="395"/>
      <c r="V71" s="396" t="str">
        <f>ادخال1!$CK$5</f>
        <v>الرابع</v>
      </c>
      <c r="W71" s="396"/>
      <c r="X71" s="396"/>
      <c r="Y71" s="396"/>
      <c r="Z71" s="396"/>
      <c r="AA71" s="396"/>
      <c r="AB71" s="396"/>
      <c r="AC71" s="397"/>
      <c r="AE71" s="394" t="s">
        <v>126</v>
      </c>
      <c r="AF71" s="395"/>
      <c r="AG71" s="395"/>
      <c r="AH71" s="395"/>
      <c r="AI71" s="395"/>
      <c r="AJ71" s="395"/>
      <c r="AK71" s="396" t="str">
        <f>ادخال1!$CK$5</f>
        <v>الرابع</v>
      </c>
      <c r="AL71" s="396"/>
      <c r="AM71" s="396"/>
      <c r="AN71" s="396"/>
      <c r="AO71" s="396"/>
      <c r="AP71" s="396"/>
      <c r="AQ71" s="396"/>
      <c r="AR71" s="397"/>
      <c r="AT71" s="394" t="s">
        <v>126</v>
      </c>
      <c r="AU71" s="395"/>
      <c r="AV71" s="395"/>
      <c r="AW71" s="395"/>
      <c r="AX71" s="395"/>
      <c r="AY71" s="395"/>
      <c r="AZ71" s="396" t="str">
        <f>ادخال1!$CK$5</f>
        <v>الرابع</v>
      </c>
      <c r="BA71" s="396"/>
      <c r="BB71" s="396"/>
      <c r="BC71" s="396"/>
      <c r="BD71" s="396"/>
      <c r="BE71" s="396"/>
      <c r="BF71" s="396"/>
      <c r="BG71" s="397"/>
    </row>
    <row r="72" spans="1:59" s="182" customFormat="1" ht="39.950000000000003" customHeight="1" x14ac:dyDescent="0.5">
      <c r="A72" s="183" t="s">
        <v>115</v>
      </c>
      <c r="B72" s="398" t="str">
        <f>ادخال1!$CJ$8</f>
        <v>1447ـ/1448 هـ</v>
      </c>
      <c r="C72" s="398"/>
      <c r="D72" s="398"/>
      <c r="E72" s="398"/>
      <c r="F72" s="399" t="s">
        <v>127</v>
      </c>
      <c r="G72" s="399"/>
      <c r="H72" s="400" t="s">
        <v>128</v>
      </c>
      <c r="I72" s="400"/>
      <c r="J72" s="401" t="str">
        <f>ادخال1!$CK$8</f>
        <v xml:space="preserve"> 2026 /2025</v>
      </c>
      <c r="K72" s="401"/>
      <c r="L72" s="401"/>
      <c r="M72" s="401"/>
      <c r="N72" s="184" t="s">
        <v>129</v>
      </c>
      <c r="P72" s="183" t="s">
        <v>115</v>
      </c>
      <c r="Q72" s="398" t="str">
        <f>ادخال1!$CJ$8</f>
        <v>1447ـ/1448 هـ</v>
      </c>
      <c r="R72" s="398"/>
      <c r="S72" s="398"/>
      <c r="T72" s="398"/>
      <c r="U72" s="399" t="s">
        <v>127</v>
      </c>
      <c r="V72" s="399"/>
      <c r="W72" s="400" t="s">
        <v>128</v>
      </c>
      <c r="X72" s="400"/>
      <c r="Y72" s="401" t="str">
        <f>ادخال1!$CK$8</f>
        <v xml:space="preserve"> 2026 /2025</v>
      </c>
      <c r="Z72" s="401"/>
      <c r="AA72" s="401"/>
      <c r="AB72" s="401"/>
      <c r="AC72" s="184" t="s">
        <v>129</v>
      </c>
      <c r="AE72" s="183" t="s">
        <v>115</v>
      </c>
      <c r="AF72" s="398" t="str">
        <f>ادخال1!$CJ$8</f>
        <v>1447ـ/1448 هـ</v>
      </c>
      <c r="AG72" s="398"/>
      <c r="AH72" s="398"/>
      <c r="AI72" s="398"/>
      <c r="AJ72" s="399" t="s">
        <v>127</v>
      </c>
      <c r="AK72" s="399"/>
      <c r="AL72" s="400" t="s">
        <v>128</v>
      </c>
      <c r="AM72" s="400"/>
      <c r="AN72" s="401" t="str">
        <f>ادخال1!$CK$8</f>
        <v xml:space="preserve"> 2026 /2025</v>
      </c>
      <c r="AO72" s="401"/>
      <c r="AP72" s="401"/>
      <c r="AQ72" s="401"/>
      <c r="AR72" s="184" t="s">
        <v>129</v>
      </c>
      <c r="AT72" s="183" t="s">
        <v>115</v>
      </c>
      <c r="AU72" s="398" t="str">
        <f>ادخال1!$CJ$8</f>
        <v>1447ـ/1448 هـ</v>
      </c>
      <c r="AV72" s="398"/>
      <c r="AW72" s="398"/>
      <c r="AX72" s="398"/>
      <c r="AY72" s="399" t="s">
        <v>127</v>
      </c>
      <c r="AZ72" s="399"/>
      <c r="BA72" s="400" t="s">
        <v>128</v>
      </c>
      <c r="BB72" s="400"/>
      <c r="BC72" s="401" t="str">
        <f>ادخال1!$CK$8</f>
        <v xml:space="preserve"> 2026 /2025</v>
      </c>
      <c r="BD72" s="401"/>
      <c r="BE72" s="401"/>
      <c r="BF72" s="401"/>
      <c r="BG72" s="184" t="s">
        <v>129</v>
      </c>
    </row>
    <row r="73" spans="1:59" ht="45" customHeight="1" x14ac:dyDescent="0.25">
      <c r="A73" s="185" t="s">
        <v>130</v>
      </c>
      <c r="B73" s="402" t="str">
        <f>ادخال1!$CK$4</f>
        <v>تاجوراء</v>
      </c>
      <c r="C73" s="402"/>
      <c r="D73" s="402"/>
      <c r="E73" s="402"/>
      <c r="F73" s="402"/>
      <c r="G73" s="402"/>
      <c r="H73" s="402"/>
      <c r="I73" s="402"/>
      <c r="J73" s="402"/>
      <c r="K73" s="402"/>
      <c r="L73" s="402"/>
      <c r="M73" s="402"/>
      <c r="N73" s="403"/>
      <c r="P73" s="185" t="s">
        <v>130</v>
      </c>
      <c r="Q73" s="402" t="str">
        <f>ادخال1!$CK$4</f>
        <v>تاجوراء</v>
      </c>
      <c r="R73" s="402"/>
      <c r="S73" s="402"/>
      <c r="T73" s="402"/>
      <c r="U73" s="402"/>
      <c r="V73" s="402"/>
      <c r="W73" s="402"/>
      <c r="X73" s="402"/>
      <c r="Y73" s="402"/>
      <c r="Z73" s="402"/>
      <c r="AA73" s="402"/>
      <c r="AB73" s="402"/>
      <c r="AC73" s="403"/>
      <c r="AE73" s="185" t="s">
        <v>130</v>
      </c>
      <c r="AF73" s="402" t="str">
        <f>ادخال1!$CK$4</f>
        <v>تاجوراء</v>
      </c>
      <c r="AG73" s="402"/>
      <c r="AH73" s="402"/>
      <c r="AI73" s="402"/>
      <c r="AJ73" s="402"/>
      <c r="AK73" s="402"/>
      <c r="AL73" s="402"/>
      <c r="AM73" s="402"/>
      <c r="AN73" s="402"/>
      <c r="AO73" s="402"/>
      <c r="AP73" s="402"/>
      <c r="AQ73" s="402"/>
      <c r="AR73" s="403"/>
      <c r="AT73" s="185" t="s">
        <v>130</v>
      </c>
      <c r="AU73" s="402" t="str">
        <f>ادخال1!$CK$4</f>
        <v>تاجوراء</v>
      </c>
      <c r="AV73" s="402"/>
      <c r="AW73" s="402"/>
      <c r="AX73" s="402"/>
      <c r="AY73" s="402"/>
      <c r="AZ73" s="402"/>
      <c r="BA73" s="402"/>
      <c r="BB73" s="402"/>
      <c r="BC73" s="402"/>
      <c r="BD73" s="402"/>
      <c r="BE73" s="402"/>
      <c r="BF73" s="402"/>
      <c r="BG73" s="403"/>
    </row>
    <row r="74" spans="1:59" ht="45" customHeight="1" x14ac:dyDescent="0.25">
      <c r="A74" s="185" t="s">
        <v>131</v>
      </c>
      <c r="B74" s="404" t="str">
        <f>ادخال1!$CI$6</f>
        <v xml:space="preserve">سهول العلم للتعليم الخاص </v>
      </c>
      <c r="C74" s="404"/>
      <c r="D74" s="404"/>
      <c r="E74" s="404"/>
      <c r="F74" s="404"/>
      <c r="G74" s="404"/>
      <c r="H74" s="404"/>
      <c r="I74" s="404"/>
      <c r="J74" s="405" t="s">
        <v>132</v>
      </c>
      <c r="K74" s="405"/>
      <c r="L74" s="405"/>
      <c r="M74" s="404" t="str">
        <f>ادخال1!$CI$8</f>
        <v>تاجوراء</v>
      </c>
      <c r="N74" s="406"/>
      <c r="P74" s="185" t="s">
        <v>131</v>
      </c>
      <c r="Q74" s="404" t="str">
        <f>ادخال1!$CI$6</f>
        <v xml:space="preserve">سهول العلم للتعليم الخاص </v>
      </c>
      <c r="R74" s="404"/>
      <c r="S74" s="404"/>
      <c r="T74" s="404"/>
      <c r="U74" s="404"/>
      <c r="V74" s="404"/>
      <c r="W74" s="404"/>
      <c r="X74" s="404"/>
      <c r="Y74" s="405" t="s">
        <v>132</v>
      </c>
      <c r="Z74" s="405"/>
      <c r="AA74" s="405"/>
      <c r="AB74" s="404" t="str">
        <f>ادخال1!$CI$8</f>
        <v>تاجوراء</v>
      </c>
      <c r="AC74" s="406"/>
      <c r="AE74" s="185" t="s">
        <v>131</v>
      </c>
      <c r="AF74" s="404" t="str">
        <f>ادخال1!$CI$6</f>
        <v xml:space="preserve">سهول العلم للتعليم الخاص </v>
      </c>
      <c r="AG74" s="404"/>
      <c r="AH74" s="404"/>
      <c r="AI74" s="404"/>
      <c r="AJ74" s="404"/>
      <c r="AK74" s="404"/>
      <c r="AL74" s="404"/>
      <c r="AM74" s="404"/>
      <c r="AN74" s="405" t="s">
        <v>132</v>
      </c>
      <c r="AO74" s="405"/>
      <c r="AP74" s="405"/>
      <c r="AQ74" s="404" t="str">
        <f>ادخال1!$CI$8</f>
        <v>تاجوراء</v>
      </c>
      <c r="AR74" s="406"/>
      <c r="AT74" s="185" t="s">
        <v>131</v>
      </c>
      <c r="AU74" s="404" t="str">
        <f>ادخال1!$CI$6</f>
        <v xml:space="preserve">سهول العلم للتعليم الخاص </v>
      </c>
      <c r="AV74" s="404"/>
      <c r="AW74" s="404"/>
      <c r="AX74" s="404"/>
      <c r="AY74" s="404"/>
      <c r="AZ74" s="404"/>
      <c r="BA74" s="404"/>
      <c r="BB74" s="404"/>
      <c r="BC74" s="405" t="s">
        <v>132</v>
      </c>
      <c r="BD74" s="405"/>
      <c r="BE74" s="405"/>
      <c r="BF74" s="404" t="str">
        <f>ادخال1!$CI$8</f>
        <v>تاجوراء</v>
      </c>
      <c r="BG74" s="406"/>
    </row>
    <row r="75" spans="1:59" ht="45" customHeight="1" x14ac:dyDescent="0.25">
      <c r="A75" s="185" t="s">
        <v>133</v>
      </c>
      <c r="B75" s="407" t="str">
        <f>IFERROR(VLOOKUP(A67,مسلسل,2,0),0)</f>
        <v>عبد الوهاب علي عبد الوهاب بودجاجة</v>
      </c>
      <c r="C75" s="407">
        <f t="shared" ref="C75" si="78">IFERROR(VLOOKUP(B75,مسلسل,2,0),0)</f>
        <v>0</v>
      </c>
      <c r="D75" s="407">
        <f t="shared" ref="D75" si="79">IFERROR(VLOOKUP(C75,مسلسل,2,0),0)</f>
        <v>0</v>
      </c>
      <c r="E75" s="407">
        <f t="shared" ref="E75" si="80">IFERROR(VLOOKUP(D75,مسلسل,2,0),0)</f>
        <v>0</v>
      </c>
      <c r="F75" s="407">
        <f t="shared" ref="F75" si="81">IFERROR(VLOOKUP(E75,مسلسل,2,0),0)</f>
        <v>0</v>
      </c>
      <c r="G75" s="407">
        <f t="shared" ref="G75" si="82">IFERROR(VLOOKUP(F75,مسلسل,2,0),0)</f>
        <v>0</v>
      </c>
      <c r="H75" s="407">
        <f t="shared" ref="H75" si="83">IFERROR(VLOOKUP(G75,مسلسل,2,0),0)</f>
        <v>0</v>
      </c>
      <c r="I75" s="407">
        <f t="shared" ref="I75" si="84">IFERROR(VLOOKUP(H75,مسلسل,2,0),0)</f>
        <v>0</v>
      </c>
      <c r="J75" s="405" t="s">
        <v>134</v>
      </c>
      <c r="K75" s="405"/>
      <c r="L75" s="405"/>
      <c r="M75" s="404" t="str">
        <f>IFERROR(VLOOKUP(B75,اسماء,72,0),"")</f>
        <v>بودجاجة</v>
      </c>
      <c r="N75" s="406"/>
      <c r="P75" s="185" t="s">
        <v>133</v>
      </c>
      <c r="Q75" s="407" t="str">
        <f>IFERROR(VLOOKUP(P67,مسلسل,2,0),0)</f>
        <v xml:space="preserve">سالم عمر سالم التائب </v>
      </c>
      <c r="R75" s="407">
        <f t="shared" ref="R75" si="85">IFERROR(VLOOKUP(Q75,مسلسل,2,0),0)</f>
        <v>0</v>
      </c>
      <c r="S75" s="407">
        <f t="shared" ref="S75" si="86">IFERROR(VLOOKUP(R75,مسلسل,2,0),0)</f>
        <v>0</v>
      </c>
      <c r="T75" s="407">
        <f t="shared" ref="T75" si="87">IFERROR(VLOOKUP(S75,مسلسل,2,0),0)</f>
        <v>0</v>
      </c>
      <c r="U75" s="407">
        <f t="shared" ref="U75" si="88">IFERROR(VLOOKUP(T75,مسلسل,2,0),0)</f>
        <v>0</v>
      </c>
      <c r="V75" s="407">
        <f t="shared" ref="V75" si="89">IFERROR(VLOOKUP(U75,مسلسل,2,0),0)</f>
        <v>0</v>
      </c>
      <c r="W75" s="407">
        <f t="shared" ref="W75" si="90">IFERROR(VLOOKUP(V75,مسلسل,2,0),0)</f>
        <v>0</v>
      </c>
      <c r="X75" s="407">
        <f t="shared" ref="X75" si="91">IFERROR(VLOOKUP(W75,مسلسل,2,0),0)</f>
        <v>0</v>
      </c>
      <c r="Y75" s="405" t="s">
        <v>134</v>
      </c>
      <c r="Z75" s="405"/>
      <c r="AA75" s="405"/>
      <c r="AB75" s="404" t="str">
        <f>IFERROR(VLOOKUP(Q75,اسماء,72,0),"")</f>
        <v>التائب</v>
      </c>
      <c r="AC75" s="406"/>
      <c r="AE75" s="185" t="s">
        <v>133</v>
      </c>
      <c r="AF75" s="407" t="str">
        <f>IFERROR(VLOOKUP(AE67,مسلسل,2,0),0)</f>
        <v>أدم أحمد الفرجاني الترهوني</v>
      </c>
      <c r="AG75" s="407">
        <f t="shared" ref="AG75" si="92">IFERROR(VLOOKUP(AF75,مسلسل,2,0),0)</f>
        <v>0</v>
      </c>
      <c r="AH75" s="407">
        <f t="shared" ref="AH75" si="93">IFERROR(VLOOKUP(AG75,مسلسل,2,0),0)</f>
        <v>0</v>
      </c>
      <c r="AI75" s="407">
        <f t="shared" ref="AI75" si="94">IFERROR(VLOOKUP(AH75,مسلسل,2,0),0)</f>
        <v>0</v>
      </c>
      <c r="AJ75" s="407">
        <f t="shared" ref="AJ75" si="95">IFERROR(VLOOKUP(AI75,مسلسل,2,0),0)</f>
        <v>0</v>
      </c>
      <c r="AK75" s="407">
        <f t="shared" ref="AK75" si="96">IFERROR(VLOOKUP(AJ75,مسلسل,2,0),0)</f>
        <v>0</v>
      </c>
      <c r="AL75" s="407">
        <f t="shared" ref="AL75" si="97">IFERROR(VLOOKUP(AK75,مسلسل,2,0),0)</f>
        <v>0</v>
      </c>
      <c r="AM75" s="407">
        <f t="shared" ref="AM75" si="98">IFERROR(VLOOKUP(AL75,مسلسل,2,0),0)</f>
        <v>0</v>
      </c>
      <c r="AN75" s="405" t="s">
        <v>134</v>
      </c>
      <c r="AO75" s="405"/>
      <c r="AP75" s="405"/>
      <c r="AQ75" s="404" t="str">
        <f>IFERROR(VLOOKUP(AF75,اسماء,72,0),"")</f>
        <v>الترهوني</v>
      </c>
      <c r="AR75" s="406"/>
      <c r="AT75" s="185" t="s">
        <v>133</v>
      </c>
      <c r="AU75" s="407">
        <f>IFERROR(VLOOKUP(AT67,مسلسل,2,0),0)</f>
        <v>0</v>
      </c>
      <c r="AV75" s="407">
        <f t="shared" ref="AV75" si="99">IFERROR(VLOOKUP(AU75,مسلسل,2,0),0)</f>
        <v>0</v>
      </c>
      <c r="AW75" s="407">
        <f t="shared" ref="AW75" si="100">IFERROR(VLOOKUP(AV75,مسلسل,2,0),0)</f>
        <v>0</v>
      </c>
      <c r="AX75" s="407">
        <f t="shared" ref="AX75" si="101">IFERROR(VLOOKUP(AW75,مسلسل,2,0),0)</f>
        <v>0</v>
      </c>
      <c r="AY75" s="407">
        <f t="shared" ref="AY75" si="102">IFERROR(VLOOKUP(AX75,مسلسل,2,0),0)</f>
        <v>0</v>
      </c>
      <c r="AZ75" s="407">
        <f t="shared" ref="AZ75" si="103">IFERROR(VLOOKUP(AY75,مسلسل,2,0),0)</f>
        <v>0</v>
      </c>
      <c r="BA75" s="407">
        <f t="shared" ref="BA75" si="104">IFERROR(VLOOKUP(AZ75,مسلسل,2,0),0)</f>
        <v>0</v>
      </c>
      <c r="BB75" s="407">
        <f t="shared" ref="BB75" si="105">IFERROR(VLOOKUP(BA75,مسلسل,2,0),0)</f>
        <v>0</v>
      </c>
      <c r="BC75" s="405" t="s">
        <v>134</v>
      </c>
      <c r="BD75" s="405"/>
      <c r="BE75" s="405"/>
      <c r="BF75" s="404" t="str">
        <f>IFERROR(VLOOKUP(AU75,اسماء,72,0),"")</f>
        <v/>
      </c>
      <c r="BG75" s="406"/>
    </row>
    <row r="76" spans="1:59" ht="45" customHeight="1" x14ac:dyDescent="0.25">
      <c r="A76" s="185" t="s">
        <v>135</v>
      </c>
      <c r="B76" s="408" t="str">
        <f>IFERROR(VLOOKUP(B75,اسماء,85,0),"")</f>
        <v>ليبي</v>
      </c>
      <c r="C76" s="408"/>
      <c r="D76" s="408"/>
      <c r="E76" s="409">
        <f>IFERROR(VLOOKUP(B75,اسماء,2,0),"")</f>
        <v>42597</v>
      </c>
      <c r="F76" s="409"/>
      <c r="G76" s="409"/>
      <c r="H76" s="409"/>
      <c r="I76" s="410" t="s">
        <v>136</v>
      </c>
      <c r="J76" s="410"/>
      <c r="K76" s="410"/>
      <c r="L76" s="410"/>
      <c r="M76" s="404" t="str">
        <f>IFERROR(VLOOKUP(B75,اسماء,3,0),"")</f>
        <v>بشرى عبداللطيف بو غرارة</v>
      </c>
      <c r="N76" s="406"/>
      <c r="P76" s="185" t="s">
        <v>135</v>
      </c>
      <c r="Q76" s="408" t="str">
        <f>IFERROR(VLOOKUP(Q75,اسماء,85,0),"")</f>
        <v>ليبي</v>
      </c>
      <c r="R76" s="408"/>
      <c r="S76" s="408"/>
      <c r="T76" s="409">
        <f>IFERROR(VLOOKUP(Q75,اسماء,2,0),"")</f>
        <v>42537</v>
      </c>
      <c r="U76" s="409"/>
      <c r="V76" s="409"/>
      <c r="W76" s="409"/>
      <c r="X76" s="410" t="s">
        <v>136</v>
      </c>
      <c r="Y76" s="410"/>
      <c r="Z76" s="410"/>
      <c r="AA76" s="410"/>
      <c r="AB76" s="404" t="str">
        <f>IFERROR(VLOOKUP(Q75,اسماء,3,0),"")</f>
        <v>منية حسن عويدات</v>
      </c>
      <c r="AC76" s="406"/>
      <c r="AE76" s="185" t="s">
        <v>135</v>
      </c>
      <c r="AF76" s="408" t="str">
        <f>IFERROR(VLOOKUP(AF75,اسماء,85,0),"")</f>
        <v>ليبي</v>
      </c>
      <c r="AG76" s="408"/>
      <c r="AH76" s="408"/>
      <c r="AI76" s="409">
        <f>IFERROR(VLOOKUP(AF75,اسماء,2,0),"")</f>
        <v>42371</v>
      </c>
      <c r="AJ76" s="409"/>
      <c r="AK76" s="409"/>
      <c r="AL76" s="409"/>
      <c r="AM76" s="410" t="s">
        <v>136</v>
      </c>
      <c r="AN76" s="410"/>
      <c r="AO76" s="410"/>
      <c r="AP76" s="410"/>
      <c r="AQ76" s="404" t="str">
        <f>IFERROR(VLOOKUP(AF75,اسماء,3,0),"")</f>
        <v>ريمة عثمان احمد مسعود</v>
      </c>
      <c r="AR76" s="406"/>
      <c r="AT76" s="185" t="s">
        <v>135</v>
      </c>
      <c r="AU76" s="408" t="str">
        <f>IFERROR(VLOOKUP(AU75,اسماء,85,0),"")</f>
        <v/>
      </c>
      <c r="AV76" s="408"/>
      <c r="AW76" s="408"/>
      <c r="AX76" s="409" t="str">
        <f>IFERROR(VLOOKUP(AU75,اسماء,2,0),"")</f>
        <v/>
      </c>
      <c r="AY76" s="409"/>
      <c r="AZ76" s="409"/>
      <c r="BA76" s="409"/>
      <c r="BB76" s="410" t="s">
        <v>136</v>
      </c>
      <c r="BC76" s="410"/>
      <c r="BD76" s="410"/>
      <c r="BE76" s="410"/>
      <c r="BF76" s="404" t="str">
        <f>IFERROR(VLOOKUP(AU75,اسماء,3,0),"")</f>
        <v/>
      </c>
      <c r="BG76" s="406"/>
    </row>
    <row r="77" spans="1:59" ht="35.1" customHeight="1" x14ac:dyDescent="0.25">
      <c r="A77" s="185" t="s">
        <v>137</v>
      </c>
      <c r="B77" s="186" t="str">
        <f>IFERROR(VLOOKUP(B75,اسماء,73,0),"")</f>
        <v>3</v>
      </c>
      <c r="C77" s="186" t="str">
        <f>IFERROR(VLOOKUP(B75,اسماء,74,0),"")</f>
        <v>5</v>
      </c>
      <c r="D77" s="186" t="str">
        <f>IFERROR(VLOOKUP(B75,اسماء,75,0),"")</f>
        <v>1</v>
      </c>
      <c r="E77" s="186" t="str">
        <f>IFERROR(VLOOKUP(B75,اسماء,76,0),"")</f>
        <v>8</v>
      </c>
      <c r="F77" s="186" t="str">
        <f>IFERROR(VLOOKUP(B75,اسماء,77,0),"")</f>
        <v>4</v>
      </c>
      <c r="G77" s="186" t="str">
        <f>IFERROR(VLOOKUP(B75,اسماء,78,0),"")</f>
        <v>0</v>
      </c>
      <c r="H77" s="186" t="str">
        <f>IFERROR(VLOOKUP(B75,اسماء,78,0),"")</f>
        <v>0</v>
      </c>
      <c r="I77" s="186" t="str">
        <f>IFERROR(VLOOKUP(B75,اسماء,79,0),"")</f>
        <v>1</v>
      </c>
      <c r="J77" s="186" t="str">
        <f>IFERROR(VLOOKUP(B75,اسماء,80,0),"")</f>
        <v>6</v>
      </c>
      <c r="K77" s="186" t="str">
        <f>IFERROR(VLOOKUP(B75,اسماء,82,0),"")</f>
        <v>0</v>
      </c>
      <c r="L77" s="186" t="str">
        <f>IFERROR(VLOOKUP(B75,اسماء,83,0),"")</f>
        <v>2</v>
      </c>
      <c r="M77" s="186" t="str">
        <f>IFERROR(VLOOKUP(B75,اسماء,84,0),"")</f>
        <v>1</v>
      </c>
      <c r="N77" s="187"/>
      <c r="P77" s="185" t="s">
        <v>137</v>
      </c>
      <c r="Q77" s="186" t="str">
        <f>IFERROR(VLOOKUP(Q75,اسماء,73,0),"")</f>
        <v>3</v>
      </c>
      <c r="R77" s="186" t="str">
        <f>IFERROR(VLOOKUP(Q75,اسماء,74,0),"")</f>
        <v>1</v>
      </c>
      <c r="S77" s="186" t="str">
        <f>IFERROR(VLOOKUP(Q75,اسماء,75,0),"")</f>
        <v>9</v>
      </c>
      <c r="T77" s="186" t="str">
        <f>IFERROR(VLOOKUP(Q75,اسماء,76,0),"")</f>
        <v>0</v>
      </c>
      <c r="U77" s="186" t="str">
        <f>IFERROR(VLOOKUP(Q75,اسماء,77,0),"")</f>
        <v>3</v>
      </c>
      <c r="V77" s="186" t="str">
        <f>IFERROR(VLOOKUP(Q75,اسماء,78,0),"")</f>
        <v>3</v>
      </c>
      <c r="W77" s="186" t="str">
        <f>IFERROR(VLOOKUP(Q75,اسماء,78,0),"")</f>
        <v>3</v>
      </c>
      <c r="X77" s="186" t="str">
        <f>IFERROR(VLOOKUP(Q75,اسماء,79,0),"")</f>
        <v>1</v>
      </c>
      <c r="Y77" s="186" t="str">
        <f>IFERROR(VLOOKUP(Q75,اسماء,80,0),"")</f>
        <v>6</v>
      </c>
      <c r="Z77" s="186" t="str">
        <f>IFERROR(VLOOKUP(Q75,اسماء,82,0),"")</f>
        <v>0</v>
      </c>
      <c r="AA77" s="186" t="str">
        <f>IFERROR(VLOOKUP(Q75,اسماء,83,0),"")</f>
        <v>2</v>
      </c>
      <c r="AB77" s="186" t="str">
        <f>IFERROR(VLOOKUP(Q75,اسماء,84,0),"")</f>
        <v>1</v>
      </c>
      <c r="AC77" s="187"/>
      <c r="AE77" s="185" t="s">
        <v>137</v>
      </c>
      <c r="AF77" s="186" t="str">
        <f>IFERROR(VLOOKUP(AF75,اسماء,73,0),"")</f>
        <v>9</v>
      </c>
      <c r="AG77" s="186" t="str">
        <f>IFERROR(VLOOKUP(AF75,اسماء,74,0),"")</f>
        <v>1</v>
      </c>
      <c r="AH77" s="186" t="str">
        <f>IFERROR(VLOOKUP(AF75,اسماء,75,0),"")</f>
        <v>5</v>
      </c>
      <c r="AI77" s="186" t="str">
        <f>IFERROR(VLOOKUP(AF75,اسماء,76,0),"")</f>
        <v>7</v>
      </c>
      <c r="AJ77" s="186" t="str">
        <f>IFERROR(VLOOKUP(AF75,اسماء,77,0),"")</f>
        <v>6</v>
      </c>
      <c r="AK77" s="186" t="str">
        <f>IFERROR(VLOOKUP(AF75,اسماء,78,0),"")</f>
        <v>0</v>
      </c>
      <c r="AL77" s="186" t="str">
        <f>IFERROR(VLOOKUP(AF75,اسماء,78,0),"")</f>
        <v>0</v>
      </c>
      <c r="AM77" s="186" t="str">
        <f>IFERROR(VLOOKUP(AF75,اسماء,79,0),"")</f>
        <v>0</v>
      </c>
      <c r="AN77" s="186" t="str">
        <f>IFERROR(VLOOKUP(AF75,اسماء,80,0),"")</f>
        <v>6</v>
      </c>
      <c r="AO77" s="186" t="str">
        <f>IFERROR(VLOOKUP(AF75,اسماء,82,0),"")</f>
        <v>0</v>
      </c>
      <c r="AP77" s="186" t="str">
        <f>IFERROR(VLOOKUP(AF75,اسماء,83,0),"")</f>
        <v>2</v>
      </c>
      <c r="AQ77" s="186" t="str">
        <f>IFERROR(VLOOKUP(AF75,اسماء,84,0),"")</f>
        <v>1</v>
      </c>
      <c r="AR77" s="187"/>
      <c r="AT77" s="185" t="s">
        <v>137</v>
      </c>
      <c r="AU77" s="186" t="str">
        <f>IFERROR(VLOOKUP(AU75,اسماء,73,0),"")</f>
        <v/>
      </c>
      <c r="AV77" s="186" t="str">
        <f>IFERROR(VLOOKUP(AU75,اسماء,74,0),"")</f>
        <v/>
      </c>
      <c r="AW77" s="186" t="str">
        <f>IFERROR(VLOOKUP(AU75,اسماء,75,0),"")</f>
        <v/>
      </c>
      <c r="AX77" s="186" t="str">
        <f>IFERROR(VLOOKUP(AU75,اسماء,76,0),"")</f>
        <v/>
      </c>
      <c r="AY77" s="186" t="str">
        <f>IFERROR(VLOOKUP(AU75,اسماء,77,0),"")</f>
        <v/>
      </c>
      <c r="AZ77" s="186" t="str">
        <f>IFERROR(VLOOKUP(AU75,اسماء,78,0),"")</f>
        <v/>
      </c>
      <c r="BA77" s="186" t="str">
        <f>IFERROR(VLOOKUP(AU75,اسماء,78,0),"")</f>
        <v/>
      </c>
      <c r="BB77" s="186" t="str">
        <f>IFERROR(VLOOKUP(AU75,اسماء,79,0),"")</f>
        <v/>
      </c>
      <c r="BC77" s="186" t="str">
        <f>IFERROR(VLOOKUP(AU75,اسماء,80,0),"")</f>
        <v/>
      </c>
      <c r="BD77" s="186" t="str">
        <f>IFERROR(VLOOKUP(AU75,اسماء,82,0),"")</f>
        <v/>
      </c>
      <c r="BE77" s="186" t="str">
        <f>IFERROR(VLOOKUP(AU75,اسماء,83,0),"")</f>
        <v/>
      </c>
      <c r="BF77" s="186" t="str">
        <f>IFERROR(VLOOKUP(AU75,اسماء,84,0),"")</f>
        <v/>
      </c>
      <c r="BG77" s="187"/>
    </row>
    <row r="78" spans="1:59" ht="45" customHeight="1" x14ac:dyDescent="0.25">
      <c r="A78" s="185" t="s">
        <v>138</v>
      </c>
      <c r="B78" s="411" t="str">
        <f>IFERROR(VLOOKUP(B75,اسماء,86,0),"")</f>
        <v>ليبي</v>
      </c>
      <c r="C78" s="411"/>
      <c r="D78" s="411"/>
      <c r="E78" s="411"/>
      <c r="F78" s="411"/>
      <c r="G78" s="408" t="s">
        <v>139</v>
      </c>
      <c r="H78" s="408"/>
      <c r="I78" s="408" t="s">
        <v>140</v>
      </c>
      <c r="J78" s="408"/>
      <c r="K78" s="404" t="str">
        <f>IFERROR(VLOOKUP(B75,اسماء,87,0),"")</f>
        <v>مستجد</v>
      </c>
      <c r="L78" s="404"/>
      <c r="M78" s="404"/>
      <c r="N78" s="406"/>
      <c r="P78" s="185" t="s">
        <v>138</v>
      </c>
      <c r="Q78" s="411" t="str">
        <f>IFERROR(VLOOKUP(Q75,اسماء,86,0),"")</f>
        <v>ليبي</v>
      </c>
      <c r="R78" s="411"/>
      <c r="S78" s="411"/>
      <c r="T78" s="411"/>
      <c r="U78" s="411"/>
      <c r="V78" s="408" t="s">
        <v>139</v>
      </c>
      <c r="W78" s="408"/>
      <c r="X78" s="408" t="s">
        <v>140</v>
      </c>
      <c r="Y78" s="408"/>
      <c r="Z78" s="404" t="str">
        <f>IFERROR(VLOOKUP(Q75,اسماء,87,0),"")</f>
        <v>مستجد</v>
      </c>
      <c r="AA78" s="404"/>
      <c r="AB78" s="404"/>
      <c r="AC78" s="406"/>
      <c r="AE78" s="185" t="s">
        <v>138</v>
      </c>
      <c r="AF78" s="411" t="str">
        <f>IFERROR(VLOOKUP(AF75,اسماء,86,0),"")</f>
        <v>ليبي</v>
      </c>
      <c r="AG78" s="411"/>
      <c r="AH78" s="411"/>
      <c r="AI78" s="411"/>
      <c r="AJ78" s="411"/>
      <c r="AK78" s="408" t="s">
        <v>139</v>
      </c>
      <c r="AL78" s="408"/>
      <c r="AM78" s="408" t="s">
        <v>140</v>
      </c>
      <c r="AN78" s="408"/>
      <c r="AO78" s="404" t="str">
        <f>IFERROR(VLOOKUP(AF75,اسماء,87,0),"")</f>
        <v>مستجد</v>
      </c>
      <c r="AP78" s="404"/>
      <c r="AQ78" s="404"/>
      <c r="AR78" s="406"/>
      <c r="AT78" s="185" t="s">
        <v>138</v>
      </c>
      <c r="AU78" s="411" t="str">
        <f>IFERROR(VLOOKUP(AU75,اسماء,86,0),"")</f>
        <v/>
      </c>
      <c r="AV78" s="411"/>
      <c r="AW78" s="411"/>
      <c r="AX78" s="411"/>
      <c r="AY78" s="411"/>
      <c r="AZ78" s="408" t="s">
        <v>139</v>
      </c>
      <c r="BA78" s="408"/>
      <c r="BB78" s="408" t="s">
        <v>140</v>
      </c>
      <c r="BC78" s="408"/>
      <c r="BD78" s="404" t="str">
        <f>IFERROR(VLOOKUP(AU75,اسماء,87,0),"")</f>
        <v/>
      </c>
      <c r="BE78" s="404"/>
      <c r="BF78" s="404"/>
      <c r="BG78" s="406"/>
    </row>
    <row r="79" spans="1:59" ht="45" customHeight="1" x14ac:dyDescent="0.25">
      <c r="A79" s="185" t="s">
        <v>141</v>
      </c>
      <c r="B79" s="404" t="str">
        <f>IFERROR(VLOOKUP(B75,اسماء,89,0),"")</f>
        <v>سلسبيل الكاسح</v>
      </c>
      <c r="C79" s="404"/>
      <c r="D79" s="404"/>
      <c r="E79" s="404"/>
      <c r="F79" s="404"/>
      <c r="G79" s="408" t="s">
        <v>124</v>
      </c>
      <c r="H79" s="408"/>
      <c r="I79" s="408"/>
      <c r="J79" s="408"/>
      <c r="K79" s="404" t="str">
        <f>IFERROR(VLOOKUP(B75,اسماء,88,0),"")</f>
        <v>نظامي</v>
      </c>
      <c r="L79" s="404"/>
      <c r="M79" s="404"/>
      <c r="N79" s="406"/>
      <c r="P79" s="185" t="s">
        <v>141</v>
      </c>
      <c r="Q79" s="404" t="str">
        <f>IFERROR(VLOOKUP(Q75,اسماء,89,0),"")</f>
        <v>سلسبيل الكاسح</v>
      </c>
      <c r="R79" s="404"/>
      <c r="S79" s="404"/>
      <c r="T79" s="404"/>
      <c r="U79" s="404"/>
      <c r="V79" s="408" t="s">
        <v>124</v>
      </c>
      <c r="W79" s="408"/>
      <c r="X79" s="408"/>
      <c r="Y79" s="408"/>
      <c r="Z79" s="404" t="str">
        <f>IFERROR(VLOOKUP(Q75,اسماء,88,0),"")</f>
        <v>نظامي</v>
      </c>
      <c r="AA79" s="404"/>
      <c r="AB79" s="404"/>
      <c r="AC79" s="406"/>
      <c r="AE79" s="185" t="s">
        <v>141</v>
      </c>
      <c r="AF79" s="404" t="str">
        <f>IFERROR(VLOOKUP(AF75,اسماء,89,0),"")</f>
        <v>سلسبيل الكاسح</v>
      </c>
      <c r="AG79" s="404"/>
      <c r="AH79" s="404"/>
      <c r="AI79" s="404"/>
      <c r="AJ79" s="404"/>
      <c r="AK79" s="408" t="s">
        <v>124</v>
      </c>
      <c r="AL79" s="408"/>
      <c r="AM79" s="408"/>
      <c r="AN79" s="408"/>
      <c r="AO79" s="404" t="str">
        <f>IFERROR(VLOOKUP(AF75,اسماء,88,0),"")</f>
        <v>نظامي</v>
      </c>
      <c r="AP79" s="404"/>
      <c r="AQ79" s="404"/>
      <c r="AR79" s="406"/>
      <c r="AT79" s="185" t="s">
        <v>141</v>
      </c>
      <c r="AU79" s="404" t="str">
        <f>IFERROR(VLOOKUP(AU75,اسماء,89,0),"")</f>
        <v/>
      </c>
      <c r="AV79" s="404"/>
      <c r="AW79" s="404"/>
      <c r="AX79" s="404"/>
      <c r="AY79" s="404"/>
      <c r="AZ79" s="408" t="s">
        <v>124</v>
      </c>
      <c r="BA79" s="408"/>
      <c r="BB79" s="408"/>
      <c r="BC79" s="408"/>
      <c r="BD79" s="404" t="str">
        <f>IFERROR(VLOOKUP(AU75,اسماء,88,0),"")</f>
        <v/>
      </c>
      <c r="BE79" s="404"/>
      <c r="BF79" s="404"/>
      <c r="BG79" s="406"/>
    </row>
    <row r="80" spans="1:59" ht="45" customHeight="1" thickBot="1" x14ac:dyDescent="0.3">
      <c r="A80" s="412" t="s">
        <v>142</v>
      </c>
      <c r="B80" s="413"/>
      <c r="C80" s="413"/>
      <c r="D80" s="413"/>
      <c r="E80" s="413"/>
      <c r="F80" s="413"/>
      <c r="G80" s="413"/>
      <c r="H80" s="413"/>
      <c r="I80" s="413"/>
      <c r="J80" s="413"/>
      <c r="K80" s="413"/>
      <c r="L80" s="413"/>
      <c r="M80" s="413"/>
      <c r="N80" s="414"/>
      <c r="P80" s="412" t="s">
        <v>142</v>
      </c>
      <c r="Q80" s="413"/>
      <c r="R80" s="413"/>
      <c r="S80" s="413"/>
      <c r="T80" s="413"/>
      <c r="U80" s="413"/>
      <c r="V80" s="413"/>
      <c r="W80" s="413"/>
      <c r="X80" s="413"/>
      <c r="Y80" s="413"/>
      <c r="Z80" s="413"/>
      <c r="AA80" s="413"/>
      <c r="AB80" s="413"/>
      <c r="AC80" s="414"/>
      <c r="AE80" s="412" t="s">
        <v>142</v>
      </c>
      <c r="AF80" s="413"/>
      <c r="AG80" s="413"/>
      <c r="AH80" s="413"/>
      <c r="AI80" s="413"/>
      <c r="AJ80" s="413"/>
      <c r="AK80" s="413"/>
      <c r="AL80" s="413"/>
      <c r="AM80" s="413"/>
      <c r="AN80" s="413"/>
      <c r="AO80" s="413"/>
      <c r="AP80" s="413"/>
      <c r="AQ80" s="413"/>
      <c r="AR80" s="414"/>
      <c r="AT80" s="412" t="s">
        <v>142</v>
      </c>
      <c r="AU80" s="413"/>
      <c r="AV80" s="413"/>
      <c r="AW80" s="413"/>
      <c r="AX80" s="413"/>
      <c r="AY80" s="413"/>
      <c r="AZ80" s="413"/>
      <c r="BA80" s="413"/>
      <c r="BB80" s="413"/>
      <c r="BC80" s="413"/>
      <c r="BD80" s="413"/>
      <c r="BE80" s="413"/>
      <c r="BF80" s="413"/>
      <c r="BG80" s="414"/>
    </row>
    <row r="81" spans="1:59" ht="45" customHeight="1" thickTop="1" x14ac:dyDescent="0.4">
      <c r="A81" s="415" t="s">
        <v>143</v>
      </c>
      <c r="B81" s="416"/>
      <c r="C81" s="416"/>
      <c r="D81" s="416"/>
      <c r="E81" s="416"/>
      <c r="F81" s="416"/>
      <c r="G81" s="416"/>
      <c r="H81" s="416"/>
      <c r="I81" s="416"/>
      <c r="J81" s="416"/>
      <c r="K81" s="416"/>
      <c r="L81" s="416"/>
      <c r="M81" s="416"/>
      <c r="N81" s="417"/>
      <c r="P81" s="415" t="s">
        <v>143</v>
      </c>
      <c r="Q81" s="416"/>
      <c r="R81" s="416"/>
      <c r="S81" s="416"/>
      <c r="T81" s="416"/>
      <c r="U81" s="416"/>
      <c r="V81" s="416"/>
      <c r="W81" s="416"/>
      <c r="X81" s="416"/>
      <c r="Y81" s="416"/>
      <c r="Z81" s="416"/>
      <c r="AA81" s="416"/>
      <c r="AB81" s="416"/>
      <c r="AC81" s="417"/>
      <c r="AE81" s="415" t="s">
        <v>143</v>
      </c>
      <c r="AF81" s="416"/>
      <c r="AG81" s="416"/>
      <c r="AH81" s="416"/>
      <c r="AI81" s="416"/>
      <c r="AJ81" s="416"/>
      <c r="AK81" s="416"/>
      <c r="AL81" s="416"/>
      <c r="AM81" s="416"/>
      <c r="AN81" s="416"/>
      <c r="AO81" s="416"/>
      <c r="AP81" s="416"/>
      <c r="AQ81" s="416"/>
      <c r="AR81" s="417"/>
      <c r="AT81" s="415" t="s">
        <v>143</v>
      </c>
      <c r="AU81" s="416"/>
      <c r="AV81" s="416"/>
      <c r="AW81" s="416"/>
      <c r="AX81" s="416"/>
      <c r="AY81" s="416"/>
      <c r="AZ81" s="416"/>
      <c r="BA81" s="416"/>
      <c r="BB81" s="416"/>
      <c r="BC81" s="416"/>
      <c r="BD81" s="416"/>
      <c r="BE81" s="416"/>
      <c r="BF81" s="416"/>
      <c r="BG81" s="417"/>
    </row>
    <row r="82" spans="1:59" s="67" customFormat="1" ht="33" customHeight="1" x14ac:dyDescent="0.25">
      <c r="A82" s="418" t="s">
        <v>160</v>
      </c>
      <c r="B82" s="408"/>
      <c r="C82" s="408"/>
      <c r="D82" s="408"/>
      <c r="E82" s="408"/>
      <c r="F82" s="408"/>
      <c r="G82" s="408"/>
      <c r="H82" s="408"/>
      <c r="I82" s="408"/>
      <c r="J82" s="408"/>
      <c r="K82" s="408"/>
      <c r="L82" s="408"/>
      <c r="M82" s="408"/>
      <c r="N82" s="419"/>
      <c r="P82" s="418" t="s">
        <v>160</v>
      </c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19"/>
      <c r="AE82" s="418" t="s">
        <v>160</v>
      </c>
      <c r="AF82" s="408"/>
      <c r="AG82" s="408"/>
      <c r="AH82" s="408"/>
      <c r="AI82" s="408"/>
      <c r="AJ82" s="408"/>
      <c r="AK82" s="408"/>
      <c r="AL82" s="408"/>
      <c r="AM82" s="408"/>
      <c r="AN82" s="408"/>
      <c r="AO82" s="408"/>
      <c r="AP82" s="408"/>
      <c r="AQ82" s="408"/>
      <c r="AR82" s="419"/>
      <c r="AT82" s="418" t="s">
        <v>160</v>
      </c>
      <c r="AU82" s="408"/>
      <c r="AV82" s="408"/>
      <c r="AW82" s="408"/>
      <c r="AX82" s="408"/>
      <c r="AY82" s="408"/>
      <c r="AZ82" s="408"/>
      <c r="BA82" s="408"/>
      <c r="BB82" s="408"/>
      <c r="BC82" s="408"/>
      <c r="BD82" s="408"/>
      <c r="BE82" s="408"/>
      <c r="BF82" s="408"/>
      <c r="BG82" s="419"/>
    </row>
    <row r="83" spans="1:59" ht="33" customHeight="1" x14ac:dyDescent="0.4">
      <c r="A83" s="420" t="s">
        <v>144</v>
      </c>
      <c r="B83" s="421"/>
      <c r="C83" s="421"/>
      <c r="D83" s="421"/>
      <c r="E83" s="421"/>
      <c r="F83" s="421"/>
      <c r="G83" s="408"/>
      <c r="H83" s="408"/>
      <c r="I83" s="408"/>
      <c r="J83" s="408"/>
      <c r="K83" s="408"/>
      <c r="L83" s="408"/>
      <c r="M83" s="408"/>
      <c r="N83" s="419"/>
      <c r="P83" s="420" t="s">
        <v>144</v>
      </c>
      <c r="Q83" s="421"/>
      <c r="R83" s="421"/>
      <c r="S83" s="421"/>
      <c r="T83" s="421"/>
      <c r="U83" s="421"/>
      <c r="V83" s="408"/>
      <c r="W83" s="408"/>
      <c r="X83" s="408"/>
      <c r="Y83" s="408"/>
      <c r="Z83" s="408"/>
      <c r="AA83" s="408"/>
      <c r="AB83" s="408"/>
      <c r="AC83" s="419"/>
      <c r="AE83" s="420" t="s">
        <v>144</v>
      </c>
      <c r="AF83" s="421"/>
      <c r="AG83" s="421"/>
      <c r="AH83" s="421"/>
      <c r="AI83" s="421"/>
      <c r="AJ83" s="421"/>
      <c r="AK83" s="408"/>
      <c r="AL83" s="408"/>
      <c r="AM83" s="408"/>
      <c r="AN83" s="408"/>
      <c r="AO83" s="408"/>
      <c r="AP83" s="408"/>
      <c r="AQ83" s="408"/>
      <c r="AR83" s="419"/>
      <c r="AT83" s="420" t="s">
        <v>144</v>
      </c>
      <c r="AU83" s="421"/>
      <c r="AV83" s="421"/>
      <c r="AW83" s="421"/>
      <c r="AX83" s="421"/>
      <c r="AY83" s="421"/>
      <c r="AZ83" s="408"/>
      <c r="BA83" s="408"/>
      <c r="BB83" s="408"/>
      <c r="BC83" s="408"/>
      <c r="BD83" s="408"/>
      <c r="BE83" s="408"/>
      <c r="BF83" s="408"/>
      <c r="BG83" s="419"/>
    </row>
    <row r="84" spans="1:59" s="190" customFormat="1" ht="30" customHeight="1" x14ac:dyDescent="0.4">
      <c r="A84" s="185" t="s">
        <v>145</v>
      </c>
      <c r="B84" s="188"/>
      <c r="C84" s="188"/>
      <c r="D84" s="188"/>
      <c r="E84" s="188"/>
      <c r="F84" s="188"/>
      <c r="G84" s="188"/>
      <c r="H84" s="188"/>
      <c r="I84" s="188"/>
      <c r="J84" s="188"/>
      <c r="K84" s="188"/>
      <c r="L84" s="188"/>
      <c r="M84" s="188"/>
      <c r="N84" s="189" t="s">
        <v>146</v>
      </c>
      <c r="P84" s="185" t="s">
        <v>145</v>
      </c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9" t="s">
        <v>146</v>
      </c>
      <c r="AE84" s="185" t="s">
        <v>145</v>
      </c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9" t="s">
        <v>146</v>
      </c>
      <c r="AT84" s="185" t="s">
        <v>145</v>
      </c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E84" s="188"/>
      <c r="BF84" s="188"/>
      <c r="BG84" s="189" t="s">
        <v>146</v>
      </c>
    </row>
    <row r="85" spans="1:59" ht="30" customHeight="1" x14ac:dyDescent="0.4">
      <c r="A85" s="191"/>
      <c r="B85" s="188"/>
      <c r="C85" s="188"/>
      <c r="D85" s="188"/>
      <c r="E85" s="188"/>
      <c r="F85" s="188"/>
      <c r="G85" s="188"/>
      <c r="H85" s="188"/>
      <c r="I85" s="188"/>
      <c r="J85" s="188"/>
      <c r="K85" s="188"/>
      <c r="L85" s="188"/>
      <c r="M85" s="188"/>
      <c r="N85" s="192"/>
      <c r="P85" s="191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92"/>
      <c r="AE85" s="191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92"/>
      <c r="AT85" s="191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E85" s="188"/>
      <c r="BF85" s="188"/>
      <c r="BG85" s="192"/>
    </row>
    <row r="86" spans="1:59" ht="24.95" customHeight="1" x14ac:dyDescent="0.5">
      <c r="A86" s="19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94"/>
      <c r="P86" s="193"/>
      <c r="Q86" s="182"/>
      <c r="R86" s="182"/>
      <c r="S86" s="182"/>
      <c r="T86" s="182"/>
      <c r="U86" s="182"/>
      <c r="V86" s="182"/>
      <c r="W86" s="182"/>
      <c r="X86" s="182"/>
      <c r="Y86" s="182"/>
      <c r="Z86" s="182"/>
      <c r="AA86" s="182"/>
      <c r="AB86" s="182"/>
      <c r="AC86" s="194"/>
      <c r="AE86" s="193"/>
      <c r="AF86" s="182"/>
      <c r="AG86" s="182"/>
      <c r="AH86" s="182"/>
      <c r="AI86" s="182"/>
      <c r="AJ86" s="182"/>
      <c r="AK86" s="182"/>
      <c r="AL86" s="182"/>
      <c r="AM86" s="182"/>
      <c r="AN86" s="182"/>
      <c r="AO86" s="182"/>
      <c r="AP86" s="182"/>
      <c r="AQ86" s="182"/>
      <c r="AR86" s="194"/>
      <c r="AT86" s="193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94"/>
    </row>
    <row r="87" spans="1:59" ht="24.95" customHeight="1" thickBot="1" x14ac:dyDescent="0.55000000000000004">
      <c r="A87" s="195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7"/>
      <c r="P87" s="195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7"/>
      <c r="AE87" s="195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7"/>
      <c r="AT87" s="195"/>
      <c r="AU87" s="196"/>
      <c r="AV87" s="196"/>
      <c r="AW87" s="196"/>
      <c r="AX87" s="196"/>
      <c r="AY87" s="196"/>
      <c r="AZ87" s="196"/>
      <c r="BA87" s="196"/>
      <c r="BB87" s="196"/>
      <c r="BC87" s="196"/>
      <c r="BD87" s="196"/>
      <c r="BE87" s="196"/>
      <c r="BF87" s="196"/>
      <c r="BG87" s="197"/>
    </row>
    <row r="88" spans="1:59" ht="16.5" thickTop="1" thickBot="1" x14ac:dyDescent="0.3"/>
    <row r="89" spans="1:59" s="182" customFormat="1" ht="39.950000000000003" customHeight="1" thickTop="1" x14ac:dyDescent="0.5">
      <c r="A89" s="180">
        <f>A67-1</f>
        <v>11</v>
      </c>
      <c r="B89" s="383" t="s">
        <v>39</v>
      </c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181"/>
      <c r="P89" s="180">
        <f>A89-5</f>
        <v>6</v>
      </c>
      <c r="Q89" s="383" t="s">
        <v>39</v>
      </c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181"/>
      <c r="AE89" s="180">
        <f>P89-5</f>
        <v>1</v>
      </c>
      <c r="AF89" s="383" t="s">
        <v>39</v>
      </c>
      <c r="AG89" s="383"/>
      <c r="AH89" s="383"/>
      <c r="AI89" s="383"/>
      <c r="AJ89" s="383"/>
      <c r="AK89" s="383"/>
      <c r="AL89" s="383"/>
      <c r="AM89" s="383"/>
      <c r="AN89" s="383"/>
      <c r="AO89" s="383"/>
      <c r="AP89" s="383"/>
      <c r="AQ89" s="383"/>
      <c r="AR89" s="181"/>
      <c r="AT89" s="180">
        <f>AE89-5</f>
        <v>-4</v>
      </c>
      <c r="AU89" s="383" t="s">
        <v>39</v>
      </c>
      <c r="AV89" s="383"/>
      <c r="AW89" s="383"/>
      <c r="AX89" s="383"/>
      <c r="AY89" s="383"/>
      <c r="AZ89" s="383"/>
      <c r="BA89" s="383"/>
      <c r="BB89" s="383"/>
      <c r="BC89" s="383"/>
      <c r="BD89" s="383"/>
      <c r="BE89" s="383"/>
      <c r="BF89" s="383"/>
      <c r="BG89" s="181"/>
    </row>
    <row r="90" spans="1:59" s="182" customFormat="1" ht="39.950000000000003" customHeight="1" x14ac:dyDescent="0.5">
      <c r="A90" s="384" t="s">
        <v>40</v>
      </c>
      <c r="B90" s="385"/>
      <c r="C90" s="385"/>
      <c r="D90" s="385"/>
      <c r="E90" s="385"/>
      <c r="F90" s="385"/>
      <c r="G90" s="385"/>
      <c r="H90" s="385"/>
      <c r="I90" s="385"/>
      <c r="J90" s="385"/>
      <c r="K90" s="385"/>
      <c r="L90" s="385"/>
      <c r="M90" s="385"/>
      <c r="N90" s="386"/>
      <c r="P90" s="384" t="s">
        <v>40</v>
      </c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6"/>
      <c r="AE90" s="384" t="s">
        <v>40</v>
      </c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6"/>
      <c r="AT90" s="384" t="s">
        <v>40</v>
      </c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6"/>
    </row>
    <row r="91" spans="1:59" s="182" customFormat="1" ht="39.950000000000003" customHeight="1" x14ac:dyDescent="0.5">
      <c r="A91" s="387" t="s">
        <v>161</v>
      </c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9"/>
      <c r="P91" s="387" t="s">
        <v>161</v>
      </c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9"/>
      <c r="AE91" s="387" t="s">
        <v>161</v>
      </c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9"/>
      <c r="AT91" s="387" t="s">
        <v>161</v>
      </c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9"/>
    </row>
    <row r="92" spans="1:59" s="182" customFormat="1" ht="39.950000000000003" customHeight="1" x14ac:dyDescent="0.5">
      <c r="A92" s="390" t="s">
        <v>125</v>
      </c>
      <c r="B92" s="391"/>
      <c r="C92" s="391"/>
      <c r="D92" s="391"/>
      <c r="E92" s="391"/>
      <c r="F92" s="391"/>
      <c r="G92" s="391"/>
      <c r="H92" s="391"/>
      <c r="I92" s="391"/>
      <c r="J92" s="391"/>
      <c r="K92" s="392" t="str">
        <f>ادخال1!$CM$7</f>
        <v>الاساسي</v>
      </c>
      <c r="L92" s="392"/>
      <c r="M92" s="392"/>
      <c r="N92" s="393"/>
      <c r="P92" s="390" t="s">
        <v>125</v>
      </c>
      <c r="Q92" s="391"/>
      <c r="R92" s="391"/>
      <c r="S92" s="391"/>
      <c r="T92" s="391"/>
      <c r="U92" s="391"/>
      <c r="V92" s="391"/>
      <c r="W92" s="391"/>
      <c r="X92" s="391"/>
      <c r="Y92" s="391"/>
      <c r="Z92" s="392" t="str">
        <f>ادخال1!$CM$7</f>
        <v>الاساسي</v>
      </c>
      <c r="AA92" s="392"/>
      <c r="AB92" s="392"/>
      <c r="AC92" s="393"/>
      <c r="AE92" s="390" t="s">
        <v>125</v>
      </c>
      <c r="AF92" s="391"/>
      <c r="AG92" s="391"/>
      <c r="AH92" s="391"/>
      <c r="AI92" s="391"/>
      <c r="AJ92" s="391"/>
      <c r="AK92" s="391"/>
      <c r="AL92" s="391"/>
      <c r="AM92" s="391"/>
      <c r="AN92" s="391"/>
      <c r="AO92" s="392" t="str">
        <f>ادخال1!$CM$7</f>
        <v>الاساسي</v>
      </c>
      <c r="AP92" s="392"/>
      <c r="AQ92" s="392"/>
      <c r="AR92" s="393"/>
      <c r="AT92" s="390" t="s">
        <v>125</v>
      </c>
      <c r="AU92" s="391"/>
      <c r="AV92" s="391"/>
      <c r="AW92" s="391"/>
      <c r="AX92" s="391"/>
      <c r="AY92" s="391"/>
      <c r="AZ92" s="391"/>
      <c r="BA92" s="391"/>
      <c r="BB92" s="391"/>
      <c r="BC92" s="391"/>
      <c r="BD92" s="392" t="str">
        <f>ادخال1!$CM$7</f>
        <v>الاساسي</v>
      </c>
      <c r="BE92" s="392"/>
      <c r="BF92" s="392"/>
      <c r="BG92" s="393"/>
    </row>
    <row r="93" spans="1:59" s="182" customFormat="1" ht="39.950000000000003" customHeight="1" x14ac:dyDescent="0.5">
      <c r="A93" s="394" t="s">
        <v>126</v>
      </c>
      <c r="B93" s="395"/>
      <c r="C93" s="395"/>
      <c r="D93" s="395"/>
      <c r="E93" s="395"/>
      <c r="F93" s="395"/>
      <c r="G93" s="396" t="str">
        <f>ادخال1!$CK$5</f>
        <v>الرابع</v>
      </c>
      <c r="H93" s="396"/>
      <c r="I93" s="396"/>
      <c r="J93" s="396"/>
      <c r="K93" s="396"/>
      <c r="L93" s="396"/>
      <c r="M93" s="396"/>
      <c r="N93" s="397"/>
      <c r="P93" s="394" t="s">
        <v>126</v>
      </c>
      <c r="Q93" s="395"/>
      <c r="R93" s="395"/>
      <c r="S93" s="395"/>
      <c r="T93" s="395"/>
      <c r="U93" s="395"/>
      <c r="V93" s="396" t="str">
        <f>ادخال1!$CK$5</f>
        <v>الرابع</v>
      </c>
      <c r="W93" s="396"/>
      <c r="X93" s="396"/>
      <c r="Y93" s="396"/>
      <c r="Z93" s="396"/>
      <c r="AA93" s="396"/>
      <c r="AB93" s="396"/>
      <c r="AC93" s="397"/>
      <c r="AE93" s="394" t="s">
        <v>126</v>
      </c>
      <c r="AF93" s="395"/>
      <c r="AG93" s="395"/>
      <c r="AH93" s="395"/>
      <c r="AI93" s="395"/>
      <c r="AJ93" s="395"/>
      <c r="AK93" s="396" t="str">
        <f>ادخال1!$CK$5</f>
        <v>الرابع</v>
      </c>
      <c r="AL93" s="396"/>
      <c r="AM93" s="396"/>
      <c r="AN93" s="396"/>
      <c r="AO93" s="396"/>
      <c r="AP93" s="396"/>
      <c r="AQ93" s="396"/>
      <c r="AR93" s="397"/>
      <c r="AT93" s="394" t="s">
        <v>126</v>
      </c>
      <c r="AU93" s="395"/>
      <c r="AV93" s="395"/>
      <c r="AW93" s="395"/>
      <c r="AX93" s="395"/>
      <c r="AY93" s="395"/>
      <c r="AZ93" s="396" t="str">
        <f>ادخال1!$CK$5</f>
        <v>الرابع</v>
      </c>
      <c r="BA93" s="396"/>
      <c r="BB93" s="396"/>
      <c r="BC93" s="396"/>
      <c r="BD93" s="396"/>
      <c r="BE93" s="396"/>
      <c r="BF93" s="396"/>
      <c r="BG93" s="397"/>
    </row>
    <row r="94" spans="1:59" s="182" customFormat="1" ht="39.950000000000003" customHeight="1" x14ac:dyDescent="0.5">
      <c r="A94" s="183" t="s">
        <v>115</v>
      </c>
      <c r="B94" s="398" t="str">
        <f>ادخال1!$CJ$8</f>
        <v>1447ـ/1448 هـ</v>
      </c>
      <c r="C94" s="398"/>
      <c r="D94" s="398"/>
      <c r="E94" s="398"/>
      <c r="F94" s="399" t="s">
        <v>127</v>
      </c>
      <c r="G94" s="399"/>
      <c r="H94" s="400" t="s">
        <v>128</v>
      </c>
      <c r="I94" s="400"/>
      <c r="J94" s="401" t="str">
        <f>ادخال1!$CK$8</f>
        <v xml:space="preserve"> 2026 /2025</v>
      </c>
      <c r="K94" s="401"/>
      <c r="L94" s="401"/>
      <c r="M94" s="401"/>
      <c r="N94" s="184" t="s">
        <v>129</v>
      </c>
      <c r="P94" s="183" t="s">
        <v>115</v>
      </c>
      <c r="Q94" s="398" t="str">
        <f>ادخال1!$CJ$8</f>
        <v>1447ـ/1448 هـ</v>
      </c>
      <c r="R94" s="398"/>
      <c r="S94" s="398"/>
      <c r="T94" s="398"/>
      <c r="U94" s="399" t="s">
        <v>127</v>
      </c>
      <c r="V94" s="399"/>
      <c r="W94" s="400" t="s">
        <v>128</v>
      </c>
      <c r="X94" s="400"/>
      <c r="Y94" s="401" t="str">
        <f>ادخال1!$CK$8</f>
        <v xml:space="preserve"> 2026 /2025</v>
      </c>
      <c r="Z94" s="401"/>
      <c r="AA94" s="401"/>
      <c r="AB94" s="401"/>
      <c r="AC94" s="184" t="s">
        <v>129</v>
      </c>
      <c r="AE94" s="183" t="s">
        <v>115</v>
      </c>
      <c r="AF94" s="398" t="str">
        <f>ادخال1!$CJ$8</f>
        <v>1447ـ/1448 هـ</v>
      </c>
      <c r="AG94" s="398"/>
      <c r="AH94" s="398"/>
      <c r="AI94" s="398"/>
      <c r="AJ94" s="399" t="s">
        <v>127</v>
      </c>
      <c r="AK94" s="399"/>
      <c r="AL94" s="400" t="s">
        <v>128</v>
      </c>
      <c r="AM94" s="400"/>
      <c r="AN94" s="401" t="str">
        <f>ادخال1!$CK$8</f>
        <v xml:space="preserve"> 2026 /2025</v>
      </c>
      <c r="AO94" s="401"/>
      <c r="AP94" s="401"/>
      <c r="AQ94" s="401"/>
      <c r="AR94" s="184" t="s">
        <v>129</v>
      </c>
      <c r="AT94" s="183" t="s">
        <v>115</v>
      </c>
      <c r="AU94" s="398" t="str">
        <f>ادخال1!$CJ$8</f>
        <v>1447ـ/1448 هـ</v>
      </c>
      <c r="AV94" s="398"/>
      <c r="AW94" s="398"/>
      <c r="AX94" s="398"/>
      <c r="AY94" s="399" t="s">
        <v>127</v>
      </c>
      <c r="AZ94" s="399"/>
      <c r="BA94" s="400" t="s">
        <v>128</v>
      </c>
      <c r="BB94" s="400"/>
      <c r="BC94" s="401" t="str">
        <f>ادخال1!$CK$8</f>
        <v xml:space="preserve"> 2026 /2025</v>
      </c>
      <c r="BD94" s="401"/>
      <c r="BE94" s="401"/>
      <c r="BF94" s="401"/>
      <c r="BG94" s="184" t="s">
        <v>129</v>
      </c>
    </row>
    <row r="95" spans="1:59" ht="45" customHeight="1" x14ac:dyDescent="0.25">
      <c r="A95" s="185" t="s">
        <v>130</v>
      </c>
      <c r="B95" s="402" t="str">
        <f>ادخال1!$CK$4</f>
        <v>تاجوراء</v>
      </c>
      <c r="C95" s="402"/>
      <c r="D95" s="402"/>
      <c r="E95" s="402"/>
      <c r="F95" s="402"/>
      <c r="G95" s="402"/>
      <c r="H95" s="402"/>
      <c r="I95" s="402"/>
      <c r="J95" s="402"/>
      <c r="K95" s="402"/>
      <c r="L95" s="402"/>
      <c r="M95" s="402"/>
      <c r="N95" s="403"/>
      <c r="P95" s="185" t="s">
        <v>130</v>
      </c>
      <c r="Q95" s="402" t="str">
        <f>ادخال1!$CK$4</f>
        <v>تاجوراء</v>
      </c>
      <c r="R95" s="402"/>
      <c r="S95" s="402"/>
      <c r="T95" s="402"/>
      <c r="U95" s="402"/>
      <c r="V95" s="402"/>
      <c r="W95" s="402"/>
      <c r="X95" s="402"/>
      <c r="Y95" s="402"/>
      <c r="Z95" s="402"/>
      <c r="AA95" s="402"/>
      <c r="AB95" s="402"/>
      <c r="AC95" s="403"/>
      <c r="AE95" s="185" t="s">
        <v>130</v>
      </c>
      <c r="AF95" s="402" t="str">
        <f>ادخال1!$CK$4</f>
        <v>تاجوراء</v>
      </c>
      <c r="AG95" s="402"/>
      <c r="AH95" s="402"/>
      <c r="AI95" s="402"/>
      <c r="AJ95" s="402"/>
      <c r="AK95" s="402"/>
      <c r="AL95" s="402"/>
      <c r="AM95" s="402"/>
      <c r="AN95" s="402"/>
      <c r="AO95" s="402"/>
      <c r="AP95" s="402"/>
      <c r="AQ95" s="402"/>
      <c r="AR95" s="403"/>
      <c r="AT95" s="185" t="s">
        <v>130</v>
      </c>
      <c r="AU95" s="402" t="str">
        <f>ادخال1!$CK$4</f>
        <v>تاجوراء</v>
      </c>
      <c r="AV95" s="402"/>
      <c r="AW95" s="402"/>
      <c r="AX95" s="402"/>
      <c r="AY95" s="402"/>
      <c r="AZ95" s="402"/>
      <c r="BA95" s="402"/>
      <c r="BB95" s="402"/>
      <c r="BC95" s="402"/>
      <c r="BD95" s="402"/>
      <c r="BE95" s="402"/>
      <c r="BF95" s="402"/>
      <c r="BG95" s="403"/>
    </row>
    <row r="96" spans="1:59" ht="45" customHeight="1" x14ac:dyDescent="0.25">
      <c r="A96" s="185" t="s">
        <v>131</v>
      </c>
      <c r="B96" s="404" t="str">
        <f>ادخال1!$CI$6</f>
        <v xml:space="preserve">سهول العلم للتعليم الخاص </v>
      </c>
      <c r="C96" s="404"/>
      <c r="D96" s="404"/>
      <c r="E96" s="404"/>
      <c r="F96" s="404"/>
      <c r="G96" s="404"/>
      <c r="H96" s="404"/>
      <c r="I96" s="404"/>
      <c r="J96" s="405" t="s">
        <v>132</v>
      </c>
      <c r="K96" s="405"/>
      <c r="L96" s="405"/>
      <c r="M96" s="404" t="str">
        <f>ادخال1!$CI$8</f>
        <v>تاجوراء</v>
      </c>
      <c r="N96" s="406"/>
      <c r="P96" s="185" t="s">
        <v>131</v>
      </c>
      <c r="Q96" s="404" t="str">
        <f>ادخال1!$CI$6</f>
        <v xml:space="preserve">سهول العلم للتعليم الخاص </v>
      </c>
      <c r="R96" s="404"/>
      <c r="S96" s="404"/>
      <c r="T96" s="404"/>
      <c r="U96" s="404"/>
      <c r="V96" s="404"/>
      <c r="W96" s="404"/>
      <c r="X96" s="404"/>
      <c r="Y96" s="405" t="s">
        <v>132</v>
      </c>
      <c r="Z96" s="405"/>
      <c r="AA96" s="405"/>
      <c r="AB96" s="404" t="str">
        <f>ادخال1!$CI$8</f>
        <v>تاجوراء</v>
      </c>
      <c r="AC96" s="406"/>
      <c r="AE96" s="185" t="s">
        <v>131</v>
      </c>
      <c r="AF96" s="404" t="str">
        <f>ادخال1!$CI$6</f>
        <v xml:space="preserve">سهول العلم للتعليم الخاص </v>
      </c>
      <c r="AG96" s="404"/>
      <c r="AH96" s="404"/>
      <c r="AI96" s="404"/>
      <c r="AJ96" s="404"/>
      <c r="AK96" s="404"/>
      <c r="AL96" s="404"/>
      <c r="AM96" s="404"/>
      <c r="AN96" s="405" t="s">
        <v>132</v>
      </c>
      <c r="AO96" s="405"/>
      <c r="AP96" s="405"/>
      <c r="AQ96" s="404" t="str">
        <f>ادخال1!$CI$8</f>
        <v>تاجوراء</v>
      </c>
      <c r="AR96" s="406"/>
      <c r="AT96" s="185" t="s">
        <v>131</v>
      </c>
      <c r="AU96" s="404" t="str">
        <f>ادخال1!$CI$6</f>
        <v xml:space="preserve">سهول العلم للتعليم الخاص </v>
      </c>
      <c r="AV96" s="404"/>
      <c r="AW96" s="404"/>
      <c r="AX96" s="404"/>
      <c r="AY96" s="404"/>
      <c r="AZ96" s="404"/>
      <c r="BA96" s="404"/>
      <c r="BB96" s="404"/>
      <c r="BC96" s="405" t="s">
        <v>132</v>
      </c>
      <c r="BD96" s="405"/>
      <c r="BE96" s="405"/>
      <c r="BF96" s="404" t="str">
        <f>ادخال1!$CI$8</f>
        <v>تاجوراء</v>
      </c>
      <c r="BG96" s="406"/>
    </row>
    <row r="97" spans="1:59" ht="45" customHeight="1" x14ac:dyDescent="0.25">
      <c r="A97" s="185" t="s">
        <v>133</v>
      </c>
      <c r="B97" s="407" t="str">
        <f>IFERROR(VLOOKUP(A89,مسلسل,2,0),0)</f>
        <v>عبد العزيز عبدالله محمد المغربي</v>
      </c>
      <c r="C97" s="407">
        <f t="shared" ref="C97" si="106">IFERROR(VLOOKUP(B97,مسلسل,2,0),0)</f>
        <v>0</v>
      </c>
      <c r="D97" s="407">
        <f t="shared" ref="D97" si="107">IFERROR(VLOOKUP(C97,مسلسل,2,0),0)</f>
        <v>0</v>
      </c>
      <c r="E97" s="407">
        <f t="shared" ref="E97" si="108">IFERROR(VLOOKUP(D97,مسلسل,2,0),0)</f>
        <v>0</v>
      </c>
      <c r="F97" s="407">
        <f t="shared" ref="F97" si="109">IFERROR(VLOOKUP(E97,مسلسل,2,0),0)</f>
        <v>0</v>
      </c>
      <c r="G97" s="407">
        <f t="shared" ref="G97" si="110">IFERROR(VLOOKUP(F97,مسلسل,2,0),0)</f>
        <v>0</v>
      </c>
      <c r="H97" s="407">
        <f t="shared" ref="H97" si="111">IFERROR(VLOOKUP(G97,مسلسل,2,0),0)</f>
        <v>0</v>
      </c>
      <c r="I97" s="407">
        <f t="shared" ref="I97" si="112">IFERROR(VLOOKUP(H97,مسلسل,2,0),0)</f>
        <v>0</v>
      </c>
      <c r="J97" s="405" t="s">
        <v>134</v>
      </c>
      <c r="K97" s="405"/>
      <c r="L97" s="405"/>
      <c r="M97" s="404" t="str">
        <f>IFERROR(VLOOKUP(B97,اسماء,72,0),"")</f>
        <v>المغربي</v>
      </c>
      <c r="N97" s="406"/>
      <c r="P97" s="185" t="s">
        <v>133</v>
      </c>
      <c r="Q97" s="407" t="str">
        <f>IFERROR(VLOOKUP(P89,مسلسل,2,0),0)</f>
        <v>خديجة خليل محمد علي</v>
      </c>
      <c r="R97" s="407">
        <f t="shared" ref="R97" si="113">IFERROR(VLOOKUP(Q97,مسلسل,2,0),0)</f>
        <v>0</v>
      </c>
      <c r="S97" s="407">
        <f t="shared" ref="S97" si="114">IFERROR(VLOOKUP(R97,مسلسل,2,0),0)</f>
        <v>0</v>
      </c>
      <c r="T97" s="407">
        <f t="shared" ref="T97" si="115">IFERROR(VLOOKUP(S97,مسلسل,2,0),0)</f>
        <v>0</v>
      </c>
      <c r="U97" s="407">
        <f t="shared" ref="U97" si="116">IFERROR(VLOOKUP(T97,مسلسل,2,0),0)</f>
        <v>0</v>
      </c>
      <c r="V97" s="407">
        <f t="shared" ref="V97" si="117">IFERROR(VLOOKUP(U97,مسلسل,2,0),0)</f>
        <v>0</v>
      </c>
      <c r="W97" s="407">
        <f t="shared" ref="W97" si="118">IFERROR(VLOOKUP(V97,مسلسل,2,0),0)</f>
        <v>0</v>
      </c>
      <c r="X97" s="407">
        <f t="shared" ref="X97" si="119">IFERROR(VLOOKUP(W97,مسلسل,2,0),0)</f>
        <v>0</v>
      </c>
      <c r="Y97" s="405" t="s">
        <v>134</v>
      </c>
      <c r="Z97" s="405"/>
      <c r="AA97" s="405"/>
      <c r="AB97" s="404" t="str">
        <f>IFERROR(VLOOKUP(Q97,اسماء,72,0),"")</f>
        <v>على</v>
      </c>
      <c r="AC97" s="406"/>
      <c r="AE97" s="185" t="s">
        <v>133</v>
      </c>
      <c r="AF97" s="407" t="str">
        <f>IFERROR(VLOOKUP(AE89,مسلسل,2,0),0)</f>
        <v>أحمد نورالدين أحمد الذيب</v>
      </c>
      <c r="AG97" s="407">
        <f t="shared" ref="AG97" si="120">IFERROR(VLOOKUP(AF97,مسلسل,2,0),0)</f>
        <v>0</v>
      </c>
      <c r="AH97" s="407">
        <f t="shared" ref="AH97" si="121">IFERROR(VLOOKUP(AG97,مسلسل,2,0),0)</f>
        <v>0</v>
      </c>
      <c r="AI97" s="407">
        <f t="shared" ref="AI97" si="122">IFERROR(VLOOKUP(AH97,مسلسل,2,0),0)</f>
        <v>0</v>
      </c>
      <c r="AJ97" s="407">
        <f t="shared" ref="AJ97" si="123">IFERROR(VLOOKUP(AI97,مسلسل,2,0),0)</f>
        <v>0</v>
      </c>
      <c r="AK97" s="407">
        <f t="shared" ref="AK97" si="124">IFERROR(VLOOKUP(AJ97,مسلسل,2,0),0)</f>
        <v>0</v>
      </c>
      <c r="AL97" s="407">
        <f t="shared" ref="AL97" si="125">IFERROR(VLOOKUP(AK97,مسلسل,2,0),0)</f>
        <v>0</v>
      </c>
      <c r="AM97" s="407">
        <f t="shared" ref="AM97" si="126">IFERROR(VLOOKUP(AL97,مسلسل,2,0),0)</f>
        <v>0</v>
      </c>
      <c r="AN97" s="405" t="s">
        <v>134</v>
      </c>
      <c r="AO97" s="405"/>
      <c r="AP97" s="405"/>
      <c r="AQ97" s="404" t="str">
        <f>IFERROR(VLOOKUP(AF97,اسماء,72,0),"")</f>
        <v>الذيب</v>
      </c>
      <c r="AR97" s="406"/>
      <c r="AT97" s="185" t="s">
        <v>133</v>
      </c>
      <c r="AU97" s="407">
        <f>IFERROR(VLOOKUP(AT89,مسلسل,2,0),0)</f>
        <v>0</v>
      </c>
      <c r="AV97" s="407">
        <f t="shared" ref="AV97" si="127">IFERROR(VLOOKUP(AU97,مسلسل,2,0),0)</f>
        <v>0</v>
      </c>
      <c r="AW97" s="407">
        <f t="shared" ref="AW97" si="128">IFERROR(VLOOKUP(AV97,مسلسل,2,0),0)</f>
        <v>0</v>
      </c>
      <c r="AX97" s="407">
        <f t="shared" ref="AX97" si="129">IFERROR(VLOOKUP(AW97,مسلسل,2,0),0)</f>
        <v>0</v>
      </c>
      <c r="AY97" s="407">
        <f t="shared" ref="AY97" si="130">IFERROR(VLOOKUP(AX97,مسلسل,2,0),0)</f>
        <v>0</v>
      </c>
      <c r="AZ97" s="407">
        <f t="shared" ref="AZ97" si="131">IFERROR(VLOOKUP(AY97,مسلسل,2,0),0)</f>
        <v>0</v>
      </c>
      <c r="BA97" s="407">
        <f t="shared" ref="BA97" si="132">IFERROR(VLOOKUP(AZ97,مسلسل,2,0),0)</f>
        <v>0</v>
      </c>
      <c r="BB97" s="407">
        <f t="shared" ref="BB97" si="133">IFERROR(VLOOKUP(BA97,مسلسل,2,0),0)</f>
        <v>0</v>
      </c>
      <c r="BC97" s="405" t="s">
        <v>134</v>
      </c>
      <c r="BD97" s="405"/>
      <c r="BE97" s="405"/>
      <c r="BF97" s="404" t="str">
        <f>IFERROR(VLOOKUP(AU97,اسماء,72,0),"")</f>
        <v/>
      </c>
      <c r="BG97" s="406"/>
    </row>
    <row r="98" spans="1:59" ht="45" customHeight="1" x14ac:dyDescent="0.25">
      <c r="A98" s="185" t="s">
        <v>135</v>
      </c>
      <c r="B98" s="408" t="str">
        <f>IFERROR(VLOOKUP(B97,اسماء,85,0),"")</f>
        <v>ليبي</v>
      </c>
      <c r="C98" s="408"/>
      <c r="D98" s="408"/>
      <c r="E98" s="409">
        <f>IFERROR(VLOOKUP(B97,اسماء,2,0),"")</f>
        <v>42393</v>
      </c>
      <c r="F98" s="409"/>
      <c r="G98" s="409"/>
      <c r="H98" s="409"/>
      <c r="I98" s="410" t="s">
        <v>136</v>
      </c>
      <c r="J98" s="410"/>
      <c r="K98" s="410"/>
      <c r="L98" s="410"/>
      <c r="M98" s="404" t="str">
        <f>IFERROR(VLOOKUP(B97,اسماء,3,0),"")</f>
        <v>زينب إبراهيم النقراط</v>
      </c>
      <c r="N98" s="406"/>
      <c r="P98" s="185" t="s">
        <v>135</v>
      </c>
      <c r="Q98" s="408" t="str">
        <f>IFERROR(VLOOKUP(Q97,اسماء,85,0),"")</f>
        <v>ليبي</v>
      </c>
      <c r="R98" s="408"/>
      <c r="S98" s="408"/>
      <c r="T98" s="409">
        <f>IFERROR(VLOOKUP(Q97,اسماء,2,0),"")</f>
        <v>42564</v>
      </c>
      <c r="U98" s="409"/>
      <c r="V98" s="409"/>
      <c r="W98" s="409"/>
      <c r="X98" s="410" t="s">
        <v>136</v>
      </c>
      <c r="Y98" s="410"/>
      <c r="Z98" s="410"/>
      <c r="AA98" s="410"/>
      <c r="AB98" s="404" t="str">
        <f>IFERROR(VLOOKUP(Q97,اسماء,3,0),"")</f>
        <v>انتصار على على</v>
      </c>
      <c r="AC98" s="406"/>
      <c r="AE98" s="185" t="s">
        <v>135</v>
      </c>
      <c r="AF98" s="408" t="str">
        <f>IFERROR(VLOOKUP(AF97,اسماء,85,0),"")</f>
        <v>ليبي</v>
      </c>
      <c r="AG98" s="408"/>
      <c r="AH98" s="408"/>
      <c r="AI98" s="409">
        <f>IFERROR(VLOOKUP(AF97,اسماء,2,0),"")</f>
        <v>42388</v>
      </c>
      <c r="AJ98" s="409"/>
      <c r="AK98" s="409"/>
      <c r="AL98" s="409"/>
      <c r="AM98" s="410" t="s">
        <v>136</v>
      </c>
      <c r="AN98" s="410"/>
      <c r="AO98" s="410"/>
      <c r="AP98" s="410"/>
      <c r="AQ98" s="404" t="str">
        <f>IFERROR(VLOOKUP(AF97,اسماء,3,0),"")</f>
        <v>امنه صالح المعداني</v>
      </c>
      <c r="AR98" s="406"/>
      <c r="AT98" s="185" t="s">
        <v>135</v>
      </c>
      <c r="AU98" s="408" t="str">
        <f>IFERROR(VLOOKUP(AU97,اسماء,85,0),"")</f>
        <v/>
      </c>
      <c r="AV98" s="408"/>
      <c r="AW98" s="408"/>
      <c r="AX98" s="409" t="str">
        <f>IFERROR(VLOOKUP(AU97,اسماء,2,0),"")</f>
        <v/>
      </c>
      <c r="AY98" s="409"/>
      <c r="AZ98" s="409"/>
      <c r="BA98" s="409"/>
      <c r="BB98" s="410" t="s">
        <v>136</v>
      </c>
      <c r="BC98" s="410"/>
      <c r="BD98" s="410"/>
      <c r="BE98" s="410"/>
      <c r="BF98" s="404" t="str">
        <f>IFERROR(VLOOKUP(AU97,اسماء,3,0),"")</f>
        <v/>
      </c>
      <c r="BG98" s="406"/>
    </row>
    <row r="99" spans="1:59" ht="35.1" customHeight="1" x14ac:dyDescent="0.25">
      <c r="A99" s="185" t="s">
        <v>137</v>
      </c>
      <c r="B99" s="186" t="str">
        <f>IFERROR(VLOOKUP(B97,اسماء,73,0),"")</f>
        <v>9</v>
      </c>
      <c r="C99" s="186" t="str">
        <f>IFERROR(VLOOKUP(B97,اسماء,74,0),"")</f>
        <v>8</v>
      </c>
      <c r="D99" s="186" t="str">
        <f>IFERROR(VLOOKUP(B97,اسماء,75,0),"")</f>
        <v>1</v>
      </c>
      <c r="E99" s="186" t="str">
        <f>IFERROR(VLOOKUP(B97,اسماء,76,0),"")</f>
        <v>1</v>
      </c>
      <c r="F99" s="186" t="str">
        <f>IFERROR(VLOOKUP(B97,اسماء,77,0),"")</f>
        <v>4</v>
      </c>
      <c r="G99" s="186" t="str">
        <f>IFERROR(VLOOKUP(B97,اسماء,78,0),"")</f>
        <v>1</v>
      </c>
      <c r="H99" s="186" t="str">
        <f>IFERROR(VLOOKUP(B97,اسماء,78,0),"")</f>
        <v>1</v>
      </c>
      <c r="I99" s="186" t="str">
        <f>IFERROR(VLOOKUP(B97,اسماء,79,0),"")</f>
        <v>0</v>
      </c>
      <c r="J99" s="186" t="str">
        <f>IFERROR(VLOOKUP(B97,اسماء,80,0),"")</f>
        <v>6</v>
      </c>
      <c r="K99" s="186" t="str">
        <f>IFERROR(VLOOKUP(B97,اسماء,82,0),"")</f>
        <v>0</v>
      </c>
      <c r="L99" s="186" t="str">
        <f>IFERROR(VLOOKUP(B97,اسماء,83,0),"")</f>
        <v>2</v>
      </c>
      <c r="M99" s="186" t="str">
        <f>IFERROR(VLOOKUP(B97,اسماء,84,0),"")</f>
        <v>1</v>
      </c>
      <c r="N99" s="187"/>
      <c r="P99" s="185" t="s">
        <v>137</v>
      </c>
      <c r="Q99" s="186" t="str">
        <f>IFERROR(VLOOKUP(Q97,اسماء,73,0),"")</f>
        <v>7</v>
      </c>
      <c r="R99" s="186" t="str">
        <f>IFERROR(VLOOKUP(Q97,اسماء,74,0),"")</f>
        <v>2</v>
      </c>
      <c r="S99" s="186" t="str">
        <f>IFERROR(VLOOKUP(Q97,اسماء,75,0),"")</f>
        <v>7</v>
      </c>
      <c r="T99" s="186" t="str">
        <f>IFERROR(VLOOKUP(Q97,اسماء,76,0),"")</f>
        <v>1</v>
      </c>
      <c r="U99" s="186" t="str">
        <f>IFERROR(VLOOKUP(Q97,اسماء,77,0),"")</f>
        <v>1</v>
      </c>
      <c r="V99" s="186" t="str">
        <f>IFERROR(VLOOKUP(Q97,اسماء,78,0),"")</f>
        <v>3</v>
      </c>
      <c r="W99" s="186" t="str">
        <f>IFERROR(VLOOKUP(Q97,اسماء,78,0),"")</f>
        <v>3</v>
      </c>
      <c r="X99" s="186" t="str">
        <f>IFERROR(VLOOKUP(Q97,اسماء,79,0),"")</f>
        <v>0</v>
      </c>
      <c r="Y99" s="186" t="str">
        <f>IFERROR(VLOOKUP(Q97,اسماء,80,0),"")</f>
        <v>6</v>
      </c>
      <c r="Z99" s="186" t="str">
        <f>IFERROR(VLOOKUP(Q97,اسماء,82,0),"")</f>
        <v>0</v>
      </c>
      <c r="AA99" s="186" t="str">
        <f>IFERROR(VLOOKUP(Q97,اسماء,83,0),"")</f>
        <v>2</v>
      </c>
      <c r="AB99" s="186" t="str">
        <f>IFERROR(VLOOKUP(Q97,اسماء,84,0),"")</f>
        <v>2</v>
      </c>
      <c r="AC99" s="187"/>
      <c r="AE99" s="185" t="s">
        <v>137</v>
      </c>
      <c r="AF99" s="186" t="str">
        <f>IFERROR(VLOOKUP(AF97,اسماء,73,0),"")</f>
        <v>2</v>
      </c>
      <c r="AG99" s="186" t="str">
        <f>IFERROR(VLOOKUP(AF97,اسماء,74,0),"")</f>
        <v>2</v>
      </c>
      <c r="AH99" s="186" t="str">
        <f>IFERROR(VLOOKUP(AF97,اسماء,75,0),"")</f>
        <v>8</v>
      </c>
      <c r="AI99" s="186" t="str">
        <f>IFERROR(VLOOKUP(AF97,اسماء,76,0),"")</f>
        <v>4</v>
      </c>
      <c r="AJ99" s="186" t="str">
        <f>IFERROR(VLOOKUP(AF97,اسماء,77,0),"")</f>
        <v>7</v>
      </c>
      <c r="AK99" s="186" t="str">
        <f>IFERROR(VLOOKUP(AF97,اسماء,78,0),"")</f>
        <v>2</v>
      </c>
      <c r="AL99" s="186" t="str">
        <f>IFERROR(VLOOKUP(AF97,اسماء,78,0),"")</f>
        <v>2</v>
      </c>
      <c r="AM99" s="186" t="str">
        <f>IFERROR(VLOOKUP(AF97,اسماء,79,0),"")</f>
        <v>1</v>
      </c>
      <c r="AN99" s="186" t="str">
        <f>IFERROR(VLOOKUP(AF97,اسماء,80,0),"")</f>
        <v>6</v>
      </c>
      <c r="AO99" s="186" t="str">
        <f>IFERROR(VLOOKUP(AF97,اسماء,82,0),"")</f>
        <v>0</v>
      </c>
      <c r="AP99" s="186" t="str">
        <f>IFERROR(VLOOKUP(AF97,اسماء,83,0),"")</f>
        <v>2</v>
      </c>
      <c r="AQ99" s="186" t="str">
        <f>IFERROR(VLOOKUP(AF97,اسماء,84,0),"")</f>
        <v>1</v>
      </c>
      <c r="AR99" s="187"/>
      <c r="AT99" s="185" t="s">
        <v>137</v>
      </c>
      <c r="AU99" s="186" t="str">
        <f>IFERROR(VLOOKUP(AU97,اسماء,73,0),"")</f>
        <v/>
      </c>
      <c r="AV99" s="186" t="str">
        <f>IFERROR(VLOOKUP(AU97,اسماء,74,0),"")</f>
        <v/>
      </c>
      <c r="AW99" s="186" t="str">
        <f>IFERROR(VLOOKUP(AU97,اسماء,75,0),"")</f>
        <v/>
      </c>
      <c r="AX99" s="186" t="str">
        <f>IFERROR(VLOOKUP(AU97,اسماء,76,0),"")</f>
        <v/>
      </c>
      <c r="AY99" s="186" t="str">
        <f>IFERROR(VLOOKUP(AU97,اسماء,77,0),"")</f>
        <v/>
      </c>
      <c r="AZ99" s="186" t="str">
        <f>IFERROR(VLOOKUP(AU97,اسماء,78,0),"")</f>
        <v/>
      </c>
      <c r="BA99" s="186" t="str">
        <f>IFERROR(VLOOKUP(AU97,اسماء,78,0),"")</f>
        <v/>
      </c>
      <c r="BB99" s="186" t="str">
        <f>IFERROR(VLOOKUP(AU97,اسماء,79,0),"")</f>
        <v/>
      </c>
      <c r="BC99" s="186" t="str">
        <f>IFERROR(VLOOKUP(AU97,اسماء,80,0),"")</f>
        <v/>
      </c>
      <c r="BD99" s="186" t="str">
        <f>IFERROR(VLOOKUP(AU97,اسماء,82,0),"")</f>
        <v/>
      </c>
      <c r="BE99" s="186" t="str">
        <f>IFERROR(VLOOKUP(AU97,اسماء,83,0),"")</f>
        <v/>
      </c>
      <c r="BF99" s="186" t="str">
        <f>IFERROR(VLOOKUP(AU97,اسماء,84,0),"")</f>
        <v/>
      </c>
      <c r="BG99" s="187"/>
    </row>
    <row r="100" spans="1:59" ht="45" customHeight="1" x14ac:dyDescent="0.25">
      <c r="A100" s="185" t="s">
        <v>138</v>
      </c>
      <c r="B100" s="411" t="str">
        <f>IFERROR(VLOOKUP(B97,اسماء,86,0),"")</f>
        <v>ليبي</v>
      </c>
      <c r="C100" s="411"/>
      <c r="D100" s="411"/>
      <c r="E100" s="411"/>
      <c r="F100" s="411"/>
      <c r="G100" s="408" t="s">
        <v>139</v>
      </c>
      <c r="H100" s="408"/>
      <c r="I100" s="408" t="s">
        <v>140</v>
      </c>
      <c r="J100" s="408"/>
      <c r="K100" s="404" t="str">
        <f>IFERROR(VLOOKUP(B97,اسماء,87,0),"")</f>
        <v>مستجد</v>
      </c>
      <c r="L100" s="404"/>
      <c r="M100" s="404"/>
      <c r="N100" s="406"/>
      <c r="P100" s="185" t="s">
        <v>138</v>
      </c>
      <c r="Q100" s="411" t="str">
        <f>IFERROR(VLOOKUP(Q97,اسماء,86,0),"")</f>
        <v>ليبية</v>
      </c>
      <c r="R100" s="411"/>
      <c r="S100" s="411"/>
      <c r="T100" s="411"/>
      <c r="U100" s="411"/>
      <c r="V100" s="408" t="s">
        <v>139</v>
      </c>
      <c r="W100" s="408"/>
      <c r="X100" s="408" t="s">
        <v>140</v>
      </c>
      <c r="Y100" s="408"/>
      <c r="Z100" s="404" t="str">
        <f>IFERROR(VLOOKUP(Q97,اسماء,87,0),"")</f>
        <v>مستجد</v>
      </c>
      <c r="AA100" s="404"/>
      <c r="AB100" s="404"/>
      <c r="AC100" s="406"/>
      <c r="AE100" s="185" t="s">
        <v>138</v>
      </c>
      <c r="AF100" s="411" t="str">
        <f>IFERROR(VLOOKUP(AF97,اسماء,86,0),"")</f>
        <v>ليبي</v>
      </c>
      <c r="AG100" s="411"/>
      <c r="AH100" s="411"/>
      <c r="AI100" s="411"/>
      <c r="AJ100" s="411"/>
      <c r="AK100" s="408" t="s">
        <v>139</v>
      </c>
      <c r="AL100" s="408"/>
      <c r="AM100" s="408" t="s">
        <v>140</v>
      </c>
      <c r="AN100" s="408"/>
      <c r="AO100" s="404" t="str">
        <f>IFERROR(VLOOKUP(AF97,اسماء,87,0),"")</f>
        <v>مستجد</v>
      </c>
      <c r="AP100" s="404"/>
      <c r="AQ100" s="404"/>
      <c r="AR100" s="406"/>
      <c r="AT100" s="185" t="s">
        <v>138</v>
      </c>
      <c r="AU100" s="411" t="str">
        <f>IFERROR(VLOOKUP(AU97,اسماء,86,0),"")</f>
        <v/>
      </c>
      <c r="AV100" s="411"/>
      <c r="AW100" s="411"/>
      <c r="AX100" s="411"/>
      <c r="AY100" s="411"/>
      <c r="AZ100" s="408" t="s">
        <v>139</v>
      </c>
      <c r="BA100" s="408"/>
      <c r="BB100" s="408" t="s">
        <v>140</v>
      </c>
      <c r="BC100" s="408"/>
      <c r="BD100" s="404" t="str">
        <f>IFERROR(VLOOKUP(AU97,اسماء,87,0),"")</f>
        <v/>
      </c>
      <c r="BE100" s="404"/>
      <c r="BF100" s="404"/>
      <c r="BG100" s="406"/>
    </row>
    <row r="101" spans="1:59" ht="45" customHeight="1" x14ac:dyDescent="0.25">
      <c r="A101" s="185" t="s">
        <v>141</v>
      </c>
      <c r="B101" s="404" t="str">
        <f>IFERROR(VLOOKUP(B97,اسماء,89,0),"")</f>
        <v>سلسبيل الكاسح</v>
      </c>
      <c r="C101" s="404"/>
      <c r="D101" s="404"/>
      <c r="E101" s="404"/>
      <c r="F101" s="404"/>
      <c r="G101" s="408" t="s">
        <v>124</v>
      </c>
      <c r="H101" s="408"/>
      <c r="I101" s="408"/>
      <c r="J101" s="408"/>
      <c r="K101" s="404" t="str">
        <f>IFERROR(VLOOKUP(B97,اسماء,88,0),"")</f>
        <v>نظامي</v>
      </c>
      <c r="L101" s="404"/>
      <c r="M101" s="404"/>
      <c r="N101" s="406"/>
      <c r="P101" s="185" t="s">
        <v>141</v>
      </c>
      <c r="Q101" s="404" t="str">
        <f>IFERROR(VLOOKUP(Q97,اسماء,89,0),"")</f>
        <v>سلسبيل الكاسح</v>
      </c>
      <c r="R101" s="404"/>
      <c r="S101" s="404"/>
      <c r="T101" s="404"/>
      <c r="U101" s="404"/>
      <c r="V101" s="408" t="s">
        <v>124</v>
      </c>
      <c r="W101" s="408"/>
      <c r="X101" s="408"/>
      <c r="Y101" s="408"/>
      <c r="Z101" s="404" t="str">
        <f>IFERROR(VLOOKUP(Q97,اسماء,88,0),"")</f>
        <v>نظامي</v>
      </c>
      <c r="AA101" s="404"/>
      <c r="AB101" s="404"/>
      <c r="AC101" s="406"/>
      <c r="AE101" s="185" t="s">
        <v>141</v>
      </c>
      <c r="AF101" s="404" t="str">
        <f>IFERROR(VLOOKUP(AF97,اسماء,89,0),"")</f>
        <v>سلسبيل الكاسح</v>
      </c>
      <c r="AG101" s="404"/>
      <c r="AH101" s="404"/>
      <c r="AI101" s="404"/>
      <c r="AJ101" s="404"/>
      <c r="AK101" s="408" t="s">
        <v>124</v>
      </c>
      <c r="AL101" s="408"/>
      <c r="AM101" s="408"/>
      <c r="AN101" s="408"/>
      <c r="AO101" s="404" t="str">
        <f>IFERROR(VLOOKUP(AF97,اسماء,88,0),"")</f>
        <v>نظامي</v>
      </c>
      <c r="AP101" s="404"/>
      <c r="AQ101" s="404"/>
      <c r="AR101" s="406"/>
      <c r="AT101" s="185" t="s">
        <v>141</v>
      </c>
      <c r="AU101" s="404" t="str">
        <f>IFERROR(VLOOKUP(AU97,اسماء,89,0),"")</f>
        <v/>
      </c>
      <c r="AV101" s="404"/>
      <c r="AW101" s="404"/>
      <c r="AX101" s="404"/>
      <c r="AY101" s="404"/>
      <c r="AZ101" s="408" t="s">
        <v>124</v>
      </c>
      <c r="BA101" s="408"/>
      <c r="BB101" s="408"/>
      <c r="BC101" s="408"/>
      <c r="BD101" s="404" t="str">
        <f>IFERROR(VLOOKUP(AU97,اسماء,88,0),"")</f>
        <v/>
      </c>
      <c r="BE101" s="404"/>
      <c r="BF101" s="404"/>
      <c r="BG101" s="406"/>
    </row>
    <row r="102" spans="1:59" ht="45" customHeight="1" thickBot="1" x14ac:dyDescent="0.3">
      <c r="A102" s="412" t="s">
        <v>142</v>
      </c>
      <c r="B102" s="413"/>
      <c r="C102" s="413"/>
      <c r="D102" s="413"/>
      <c r="E102" s="413"/>
      <c r="F102" s="413"/>
      <c r="G102" s="413"/>
      <c r="H102" s="413"/>
      <c r="I102" s="413"/>
      <c r="J102" s="413"/>
      <c r="K102" s="413"/>
      <c r="L102" s="413"/>
      <c r="M102" s="413"/>
      <c r="N102" s="414"/>
      <c r="P102" s="412" t="s">
        <v>142</v>
      </c>
      <c r="Q102" s="413"/>
      <c r="R102" s="413"/>
      <c r="S102" s="413"/>
      <c r="T102" s="413"/>
      <c r="U102" s="413"/>
      <c r="V102" s="413"/>
      <c r="W102" s="413"/>
      <c r="X102" s="413"/>
      <c r="Y102" s="413"/>
      <c r="Z102" s="413"/>
      <c r="AA102" s="413"/>
      <c r="AB102" s="413"/>
      <c r="AC102" s="414"/>
      <c r="AE102" s="412" t="s">
        <v>142</v>
      </c>
      <c r="AF102" s="413"/>
      <c r="AG102" s="413"/>
      <c r="AH102" s="413"/>
      <c r="AI102" s="413"/>
      <c r="AJ102" s="413"/>
      <c r="AK102" s="413"/>
      <c r="AL102" s="413"/>
      <c r="AM102" s="413"/>
      <c r="AN102" s="413"/>
      <c r="AO102" s="413"/>
      <c r="AP102" s="413"/>
      <c r="AQ102" s="413"/>
      <c r="AR102" s="414"/>
      <c r="AT102" s="412" t="s">
        <v>142</v>
      </c>
      <c r="AU102" s="413"/>
      <c r="AV102" s="413"/>
      <c r="AW102" s="413"/>
      <c r="AX102" s="413"/>
      <c r="AY102" s="413"/>
      <c r="AZ102" s="413"/>
      <c r="BA102" s="413"/>
      <c r="BB102" s="413"/>
      <c r="BC102" s="413"/>
      <c r="BD102" s="413"/>
      <c r="BE102" s="413"/>
      <c r="BF102" s="413"/>
      <c r="BG102" s="414"/>
    </row>
    <row r="103" spans="1:59" ht="45" customHeight="1" thickTop="1" x14ac:dyDescent="0.4">
      <c r="A103" s="415" t="s">
        <v>143</v>
      </c>
      <c r="B103" s="416"/>
      <c r="C103" s="416"/>
      <c r="D103" s="416"/>
      <c r="E103" s="416"/>
      <c r="F103" s="416"/>
      <c r="G103" s="416"/>
      <c r="H103" s="416"/>
      <c r="I103" s="416"/>
      <c r="J103" s="416"/>
      <c r="K103" s="416"/>
      <c r="L103" s="416"/>
      <c r="M103" s="416"/>
      <c r="N103" s="417"/>
      <c r="P103" s="415" t="s">
        <v>143</v>
      </c>
      <c r="Q103" s="416"/>
      <c r="R103" s="416"/>
      <c r="S103" s="416"/>
      <c r="T103" s="416"/>
      <c r="U103" s="416"/>
      <c r="V103" s="416"/>
      <c r="W103" s="416"/>
      <c r="X103" s="416"/>
      <c r="Y103" s="416"/>
      <c r="Z103" s="416"/>
      <c r="AA103" s="416"/>
      <c r="AB103" s="416"/>
      <c r="AC103" s="417"/>
      <c r="AE103" s="415" t="s">
        <v>143</v>
      </c>
      <c r="AF103" s="416"/>
      <c r="AG103" s="416"/>
      <c r="AH103" s="416"/>
      <c r="AI103" s="416"/>
      <c r="AJ103" s="416"/>
      <c r="AK103" s="416"/>
      <c r="AL103" s="416"/>
      <c r="AM103" s="416"/>
      <c r="AN103" s="416"/>
      <c r="AO103" s="416"/>
      <c r="AP103" s="416"/>
      <c r="AQ103" s="416"/>
      <c r="AR103" s="417"/>
      <c r="AT103" s="415" t="s">
        <v>143</v>
      </c>
      <c r="AU103" s="416"/>
      <c r="AV103" s="416"/>
      <c r="AW103" s="416"/>
      <c r="AX103" s="416"/>
      <c r="AY103" s="416"/>
      <c r="AZ103" s="416"/>
      <c r="BA103" s="416"/>
      <c r="BB103" s="416"/>
      <c r="BC103" s="416"/>
      <c r="BD103" s="416"/>
      <c r="BE103" s="416"/>
      <c r="BF103" s="416"/>
      <c r="BG103" s="417"/>
    </row>
    <row r="104" spans="1:59" s="67" customFormat="1" ht="33" customHeight="1" x14ac:dyDescent="0.25">
      <c r="A104" s="418" t="s">
        <v>160</v>
      </c>
      <c r="B104" s="408"/>
      <c r="C104" s="408"/>
      <c r="D104" s="408"/>
      <c r="E104" s="408"/>
      <c r="F104" s="408"/>
      <c r="G104" s="408"/>
      <c r="H104" s="408"/>
      <c r="I104" s="408"/>
      <c r="J104" s="408"/>
      <c r="K104" s="408"/>
      <c r="L104" s="408"/>
      <c r="M104" s="408"/>
      <c r="N104" s="419"/>
      <c r="P104" s="418" t="s">
        <v>160</v>
      </c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8"/>
      <c r="AB104" s="408"/>
      <c r="AC104" s="419"/>
      <c r="AE104" s="418" t="s">
        <v>160</v>
      </c>
      <c r="AF104" s="408"/>
      <c r="AG104" s="408"/>
      <c r="AH104" s="408"/>
      <c r="AI104" s="408"/>
      <c r="AJ104" s="408"/>
      <c r="AK104" s="408"/>
      <c r="AL104" s="408"/>
      <c r="AM104" s="408"/>
      <c r="AN104" s="408"/>
      <c r="AO104" s="408"/>
      <c r="AP104" s="408"/>
      <c r="AQ104" s="408"/>
      <c r="AR104" s="419"/>
      <c r="AT104" s="418" t="s">
        <v>160</v>
      </c>
      <c r="AU104" s="408"/>
      <c r="AV104" s="408"/>
      <c r="AW104" s="408"/>
      <c r="AX104" s="408"/>
      <c r="AY104" s="408"/>
      <c r="AZ104" s="408"/>
      <c r="BA104" s="408"/>
      <c r="BB104" s="408"/>
      <c r="BC104" s="408"/>
      <c r="BD104" s="408"/>
      <c r="BE104" s="408"/>
      <c r="BF104" s="408"/>
      <c r="BG104" s="419"/>
    </row>
    <row r="105" spans="1:59" ht="33" customHeight="1" x14ac:dyDescent="0.4">
      <c r="A105" s="420" t="s">
        <v>144</v>
      </c>
      <c r="B105" s="421"/>
      <c r="C105" s="421"/>
      <c r="D105" s="421"/>
      <c r="E105" s="421"/>
      <c r="F105" s="421"/>
      <c r="G105" s="408"/>
      <c r="H105" s="408"/>
      <c r="I105" s="408"/>
      <c r="J105" s="408"/>
      <c r="K105" s="408"/>
      <c r="L105" s="408"/>
      <c r="M105" s="408"/>
      <c r="N105" s="419"/>
      <c r="P105" s="420" t="s">
        <v>144</v>
      </c>
      <c r="Q105" s="421"/>
      <c r="R105" s="421"/>
      <c r="S105" s="421"/>
      <c r="T105" s="421"/>
      <c r="U105" s="421"/>
      <c r="V105" s="408"/>
      <c r="W105" s="408"/>
      <c r="X105" s="408"/>
      <c r="Y105" s="408"/>
      <c r="Z105" s="408"/>
      <c r="AA105" s="408"/>
      <c r="AB105" s="408"/>
      <c r="AC105" s="419"/>
      <c r="AE105" s="420" t="s">
        <v>144</v>
      </c>
      <c r="AF105" s="421"/>
      <c r="AG105" s="421"/>
      <c r="AH105" s="421"/>
      <c r="AI105" s="421"/>
      <c r="AJ105" s="421"/>
      <c r="AK105" s="408"/>
      <c r="AL105" s="408"/>
      <c r="AM105" s="408"/>
      <c r="AN105" s="408"/>
      <c r="AO105" s="408"/>
      <c r="AP105" s="408"/>
      <c r="AQ105" s="408"/>
      <c r="AR105" s="419"/>
      <c r="AT105" s="420" t="s">
        <v>144</v>
      </c>
      <c r="AU105" s="421"/>
      <c r="AV105" s="421"/>
      <c r="AW105" s="421"/>
      <c r="AX105" s="421"/>
      <c r="AY105" s="421"/>
      <c r="AZ105" s="408"/>
      <c r="BA105" s="408"/>
      <c r="BB105" s="408"/>
      <c r="BC105" s="408"/>
      <c r="BD105" s="408"/>
      <c r="BE105" s="408"/>
      <c r="BF105" s="408"/>
      <c r="BG105" s="419"/>
    </row>
    <row r="106" spans="1:59" s="190" customFormat="1" ht="30" customHeight="1" x14ac:dyDescent="0.4">
      <c r="A106" s="185" t="s">
        <v>145</v>
      </c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9" t="s">
        <v>146</v>
      </c>
      <c r="P106" s="185" t="s">
        <v>145</v>
      </c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9" t="s">
        <v>146</v>
      </c>
      <c r="AE106" s="185" t="s">
        <v>145</v>
      </c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9" t="s">
        <v>146</v>
      </c>
      <c r="AT106" s="185" t="s">
        <v>145</v>
      </c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E106" s="188"/>
      <c r="BF106" s="188"/>
      <c r="BG106" s="189" t="s">
        <v>146</v>
      </c>
    </row>
    <row r="107" spans="1:59" ht="30" customHeight="1" x14ac:dyDescent="0.4">
      <c r="A107" s="191"/>
      <c r="B107" s="188"/>
      <c r="C107" s="188"/>
      <c r="D107" s="188"/>
      <c r="E107" s="188"/>
      <c r="F107" s="188"/>
      <c r="G107" s="188"/>
      <c r="H107" s="188"/>
      <c r="I107" s="188"/>
      <c r="J107" s="188"/>
      <c r="K107" s="188"/>
      <c r="L107" s="188"/>
      <c r="M107" s="188"/>
      <c r="N107" s="192"/>
      <c r="P107" s="191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92"/>
      <c r="AE107" s="191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92"/>
      <c r="AT107" s="191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E107" s="188"/>
      <c r="BF107" s="188"/>
      <c r="BG107" s="192"/>
    </row>
    <row r="108" spans="1:59" ht="24.95" customHeight="1" x14ac:dyDescent="0.5">
      <c r="A108" s="19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94"/>
      <c r="P108" s="193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  <c r="AA108" s="182"/>
      <c r="AB108" s="182"/>
      <c r="AC108" s="194"/>
      <c r="AE108" s="193"/>
      <c r="AF108" s="182"/>
      <c r="AG108" s="182"/>
      <c r="AH108" s="182"/>
      <c r="AI108" s="182"/>
      <c r="AJ108" s="182"/>
      <c r="AK108" s="182"/>
      <c r="AL108" s="182"/>
      <c r="AM108" s="182"/>
      <c r="AN108" s="182"/>
      <c r="AO108" s="182"/>
      <c r="AP108" s="182"/>
      <c r="AQ108" s="182"/>
      <c r="AR108" s="194"/>
      <c r="AT108" s="193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94"/>
    </row>
    <row r="109" spans="1:59" ht="24.95" customHeight="1" thickBot="1" x14ac:dyDescent="0.55000000000000004">
      <c r="A109" s="195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7"/>
      <c r="P109" s="195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7"/>
      <c r="AE109" s="195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7"/>
      <c r="AT109" s="195"/>
      <c r="AU109" s="196"/>
      <c r="AV109" s="196"/>
      <c r="AW109" s="196"/>
      <c r="AX109" s="196"/>
      <c r="AY109" s="196"/>
      <c r="AZ109" s="196"/>
      <c r="BA109" s="196"/>
      <c r="BB109" s="196"/>
      <c r="BC109" s="196"/>
      <c r="BD109" s="196"/>
      <c r="BE109" s="196"/>
      <c r="BF109" s="196"/>
      <c r="BG109" s="197"/>
    </row>
    <row r="110" spans="1:59" ht="15.75" thickTop="1" x14ac:dyDescent="0.25"/>
  </sheetData>
  <mergeCells count="680"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</mergeCells>
  <printOptions horizontalCentered="1" verticalCentered="1"/>
  <pageMargins left="0" right="0" top="0" bottom="0" header="0" footer="0"/>
  <pageSetup paperSize="9" scale="97" orientation="portrait" r:id="rId1"/>
  <rowBreaks count="1" manualBreakCount="1">
    <brk id="21" max="58" man="1"/>
  </rowBreaks>
  <colBreaks count="1" manualBreakCount="1">
    <brk id="15" min="1" max="10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rightToLeft="1" zoomScale="70" zoomScaleNormal="70" workbookViewId="0"/>
  </sheetViews>
  <sheetFormatPr defaultColWidth="0" defaultRowHeight="13.9" customHeight="1" zeroHeight="1" x14ac:dyDescent="0.25"/>
  <cols>
    <col min="1" max="16" width="8.85546875" customWidth="1"/>
    <col min="17" max="16384" width="8.85546875" hidden="1"/>
  </cols>
  <sheetData>
    <row r="1" spans="1:1" ht="15" x14ac:dyDescent="0.25">
      <c r="A1" t="s">
        <v>69</v>
      </c>
    </row>
    <row r="2" spans="1:1" ht="15" x14ac:dyDescent="0.25"/>
    <row r="3" spans="1:1" ht="15" x14ac:dyDescent="0.25"/>
    <row r="4" spans="1:1" ht="15" x14ac:dyDescent="0.25"/>
    <row r="5" spans="1:1" ht="15" x14ac:dyDescent="0.25"/>
    <row r="6" spans="1:1" ht="15" x14ac:dyDescent="0.25"/>
    <row r="7" spans="1:1" ht="15" x14ac:dyDescent="0.25"/>
    <row r="8" spans="1:1" ht="15" x14ac:dyDescent="0.25"/>
    <row r="9" spans="1:1" ht="15" x14ac:dyDescent="0.25"/>
    <row r="10" spans="1:1" ht="15" x14ac:dyDescent="0.25"/>
    <row r="11" spans="1:1" ht="15" x14ac:dyDescent="0.25"/>
    <row r="12" spans="1:1" ht="15" x14ac:dyDescent="0.25"/>
    <row r="13" spans="1:1" ht="15" x14ac:dyDescent="0.25"/>
    <row r="14" spans="1:1" ht="15" x14ac:dyDescent="0.25"/>
    <row r="15" spans="1:1" ht="15" x14ac:dyDescent="0.25"/>
    <row r="16" spans="1:1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AQ109"/>
  <sheetViews>
    <sheetView showZeros="0" rightToLeft="1" view="pageBreakPreview" zoomScale="130" zoomScaleNormal="40" zoomScaleSheetLayoutView="130" workbookViewId="0">
      <selection activeCell="R2" sqref="R2:U2"/>
    </sheetView>
  </sheetViews>
  <sheetFormatPr defaultRowHeight="15" x14ac:dyDescent="0.25"/>
  <cols>
    <col min="1" max="1" width="13" style="1" customWidth="1"/>
    <col min="2" max="2" width="4.140625" style="1" customWidth="1"/>
    <col min="3" max="6" width="5.5703125" style="1" customWidth="1"/>
    <col min="7" max="7" width="0.42578125" style="1" customWidth="1"/>
    <col min="8" max="10" width="7.5703125" style="1" customWidth="1"/>
    <col min="11" max="11" width="2.140625" style="1" customWidth="1"/>
    <col min="12" max="12" width="12.140625" style="240" customWidth="1"/>
    <col min="13" max="13" width="5.85546875" style="1" customWidth="1"/>
    <col min="14" max="17" width="5.5703125" style="1" customWidth="1"/>
    <col min="18" max="18" width="0.42578125" style="1" customWidth="1"/>
    <col min="19" max="21" width="7.5703125" style="1" customWidth="1"/>
    <col min="22" max="22" width="1.140625" style="1" customWidth="1"/>
    <col min="23" max="23" width="9.140625" style="240" customWidth="1"/>
    <col min="24" max="24" width="4.7109375" style="1" customWidth="1"/>
    <col min="25" max="28" width="5.5703125" style="1" customWidth="1"/>
    <col min="29" max="29" width="0.42578125" style="1" customWidth="1"/>
    <col min="30" max="32" width="7.5703125" style="1" customWidth="1"/>
    <col min="33" max="33" width="1.140625" style="1" customWidth="1"/>
    <col min="34" max="34" width="9.140625" style="240" customWidth="1"/>
    <col min="35" max="35" width="5.85546875" style="1" customWidth="1"/>
    <col min="36" max="39" width="5.5703125" style="1" customWidth="1"/>
    <col min="40" max="40" width="0.42578125" style="1" customWidth="1"/>
    <col min="41" max="43" width="7.5703125" style="1" customWidth="1"/>
  </cols>
  <sheetData>
    <row r="1" spans="1:43" s="84" customFormat="1" ht="29.1" customHeight="1" thickTop="1" x14ac:dyDescent="0.25">
      <c r="A1" s="428" t="s">
        <v>81</v>
      </c>
      <c r="B1" s="429"/>
      <c r="C1" s="429"/>
      <c r="D1" s="430" t="str">
        <f>ادخال1!$N$4</f>
        <v>الرابع</v>
      </c>
      <c r="E1" s="430"/>
      <c r="F1" s="285" t="s">
        <v>82</v>
      </c>
      <c r="G1" s="285"/>
      <c r="H1" s="285"/>
      <c r="I1" s="285"/>
      <c r="J1" s="83">
        <v>15</v>
      </c>
      <c r="L1" s="428" t="s">
        <v>81</v>
      </c>
      <c r="M1" s="429"/>
      <c r="N1" s="429"/>
      <c r="O1" s="430" t="str">
        <f>ادخال1!$N$4</f>
        <v>الرابع</v>
      </c>
      <c r="P1" s="430"/>
      <c r="Q1" s="285" t="s">
        <v>82</v>
      </c>
      <c r="R1" s="285"/>
      <c r="S1" s="285"/>
      <c r="T1" s="285"/>
      <c r="U1" s="83">
        <v>15</v>
      </c>
      <c r="W1" s="428" t="s">
        <v>81</v>
      </c>
      <c r="X1" s="429"/>
      <c r="Y1" s="429"/>
      <c r="Z1" s="430" t="str">
        <f>ادخال1!$N$4</f>
        <v>الرابع</v>
      </c>
      <c r="AA1" s="430"/>
      <c r="AB1" s="285" t="s">
        <v>82</v>
      </c>
      <c r="AC1" s="285"/>
      <c r="AD1" s="285"/>
      <c r="AE1" s="285"/>
      <c r="AF1" s="83">
        <f>U1+5</f>
        <v>20</v>
      </c>
      <c r="AH1" s="428" t="s">
        <v>81</v>
      </c>
      <c r="AI1" s="429"/>
      <c r="AJ1" s="429"/>
      <c r="AK1" s="430" t="str">
        <f>ادخال1!$N$4</f>
        <v>الرابع</v>
      </c>
      <c r="AL1" s="430"/>
      <c r="AM1" s="285" t="s">
        <v>82</v>
      </c>
      <c r="AN1" s="285"/>
      <c r="AO1" s="285"/>
      <c r="AP1" s="285"/>
      <c r="AQ1" s="83">
        <f>AF1+5</f>
        <v>25</v>
      </c>
    </row>
    <row r="2" spans="1:43" ht="29.1" customHeight="1" thickBot="1" x14ac:dyDescent="0.3">
      <c r="A2" s="1" t="s">
        <v>153</v>
      </c>
      <c r="B2" s="480" t="str">
        <f>ادخال1!$B$5</f>
        <v xml:space="preserve">سهول العلم للتعليم الخاص </v>
      </c>
      <c r="C2" s="480"/>
      <c r="D2" s="480"/>
      <c r="E2" s="480"/>
      <c r="F2" s="286" t="s">
        <v>9</v>
      </c>
      <c r="G2" s="445" t="str">
        <f>H17</f>
        <v>مصطفى طارق فتحي الختال</v>
      </c>
      <c r="H2" s="445"/>
      <c r="I2" s="445"/>
      <c r="J2" s="446"/>
      <c r="L2" s="1" t="s">
        <v>69</v>
      </c>
      <c r="M2" s="480" t="str">
        <f>ادخال1!$B$5</f>
        <v xml:space="preserve">سهول العلم للتعليم الخاص </v>
      </c>
      <c r="N2" s="480"/>
      <c r="O2" s="480"/>
      <c r="P2" s="480"/>
      <c r="Q2" s="286" t="s">
        <v>9</v>
      </c>
      <c r="R2" s="445" t="str">
        <f>S17</f>
        <v>مصطفى طارق فتحي الختال</v>
      </c>
      <c r="S2" s="445"/>
      <c r="T2" s="445"/>
      <c r="U2" s="446"/>
      <c r="W2" s="1" t="s">
        <v>153</v>
      </c>
      <c r="X2" s="480" t="str">
        <f>ادخال1!$B$5</f>
        <v xml:space="preserve">سهول العلم للتعليم الخاص </v>
      </c>
      <c r="Y2" s="480"/>
      <c r="Z2" s="480"/>
      <c r="AA2" s="480"/>
      <c r="AB2" s="286" t="s">
        <v>9</v>
      </c>
      <c r="AC2" s="445">
        <f>AD17</f>
        <v>0</v>
      </c>
      <c r="AD2" s="445"/>
      <c r="AE2" s="445"/>
      <c r="AF2" s="446"/>
      <c r="AH2" s="1" t="s">
        <v>153</v>
      </c>
      <c r="AI2" s="480" t="str">
        <f>ادخال1!$B$5</f>
        <v xml:space="preserve">سهول العلم للتعليم الخاص </v>
      </c>
      <c r="AJ2" s="480"/>
      <c r="AK2" s="480"/>
      <c r="AL2" s="480"/>
      <c r="AM2" s="286" t="s">
        <v>9</v>
      </c>
      <c r="AN2" s="445">
        <f>AO17</f>
        <v>0</v>
      </c>
      <c r="AO2" s="445"/>
      <c r="AP2" s="445"/>
      <c r="AQ2" s="446"/>
    </row>
    <row r="3" spans="1:43" ht="29.1" customHeight="1" thickBot="1" x14ac:dyDescent="0.3">
      <c r="A3" s="275" t="s">
        <v>46</v>
      </c>
      <c r="B3" s="460" t="s">
        <v>12</v>
      </c>
      <c r="C3" s="462" t="s">
        <v>47</v>
      </c>
      <c r="D3" s="425"/>
      <c r="E3" s="424" t="s">
        <v>48</v>
      </c>
      <c r="F3" s="425"/>
      <c r="G3" s="28"/>
      <c r="H3" s="447" t="s">
        <v>51</v>
      </c>
      <c r="I3" s="448"/>
      <c r="J3" s="449"/>
      <c r="L3" s="275" t="s">
        <v>46</v>
      </c>
      <c r="M3" s="481" t="s">
        <v>12</v>
      </c>
      <c r="N3" s="462" t="s">
        <v>47</v>
      </c>
      <c r="O3" s="425"/>
      <c r="P3" s="462" t="s">
        <v>48</v>
      </c>
      <c r="Q3" s="425"/>
      <c r="R3" s="28"/>
      <c r="S3" s="470" t="s">
        <v>51</v>
      </c>
      <c r="T3" s="471"/>
      <c r="U3" s="472"/>
      <c r="W3" s="275" t="s">
        <v>46</v>
      </c>
      <c r="X3" s="460" t="s">
        <v>12</v>
      </c>
      <c r="Y3" s="462" t="s">
        <v>47</v>
      </c>
      <c r="Z3" s="425"/>
      <c r="AA3" s="424" t="s">
        <v>48</v>
      </c>
      <c r="AB3" s="425"/>
      <c r="AC3" s="28"/>
      <c r="AD3" s="447" t="s">
        <v>51</v>
      </c>
      <c r="AE3" s="448"/>
      <c r="AF3" s="449"/>
      <c r="AH3" s="275" t="s">
        <v>46</v>
      </c>
      <c r="AI3" s="460" t="s">
        <v>12</v>
      </c>
      <c r="AJ3" s="462" t="s">
        <v>47</v>
      </c>
      <c r="AK3" s="425"/>
      <c r="AL3" s="424" t="s">
        <v>48</v>
      </c>
      <c r="AM3" s="425"/>
      <c r="AN3" s="28"/>
      <c r="AO3" s="447" t="s">
        <v>51</v>
      </c>
      <c r="AP3" s="448"/>
      <c r="AQ3" s="449"/>
    </row>
    <row r="4" spans="1:43" ht="29.1" customHeight="1" thickBot="1" x14ac:dyDescent="0.3">
      <c r="A4" s="276" t="s">
        <v>2</v>
      </c>
      <c r="B4" s="461"/>
      <c r="C4" s="43" t="s">
        <v>52</v>
      </c>
      <c r="D4" s="30" t="s">
        <v>53</v>
      </c>
      <c r="E4" s="44" t="s">
        <v>52</v>
      </c>
      <c r="F4" s="30" t="s">
        <v>53</v>
      </c>
      <c r="G4" s="12"/>
      <c r="H4" s="296" t="s">
        <v>56</v>
      </c>
      <c r="I4" s="458" t="str">
        <f>IF(D13=0,"",IF(AND(D5&gt;=C5*0.4,D6&gt;=C6*0.4,D10&gt;=C10*0.4,D11&gt;=C11*0.4,D12&gt;=C12*0.4,D7&gt;=C7*0.4,D8&gt;=C8*0.4,D9&gt;=C9*0.4),LOOKUP(D13,'النتيجة النهائية'!$AF$6:$AG$10),"ضعيف ويحتاج الى اهتمام في المواد"))</f>
        <v>مقبول</v>
      </c>
      <c r="J4" s="459"/>
      <c r="L4" s="276" t="s">
        <v>2</v>
      </c>
      <c r="M4" s="482"/>
      <c r="N4" s="43" t="s">
        <v>52</v>
      </c>
      <c r="O4" s="30" t="s">
        <v>53</v>
      </c>
      <c r="P4" s="44" t="s">
        <v>52</v>
      </c>
      <c r="Q4" s="30" t="s">
        <v>53</v>
      </c>
      <c r="R4" s="12"/>
      <c r="S4" s="296" t="s">
        <v>167</v>
      </c>
      <c r="T4" s="473" t="str">
        <f>IF(O13=0,"",IF(AND(O5&gt;=N5*0.4,O6&gt;=N6*0.4,O10&gt;=N10*0.4,O11&gt;=N11*0.4,O12&gt;=N12*0.4,O7&gt;=N7*0.4,O8&gt;=N8*0.4,O9&gt;=N9*0.4),LOOKUP(O13,'النتيجة النهائية'!$AF$6:$AG$10),"ضعيف ويحتاج الى اهتمام في المواد"))</f>
        <v>مقبول</v>
      </c>
      <c r="U4" s="474"/>
      <c r="W4" s="276" t="s">
        <v>2</v>
      </c>
      <c r="X4" s="461"/>
      <c r="Y4" s="43" t="s">
        <v>52</v>
      </c>
      <c r="Z4" s="30" t="s">
        <v>53</v>
      </c>
      <c r="AA4" s="44" t="s">
        <v>52</v>
      </c>
      <c r="AB4" s="30" t="s">
        <v>53</v>
      </c>
      <c r="AC4" s="12"/>
      <c r="AD4" s="296" t="s">
        <v>56</v>
      </c>
      <c r="AE4" s="458" t="str">
        <f>IF(Z13=0,"",IF(AND(Z5&gt;=Y5*0.4,Z6&gt;=Y6*0.4,Z10&gt;=Y10*0.4,Z11&gt;=Y11*0.4,Z12&gt;=Y12*0.4,Z7&gt;=Y7*0.4,Z8&gt;=Y8*0.4,Z9&gt;=Y9*0.4),LOOKUP(Z13,'النتيجة النهائية'!$AF$6:$AG$10),"ضعيف ويحتاج الى اهتمام في المواد"))</f>
        <v/>
      </c>
      <c r="AF4" s="459"/>
      <c r="AH4" s="276" t="s">
        <v>2</v>
      </c>
      <c r="AI4" s="461"/>
      <c r="AJ4" s="43" t="s">
        <v>52</v>
      </c>
      <c r="AK4" s="30" t="s">
        <v>53</v>
      </c>
      <c r="AL4" s="44" t="s">
        <v>52</v>
      </c>
      <c r="AM4" s="30" t="s">
        <v>53</v>
      </c>
      <c r="AN4" s="12"/>
      <c r="AO4" s="296" t="s">
        <v>56</v>
      </c>
      <c r="AP4" s="458" t="str">
        <f>IF(AK13=0,"",IF(AND(AK5&gt;=AJ5*0.4,AK6&gt;=AJ6*0.4,AK10&gt;=AJ10*0.4,AK11&gt;=AJ11*0.4,AK12&gt;=AJ12*0.4,AK7&gt;=AJ7*0.4,AK8&gt;=AJ8*0.4,AK9&gt;=AJ9*0.4),LOOKUP(AK13,'النتيجة النهائية'!$AF$6:$AG$10),"ضعيف ويحتاج الى اهتمام في المواد"))</f>
        <v/>
      </c>
      <c r="AQ4" s="459"/>
    </row>
    <row r="5" spans="1:43" ht="29.1" customHeight="1" x14ac:dyDescent="0.25">
      <c r="A5" s="274" t="str">
        <f>ادخال1!$F$9</f>
        <v>التربية الإسلامية</v>
      </c>
      <c r="B5" s="50">
        <f>ادخال1!$F$7</f>
        <v>3</v>
      </c>
      <c r="C5" s="45">
        <f t="shared" ref="C5:C6" si="0">40*B5*0.3</f>
        <v>36</v>
      </c>
      <c r="D5" s="2">
        <f xml:space="preserve"> IFERROR(VLOOKUP(H17,اسماء,5,0),"")</f>
        <v>24</v>
      </c>
      <c r="E5" s="47">
        <f t="shared" ref="E5:E6" si="1">40*B5*0.3</f>
        <v>36</v>
      </c>
      <c r="F5" s="2">
        <f>IFERROR(VLOOKUP(H17,اسماء,18,0),"")</f>
        <v>0</v>
      </c>
      <c r="G5" s="20"/>
      <c r="H5" s="29" t="str">
        <f>IF(D5=0,"",IF(D5&lt;C5*0.4,A5,""))</f>
        <v/>
      </c>
      <c r="I5" s="31" t="str">
        <f>IF(D6=0,"",IF(D6&lt;C6*0.4,A6,""))</f>
        <v/>
      </c>
      <c r="J5" s="30" t="str">
        <f>IF(D7=0,"",IF(D7&lt;C7*0.4,A7,""))</f>
        <v/>
      </c>
      <c r="L5" s="274" t="str">
        <f>ادخال1!$F$9</f>
        <v>التربية الإسلامية</v>
      </c>
      <c r="M5" s="50">
        <f>ادخال1!$F$7</f>
        <v>3</v>
      </c>
      <c r="N5" s="45">
        <f t="shared" ref="N5:N7" si="2">40*M5*0.3</f>
        <v>36</v>
      </c>
      <c r="O5" s="2">
        <f xml:space="preserve"> IFERROR(VLOOKUP(S17,اسماء,5,0),"")</f>
        <v>24</v>
      </c>
      <c r="P5" s="47">
        <f t="shared" ref="P5:P7" si="3">40*M5*0.3</f>
        <v>36</v>
      </c>
      <c r="Q5" s="2">
        <f>IFERROR(VLOOKUP(S17,اسماء,18,0),"")</f>
        <v>0</v>
      </c>
      <c r="R5" s="20"/>
      <c r="S5" s="29" t="str">
        <f>IF(O5=0,"",IF(O5&lt;N5*0.4,L5,""))</f>
        <v/>
      </c>
      <c r="T5" s="31" t="str">
        <f>IF(O6=0,"",IF(O6&lt;N6*0.4,L6,""))</f>
        <v/>
      </c>
      <c r="U5" s="30" t="str">
        <f>IF(O7=0,"",IF(O7&lt;N7*0.4,L7,""))</f>
        <v/>
      </c>
      <c r="W5" s="274" t="str">
        <f>ادخال1!$F$9</f>
        <v>التربية الإسلامية</v>
      </c>
      <c r="X5" s="50">
        <f>ادخال1!$F$7</f>
        <v>3</v>
      </c>
      <c r="Y5" s="45">
        <f t="shared" ref="Y5:Y7" si="4">40*X5*0.3</f>
        <v>36</v>
      </c>
      <c r="Z5" s="2" t="str">
        <f xml:space="preserve"> IFERROR(VLOOKUP(AD17,اسماء,5,0),"")</f>
        <v/>
      </c>
      <c r="AA5" s="47">
        <f t="shared" ref="AA5:AA7" si="5">40*X5*0.3</f>
        <v>36</v>
      </c>
      <c r="AB5" s="2" t="str">
        <f>IFERROR(VLOOKUP(AD17,اسماء,18,0),"")</f>
        <v/>
      </c>
      <c r="AC5" s="20"/>
      <c r="AD5" s="29" t="str">
        <f>IF(Z5=0,"",IF(Z5&lt;Y5*0.4,W5,""))</f>
        <v/>
      </c>
      <c r="AE5" s="31" t="str">
        <f>IF(Z6=0,"",IF(Z6&lt;Y6*0.4,W6,""))</f>
        <v/>
      </c>
      <c r="AF5" s="30" t="str">
        <f>IF(Z7=0,"",IF(Z7&lt;Y7*0.4,W7,""))</f>
        <v/>
      </c>
      <c r="AH5" s="274" t="str">
        <f>ادخال1!$F$9</f>
        <v>التربية الإسلامية</v>
      </c>
      <c r="AI5" s="50">
        <f>ادخال1!$F$7</f>
        <v>3</v>
      </c>
      <c r="AJ5" s="45">
        <f t="shared" ref="AJ5:AJ7" si="6">40*AI5*0.3</f>
        <v>36</v>
      </c>
      <c r="AK5" s="2" t="str">
        <f xml:space="preserve"> IFERROR(VLOOKUP(AO17,اسماء,5,0),"")</f>
        <v/>
      </c>
      <c r="AL5" s="47">
        <f t="shared" ref="AL5:AL7" si="7">40*AI5*0.3</f>
        <v>36</v>
      </c>
      <c r="AM5" s="2" t="str">
        <f>IFERROR(VLOOKUP(AO17,اسماء,18,0),"")</f>
        <v/>
      </c>
      <c r="AN5" s="20"/>
      <c r="AO5" s="29" t="str">
        <f>IF(AK5=0,"",IF(AK5&lt;AJ5*0.4,AH5,""))</f>
        <v/>
      </c>
      <c r="AP5" s="31" t="str">
        <f>IF(AK6=0,"",IF(AK6&lt;AJ6*0.4,AH6,""))</f>
        <v/>
      </c>
      <c r="AQ5" s="30" t="str">
        <f>IF(AK7=0,"",IF(AK7&lt;AJ7*0.4,AH7,""))</f>
        <v/>
      </c>
    </row>
    <row r="6" spans="1:43" ht="29.1" customHeight="1" thickBot="1" x14ac:dyDescent="0.3">
      <c r="A6" s="60" t="str">
        <f>ادخال1!$G$9</f>
        <v>اللغة العربية</v>
      </c>
      <c r="B6" s="51">
        <f>ادخال1!$G$7</f>
        <v>4</v>
      </c>
      <c r="C6" s="45">
        <f t="shared" si="0"/>
        <v>48</v>
      </c>
      <c r="D6" s="2">
        <f>IFERROR(VLOOKUP(H17,اسماء,6,0),"")</f>
        <v>24</v>
      </c>
      <c r="E6" s="47">
        <f t="shared" si="1"/>
        <v>48</v>
      </c>
      <c r="F6" s="2">
        <f>IFERROR(VLOOKUP(H17,اسماء,19,0),"")</f>
        <v>0</v>
      </c>
      <c r="G6" s="20"/>
      <c r="H6" s="121" t="str">
        <f>IF(D8=0,"",IF(D10&lt;C10*0.4,A8,""))</f>
        <v/>
      </c>
      <c r="I6" s="293" t="str">
        <f>IF(D12=0,"",IF(D12&lt;C12*0.4,A9,""))</f>
        <v/>
      </c>
      <c r="J6" s="30" t="str">
        <f>IF(D9=0,"",IF(D9&lt;C9*0.4,A10,""))</f>
        <v/>
      </c>
      <c r="L6" s="60" t="str">
        <f>ادخال1!$G$9</f>
        <v>اللغة العربية</v>
      </c>
      <c r="M6" s="51">
        <f>ادخال1!$G$7</f>
        <v>4</v>
      </c>
      <c r="N6" s="45">
        <f t="shared" si="2"/>
        <v>48</v>
      </c>
      <c r="O6" s="2">
        <f>IFERROR(VLOOKUP(S17,اسماء,6,0),"")</f>
        <v>24</v>
      </c>
      <c r="P6" s="47">
        <f t="shared" si="3"/>
        <v>48</v>
      </c>
      <c r="Q6" s="2">
        <f>IFERROR(VLOOKUP(S17,اسماء,19,0),"")</f>
        <v>0</v>
      </c>
      <c r="R6" s="20"/>
      <c r="S6" s="121" t="str">
        <f>IF(O10=0,"",IF(O10&lt;N10*0.4,L8,""))</f>
        <v/>
      </c>
      <c r="T6" s="293" t="str">
        <f>IF(O12=0,"",IF(O12&lt;N12*0.4,L9,""))</f>
        <v/>
      </c>
      <c r="U6" s="30" t="str">
        <f>IF(O9=0,"",IF(O9&lt;N9*0.4,L10,""))</f>
        <v/>
      </c>
      <c r="W6" s="60" t="str">
        <f>ادخال1!$G$9</f>
        <v>اللغة العربية</v>
      </c>
      <c r="X6" s="51">
        <f>ادخال1!$G$7</f>
        <v>4</v>
      </c>
      <c r="Y6" s="45">
        <f t="shared" si="4"/>
        <v>48</v>
      </c>
      <c r="Z6" s="2" t="str">
        <f>IFERROR(VLOOKUP(AD17,اسماء,6,0),"")</f>
        <v/>
      </c>
      <c r="AA6" s="47">
        <f t="shared" si="5"/>
        <v>48</v>
      </c>
      <c r="AB6" s="2" t="str">
        <f>IFERROR(VLOOKUP(AD17,اسماء,19,0),"")</f>
        <v/>
      </c>
      <c r="AC6" s="20"/>
      <c r="AD6" s="121" t="str">
        <f>IF(Z10=0,"",IF(Z10&lt;Y10*0.4,W8,""))</f>
        <v/>
      </c>
      <c r="AE6" s="293" t="str">
        <f>IF(Z12=0,"",IF(Z12&lt;Y12*0.4,W9,""))</f>
        <v/>
      </c>
      <c r="AF6" s="30" t="str">
        <f>IF(Z9=0,"",IF(Z9&lt;Y9*0.4,W10,""))</f>
        <v/>
      </c>
      <c r="AH6" s="60" t="str">
        <f>ادخال1!$G$9</f>
        <v>اللغة العربية</v>
      </c>
      <c r="AI6" s="51">
        <f>ادخال1!$G$7</f>
        <v>4</v>
      </c>
      <c r="AJ6" s="45">
        <f t="shared" si="6"/>
        <v>48</v>
      </c>
      <c r="AK6" s="2" t="str">
        <f>IFERROR(VLOOKUP(AO17,اسماء,6,0),"")</f>
        <v/>
      </c>
      <c r="AL6" s="47">
        <f t="shared" si="7"/>
        <v>48</v>
      </c>
      <c r="AM6" s="2" t="str">
        <f>IFERROR(VLOOKUP(AO17,اسماء,19,0),"")</f>
        <v/>
      </c>
      <c r="AN6" s="20"/>
      <c r="AO6" s="121" t="str">
        <f>IF(AK10=0,"",IF(AK10&lt;AJ10*0.4,AH8,""))</f>
        <v/>
      </c>
      <c r="AP6" s="293" t="str">
        <f>IF(AK12=0,"",IF(AK12&lt;AJ12*0.4,AH9,""))</f>
        <v/>
      </c>
      <c r="AQ6" s="30" t="str">
        <f>IF(AK9=0,"",IF(AK9&lt;AJ9*0.4,AH10,""))</f>
        <v/>
      </c>
    </row>
    <row r="7" spans="1:43" ht="29.1" customHeight="1" thickBot="1" x14ac:dyDescent="0.3">
      <c r="A7" s="60" t="str">
        <f>ادخال1!$H$9</f>
        <v>الكتابة</v>
      </c>
      <c r="B7" s="51">
        <f>ادخال1!$H$7</f>
        <v>2</v>
      </c>
      <c r="C7" s="45">
        <f t="shared" ref="C7" si="8">40*B7*0.3</f>
        <v>24</v>
      </c>
      <c r="D7" s="2">
        <f>IFERROR(VLOOKUP(H17,اسماء,7,0),"")</f>
        <v>15</v>
      </c>
      <c r="E7" s="47">
        <f t="shared" ref="E7" si="9">40*B7*0.3</f>
        <v>24</v>
      </c>
      <c r="F7" s="2">
        <f>IFERROR(VLOOKUP(H17,اسماء,20,0),"")</f>
        <v>0</v>
      </c>
      <c r="G7" s="20"/>
      <c r="H7" s="121" t="str">
        <f>IF(D11=0,"",IF(D11&lt;C11*0.4,A11,""))</f>
        <v/>
      </c>
      <c r="I7" s="293" t="str">
        <f>IF(D12=0,"",IF(D12&lt;C12*0.4,A12,""))</f>
        <v/>
      </c>
      <c r="J7" s="356"/>
      <c r="L7" s="60" t="str">
        <f>ادخال1!$H$9</f>
        <v>الكتابة</v>
      </c>
      <c r="M7" s="51">
        <f>ادخال1!$H$7</f>
        <v>2</v>
      </c>
      <c r="N7" s="45">
        <f t="shared" si="2"/>
        <v>24</v>
      </c>
      <c r="O7" s="2">
        <f>IFERROR(VLOOKUP(S17,اسماء,7,0),"")</f>
        <v>15</v>
      </c>
      <c r="P7" s="47">
        <f t="shared" si="3"/>
        <v>24</v>
      </c>
      <c r="Q7" s="2">
        <f>IFERROR(VLOOKUP(S17,اسماء,20,0),"")</f>
        <v>0</v>
      </c>
      <c r="R7" s="20"/>
      <c r="S7" s="121" t="str">
        <f>IF(O11=0,"",IF(O11&lt;N11*0.4,L11,""))</f>
        <v/>
      </c>
      <c r="T7" s="293" t="str">
        <f>IF(O12=0,"",IF(O12&lt;N12*0.4,L12,""))</f>
        <v/>
      </c>
      <c r="U7" s="356"/>
      <c r="W7" s="60" t="str">
        <f>ادخال1!$H$9</f>
        <v>الكتابة</v>
      </c>
      <c r="X7" s="51">
        <f>ادخال1!$H$7</f>
        <v>2</v>
      </c>
      <c r="Y7" s="45">
        <f t="shared" si="4"/>
        <v>24</v>
      </c>
      <c r="Z7" s="2" t="str">
        <f>IFERROR(VLOOKUP(AD17,اسماء,7,0),"")</f>
        <v/>
      </c>
      <c r="AA7" s="47">
        <f t="shared" si="5"/>
        <v>24</v>
      </c>
      <c r="AB7" s="2" t="str">
        <f>IFERROR(VLOOKUP(AD17,اسماء,20,0),"")</f>
        <v/>
      </c>
      <c r="AC7" s="20"/>
      <c r="AD7" s="121" t="str">
        <f>IF(Z11=0,"",IF(Z11&lt;Y11*0.4,W11,""))</f>
        <v/>
      </c>
      <c r="AE7" s="293" t="str">
        <f>IF(Z12=0,"",IF(Z12&lt;Y12*0.4,W12,""))</f>
        <v/>
      </c>
      <c r="AF7" s="356"/>
      <c r="AH7" s="60" t="str">
        <f>ادخال1!$H$9</f>
        <v>الكتابة</v>
      </c>
      <c r="AI7" s="51">
        <f>ادخال1!$H$7</f>
        <v>2</v>
      </c>
      <c r="AJ7" s="45">
        <f t="shared" si="6"/>
        <v>24</v>
      </c>
      <c r="AK7" s="2" t="str">
        <f>IFERROR(VLOOKUP(AO17,اسماء,7,0),"")</f>
        <v/>
      </c>
      <c r="AL7" s="47">
        <f t="shared" si="7"/>
        <v>24</v>
      </c>
      <c r="AM7" s="2" t="str">
        <f>IFERROR(VLOOKUP(AO17,اسماء,20,0),"")</f>
        <v/>
      </c>
      <c r="AN7" s="20"/>
      <c r="AO7" s="121" t="str">
        <f>IF(AK11=0,"",IF(AK11&lt;AJ11*0.4,AH11,""))</f>
        <v/>
      </c>
      <c r="AP7" s="293" t="str">
        <f>IF(AK12=0,"",IF(AK12&lt;AJ12*0.4,AH12,""))</f>
        <v/>
      </c>
      <c r="AQ7" s="356"/>
    </row>
    <row r="8" spans="1:43" ht="29.1" customHeight="1" x14ac:dyDescent="0.25">
      <c r="A8" s="136" t="str">
        <f>ادخال1!$I$9</f>
        <v>اللغة الإنجليزية</v>
      </c>
      <c r="B8" s="51">
        <f>ادخال1!$I$7</f>
        <v>3</v>
      </c>
      <c r="C8" s="45">
        <f>40*B8*0.3</f>
        <v>36</v>
      </c>
      <c r="D8" s="2">
        <f>IFERROR(VLOOKUP(H17,اسماء,8,0),"")</f>
        <v>28</v>
      </c>
      <c r="E8" s="47">
        <f>40*B8*0.3</f>
        <v>36</v>
      </c>
      <c r="F8" s="2">
        <f>IFERROR(VLOOKUP(H17,اسماء,21,0),"")</f>
        <v>0</v>
      </c>
      <c r="G8" s="20"/>
      <c r="H8" s="295" t="s">
        <v>158</v>
      </c>
      <c r="I8" s="458" t="str">
        <f>IF(F13=0,"",IF(AND(F5&gt;=E5*0.4,F6&gt;=E6*0.4,F10&gt;=E10*0.4,F11&gt;=E11*0.4,F12&gt;=E12*0.4,F7&gt;=E7*0.4,F8&gt;=E8*0.4,F9&gt;=E9*0.4),LOOKUP(F13,'النتيجة النهائية'!$AF$6:$AG$10),"ضعيف ويحتاج الى اهتمام في المواد"))</f>
        <v/>
      </c>
      <c r="J8" s="459"/>
      <c r="L8" s="136" t="str">
        <f>ادخال1!$I$9</f>
        <v>اللغة الإنجليزية</v>
      </c>
      <c r="M8" s="51">
        <f>ادخال1!$I$7</f>
        <v>3</v>
      </c>
      <c r="N8" s="45">
        <f>40*M8*0.3</f>
        <v>36</v>
      </c>
      <c r="O8" s="2">
        <f>IFERROR(VLOOKUP(S17,اسماء,8,0),"")</f>
        <v>28</v>
      </c>
      <c r="P8" s="47">
        <f>40*M8*0.3</f>
        <v>36</v>
      </c>
      <c r="Q8" s="2">
        <f>IFERROR(VLOOKUP(S17,اسماء,21,0),"")</f>
        <v>0</v>
      </c>
      <c r="R8" s="20"/>
      <c r="S8" s="295" t="s">
        <v>158</v>
      </c>
      <c r="T8" s="473" t="str">
        <f>IF(Q13=0,"",IF(AND(Q5&gt;=P5*0.4,Q6&gt;=P6*0.4,Q10&gt;=P10*0.4,Q11&gt;=P11*0.4,Q12&gt;=P12*0.4,Q7&gt;=P7*0.4,Q8&gt;=P8*0.4,Q9&gt;=P9*0.4),LOOKUP(Q13,'النتيجة النهائية'!$AF$6:$AG$10),"ضعيف ويحتاج الى اهتمام في المواد"))</f>
        <v/>
      </c>
      <c r="U8" s="474"/>
      <c r="W8" s="136" t="str">
        <f>ادخال1!$I$9</f>
        <v>اللغة الإنجليزية</v>
      </c>
      <c r="X8" s="51">
        <f>ادخال1!$I$7</f>
        <v>3</v>
      </c>
      <c r="Y8" s="45">
        <f>40*X8*0.3</f>
        <v>36</v>
      </c>
      <c r="Z8" s="2" t="str">
        <f>IFERROR(VLOOKUP(AD17,اسماء,8,0),"")</f>
        <v/>
      </c>
      <c r="AA8" s="47">
        <f>40*X8*0.3</f>
        <v>36</v>
      </c>
      <c r="AB8" s="2" t="str">
        <f>IFERROR(VLOOKUP(AD17,اسماء,21,0),"")</f>
        <v/>
      </c>
      <c r="AC8" s="20"/>
      <c r="AD8" s="295" t="s">
        <v>158</v>
      </c>
      <c r="AE8" s="458" t="str">
        <f>IF(AB13=0,"",IF(AND(AB5&gt;=AA5*0.4,AB6&gt;=AA6*0.4,AB10&gt;=AA10*0.4,AB11&gt;=AA11*0.4,AB12&gt;=AA12*0.4,AB7&gt;=AA7*0.4,AB8&gt;=AA8*0.4,AB9&gt;=AA9*0.4),LOOKUP(AB13,'النتيجة النهائية'!$AF$6:$AG$10),"ضعيف ويحتاج الى اهتمام في المواد"))</f>
        <v/>
      </c>
      <c r="AF8" s="459"/>
      <c r="AH8" s="136" t="str">
        <f>ادخال1!$I$9</f>
        <v>اللغة الإنجليزية</v>
      </c>
      <c r="AI8" s="51">
        <f>ادخال1!$I$7</f>
        <v>3</v>
      </c>
      <c r="AJ8" s="45">
        <f>40*AI8*0.3</f>
        <v>36</v>
      </c>
      <c r="AK8" s="2" t="str">
        <f>IFERROR(VLOOKUP(AO17,اسماء,8,0),"")</f>
        <v/>
      </c>
      <c r="AL8" s="47">
        <f>40*AI8*0.3</f>
        <v>36</v>
      </c>
      <c r="AM8" s="2" t="str">
        <f>IFERROR(VLOOKUP(AO17,اسماء,21,0),"")</f>
        <v/>
      </c>
      <c r="AN8" s="20"/>
      <c r="AO8" s="295" t="s">
        <v>158</v>
      </c>
      <c r="AP8" s="458" t="str">
        <f>IF(AM13=0,"",IF(AND(AM5&gt;=AL5*0.4,AM6&gt;=AL6*0.4,AM10&gt;=AL10*0.4,AM11&gt;=AL11*0.4,AM12&gt;=AL12*0.4,AM7&gt;=AL7*0.4,AM8&gt;=AL8*0.4,AM9&gt;=AL9*0.4),LOOKUP(AM13,'النتيجة النهائية'!$AF$6:$AG$10),"ضعيف ويحتاج الى اهتمام في المواد"))</f>
        <v/>
      </c>
      <c r="AQ8" s="459"/>
    </row>
    <row r="9" spans="1:43" ht="29.1" customHeight="1" x14ac:dyDescent="0.25">
      <c r="A9" s="136" t="str">
        <f>ادخال1!$J$9</f>
        <v>الحاسوب</v>
      </c>
      <c r="B9" s="51">
        <f>ادخال1!$J$7</f>
        <v>1</v>
      </c>
      <c r="C9" s="45">
        <f>40*B9*0.3</f>
        <v>12</v>
      </c>
      <c r="D9" s="2">
        <f>IFERROR(VLOOKUP(H17,اسماء,9,0),"")</f>
        <v>9</v>
      </c>
      <c r="E9" s="47">
        <f>40*B9*0.3</f>
        <v>12</v>
      </c>
      <c r="F9" s="2">
        <f>IFERROR(VLOOKUP(H17,اسماء,22,0),"")</f>
        <v>0</v>
      </c>
      <c r="G9" s="20"/>
      <c r="H9" s="348"/>
      <c r="I9" s="349"/>
      <c r="J9" s="350"/>
      <c r="L9" s="136" t="str">
        <f>ادخال1!$J$9</f>
        <v>الحاسوب</v>
      </c>
      <c r="M9" s="51">
        <f>ادخال1!$J$7</f>
        <v>1</v>
      </c>
      <c r="N9" s="45">
        <f>40*M9*0.3</f>
        <v>12</v>
      </c>
      <c r="O9" s="2">
        <f>IFERROR(VLOOKUP(S17,اسماء,9,0),"")</f>
        <v>9</v>
      </c>
      <c r="P9" s="47">
        <f>40*M9*0.3</f>
        <v>12</v>
      </c>
      <c r="Q9" s="2">
        <f>IFERROR(VLOOKUP(S17,اسماء,22,0),"")</f>
        <v>0</v>
      </c>
      <c r="R9" s="20"/>
      <c r="S9" s="348"/>
      <c r="T9" s="349"/>
      <c r="U9" s="350"/>
      <c r="W9" s="136" t="str">
        <f>ادخال1!$J$9</f>
        <v>الحاسوب</v>
      </c>
      <c r="X9" s="51">
        <f>ادخال1!$J$7</f>
        <v>1</v>
      </c>
      <c r="Y9" s="45">
        <f>40*X9*0.3</f>
        <v>12</v>
      </c>
      <c r="Z9" s="2" t="str">
        <f>IFERROR(VLOOKUP(AD17,اسماء,9,0),"")</f>
        <v/>
      </c>
      <c r="AA9" s="47">
        <f>40*X9*0.3</f>
        <v>12</v>
      </c>
      <c r="AB9" s="2" t="str">
        <f>IFERROR(VLOOKUP(AD17,اسماء,22,0),"")</f>
        <v/>
      </c>
      <c r="AC9" s="20"/>
      <c r="AD9" s="348"/>
      <c r="AE9" s="349"/>
      <c r="AF9" s="350"/>
      <c r="AH9" s="136" t="str">
        <f>ادخال1!$J$9</f>
        <v>الحاسوب</v>
      </c>
      <c r="AI9" s="51">
        <f>ادخال1!$J$7</f>
        <v>1</v>
      </c>
      <c r="AJ9" s="45">
        <f>40*AI9*0.3</f>
        <v>12</v>
      </c>
      <c r="AK9" s="2" t="str">
        <f>IFERROR(VLOOKUP(AO17,اسماء,9,0),"")</f>
        <v/>
      </c>
      <c r="AL9" s="47">
        <f>40*AI9*0.3</f>
        <v>12</v>
      </c>
      <c r="AM9" s="2" t="str">
        <f>IFERROR(VLOOKUP(AO17,اسماء,22,0),"")</f>
        <v/>
      </c>
      <c r="AN9" s="20"/>
      <c r="AO9" s="348"/>
      <c r="AP9" s="349"/>
      <c r="AQ9" s="350"/>
    </row>
    <row r="10" spans="1:43" ht="29.1" customHeight="1" x14ac:dyDescent="0.25">
      <c r="A10" s="60" t="str">
        <f>ادخال1!$K$9</f>
        <v>الرياضيات</v>
      </c>
      <c r="B10" s="51">
        <f>ادخال1!$K$7</f>
        <v>5</v>
      </c>
      <c r="C10" s="45">
        <f>40*B10*0.3</f>
        <v>60</v>
      </c>
      <c r="D10" s="2">
        <f>IFERROR(VLOOKUP(H17,اسماء,10,0),"")</f>
        <v>30</v>
      </c>
      <c r="E10" s="47">
        <f>40*B10*0.3</f>
        <v>60</v>
      </c>
      <c r="F10" s="2">
        <f>IFERROR(VLOOKUP(H17,اسماء,23,0),"")</f>
        <v>0</v>
      </c>
      <c r="G10" s="20"/>
      <c r="H10" s="29" t="str">
        <f>IF(F5=0,"",IF(F5&lt;E5*0.4,A5,""))</f>
        <v/>
      </c>
      <c r="I10" s="31" t="str">
        <f>IF(F6=0,"",IF(F6&lt;E6*0.4,A6,""))</f>
        <v/>
      </c>
      <c r="J10" s="30" t="str">
        <f>IF(F7=0,"",IF(F7&lt;E7*0.4,A7,""))</f>
        <v/>
      </c>
      <c r="L10" s="60" t="str">
        <f>ادخال1!$K$9</f>
        <v>الرياضيات</v>
      </c>
      <c r="M10" s="51">
        <f>ادخال1!$K$7</f>
        <v>5</v>
      </c>
      <c r="N10" s="45">
        <f>40*M10*0.3</f>
        <v>60</v>
      </c>
      <c r="O10" s="2">
        <f>IFERROR(VLOOKUP(S17,اسماء,10,0),"")</f>
        <v>30</v>
      </c>
      <c r="P10" s="47">
        <f>40*M10*0.3</f>
        <v>60</v>
      </c>
      <c r="Q10" s="2">
        <f>IFERROR(VLOOKUP(S17,اسماء,23,0),"")</f>
        <v>0</v>
      </c>
      <c r="R10" s="20"/>
      <c r="S10" s="29" t="str">
        <f>IF(Q5=0,"",IF(Q5&lt;P5*0.4,L5,""))</f>
        <v/>
      </c>
      <c r="T10" s="31" t="str">
        <f>IF(Q6=0,"",IF(Q6&lt;P6*0.4,L6,""))</f>
        <v/>
      </c>
      <c r="U10" s="30" t="str">
        <f>IF(Q7=0,"",IF(Q7&lt;P7*0.4,L7,""))</f>
        <v/>
      </c>
      <c r="W10" s="60" t="str">
        <f>ادخال1!$K$9</f>
        <v>الرياضيات</v>
      </c>
      <c r="X10" s="51">
        <f>ادخال1!$K$7</f>
        <v>5</v>
      </c>
      <c r="Y10" s="45">
        <f>40*X10*0.3</f>
        <v>60</v>
      </c>
      <c r="Z10" s="2" t="str">
        <f>IFERROR(VLOOKUP(AD17,اسماء,10,0),"")</f>
        <v/>
      </c>
      <c r="AA10" s="47">
        <f>40*X10*0.3</f>
        <v>60</v>
      </c>
      <c r="AB10" s="2" t="str">
        <f>IFERROR(VLOOKUP(AD17,اسماء,23,0),"")</f>
        <v/>
      </c>
      <c r="AC10" s="20"/>
      <c r="AD10" s="29" t="str">
        <f>IF(AB5=0,"",IF(AB5&lt;AA5*0.4,W5,""))</f>
        <v/>
      </c>
      <c r="AE10" s="31" t="str">
        <f>IF(AB6=0,"",IF(AB6&lt;AA6*0.4,W6,""))</f>
        <v/>
      </c>
      <c r="AF10" s="30" t="str">
        <f>IF(AB7=0,"",IF(AB7&lt;AA7*0.4,W7,""))</f>
        <v/>
      </c>
      <c r="AH10" s="60" t="str">
        <f>ادخال1!$K$9</f>
        <v>الرياضيات</v>
      </c>
      <c r="AI10" s="51">
        <f>ادخال1!$K$7</f>
        <v>5</v>
      </c>
      <c r="AJ10" s="45">
        <f>40*AI10*0.3</f>
        <v>60</v>
      </c>
      <c r="AK10" s="2" t="str">
        <f>IFERROR(VLOOKUP(AO17,اسماء,10,0),"")</f>
        <v/>
      </c>
      <c r="AL10" s="47">
        <f>40*AI10*0.3</f>
        <v>60</v>
      </c>
      <c r="AM10" s="2" t="str">
        <f>IFERROR(VLOOKUP(AO17,اسماء,23,0),"")</f>
        <v/>
      </c>
      <c r="AN10" s="20"/>
      <c r="AO10" s="29" t="str">
        <f>IF(AM5=0,"",IF(AM5&lt;AL5*0.4,AH5,""))</f>
        <v/>
      </c>
      <c r="AP10" s="31" t="str">
        <f>IF(AM6=0,"",IF(AM6&lt;AL6*0.4,AH6,""))</f>
        <v/>
      </c>
      <c r="AQ10" s="30" t="str">
        <f>IF(AM7=0,"",IF(AM7&lt;AL7*0.4,AH7,""))</f>
        <v/>
      </c>
    </row>
    <row r="11" spans="1:43" ht="29.1" customHeight="1" x14ac:dyDescent="0.25">
      <c r="A11" s="116" t="str">
        <f>ادخال1!$L$9</f>
        <v>العلوم</v>
      </c>
      <c r="B11" s="52">
        <f>ادخال1!$L$7</f>
        <v>3</v>
      </c>
      <c r="C11" s="45">
        <f>40*B11*0.3</f>
        <v>36</v>
      </c>
      <c r="D11" s="2">
        <f>IFERROR(VLOOKUP(H17,اسماء,11,0),"")</f>
        <v>35</v>
      </c>
      <c r="E11" s="47">
        <f>40*B11*0.3</f>
        <v>36</v>
      </c>
      <c r="F11" s="2">
        <f>IFERROR(VLOOKUP(H17,اسماء,24,0),"")</f>
        <v>0</v>
      </c>
      <c r="G11" s="20"/>
      <c r="H11" s="29" t="str">
        <f>IF(F8=0,"",IF(F8&lt;E8*0.4,A8,""))</f>
        <v/>
      </c>
      <c r="I11" s="31" t="str">
        <f>IF(F9=0,"",IF(F9&lt;E9*0.4,A9,""))</f>
        <v/>
      </c>
      <c r="J11" s="30" t="str">
        <f>IF(F10=0,"",IF(F10&lt;E10*0.4,A10,""))</f>
        <v/>
      </c>
      <c r="L11" s="116" t="str">
        <f>ادخال1!$L$9</f>
        <v>العلوم</v>
      </c>
      <c r="M11" s="52">
        <f>ادخال1!$L$7</f>
        <v>3</v>
      </c>
      <c r="N11" s="45">
        <f>40*M11*0.3</f>
        <v>36</v>
      </c>
      <c r="O11" s="2">
        <f>IFERROR(VLOOKUP(S17,اسماء,11,0),"")</f>
        <v>35</v>
      </c>
      <c r="P11" s="47">
        <f>40*M11*0.3</f>
        <v>36</v>
      </c>
      <c r="Q11" s="2">
        <f>IFERROR(VLOOKUP(S17,اسماء,24,0),"")</f>
        <v>0</v>
      </c>
      <c r="R11" s="20"/>
      <c r="S11" s="29" t="str">
        <f>IF(Q8=0,"",IF(Q8&lt;P8*0.4,L8,""))</f>
        <v/>
      </c>
      <c r="T11" s="31" t="str">
        <f>IF(Q9=0,"",IF(Q9&lt;P9*0.4,L9,""))</f>
        <v/>
      </c>
      <c r="U11" s="30" t="str">
        <f>IF(Q10=0,"",IF(Q10&lt;P10*0.4,L10,""))</f>
        <v/>
      </c>
      <c r="W11" s="116" t="str">
        <f>ادخال1!$L$9</f>
        <v>العلوم</v>
      </c>
      <c r="X11" s="52">
        <f>ادخال1!$L$7</f>
        <v>3</v>
      </c>
      <c r="Y11" s="45">
        <f>40*X11*0.3</f>
        <v>36</v>
      </c>
      <c r="Z11" s="2" t="str">
        <f>IFERROR(VLOOKUP(AD17,اسماء,11,0),"")</f>
        <v/>
      </c>
      <c r="AA11" s="47">
        <f>40*X11*0.3</f>
        <v>36</v>
      </c>
      <c r="AB11" s="2" t="str">
        <f>IFERROR(VLOOKUP(AD17,اسماء,24,0),"")</f>
        <v/>
      </c>
      <c r="AC11" s="20"/>
      <c r="AD11" s="29" t="str">
        <f>IF(AB8=0,"",IF(AB8&lt;AA8*0.4,W8,""))</f>
        <v/>
      </c>
      <c r="AE11" s="31" t="str">
        <f>IF(AB9=0,"",IF(AB9&lt;AA9*0.4,W9,""))</f>
        <v/>
      </c>
      <c r="AF11" s="30" t="str">
        <f>IF(AB10=0,"",IF(AB10&lt;AA10*0.4,W10,""))</f>
        <v/>
      </c>
      <c r="AH11" s="116" t="str">
        <f>ادخال1!$L$9</f>
        <v>العلوم</v>
      </c>
      <c r="AI11" s="52">
        <f>ادخال1!$L$7</f>
        <v>3</v>
      </c>
      <c r="AJ11" s="45">
        <f>40*AI11*0.3</f>
        <v>36</v>
      </c>
      <c r="AK11" s="2" t="str">
        <f>IFERROR(VLOOKUP(AO17,اسماء,11,0),"")</f>
        <v/>
      </c>
      <c r="AL11" s="47">
        <f>40*AI11*0.3</f>
        <v>36</v>
      </c>
      <c r="AM11" s="2" t="str">
        <f>IFERROR(VLOOKUP(AO17,اسماء,24,0),"")</f>
        <v/>
      </c>
      <c r="AN11" s="20"/>
      <c r="AO11" s="29" t="str">
        <f>IF(AM8=0,"",IF(AM8&lt;AL8*0.4,AH8,""))</f>
        <v/>
      </c>
      <c r="AP11" s="31" t="str">
        <f>IF(AM9=0,"",IF(AM9&lt;AL9*0.4,AH9,""))</f>
        <v/>
      </c>
      <c r="AQ11" s="30" t="str">
        <f>IF(AM10=0,"",IF(AM10&lt;AL10*0.4,AH10,""))</f>
        <v/>
      </c>
    </row>
    <row r="12" spans="1:43" ht="29.1" customHeight="1" thickBot="1" x14ac:dyDescent="0.3">
      <c r="A12" s="116" t="str">
        <f>ادخال1!$M$9</f>
        <v>الاجتماعيات</v>
      </c>
      <c r="B12" s="52">
        <f>ادخال1!$M$7</f>
        <v>2</v>
      </c>
      <c r="C12" s="45">
        <f>40*B12*0.3</f>
        <v>24</v>
      </c>
      <c r="D12" s="2">
        <f>IFERROR(VLOOKUP(H17,اسماء,12,0),"")</f>
        <v>14</v>
      </c>
      <c r="E12" s="47">
        <f>40*B12*0.3</f>
        <v>24</v>
      </c>
      <c r="F12" s="2">
        <f>IFERROR(VLOOKUP(H17,اسماء,25,0),"")</f>
        <v>0</v>
      </c>
      <c r="G12" s="20"/>
      <c r="H12" s="121" t="str">
        <f>IF(F11=0,"",IF(F11&lt;E11*0.4,A11,""))</f>
        <v/>
      </c>
      <c r="I12" s="293" t="str">
        <f>IF(F12=0,"",IF(F12&lt;E12*0.4,A12,""))</f>
        <v/>
      </c>
      <c r="J12" s="294"/>
      <c r="L12" s="116" t="str">
        <f>ادخال1!$M$9</f>
        <v>الاجتماعيات</v>
      </c>
      <c r="M12" s="52">
        <f>ادخال1!$M$7</f>
        <v>2</v>
      </c>
      <c r="N12" s="45">
        <f>40*M12*0.3</f>
        <v>24</v>
      </c>
      <c r="O12" s="2">
        <f>IFERROR(VLOOKUP(S17,اسماء,12,0),"")</f>
        <v>14</v>
      </c>
      <c r="P12" s="47">
        <f>40*M12*0.3</f>
        <v>24</v>
      </c>
      <c r="Q12" s="2">
        <f>IFERROR(VLOOKUP(S17,اسماء,25,0),"")</f>
        <v>0</v>
      </c>
      <c r="R12" s="20"/>
      <c r="S12" s="121" t="str">
        <f>IF(Q11=0,"",IF(Q11&lt;P11*0.4,L11,""))</f>
        <v/>
      </c>
      <c r="T12" s="293" t="str">
        <f>IF(Q12=0,"",IF(Q12&lt;P12*0.4,L12,""))</f>
        <v/>
      </c>
      <c r="U12" s="294"/>
      <c r="W12" s="116" t="str">
        <f>ادخال1!$M$9</f>
        <v>الاجتماعيات</v>
      </c>
      <c r="X12" s="52">
        <f>ادخال1!$M$7</f>
        <v>2</v>
      </c>
      <c r="Y12" s="45">
        <f>40*X12*0.3</f>
        <v>24</v>
      </c>
      <c r="Z12" s="2" t="str">
        <f>IFERROR(VLOOKUP(AD17,اسماء,12,0),"")</f>
        <v/>
      </c>
      <c r="AA12" s="47">
        <f>40*X12*0.3</f>
        <v>24</v>
      </c>
      <c r="AB12" s="2" t="str">
        <f>IFERROR(VLOOKUP(AD17,اسماء,25,0),"")</f>
        <v/>
      </c>
      <c r="AC12" s="20"/>
      <c r="AD12" s="121" t="str">
        <f>IF(AB11=0,"",IF(AB11&lt;AA11*0.4,W11,""))</f>
        <v/>
      </c>
      <c r="AE12" s="293" t="str">
        <f>IF(AB12=0,"",IF(AB12&lt;AA12*0.4,W12,""))</f>
        <v/>
      </c>
      <c r="AF12" s="294"/>
      <c r="AH12" s="116" t="str">
        <f>ادخال1!$M$9</f>
        <v>الاجتماعيات</v>
      </c>
      <c r="AI12" s="52">
        <f>ادخال1!$M$7</f>
        <v>2</v>
      </c>
      <c r="AJ12" s="45">
        <f>40*AI12*0.3</f>
        <v>24</v>
      </c>
      <c r="AK12" s="2" t="str">
        <f>IFERROR(VLOOKUP(AO17,اسماء,12,0),"")</f>
        <v/>
      </c>
      <c r="AL12" s="47">
        <f>40*AI12*0.3</f>
        <v>24</v>
      </c>
      <c r="AM12" s="2" t="str">
        <f>IFERROR(VLOOKUP(AO17,اسماء,25,0),"")</f>
        <v/>
      </c>
      <c r="AN12" s="20"/>
      <c r="AO12" s="121" t="str">
        <f>IF(AM11=0,"",IF(AM11&lt;AL11*0.4,AH11,""))</f>
        <v/>
      </c>
      <c r="AP12" s="293" t="str">
        <f>IF(AM12=0,"",IF(AM12&lt;AL12*0.4,AH12,""))</f>
        <v/>
      </c>
      <c r="AQ12" s="294"/>
    </row>
    <row r="13" spans="1:43" ht="29.1" customHeight="1" thickBot="1" x14ac:dyDescent="0.3">
      <c r="A13" s="62" t="s">
        <v>57</v>
      </c>
      <c r="B13" s="32"/>
      <c r="C13" s="46">
        <f>SUM(C5:C12)</f>
        <v>276</v>
      </c>
      <c r="D13" s="117">
        <f>SUM(D5:D12)</f>
        <v>179</v>
      </c>
      <c r="E13" s="46">
        <f>SUM(E5:E12)</f>
        <v>276</v>
      </c>
      <c r="F13" s="117">
        <f>SUM(F5:F12)</f>
        <v>0</v>
      </c>
      <c r="G13" s="20"/>
      <c r="H13" s="202" t="s">
        <v>66</v>
      </c>
      <c r="I13" s="422" t="str">
        <f>ادخال1!$BP$5</f>
        <v>د.عبدالرحمن خليفة العريبي</v>
      </c>
      <c r="J13" s="423"/>
      <c r="L13" s="62" t="s">
        <v>57</v>
      </c>
      <c r="M13" s="32"/>
      <c r="N13" s="46">
        <f>SUM(N5:N12)</f>
        <v>276</v>
      </c>
      <c r="O13" s="117">
        <f>SUM(O5:O12)</f>
        <v>179</v>
      </c>
      <c r="P13" s="46">
        <f>SUM(P5:P12)</f>
        <v>276</v>
      </c>
      <c r="Q13" s="117">
        <f>SUM(Q5:Q12)</f>
        <v>0</v>
      </c>
      <c r="R13" s="20"/>
      <c r="S13" s="202" t="s">
        <v>66</v>
      </c>
      <c r="T13" s="475" t="str">
        <f>ادخال1!$BP$5</f>
        <v>د.عبدالرحمن خليفة العريبي</v>
      </c>
      <c r="U13" s="476"/>
      <c r="W13" s="62" t="s">
        <v>57</v>
      </c>
      <c r="X13" s="32"/>
      <c r="Y13" s="46">
        <f>SUM(Y5:Y12)</f>
        <v>276</v>
      </c>
      <c r="Z13" s="117">
        <f>SUM(Z5:Z12)</f>
        <v>0</v>
      </c>
      <c r="AA13" s="46">
        <f>SUM(AA5:AA12)</f>
        <v>276</v>
      </c>
      <c r="AB13" s="117">
        <f>SUM(AB5:AB12)</f>
        <v>0</v>
      </c>
      <c r="AC13" s="20"/>
      <c r="AD13" s="202" t="s">
        <v>66</v>
      </c>
      <c r="AE13" s="422" t="str">
        <f>ادخال1!$BP$5</f>
        <v>د.عبدالرحمن خليفة العريبي</v>
      </c>
      <c r="AF13" s="423"/>
      <c r="AH13" s="62" t="s">
        <v>57</v>
      </c>
      <c r="AI13" s="32"/>
      <c r="AJ13" s="46">
        <f>SUM(AJ5:AJ12)</f>
        <v>276</v>
      </c>
      <c r="AK13" s="117">
        <f>SUM(AK5:AK12)</f>
        <v>0</v>
      </c>
      <c r="AL13" s="46">
        <f>SUM(AL5:AL12)</f>
        <v>276</v>
      </c>
      <c r="AM13" s="117">
        <f>SUM(AM5:AM12)</f>
        <v>0</v>
      </c>
      <c r="AN13" s="20"/>
      <c r="AO13" s="202" t="s">
        <v>66</v>
      </c>
      <c r="AP13" s="422" t="str">
        <f>ادخال1!$BP$5</f>
        <v>د.عبدالرحمن خليفة العريبي</v>
      </c>
      <c r="AQ13" s="423"/>
    </row>
    <row r="14" spans="1:43" ht="29.1" customHeight="1" thickBot="1" x14ac:dyDescent="0.3">
      <c r="A14" s="35" t="str">
        <f>ادخال1!$O$8</f>
        <v>التربية الفنية</v>
      </c>
      <c r="B14" s="53">
        <f>ادخال1!$O$7</f>
        <v>1</v>
      </c>
      <c r="C14" s="426" t="str">
        <f>IFERROR(VLOOKUP(H17,اسماء,14,0),"")</f>
        <v>جيد جداً</v>
      </c>
      <c r="D14" s="427"/>
      <c r="E14" s="426">
        <f>IFERROR(VLOOKUP(H17,اسماء,27,0),"")</f>
        <v>0</v>
      </c>
      <c r="F14" s="427"/>
      <c r="G14" s="20"/>
      <c r="H14" s="17" t="s">
        <v>68</v>
      </c>
      <c r="I14" s="431">
        <f ca="1">TODAY()</f>
        <v>46035</v>
      </c>
      <c r="J14" s="432"/>
      <c r="L14" s="35" t="str">
        <f>ادخال1!$O$8</f>
        <v>التربية الفنية</v>
      </c>
      <c r="M14" s="53">
        <f>ادخال1!$O$7</f>
        <v>1</v>
      </c>
      <c r="N14" s="426" t="str">
        <f>IFERROR(VLOOKUP(S17,اسماء,14,0),"")</f>
        <v>جيد جداً</v>
      </c>
      <c r="O14" s="427"/>
      <c r="P14" s="426">
        <f>IFERROR(VLOOKUP(S17,اسماء,27,0),"")</f>
        <v>0</v>
      </c>
      <c r="Q14" s="427"/>
      <c r="R14" s="20"/>
      <c r="S14" s="17" t="s">
        <v>68</v>
      </c>
      <c r="T14" s="431">
        <f ca="1">TODAY()</f>
        <v>46035</v>
      </c>
      <c r="U14" s="432"/>
      <c r="W14" s="35" t="str">
        <f>ادخال1!$O$8</f>
        <v>التربية الفنية</v>
      </c>
      <c r="X14" s="53">
        <f>ادخال1!$O$7</f>
        <v>1</v>
      </c>
      <c r="Y14" s="426" t="str">
        <f>IFERROR(VLOOKUP(AD17,اسماء,14,0),"")</f>
        <v/>
      </c>
      <c r="Z14" s="427"/>
      <c r="AA14" s="426" t="str">
        <f>IFERROR(VLOOKUP(AD17,اسماء,27,0),"")</f>
        <v/>
      </c>
      <c r="AB14" s="427"/>
      <c r="AC14" s="20"/>
      <c r="AD14" s="17" t="s">
        <v>68</v>
      </c>
      <c r="AE14" s="431">
        <f ca="1">TODAY()</f>
        <v>46035</v>
      </c>
      <c r="AF14" s="432"/>
      <c r="AH14" s="35" t="str">
        <f>ادخال1!$O$8</f>
        <v>التربية الفنية</v>
      </c>
      <c r="AI14" s="53">
        <f>ادخال1!$O$7</f>
        <v>1</v>
      </c>
      <c r="AJ14" s="426" t="str">
        <f>IFERROR(VLOOKUP(AO17,اسماء,14,0),"")</f>
        <v/>
      </c>
      <c r="AK14" s="427"/>
      <c r="AL14" s="426" t="str">
        <f>IFERROR(VLOOKUP(AO17,اسماء,27,0),"")</f>
        <v/>
      </c>
      <c r="AM14" s="427"/>
      <c r="AN14" s="20"/>
      <c r="AO14" s="17" t="s">
        <v>68</v>
      </c>
      <c r="AP14" s="431">
        <f ca="1">TODAY()</f>
        <v>46035</v>
      </c>
      <c r="AQ14" s="432"/>
    </row>
    <row r="15" spans="1:43" ht="29.1" customHeight="1" thickBot="1" x14ac:dyDescent="0.3">
      <c r="A15" s="37" t="str">
        <f>ادخال1!$P$8</f>
        <v>التربية البدنية</v>
      </c>
      <c r="B15" s="54">
        <f>ادخال1!$P$7</f>
        <v>2</v>
      </c>
      <c r="C15" s="443" t="str">
        <f>IFERROR(VLOOKUP(H17,اسماء,15,0),"")</f>
        <v>جيد جداً</v>
      </c>
      <c r="D15" s="444"/>
      <c r="E15" s="443">
        <f>IFERROR(VLOOKUP(H17,اسماء,28,0),"")</f>
        <v>0</v>
      </c>
      <c r="F15" s="444"/>
      <c r="G15" s="20"/>
      <c r="H15" s="72"/>
      <c r="I15" s="431"/>
      <c r="J15" s="432"/>
      <c r="L15" s="37" t="str">
        <f>ادخال1!$P$8</f>
        <v>التربية البدنية</v>
      </c>
      <c r="M15" s="54">
        <f>ادخال1!$P$7</f>
        <v>2</v>
      </c>
      <c r="N15" s="426" t="str">
        <f>IFERROR(VLOOKUP(S17,اسماء,15,0),"")</f>
        <v>جيد جداً</v>
      </c>
      <c r="O15" s="427"/>
      <c r="P15" s="426">
        <f>IFERROR(VLOOKUP(S17,اسماء,28,0),"")</f>
        <v>0</v>
      </c>
      <c r="Q15" s="427"/>
      <c r="R15" s="20"/>
      <c r="S15" s="72"/>
      <c r="T15" s="431"/>
      <c r="U15" s="432"/>
      <c r="W15" s="37" t="str">
        <f>ادخال1!$P$8</f>
        <v>التربية البدنية</v>
      </c>
      <c r="X15" s="54">
        <f>ادخال1!$P$7</f>
        <v>2</v>
      </c>
      <c r="Y15" s="443" t="str">
        <f>IFERROR(VLOOKUP(AD17,اسماء,15,0),"")</f>
        <v/>
      </c>
      <c r="Z15" s="444"/>
      <c r="AA15" s="443" t="str">
        <f>IFERROR(VLOOKUP(AD17,اسماء,28,0),"")</f>
        <v/>
      </c>
      <c r="AB15" s="444"/>
      <c r="AC15" s="20"/>
      <c r="AD15" s="72"/>
      <c r="AE15" s="431"/>
      <c r="AF15" s="432"/>
      <c r="AH15" s="37" t="str">
        <f>ادخال1!$P$8</f>
        <v>التربية البدنية</v>
      </c>
      <c r="AI15" s="54">
        <f>ادخال1!$P$7</f>
        <v>2</v>
      </c>
      <c r="AJ15" s="443" t="str">
        <f>IFERROR(VLOOKUP(AO17,اسماء,15,0),"")</f>
        <v/>
      </c>
      <c r="AK15" s="444"/>
      <c r="AL15" s="443" t="str">
        <f>IFERROR(VLOOKUP(AO17,اسماء,28,0),"")</f>
        <v/>
      </c>
      <c r="AM15" s="444"/>
      <c r="AN15" s="20"/>
      <c r="AO15" s="72"/>
      <c r="AP15" s="431"/>
      <c r="AQ15" s="432"/>
    </row>
    <row r="16" spans="1:43" ht="29.1" customHeight="1" thickBot="1" x14ac:dyDescent="0.3">
      <c r="A16" s="37" t="str">
        <f>ادخال1!$Q$8</f>
        <v>التربية الموسيقية</v>
      </c>
      <c r="B16" s="54">
        <f>ادخال1!$Q$7</f>
        <v>1</v>
      </c>
      <c r="C16" s="443" t="str">
        <f>IFERROR(VLOOKUP(H18,اسماء,16,0),"")</f>
        <v/>
      </c>
      <c r="D16" s="444"/>
      <c r="E16" s="443" t="str">
        <f>IFERROR(VLOOKUP(H18,اسماء,29,0),"")</f>
        <v/>
      </c>
      <c r="F16" s="444"/>
      <c r="G16" s="20"/>
      <c r="H16" s="72"/>
      <c r="I16" s="346"/>
      <c r="J16" s="347"/>
      <c r="L16" s="37" t="str">
        <f>ادخال1!$Q$8</f>
        <v>التربية الموسيقية</v>
      </c>
      <c r="M16" s="54">
        <f>ادخال1!$Q$7</f>
        <v>1</v>
      </c>
      <c r="N16" s="443" t="str">
        <f>IFERROR(VLOOKUP(S18,اسماء,16,0),"")</f>
        <v/>
      </c>
      <c r="O16" s="444"/>
      <c r="P16" s="443" t="str">
        <f>IFERROR(VLOOKUP(S18,اسماء,29,0),"")</f>
        <v/>
      </c>
      <c r="Q16" s="444"/>
      <c r="R16" s="20"/>
      <c r="S16" s="72"/>
      <c r="T16" s="346"/>
      <c r="U16" s="347"/>
      <c r="W16" s="37" t="str">
        <f>ادخال1!$Q$8</f>
        <v>التربية الموسيقية</v>
      </c>
      <c r="X16" s="54">
        <f>ادخال1!$Q$7</f>
        <v>1</v>
      </c>
      <c r="Y16" s="443" t="str">
        <f>IFERROR(VLOOKUP(AD18,اسماء,16,0),"")</f>
        <v/>
      </c>
      <c r="Z16" s="444"/>
      <c r="AA16" s="443" t="str">
        <f>IFERROR(VLOOKUP(AD18,اسماء,29,0),"")</f>
        <v/>
      </c>
      <c r="AB16" s="444"/>
      <c r="AC16" s="20"/>
      <c r="AD16" s="72"/>
      <c r="AE16" s="346"/>
      <c r="AF16" s="347"/>
      <c r="AH16" s="37" t="str">
        <f>ادخال1!$Q$8</f>
        <v>التربية الموسيقية</v>
      </c>
      <c r="AI16" s="54">
        <f>ادخال1!$Q$7</f>
        <v>1</v>
      </c>
      <c r="AJ16" s="443" t="str">
        <f>IFERROR(VLOOKUP(AO18,اسماء,16,0),"")</f>
        <v/>
      </c>
      <c r="AK16" s="444"/>
      <c r="AL16" s="443" t="str">
        <f>IFERROR(VLOOKUP(AO18,اسماء,29,0),"")</f>
        <v/>
      </c>
      <c r="AM16" s="444"/>
      <c r="AN16" s="20"/>
      <c r="AO16" s="72"/>
      <c r="AP16" s="346"/>
      <c r="AQ16" s="347"/>
    </row>
    <row r="17" spans="1:43" ht="29.1" customHeight="1" thickBot="1" x14ac:dyDescent="0.3">
      <c r="A17" s="198" t="s">
        <v>120</v>
      </c>
      <c r="B17" s="464">
        <f>IFERROR(VLOOKUP(H17,اسماء,71,0),"")</f>
        <v>120160454465</v>
      </c>
      <c r="C17" s="465" t="str">
        <f>IFERROR(VLOOKUP(G22,اسماء,8,0),"")</f>
        <v/>
      </c>
      <c r="D17" s="465" t="str">
        <f>IFERROR(VLOOKUP(H22,اسماء,8,0),"")</f>
        <v/>
      </c>
      <c r="E17" s="466" t="str">
        <f>IFERROR(VLOOKUP(I22,اسماء,8,0),"")</f>
        <v/>
      </c>
      <c r="F17" s="20"/>
      <c r="G17" s="20"/>
      <c r="H17" s="422" t="str">
        <f>INDEX(عمود2,MATCH(J1,عمود1))</f>
        <v>مصطفى طارق فتحي الختال</v>
      </c>
      <c r="I17" s="422"/>
      <c r="J17" s="423"/>
      <c r="L17" s="198" t="s">
        <v>120</v>
      </c>
      <c r="M17" s="464">
        <f>IFERROR(VLOOKUP(S17,اسماء,71,0),"")</f>
        <v>120160454465</v>
      </c>
      <c r="N17" s="465" t="str">
        <f>IFERROR(VLOOKUP(R22,اسماء,8,0),"")</f>
        <v/>
      </c>
      <c r="O17" s="465" t="str">
        <f>IFERROR(VLOOKUP(S22,اسماء,8,0),"")</f>
        <v/>
      </c>
      <c r="P17" s="466" t="str">
        <f>IFERROR(VLOOKUP(T22,اسماء,8,0),"")</f>
        <v/>
      </c>
      <c r="Q17" s="20"/>
      <c r="R17" s="20"/>
      <c r="S17" s="422" t="str">
        <f>INDEX(عمود2,MATCH(U1,عمود1))</f>
        <v>مصطفى طارق فتحي الختال</v>
      </c>
      <c r="T17" s="422"/>
      <c r="U17" s="423"/>
      <c r="W17" s="198" t="s">
        <v>120</v>
      </c>
      <c r="X17" s="464" t="str">
        <f>IFERROR(VLOOKUP(AD17,اسماء,71,0),"")</f>
        <v/>
      </c>
      <c r="Y17" s="465" t="str">
        <f>IFERROR(VLOOKUP(AC22,اسماء,8,0),"")</f>
        <v/>
      </c>
      <c r="Z17" s="465" t="str">
        <f>IFERROR(VLOOKUP(AD22,اسماء,8,0),"")</f>
        <v/>
      </c>
      <c r="AA17" s="466" t="str">
        <f>IFERROR(VLOOKUP(AE22,اسماء,8,0),"")</f>
        <v/>
      </c>
      <c r="AB17" s="20"/>
      <c r="AC17" s="20"/>
      <c r="AD17" s="422">
        <f>INDEX(عمود2,MATCH(AF1,عمود1))</f>
        <v>0</v>
      </c>
      <c r="AE17" s="422"/>
      <c r="AF17" s="423"/>
      <c r="AH17" s="198" t="s">
        <v>120</v>
      </c>
      <c r="AI17" s="464" t="str">
        <f>IFERROR(VLOOKUP(AO17,اسماء,71,0),"")</f>
        <v/>
      </c>
      <c r="AJ17" s="465" t="str">
        <f>IFERROR(VLOOKUP(AN22,اسماء,8,0),"")</f>
        <v/>
      </c>
      <c r="AK17" s="465" t="str">
        <f>IFERROR(VLOOKUP(AO22,اسماء,8,0),"")</f>
        <v/>
      </c>
      <c r="AL17" s="466" t="str">
        <f>IFERROR(VLOOKUP(AP22,اسماء,8,0),"")</f>
        <v/>
      </c>
      <c r="AM17" s="20"/>
      <c r="AN17" s="20"/>
      <c r="AO17" s="422">
        <f>INDEX(عمود2,MATCH(AQ1,عمود1))</f>
        <v>0</v>
      </c>
      <c r="AP17" s="422"/>
      <c r="AQ17" s="423"/>
    </row>
    <row r="18" spans="1:43" ht="29.1" customHeight="1" x14ac:dyDescent="0.25">
      <c r="A18" s="467" t="s">
        <v>59</v>
      </c>
      <c r="B18" s="468"/>
      <c r="C18" s="443">
        <f>IFERROR(VLOOKUP(H17,اسماء,31,0),"")</f>
        <v>0</v>
      </c>
      <c r="D18" s="444"/>
      <c r="E18" s="443">
        <f>IFERROR(VLOOKUP(H17,اسماء,32,0),"")</f>
        <v>0</v>
      </c>
      <c r="F18" s="444"/>
      <c r="G18" s="20"/>
      <c r="H18" s="454" t="s">
        <v>91</v>
      </c>
      <c r="I18" s="454"/>
      <c r="J18" s="455"/>
      <c r="L18" s="479" t="s">
        <v>59</v>
      </c>
      <c r="M18" s="444"/>
      <c r="N18" s="443">
        <f>IFERROR(VLOOKUP(S17,اسماء,31,0),"")</f>
        <v>0</v>
      </c>
      <c r="O18" s="444"/>
      <c r="P18" s="443">
        <f>IFERROR(VLOOKUP(S17,اسماء,32,0),"")</f>
        <v>0</v>
      </c>
      <c r="Q18" s="444"/>
      <c r="R18" s="20"/>
      <c r="S18" s="454" t="s">
        <v>168</v>
      </c>
      <c r="T18" s="454"/>
      <c r="U18" s="455"/>
      <c r="W18" s="467" t="s">
        <v>59</v>
      </c>
      <c r="X18" s="468"/>
      <c r="Y18" s="443" t="str">
        <f>IFERROR(VLOOKUP(AD17,اسماء,31,0),"")</f>
        <v/>
      </c>
      <c r="Z18" s="444"/>
      <c r="AA18" s="443" t="str">
        <f>IFERROR(VLOOKUP(AD17,اسماء,32,0),"")</f>
        <v/>
      </c>
      <c r="AB18" s="444"/>
      <c r="AC18" s="20"/>
      <c r="AD18" s="454" t="s">
        <v>91</v>
      </c>
      <c r="AE18" s="454"/>
      <c r="AF18" s="455"/>
      <c r="AH18" s="467" t="s">
        <v>59</v>
      </c>
      <c r="AI18" s="468"/>
      <c r="AJ18" s="443" t="str">
        <f>IFERROR(VLOOKUP(AO17,اسماء,31,0),"")</f>
        <v/>
      </c>
      <c r="AK18" s="444"/>
      <c r="AL18" s="443" t="str">
        <f>IFERROR(VLOOKUP(AO17,اسماء,32,0),"")</f>
        <v/>
      </c>
      <c r="AM18" s="444"/>
      <c r="AN18" s="20"/>
      <c r="AO18" s="454" t="s">
        <v>91</v>
      </c>
      <c r="AP18" s="454"/>
      <c r="AQ18" s="455"/>
    </row>
    <row r="19" spans="1:43" ht="29.1" customHeight="1" x14ac:dyDescent="0.25">
      <c r="A19" s="469" t="s">
        <v>60</v>
      </c>
      <c r="B19" s="433"/>
      <c r="C19" s="434">
        <f>IFERROR(VLOOKUP(H17,اسماء,34,0),"")</f>
        <v>0</v>
      </c>
      <c r="D19" s="436"/>
      <c r="E19" s="434">
        <f>IFERROR(VLOOKUP(H17,اسماء,36,0),"")</f>
        <v>0</v>
      </c>
      <c r="F19" s="436"/>
      <c r="G19" s="20"/>
      <c r="H19" s="454"/>
      <c r="I19" s="454"/>
      <c r="J19" s="455"/>
      <c r="L19" s="463" t="s">
        <v>60</v>
      </c>
      <c r="M19" s="436"/>
      <c r="N19" s="434">
        <f>IFERROR(VLOOKUP(S17,اسماء,34,0),"")</f>
        <v>0</v>
      </c>
      <c r="O19" s="436"/>
      <c r="P19" s="434">
        <f>IFERROR(VLOOKUP(S17,اسماء,36,0),"")</f>
        <v>0</v>
      </c>
      <c r="Q19" s="436"/>
      <c r="R19" s="20"/>
      <c r="S19" s="454"/>
      <c r="T19" s="454"/>
      <c r="U19" s="455"/>
      <c r="W19" s="469" t="s">
        <v>60</v>
      </c>
      <c r="X19" s="433"/>
      <c r="Y19" s="434" t="str">
        <f>IFERROR(VLOOKUP(AD17,اسماء,34,0),"")</f>
        <v/>
      </c>
      <c r="Z19" s="436"/>
      <c r="AA19" s="434" t="str">
        <f>IFERROR(VLOOKUP(AD17,اسماء,36,0),"")</f>
        <v/>
      </c>
      <c r="AB19" s="436"/>
      <c r="AC19" s="20"/>
      <c r="AD19" s="454"/>
      <c r="AE19" s="454"/>
      <c r="AF19" s="455"/>
      <c r="AH19" s="469" t="s">
        <v>60</v>
      </c>
      <c r="AI19" s="433"/>
      <c r="AJ19" s="434" t="str">
        <f>IFERROR(VLOOKUP(AO17,اسماء,34,0),"")</f>
        <v/>
      </c>
      <c r="AK19" s="436"/>
      <c r="AL19" s="434" t="str">
        <f>IFERROR(VLOOKUP(AO17,اسماء,36,0),"")</f>
        <v/>
      </c>
      <c r="AM19" s="436"/>
      <c r="AN19" s="20"/>
      <c r="AO19" s="454"/>
      <c r="AP19" s="454"/>
      <c r="AQ19" s="455"/>
    </row>
    <row r="20" spans="1:43" ht="29.1" customHeight="1" thickBot="1" x14ac:dyDescent="0.3">
      <c r="A20" s="450" t="s">
        <v>61</v>
      </c>
      <c r="B20" s="451"/>
      <c r="C20" s="452">
        <f>IFERROR(VLOOKUP(H17,اسماء,35,0),"")</f>
        <v>0</v>
      </c>
      <c r="D20" s="453"/>
      <c r="E20" s="452">
        <f>IFERROR(VLOOKUP(H17,اسماء,37,0),"")</f>
        <v>0</v>
      </c>
      <c r="F20" s="453"/>
      <c r="G20" s="20"/>
      <c r="H20" s="456"/>
      <c r="I20" s="456"/>
      <c r="J20" s="457"/>
      <c r="L20" s="477" t="s">
        <v>61</v>
      </c>
      <c r="M20" s="478"/>
      <c r="N20" s="452">
        <f>IFERROR(VLOOKUP(S17,اسماء,35,0),"")</f>
        <v>0</v>
      </c>
      <c r="O20" s="453"/>
      <c r="P20" s="452">
        <f>IFERROR(VLOOKUP(S17,اسماء,37,0),"")</f>
        <v>0</v>
      </c>
      <c r="Q20" s="453"/>
      <c r="R20" s="20"/>
      <c r="S20" s="456"/>
      <c r="T20" s="456"/>
      <c r="U20" s="457"/>
      <c r="W20" s="450" t="s">
        <v>61</v>
      </c>
      <c r="X20" s="451"/>
      <c r="Y20" s="452" t="str">
        <f>IFERROR(VLOOKUP(AD17,اسماء,35,0),"")</f>
        <v/>
      </c>
      <c r="Z20" s="453"/>
      <c r="AA20" s="452" t="str">
        <f>IFERROR(VLOOKUP(AD17,اسماء,37,0),"")</f>
        <v/>
      </c>
      <c r="AB20" s="453"/>
      <c r="AC20" s="20"/>
      <c r="AD20" s="456"/>
      <c r="AE20" s="456"/>
      <c r="AF20" s="457"/>
      <c r="AH20" s="450" t="s">
        <v>61</v>
      </c>
      <c r="AI20" s="451"/>
      <c r="AJ20" s="452" t="str">
        <f>IFERROR(VLOOKUP(AO17,اسماء,35,0),"")</f>
        <v/>
      </c>
      <c r="AK20" s="453"/>
      <c r="AL20" s="452" t="str">
        <f>IFERROR(VLOOKUP(AO17,اسماء,37,0),"")</f>
        <v/>
      </c>
      <c r="AM20" s="453"/>
      <c r="AN20" s="20"/>
      <c r="AO20" s="456"/>
      <c r="AP20" s="456"/>
      <c r="AQ20" s="457"/>
    </row>
    <row r="21" spans="1:43" ht="5.25" customHeight="1" thickBot="1" x14ac:dyDescent="0.3">
      <c r="A21" s="298"/>
      <c r="B21" s="20"/>
      <c r="C21" s="20"/>
      <c r="D21" s="20"/>
      <c r="E21" s="20"/>
      <c r="F21" s="20"/>
      <c r="G21" s="20"/>
      <c r="H21" s="20"/>
      <c r="I21" s="20"/>
      <c r="J21" s="299"/>
      <c r="L21" s="300"/>
      <c r="M21" s="20"/>
      <c r="N21" s="20"/>
      <c r="O21" s="20"/>
      <c r="P21" s="20"/>
      <c r="Q21" s="20"/>
      <c r="R21" s="20"/>
      <c r="S21" s="20"/>
      <c r="T21" s="20"/>
      <c r="U21" s="299"/>
      <c r="W21" s="300"/>
      <c r="X21" s="20"/>
      <c r="Y21" s="20"/>
      <c r="Z21" s="20"/>
      <c r="AA21" s="20"/>
      <c r="AB21" s="20"/>
      <c r="AC21" s="20"/>
      <c r="AD21" s="20"/>
      <c r="AE21" s="20"/>
      <c r="AF21" s="299"/>
      <c r="AH21" s="300"/>
      <c r="AI21" s="20"/>
      <c r="AJ21" s="20"/>
      <c r="AK21" s="20"/>
      <c r="AL21" s="20"/>
      <c r="AM21" s="20"/>
      <c r="AN21" s="20"/>
      <c r="AO21" s="20"/>
      <c r="AP21" s="20"/>
      <c r="AQ21" s="299"/>
    </row>
    <row r="22" spans="1:43" ht="29.1" customHeight="1" x14ac:dyDescent="0.25">
      <c r="A22" s="35" t="s">
        <v>14</v>
      </c>
      <c r="B22" s="483" t="s">
        <v>62</v>
      </c>
      <c r="C22" s="483"/>
      <c r="D22" s="484" t="s">
        <v>63</v>
      </c>
      <c r="E22" s="485"/>
      <c r="F22" s="485"/>
      <c r="G22" s="486"/>
      <c r="H22" s="443" t="s">
        <v>86</v>
      </c>
      <c r="I22" s="487"/>
      <c r="J22" s="301"/>
      <c r="L22" s="119" t="s">
        <v>14</v>
      </c>
      <c r="M22" s="483" t="s">
        <v>62</v>
      </c>
      <c r="N22" s="483"/>
      <c r="O22" s="484" t="s">
        <v>63</v>
      </c>
      <c r="P22" s="485"/>
      <c r="Q22" s="485"/>
      <c r="R22" s="486"/>
      <c r="S22" s="443" t="s">
        <v>86</v>
      </c>
      <c r="T22" s="487"/>
      <c r="U22" s="301"/>
      <c r="W22" s="119" t="s">
        <v>14</v>
      </c>
      <c r="X22" s="483" t="s">
        <v>62</v>
      </c>
      <c r="Y22" s="483"/>
      <c r="Z22" s="484" t="s">
        <v>63</v>
      </c>
      <c r="AA22" s="485"/>
      <c r="AB22" s="485"/>
      <c r="AC22" s="486"/>
      <c r="AD22" s="443" t="s">
        <v>86</v>
      </c>
      <c r="AE22" s="487"/>
      <c r="AF22" s="301"/>
      <c r="AH22" s="119" t="s">
        <v>14</v>
      </c>
      <c r="AI22" s="483" t="s">
        <v>62</v>
      </c>
      <c r="AJ22" s="483"/>
      <c r="AK22" s="484" t="s">
        <v>63</v>
      </c>
      <c r="AL22" s="485"/>
      <c r="AM22" s="485"/>
      <c r="AN22" s="486"/>
      <c r="AO22" s="443" t="s">
        <v>86</v>
      </c>
      <c r="AP22" s="487"/>
      <c r="AQ22" s="301"/>
    </row>
    <row r="23" spans="1:43" ht="29.1" customHeight="1" x14ac:dyDescent="0.25">
      <c r="A23" s="63" t="s">
        <v>65</v>
      </c>
      <c r="B23" s="433"/>
      <c r="C23" s="433"/>
      <c r="D23" s="434"/>
      <c r="E23" s="435"/>
      <c r="F23" s="435"/>
      <c r="G23" s="436"/>
      <c r="H23" s="434"/>
      <c r="I23" s="437"/>
      <c r="J23" s="297"/>
      <c r="L23" s="118" t="s">
        <v>65</v>
      </c>
      <c r="M23" s="433"/>
      <c r="N23" s="433"/>
      <c r="O23" s="434"/>
      <c r="P23" s="435"/>
      <c r="Q23" s="435"/>
      <c r="R23" s="436"/>
      <c r="S23" s="434"/>
      <c r="T23" s="437"/>
      <c r="U23" s="297"/>
      <c r="W23" s="118" t="s">
        <v>65</v>
      </c>
      <c r="X23" s="433"/>
      <c r="Y23" s="433"/>
      <c r="Z23" s="434"/>
      <c r="AA23" s="435"/>
      <c r="AB23" s="435"/>
      <c r="AC23" s="436"/>
      <c r="AD23" s="434"/>
      <c r="AE23" s="437"/>
      <c r="AF23" s="297"/>
      <c r="AH23" s="118" t="s">
        <v>65</v>
      </c>
      <c r="AI23" s="433"/>
      <c r="AJ23" s="433"/>
      <c r="AK23" s="434"/>
      <c r="AL23" s="435"/>
      <c r="AM23" s="435"/>
      <c r="AN23" s="436"/>
      <c r="AO23" s="434"/>
      <c r="AP23" s="437"/>
      <c r="AQ23" s="297"/>
    </row>
    <row r="24" spans="1:43" ht="29.1" customHeight="1" thickBot="1" x14ac:dyDescent="0.3">
      <c r="A24" s="64" t="s">
        <v>67</v>
      </c>
      <c r="B24" s="438"/>
      <c r="C24" s="438"/>
      <c r="D24" s="439"/>
      <c r="E24" s="440"/>
      <c r="F24" s="440"/>
      <c r="G24" s="441"/>
      <c r="H24" s="439"/>
      <c r="I24" s="442"/>
      <c r="J24" s="302"/>
      <c r="L24" s="120" t="s">
        <v>67</v>
      </c>
      <c r="M24" s="438"/>
      <c r="N24" s="438"/>
      <c r="O24" s="439"/>
      <c r="P24" s="440"/>
      <c r="Q24" s="440"/>
      <c r="R24" s="441"/>
      <c r="S24" s="439"/>
      <c r="T24" s="442"/>
      <c r="U24" s="302"/>
      <c r="W24" s="120" t="s">
        <v>67</v>
      </c>
      <c r="X24" s="438"/>
      <c r="Y24" s="438"/>
      <c r="Z24" s="439"/>
      <c r="AA24" s="440"/>
      <c r="AB24" s="440"/>
      <c r="AC24" s="441"/>
      <c r="AD24" s="439"/>
      <c r="AE24" s="442"/>
      <c r="AF24" s="302"/>
      <c r="AH24" s="120" t="s">
        <v>67</v>
      </c>
      <c r="AI24" s="438"/>
      <c r="AJ24" s="438"/>
      <c r="AK24" s="439"/>
      <c r="AL24" s="440"/>
      <c r="AM24" s="440"/>
      <c r="AN24" s="441"/>
      <c r="AO24" s="439"/>
      <c r="AP24" s="442"/>
      <c r="AQ24" s="302"/>
    </row>
    <row r="25" spans="1:43" ht="16.5" customHeight="1" thickTop="1" thickBot="1" x14ac:dyDescent="0.3"/>
    <row r="26" spans="1:43" s="85" customFormat="1" ht="29.1" customHeight="1" thickTop="1" x14ac:dyDescent="0.25">
      <c r="A26" s="428" t="s">
        <v>81</v>
      </c>
      <c r="B26" s="429"/>
      <c r="C26" s="429"/>
      <c r="D26" s="430" t="str">
        <f>ادخال1!$N$4</f>
        <v>الرابع</v>
      </c>
      <c r="E26" s="430"/>
      <c r="F26" s="285" t="s">
        <v>82</v>
      </c>
      <c r="G26" s="285"/>
      <c r="H26" s="285"/>
      <c r="I26" s="285"/>
      <c r="J26" s="83">
        <f>J1+1</f>
        <v>16</v>
      </c>
      <c r="L26" s="428" t="s">
        <v>81</v>
      </c>
      <c r="M26" s="429"/>
      <c r="N26" s="429"/>
      <c r="O26" s="430" t="str">
        <f>ادخال1!$N$4</f>
        <v>الرابع</v>
      </c>
      <c r="P26" s="430"/>
      <c r="Q26" s="285" t="s">
        <v>82</v>
      </c>
      <c r="R26" s="285"/>
      <c r="S26" s="285"/>
      <c r="T26" s="285"/>
      <c r="U26" s="83">
        <f>J26+5</f>
        <v>21</v>
      </c>
      <c r="W26" s="428" t="s">
        <v>81</v>
      </c>
      <c r="X26" s="429"/>
      <c r="Y26" s="429"/>
      <c r="Z26" s="430" t="str">
        <f>ادخال1!$N$4</f>
        <v>الرابع</v>
      </c>
      <c r="AA26" s="430"/>
      <c r="AB26" s="285" t="s">
        <v>82</v>
      </c>
      <c r="AC26" s="285"/>
      <c r="AD26" s="285"/>
      <c r="AE26" s="285"/>
      <c r="AF26" s="83">
        <f>U26+5</f>
        <v>26</v>
      </c>
      <c r="AH26" s="428" t="s">
        <v>81</v>
      </c>
      <c r="AI26" s="429"/>
      <c r="AJ26" s="429"/>
      <c r="AK26" s="430" t="str">
        <f>ادخال1!$N$4</f>
        <v>الرابع</v>
      </c>
      <c r="AL26" s="430"/>
      <c r="AM26" s="285" t="s">
        <v>82</v>
      </c>
      <c r="AN26" s="285"/>
      <c r="AO26" s="285"/>
      <c r="AP26" s="285"/>
      <c r="AQ26" s="83">
        <f>AF26+5</f>
        <v>31</v>
      </c>
    </row>
    <row r="27" spans="1:43" ht="29.1" customHeight="1" thickBot="1" x14ac:dyDescent="0.3">
      <c r="A27" s="1" t="s">
        <v>153</v>
      </c>
      <c r="B27" s="480" t="str">
        <f>ادخال1!$B$5</f>
        <v xml:space="preserve">سهول العلم للتعليم الخاص </v>
      </c>
      <c r="C27" s="480"/>
      <c r="D27" s="480"/>
      <c r="E27" s="480"/>
      <c r="F27" s="286" t="s">
        <v>9</v>
      </c>
      <c r="G27" s="445" t="str">
        <f>H42</f>
        <v>معاوية عز الدين محمد أحفيظان</v>
      </c>
      <c r="H27" s="445"/>
      <c r="I27" s="445"/>
      <c r="J27" s="446"/>
      <c r="L27" s="1" t="s">
        <v>153</v>
      </c>
      <c r="M27" s="480" t="str">
        <f>ادخال1!$B$5</f>
        <v xml:space="preserve">سهول العلم للتعليم الخاص </v>
      </c>
      <c r="N27" s="480"/>
      <c r="O27" s="480"/>
      <c r="P27" s="480"/>
      <c r="Q27" s="286" t="s">
        <v>9</v>
      </c>
      <c r="R27" s="445">
        <f>S42</f>
        <v>0</v>
      </c>
      <c r="S27" s="445"/>
      <c r="T27" s="445"/>
      <c r="U27" s="446"/>
      <c r="W27" s="1" t="s">
        <v>153</v>
      </c>
      <c r="X27" s="480" t="str">
        <f>ادخال1!$B$5</f>
        <v xml:space="preserve">سهول العلم للتعليم الخاص </v>
      </c>
      <c r="Y27" s="480"/>
      <c r="Z27" s="480"/>
      <c r="AA27" s="480"/>
      <c r="AB27" s="286" t="s">
        <v>9</v>
      </c>
      <c r="AC27" s="445">
        <f>AD42</f>
        <v>0</v>
      </c>
      <c r="AD27" s="445"/>
      <c r="AE27" s="445"/>
      <c r="AF27" s="446"/>
      <c r="AH27" s="1" t="s">
        <v>153</v>
      </c>
      <c r="AI27" s="480" t="str">
        <f>ادخال1!$B$5</f>
        <v xml:space="preserve">سهول العلم للتعليم الخاص </v>
      </c>
      <c r="AJ27" s="480"/>
      <c r="AK27" s="480"/>
      <c r="AL27" s="480"/>
      <c r="AM27" s="286" t="s">
        <v>9</v>
      </c>
      <c r="AN27" s="445">
        <f>AO42</f>
        <v>0</v>
      </c>
      <c r="AO27" s="445"/>
      <c r="AP27" s="445"/>
      <c r="AQ27" s="446"/>
    </row>
    <row r="28" spans="1:43" ht="29.1" customHeight="1" thickBot="1" x14ac:dyDescent="0.3">
      <c r="A28" s="275" t="s">
        <v>46</v>
      </c>
      <c r="B28" s="460" t="s">
        <v>12</v>
      </c>
      <c r="C28" s="462" t="s">
        <v>47</v>
      </c>
      <c r="D28" s="425"/>
      <c r="E28" s="424" t="s">
        <v>48</v>
      </c>
      <c r="F28" s="425"/>
      <c r="G28" s="28"/>
      <c r="H28" s="447" t="s">
        <v>51</v>
      </c>
      <c r="I28" s="448"/>
      <c r="J28" s="449"/>
      <c r="L28" s="275" t="s">
        <v>46</v>
      </c>
      <c r="M28" s="460" t="s">
        <v>12</v>
      </c>
      <c r="N28" s="462" t="s">
        <v>47</v>
      </c>
      <c r="O28" s="425"/>
      <c r="P28" s="424" t="s">
        <v>48</v>
      </c>
      <c r="Q28" s="425"/>
      <c r="R28" s="28"/>
      <c r="S28" s="447" t="s">
        <v>51</v>
      </c>
      <c r="T28" s="448"/>
      <c r="U28" s="449"/>
      <c r="W28" s="275" t="s">
        <v>46</v>
      </c>
      <c r="X28" s="460" t="s">
        <v>12</v>
      </c>
      <c r="Y28" s="462" t="s">
        <v>47</v>
      </c>
      <c r="Z28" s="425"/>
      <c r="AA28" s="424" t="s">
        <v>48</v>
      </c>
      <c r="AB28" s="425"/>
      <c r="AC28" s="28"/>
      <c r="AD28" s="447" t="s">
        <v>51</v>
      </c>
      <c r="AE28" s="448"/>
      <c r="AF28" s="449"/>
      <c r="AH28" s="275" t="s">
        <v>46</v>
      </c>
      <c r="AI28" s="460" t="s">
        <v>12</v>
      </c>
      <c r="AJ28" s="462" t="s">
        <v>47</v>
      </c>
      <c r="AK28" s="425"/>
      <c r="AL28" s="424" t="s">
        <v>48</v>
      </c>
      <c r="AM28" s="425"/>
      <c r="AN28" s="28"/>
      <c r="AO28" s="447" t="s">
        <v>51</v>
      </c>
      <c r="AP28" s="448"/>
      <c r="AQ28" s="449"/>
    </row>
    <row r="29" spans="1:43" ht="29.1" customHeight="1" thickBot="1" x14ac:dyDescent="0.3">
      <c r="A29" s="276" t="s">
        <v>2</v>
      </c>
      <c r="B29" s="461"/>
      <c r="C29" s="43" t="s">
        <v>52</v>
      </c>
      <c r="D29" s="30" t="s">
        <v>53</v>
      </c>
      <c r="E29" s="44" t="s">
        <v>52</v>
      </c>
      <c r="F29" s="30" t="s">
        <v>53</v>
      </c>
      <c r="G29" s="12"/>
      <c r="H29" s="296" t="s">
        <v>56</v>
      </c>
      <c r="I29" s="458" t="str">
        <f>IF(D38=0,"",IF(AND(D30&gt;=C30*0.4,D31&gt;=C31*0.4,D35&gt;=C35*0.4,D36&gt;=C36*0.4,D37&gt;=C37*0.4,D32&gt;=C32*0.4,D33&gt;=C33*0.4,D34&gt;=C34*0.4),LOOKUP(D38,'النتيجة النهائية'!$AF$6:$AG$10),"ضعيف ويحتاج الى اهتمام في المواد"))</f>
        <v>ممتاز</v>
      </c>
      <c r="J29" s="459"/>
      <c r="L29" s="276" t="s">
        <v>2</v>
      </c>
      <c r="M29" s="461"/>
      <c r="N29" s="43" t="s">
        <v>52</v>
      </c>
      <c r="O29" s="30" t="s">
        <v>53</v>
      </c>
      <c r="P29" s="44" t="s">
        <v>52</v>
      </c>
      <c r="Q29" s="30" t="s">
        <v>53</v>
      </c>
      <c r="R29" s="12"/>
      <c r="S29" s="296" t="s">
        <v>56</v>
      </c>
      <c r="T29" s="458" t="str">
        <f>IF(O38=0,"",IF(AND(O30&gt;=N30*0.4,O31&gt;=N31*0.4,O35&gt;=N35*0.4,O36&gt;=N36*0.4,O37&gt;=N37*0.4,O32&gt;=N32*0.4,O33&gt;=N33*0.4,O34&gt;=N34*0.4),LOOKUP(O38,'النتيجة النهائية'!$AF$6:$AG$10),"ضعيف ويحتاج الى اهتمام في المواد"))</f>
        <v/>
      </c>
      <c r="U29" s="459"/>
      <c r="W29" s="276" t="s">
        <v>2</v>
      </c>
      <c r="X29" s="461"/>
      <c r="Y29" s="43" t="s">
        <v>52</v>
      </c>
      <c r="Z29" s="30" t="s">
        <v>53</v>
      </c>
      <c r="AA29" s="44" t="s">
        <v>52</v>
      </c>
      <c r="AB29" s="30" t="s">
        <v>53</v>
      </c>
      <c r="AC29" s="12"/>
      <c r="AD29" s="296" t="s">
        <v>56</v>
      </c>
      <c r="AE29" s="458" t="str">
        <f>IF(Z38=0,"",IF(AND(Z30&gt;=Y30*0.4,Z31&gt;=Y31*0.4,Z35&gt;=Y35*0.4,Z36&gt;=Y36*0.4,Z37&gt;=Y37*0.4,Z32&gt;=Y32*0.4,Z33&gt;=Y33*0.4,Z34&gt;=Y34*0.4),LOOKUP(Z38,'النتيجة النهائية'!$AF$6:$AG$10),"ضعيف ويحتاج الى اهتمام في المواد"))</f>
        <v/>
      </c>
      <c r="AF29" s="459"/>
      <c r="AH29" s="276" t="s">
        <v>2</v>
      </c>
      <c r="AI29" s="461"/>
      <c r="AJ29" s="43" t="s">
        <v>52</v>
      </c>
      <c r="AK29" s="30" t="s">
        <v>53</v>
      </c>
      <c r="AL29" s="44" t="s">
        <v>52</v>
      </c>
      <c r="AM29" s="30" t="s">
        <v>53</v>
      </c>
      <c r="AN29" s="12"/>
      <c r="AO29" s="296" t="s">
        <v>56</v>
      </c>
      <c r="AP29" s="458" t="str">
        <f>IF(AK38=0,"",IF(AND(AK30&gt;=AJ30*0.4,AK31&gt;=AJ31*0.4,AK35&gt;=AJ35*0.4,AK36&gt;=AJ36*0.4,AK37&gt;=AJ37*0.4,AK32&gt;=AJ32*0.4,AK33&gt;=AJ33*0.4,AK34&gt;=AJ34*0.4),LOOKUP(AK38,'النتيجة النهائية'!$AF$6:$AG$10),"ضعيف ويحتاج الى اهتمام في المواد"))</f>
        <v/>
      </c>
      <c r="AQ29" s="459"/>
    </row>
    <row r="30" spans="1:43" ht="29.1" customHeight="1" x14ac:dyDescent="0.25">
      <c r="A30" s="274" t="str">
        <f>ادخال1!$F$9</f>
        <v>التربية الإسلامية</v>
      </c>
      <c r="B30" s="50">
        <f>ادخال1!$F$7</f>
        <v>3</v>
      </c>
      <c r="C30" s="45">
        <f t="shared" ref="C30:C32" si="10">40*B30*0.3</f>
        <v>36</v>
      </c>
      <c r="D30" s="2">
        <f xml:space="preserve"> IFERROR(VLOOKUP(H42,اسماء,5,0),"")</f>
        <v>36</v>
      </c>
      <c r="E30" s="47">
        <f t="shared" ref="E30:E32" si="11">40*B30*0.3</f>
        <v>36</v>
      </c>
      <c r="F30" s="2">
        <f>IFERROR(VLOOKUP(H42,اسماء,18,0),"")</f>
        <v>0</v>
      </c>
      <c r="G30" s="20"/>
      <c r="H30" s="29" t="str">
        <f>IF(D30=0,"",IF(D30&lt;C30*0.4,A30,""))</f>
        <v/>
      </c>
      <c r="I30" s="31" t="str">
        <f>IF(D31=0,"",IF(D31&lt;C31*0.4,A31,""))</f>
        <v/>
      </c>
      <c r="J30" s="30" t="str">
        <f>IF(D32=0,"",IF(D32&lt;C32*0.4,A32,""))</f>
        <v/>
      </c>
      <c r="L30" s="274" t="str">
        <f>ادخال1!$F$9</f>
        <v>التربية الإسلامية</v>
      </c>
      <c r="M30" s="50">
        <f>ادخال1!$F$7</f>
        <v>3</v>
      </c>
      <c r="N30" s="45">
        <f t="shared" ref="N30:N32" si="12">40*M30*0.3</f>
        <v>36</v>
      </c>
      <c r="O30" s="2" t="str">
        <f xml:space="preserve"> IFERROR(VLOOKUP(S42,اسماء,5,0),"")</f>
        <v/>
      </c>
      <c r="P30" s="47">
        <f t="shared" ref="P30:P32" si="13">40*M30*0.3</f>
        <v>36</v>
      </c>
      <c r="Q30" s="2" t="str">
        <f>IFERROR(VLOOKUP(S42,اسماء,18,0),"")</f>
        <v/>
      </c>
      <c r="R30" s="20"/>
      <c r="S30" s="29" t="str">
        <f>IF(O30=0,"",IF(O30&lt;N30*0.4,L30,""))</f>
        <v/>
      </c>
      <c r="T30" s="31" t="str">
        <f>IF(O31=0,"",IF(O31&lt;N31*0.4,L31,""))</f>
        <v/>
      </c>
      <c r="U30" s="30" t="str">
        <f>IF(O32=0,"",IF(O32&lt;N32*0.4,L32,""))</f>
        <v/>
      </c>
      <c r="W30" s="274" t="str">
        <f>ادخال1!$F$9</f>
        <v>التربية الإسلامية</v>
      </c>
      <c r="X30" s="50">
        <f>ادخال1!$F$7</f>
        <v>3</v>
      </c>
      <c r="Y30" s="45">
        <f t="shared" ref="Y30:Y32" si="14">40*X30*0.3</f>
        <v>36</v>
      </c>
      <c r="Z30" s="2" t="str">
        <f xml:space="preserve"> IFERROR(VLOOKUP(AD42,اسماء,5,0),"")</f>
        <v/>
      </c>
      <c r="AA30" s="47">
        <f t="shared" ref="AA30:AA32" si="15">40*X30*0.3</f>
        <v>36</v>
      </c>
      <c r="AB30" s="2" t="str">
        <f>IFERROR(VLOOKUP(AD42,اسماء,18,0),"")</f>
        <v/>
      </c>
      <c r="AC30" s="20"/>
      <c r="AD30" s="29" t="str">
        <f>IF(Z30=0,"",IF(Z30&lt;Y30*0.4,W30,""))</f>
        <v/>
      </c>
      <c r="AE30" s="31" t="str">
        <f>IF(Z31=0,"",IF(Z31&lt;Y31*0.4,W31,""))</f>
        <v/>
      </c>
      <c r="AF30" s="30" t="str">
        <f>IF(Z32=0,"",IF(Z32&lt;Y32*0.4,W32,""))</f>
        <v/>
      </c>
      <c r="AH30" s="274" t="str">
        <f>ادخال1!$F$9</f>
        <v>التربية الإسلامية</v>
      </c>
      <c r="AI30" s="50">
        <f>ادخال1!$F$7</f>
        <v>3</v>
      </c>
      <c r="AJ30" s="45">
        <f t="shared" ref="AJ30:AJ32" si="16">40*AI30*0.3</f>
        <v>36</v>
      </c>
      <c r="AK30" s="2" t="str">
        <f xml:space="preserve"> IFERROR(VLOOKUP(AO42,اسماء,5,0),"")</f>
        <v/>
      </c>
      <c r="AL30" s="47">
        <f t="shared" ref="AL30:AL32" si="17">40*AI30*0.3</f>
        <v>36</v>
      </c>
      <c r="AM30" s="2" t="str">
        <f>IFERROR(VLOOKUP(AO42,اسماء,18,0),"")</f>
        <v/>
      </c>
      <c r="AN30" s="20"/>
      <c r="AO30" s="29" t="str">
        <f>IF(AK30=0,"",IF(AK30&lt;AJ30*0.4,AH30,""))</f>
        <v/>
      </c>
      <c r="AP30" s="31" t="str">
        <f>IF(AK31=0,"",IF(AK31&lt;AJ31*0.4,AH31,""))</f>
        <v/>
      </c>
      <c r="AQ30" s="30" t="str">
        <f>IF(AK32=0,"",IF(AK32&lt;AJ32*0.4,AH32,""))</f>
        <v/>
      </c>
    </row>
    <row r="31" spans="1:43" ht="29.1" customHeight="1" thickBot="1" x14ac:dyDescent="0.3">
      <c r="A31" s="60" t="str">
        <f>ادخال1!$G$9</f>
        <v>اللغة العربية</v>
      </c>
      <c r="B31" s="51">
        <f>ادخال1!$G$7</f>
        <v>4</v>
      </c>
      <c r="C31" s="45">
        <f t="shared" si="10"/>
        <v>48</v>
      </c>
      <c r="D31" s="2">
        <f>IFERROR(VLOOKUP(H42,اسماء,6,0),"")</f>
        <v>48</v>
      </c>
      <c r="E31" s="47">
        <f t="shared" si="11"/>
        <v>48</v>
      </c>
      <c r="F31" s="2">
        <f>IFERROR(VLOOKUP(H42,اسماء,19,0),"")</f>
        <v>0</v>
      </c>
      <c r="G31" s="20"/>
      <c r="H31" s="121" t="str">
        <f>IF(D35=0,"",IF(D35&lt;C35*0.4,A33,""))</f>
        <v/>
      </c>
      <c r="I31" s="293" t="str">
        <f>IF(D37=0,"",IF(D37&lt;C37*0.4,A34,""))</f>
        <v/>
      </c>
      <c r="J31" s="30" t="str">
        <f>IF(D34=0,"",IF(D34&lt;C34*0.4,A35,""))</f>
        <v/>
      </c>
      <c r="L31" s="60" t="str">
        <f>ادخال1!$G$9</f>
        <v>اللغة العربية</v>
      </c>
      <c r="M31" s="51">
        <f>ادخال1!$G$7</f>
        <v>4</v>
      </c>
      <c r="N31" s="45">
        <f t="shared" si="12"/>
        <v>48</v>
      </c>
      <c r="O31" s="2" t="str">
        <f>IFERROR(VLOOKUP(S42,اسماء,6,0),"")</f>
        <v/>
      </c>
      <c r="P31" s="47">
        <f t="shared" si="13"/>
        <v>48</v>
      </c>
      <c r="Q31" s="2" t="str">
        <f>IFERROR(VLOOKUP(S42,اسماء,19,0),"")</f>
        <v/>
      </c>
      <c r="R31" s="20"/>
      <c r="S31" s="121" t="str">
        <f>IF(O35=0,"",IF(O35&lt;N35*0.4,L33,""))</f>
        <v/>
      </c>
      <c r="T31" s="293" t="str">
        <f>IF(O37=0,"",IF(O37&lt;N37*0.4,L34,""))</f>
        <v/>
      </c>
      <c r="U31" s="30" t="str">
        <f>IF(O34=0,"",IF(O34&lt;N34*0.4,L35,""))</f>
        <v/>
      </c>
      <c r="W31" s="60" t="str">
        <f>ادخال1!$G$9</f>
        <v>اللغة العربية</v>
      </c>
      <c r="X31" s="51">
        <f>ادخال1!$G$7</f>
        <v>4</v>
      </c>
      <c r="Y31" s="45">
        <f t="shared" si="14"/>
        <v>48</v>
      </c>
      <c r="Z31" s="2" t="str">
        <f>IFERROR(VLOOKUP(AD42,اسماء,6,0),"")</f>
        <v/>
      </c>
      <c r="AA31" s="47">
        <f t="shared" si="15"/>
        <v>48</v>
      </c>
      <c r="AB31" s="2" t="str">
        <f>IFERROR(VLOOKUP(AD42,اسماء,19,0),"")</f>
        <v/>
      </c>
      <c r="AC31" s="20"/>
      <c r="AD31" s="121" t="str">
        <f>IF(Z35=0,"",IF(Z35&lt;Y35*0.4,W33,""))</f>
        <v/>
      </c>
      <c r="AE31" s="293" t="str">
        <f>IF(Z37=0,"",IF(Z37&lt;Y37*0.4,W34,""))</f>
        <v/>
      </c>
      <c r="AF31" s="30" t="str">
        <f>IF(Z34=0,"",IF(Z34&lt;Y34*0.4,W35,""))</f>
        <v/>
      </c>
      <c r="AH31" s="60" t="str">
        <f>ادخال1!$G$9</f>
        <v>اللغة العربية</v>
      </c>
      <c r="AI31" s="51">
        <f>ادخال1!$G$7</f>
        <v>4</v>
      </c>
      <c r="AJ31" s="45">
        <f t="shared" si="16"/>
        <v>48</v>
      </c>
      <c r="AK31" s="2" t="str">
        <f>IFERROR(VLOOKUP(AO42,اسماء,6,0),"")</f>
        <v/>
      </c>
      <c r="AL31" s="47">
        <f t="shared" si="17"/>
        <v>48</v>
      </c>
      <c r="AM31" s="2" t="str">
        <f>IFERROR(VLOOKUP(AO42,اسماء,19,0),"")</f>
        <v/>
      </c>
      <c r="AN31" s="20"/>
      <c r="AO31" s="121" t="str">
        <f>IF(AK35=0,"",IF(AK35&lt;AJ35*0.4,AH33,""))</f>
        <v/>
      </c>
      <c r="AP31" s="293" t="str">
        <f>IF(AK37=0,"",IF(AK37&lt;AJ37*0.4,AH34,""))</f>
        <v/>
      </c>
      <c r="AQ31" s="30" t="str">
        <f>IF(AK34=0,"",IF(AK34&lt;AJ34*0.4,AH35,""))</f>
        <v/>
      </c>
    </row>
    <row r="32" spans="1:43" ht="29.1" customHeight="1" thickBot="1" x14ac:dyDescent="0.3">
      <c r="A32" s="60" t="str">
        <f>ادخال1!$H$9</f>
        <v>الكتابة</v>
      </c>
      <c r="B32" s="51">
        <f>ادخال1!$H$7</f>
        <v>2</v>
      </c>
      <c r="C32" s="45">
        <f t="shared" si="10"/>
        <v>24</v>
      </c>
      <c r="D32" s="2">
        <f>IFERROR(VLOOKUP(H42,اسماء,7,0),"")</f>
        <v>23</v>
      </c>
      <c r="E32" s="47">
        <f t="shared" si="11"/>
        <v>24</v>
      </c>
      <c r="F32" s="2">
        <f>IFERROR(VLOOKUP(H42,اسماء,20,0),"")</f>
        <v>0</v>
      </c>
      <c r="G32" s="20"/>
      <c r="H32" s="121" t="str">
        <f>IF(D36=0,"",IF(D36&lt;C36*0.4,A36,""))</f>
        <v/>
      </c>
      <c r="I32" s="293" t="str">
        <f>IF(D37=0,"",IF(D37&lt;C37*0.4,A37,""))</f>
        <v/>
      </c>
      <c r="J32" s="356"/>
      <c r="L32" s="60" t="str">
        <f>ادخال1!$H$9</f>
        <v>الكتابة</v>
      </c>
      <c r="M32" s="51">
        <f>ادخال1!$H$7</f>
        <v>2</v>
      </c>
      <c r="N32" s="45">
        <f t="shared" si="12"/>
        <v>24</v>
      </c>
      <c r="O32" s="2" t="str">
        <f>IFERROR(VLOOKUP(S42,اسماء,7,0),"")</f>
        <v/>
      </c>
      <c r="P32" s="47">
        <f t="shared" si="13"/>
        <v>24</v>
      </c>
      <c r="Q32" s="2" t="str">
        <f>IFERROR(VLOOKUP(S42,اسماء,20,0),"")</f>
        <v/>
      </c>
      <c r="R32" s="20"/>
      <c r="S32" s="121" t="str">
        <f>IF(O36=0,"",IF(O36&lt;N36*0.4,L36,""))</f>
        <v/>
      </c>
      <c r="T32" s="293" t="str">
        <f>IF(O37=0,"",IF(O37&lt;N37*0.4,L37,""))</f>
        <v/>
      </c>
      <c r="U32" s="356"/>
      <c r="W32" s="60" t="str">
        <f>ادخال1!$H$9</f>
        <v>الكتابة</v>
      </c>
      <c r="X32" s="51">
        <f>ادخال1!$H$7</f>
        <v>2</v>
      </c>
      <c r="Y32" s="45">
        <f t="shared" si="14"/>
        <v>24</v>
      </c>
      <c r="Z32" s="2" t="str">
        <f>IFERROR(VLOOKUP(AD42,اسماء,7,0),"")</f>
        <v/>
      </c>
      <c r="AA32" s="47">
        <f t="shared" si="15"/>
        <v>24</v>
      </c>
      <c r="AB32" s="2" t="str">
        <f>IFERROR(VLOOKUP(AD42,اسماء,20,0),"")</f>
        <v/>
      </c>
      <c r="AC32" s="20"/>
      <c r="AD32" s="121" t="str">
        <f>IF(Z36=0,"",IF(Z36&lt;Y36*0.4,W36,""))</f>
        <v/>
      </c>
      <c r="AE32" s="293" t="str">
        <f>IF(Z37=0,"",IF(Z37&lt;Y37*0.4,W37,""))</f>
        <v/>
      </c>
      <c r="AF32" s="356"/>
      <c r="AH32" s="60" t="str">
        <f>ادخال1!$H$9</f>
        <v>الكتابة</v>
      </c>
      <c r="AI32" s="51">
        <f>ادخال1!$H$7</f>
        <v>2</v>
      </c>
      <c r="AJ32" s="45">
        <f t="shared" si="16"/>
        <v>24</v>
      </c>
      <c r="AK32" s="2" t="str">
        <f>IFERROR(VLOOKUP(AO42,اسماء,7,0),"")</f>
        <v/>
      </c>
      <c r="AL32" s="47">
        <f t="shared" si="17"/>
        <v>24</v>
      </c>
      <c r="AM32" s="2" t="str">
        <f>IFERROR(VLOOKUP(AO42,اسماء,20,0),"")</f>
        <v/>
      </c>
      <c r="AN32" s="20"/>
      <c r="AO32" s="121" t="str">
        <f>IF(AK36=0,"",IF(AK36&lt;AJ36*0.4,AH36,""))</f>
        <v/>
      </c>
      <c r="AP32" s="293" t="str">
        <f>IF(AK37=0,"",IF(AK37&lt;AJ37*0.4,AH37,""))</f>
        <v/>
      </c>
      <c r="AQ32" s="356"/>
    </row>
    <row r="33" spans="1:43" ht="29.1" customHeight="1" x14ac:dyDescent="0.25">
      <c r="A33" s="136" t="str">
        <f>ادخال1!$I$9</f>
        <v>اللغة الإنجليزية</v>
      </c>
      <c r="B33" s="51">
        <f>ادخال1!$I$7</f>
        <v>3</v>
      </c>
      <c r="C33" s="45">
        <f>40*B33*0.3</f>
        <v>36</v>
      </c>
      <c r="D33" s="2">
        <f>IFERROR(VLOOKUP(H42,اسماء,8,0),"")</f>
        <v>32</v>
      </c>
      <c r="E33" s="47">
        <f>40*B33*0.3</f>
        <v>36</v>
      </c>
      <c r="F33" s="2">
        <f>IFERROR(VLOOKUP(H42,اسماء,21,0),"")</f>
        <v>0</v>
      </c>
      <c r="G33" s="20"/>
      <c r="H33" s="295" t="s">
        <v>158</v>
      </c>
      <c r="I33" s="458" t="str">
        <f>IF(F38=0,"",IF(AND(F30&gt;=E30*0.4,F31&gt;=E31*0.4,F35&gt;=E35*0.4,F36&gt;=E36*0.4,F37&gt;=E37*0.4,F32&gt;=E32*0.4,F33&gt;=E33*0.4,F34&gt;=E34*0.4),LOOKUP(F38,'النتيجة النهائية'!$AF$6:$AG$10),"ضعيف ويحتاج الى اهتمام في المواد"))</f>
        <v/>
      </c>
      <c r="J33" s="459"/>
      <c r="L33" s="136" t="str">
        <f>ادخال1!$I$9</f>
        <v>اللغة الإنجليزية</v>
      </c>
      <c r="M33" s="51">
        <f>ادخال1!$I$7</f>
        <v>3</v>
      </c>
      <c r="N33" s="45">
        <f>40*M33*0.3</f>
        <v>36</v>
      </c>
      <c r="O33" s="2" t="str">
        <f>IFERROR(VLOOKUP(S42,اسماء,8,0),"")</f>
        <v/>
      </c>
      <c r="P33" s="47">
        <f>40*M33*0.3</f>
        <v>36</v>
      </c>
      <c r="Q33" s="2" t="str">
        <f>IFERROR(VLOOKUP(S42,اسماء,21,0),"")</f>
        <v/>
      </c>
      <c r="R33" s="20"/>
      <c r="S33" s="295" t="s">
        <v>158</v>
      </c>
      <c r="T33" s="458" t="str">
        <f>IF(Q38=0,"",IF(AND(Q30&gt;=P30*0.4,Q31&gt;=P31*0.4,Q35&gt;=P35*0.4,Q36&gt;=P36*0.4,Q37&gt;=P37*0.4,Q32&gt;=P32*0.4,Q33&gt;=P33*0.4,Q34&gt;=P34*0.4),LOOKUP(Q38,'النتيجة النهائية'!$AF$6:$AG$10),"ضعيف ويحتاج الى اهتمام في المواد"))</f>
        <v/>
      </c>
      <c r="U33" s="459"/>
      <c r="W33" s="136" t="str">
        <f>ادخال1!$I$9</f>
        <v>اللغة الإنجليزية</v>
      </c>
      <c r="X33" s="51">
        <f>ادخال1!$I$7</f>
        <v>3</v>
      </c>
      <c r="Y33" s="45">
        <f>40*X33*0.3</f>
        <v>36</v>
      </c>
      <c r="Z33" s="2" t="str">
        <f>IFERROR(VLOOKUP(AD42,اسماء,8,0),"")</f>
        <v/>
      </c>
      <c r="AA33" s="47">
        <f>40*X33*0.3</f>
        <v>36</v>
      </c>
      <c r="AB33" s="2" t="str">
        <f>IFERROR(VLOOKUP(AD42,اسماء,21,0),"")</f>
        <v/>
      </c>
      <c r="AC33" s="20"/>
      <c r="AD33" s="295" t="s">
        <v>158</v>
      </c>
      <c r="AE33" s="458" t="str">
        <f>IF(AB38=0,"",IF(AND(AB30&gt;=AA30*0.4,AB31&gt;=AA31*0.4,AB35&gt;=AA35*0.4,AB36&gt;=AA36*0.4,AB37&gt;=AA37*0.4,AB32&gt;=AA32*0.4,AB33&gt;=AA33*0.4,AB34&gt;=AA34*0.4),LOOKUP(AB38,'النتيجة النهائية'!$AF$6:$AG$10),"ضعيف ويحتاج الى اهتمام في المواد"))</f>
        <v/>
      </c>
      <c r="AF33" s="459"/>
      <c r="AH33" s="136" t="str">
        <f>ادخال1!$I$9</f>
        <v>اللغة الإنجليزية</v>
      </c>
      <c r="AI33" s="51">
        <f>ادخال1!$I$7</f>
        <v>3</v>
      </c>
      <c r="AJ33" s="45">
        <f>40*AI33*0.3</f>
        <v>36</v>
      </c>
      <c r="AK33" s="2" t="str">
        <f>IFERROR(VLOOKUP(AO42,اسماء,8,0),"")</f>
        <v/>
      </c>
      <c r="AL33" s="47">
        <f>40*AI33*0.3</f>
        <v>36</v>
      </c>
      <c r="AM33" s="2" t="str">
        <f>IFERROR(VLOOKUP(AO42,اسماء,21,0),"")</f>
        <v/>
      </c>
      <c r="AN33" s="20"/>
      <c r="AO33" s="295" t="s">
        <v>158</v>
      </c>
      <c r="AP33" s="458" t="str">
        <f>IF(AM38=0,"",IF(AND(AM30&gt;=AL30*0.4,AM31&gt;=AL31*0.4,AM35&gt;=AL35*0.4,AM36&gt;=AL36*0.4,AM37&gt;=AL37*0.4,AM32&gt;=AL32*0.4,AM33&gt;=AL33*0.4,AM34&gt;=AL34*0.4),LOOKUP(AM38,'النتيجة النهائية'!$AF$6:$AG$10),"ضعيف ويحتاج الى اهتمام في المواد"))</f>
        <v/>
      </c>
      <c r="AQ33" s="459"/>
    </row>
    <row r="34" spans="1:43" ht="29.1" customHeight="1" x14ac:dyDescent="0.25">
      <c r="A34" s="136" t="str">
        <f>ادخال1!$J$9</f>
        <v>الحاسوب</v>
      </c>
      <c r="B34" s="51">
        <f>ادخال1!$J$7</f>
        <v>1</v>
      </c>
      <c r="C34" s="45">
        <f>40*B34*0.3</f>
        <v>12</v>
      </c>
      <c r="D34" s="2">
        <f>IFERROR(VLOOKUP(H42,اسماء,9,0),"")</f>
        <v>12</v>
      </c>
      <c r="E34" s="47">
        <f>40*B34*0.3</f>
        <v>12</v>
      </c>
      <c r="F34" s="2">
        <f>IFERROR(VLOOKUP(H42,اسماء,22,0),"")</f>
        <v>0</v>
      </c>
      <c r="G34" s="20"/>
      <c r="H34" s="348"/>
      <c r="I34" s="349"/>
      <c r="J34" s="350"/>
      <c r="L34" s="136" t="str">
        <f>ادخال1!$J$9</f>
        <v>الحاسوب</v>
      </c>
      <c r="M34" s="51">
        <f>ادخال1!$J$7</f>
        <v>1</v>
      </c>
      <c r="N34" s="45">
        <f>40*M34*0.3</f>
        <v>12</v>
      </c>
      <c r="O34" s="2" t="str">
        <f>IFERROR(VLOOKUP(S42,اسماء,9,0),"")</f>
        <v/>
      </c>
      <c r="P34" s="47">
        <f>40*M34*0.3</f>
        <v>12</v>
      </c>
      <c r="Q34" s="2" t="str">
        <f>IFERROR(VLOOKUP(S42,اسماء,22,0),"")</f>
        <v/>
      </c>
      <c r="R34" s="20"/>
      <c r="S34" s="348"/>
      <c r="T34" s="349"/>
      <c r="U34" s="350"/>
      <c r="W34" s="136" t="str">
        <f>ادخال1!$J$9</f>
        <v>الحاسوب</v>
      </c>
      <c r="X34" s="51">
        <f>ادخال1!$J$7</f>
        <v>1</v>
      </c>
      <c r="Y34" s="45">
        <f>40*X34*0.3</f>
        <v>12</v>
      </c>
      <c r="Z34" s="2" t="str">
        <f>IFERROR(VLOOKUP(AD42,اسماء,9,0),"")</f>
        <v/>
      </c>
      <c r="AA34" s="47">
        <f>40*X34*0.3</f>
        <v>12</v>
      </c>
      <c r="AB34" s="2" t="str">
        <f>IFERROR(VLOOKUP(AD42,اسماء,22,0),"")</f>
        <v/>
      </c>
      <c r="AC34" s="20"/>
      <c r="AD34" s="348"/>
      <c r="AE34" s="349"/>
      <c r="AF34" s="350"/>
      <c r="AH34" s="136" t="str">
        <f>ادخال1!$J$9</f>
        <v>الحاسوب</v>
      </c>
      <c r="AI34" s="51">
        <f>ادخال1!$J$7</f>
        <v>1</v>
      </c>
      <c r="AJ34" s="45">
        <f>40*AI34*0.3</f>
        <v>12</v>
      </c>
      <c r="AK34" s="2" t="str">
        <f>IFERROR(VLOOKUP(AO42,اسماء,9,0),"")</f>
        <v/>
      </c>
      <c r="AL34" s="47">
        <f>40*AI34*0.3</f>
        <v>12</v>
      </c>
      <c r="AM34" s="2" t="str">
        <f>IFERROR(VLOOKUP(AO42,اسماء,22,0),"")</f>
        <v/>
      </c>
      <c r="AN34" s="20"/>
      <c r="AO34" s="348"/>
      <c r="AP34" s="349"/>
      <c r="AQ34" s="350"/>
    </row>
    <row r="35" spans="1:43" ht="29.1" customHeight="1" x14ac:dyDescent="0.25">
      <c r="A35" s="60" t="str">
        <f>ادخال1!$K$9</f>
        <v>الرياضيات</v>
      </c>
      <c r="B35" s="51">
        <f>ادخال1!$K$7</f>
        <v>5</v>
      </c>
      <c r="C35" s="45">
        <f>40*B35*0.3</f>
        <v>60</v>
      </c>
      <c r="D35" s="2">
        <f>IFERROR(VLOOKUP(H42,اسماء,10,0),"")</f>
        <v>52</v>
      </c>
      <c r="E35" s="47">
        <f>40*B35*0.3</f>
        <v>60</v>
      </c>
      <c r="F35" s="2">
        <f>IFERROR(VLOOKUP(H42,اسماء,23,0),"")</f>
        <v>0</v>
      </c>
      <c r="G35" s="20"/>
      <c r="H35" s="29" t="str">
        <f>IF(F30=0,"",IF(F30&lt;E30*0.4,A30,""))</f>
        <v/>
      </c>
      <c r="I35" s="31" t="str">
        <f>IF(F31=0,"",IF(F31&lt;E31*0.4,A31,""))</f>
        <v/>
      </c>
      <c r="J35" s="30" t="str">
        <f>IF(F32=0,"",IF(F32&lt;E32*0.4,A32,""))</f>
        <v/>
      </c>
      <c r="L35" s="60" t="str">
        <f>ادخال1!$K$9</f>
        <v>الرياضيات</v>
      </c>
      <c r="M35" s="51">
        <f>ادخال1!$K$7</f>
        <v>5</v>
      </c>
      <c r="N35" s="45">
        <f>40*M35*0.3</f>
        <v>60</v>
      </c>
      <c r="O35" s="2" t="str">
        <f>IFERROR(VLOOKUP(S42,اسماء,10,0),"")</f>
        <v/>
      </c>
      <c r="P35" s="47">
        <f>40*M35*0.3</f>
        <v>60</v>
      </c>
      <c r="Q35" s="2" t="str">
        <f>IFERROR(VLOOKUP(S42,اسماء,23,0),"")</f>
        <v/>
      </c>
      <c r="R35" s="20"/>
      <c r="S35" s="29" t="str">
        <f>IF(Q30=0,"",IF(Q30&lt;P30*0.4,L30,""))</f>
        <v/>
      </c>
      <c r="T35" s="31" t="str">
        <f>IF(Q31=0,"",IF(Q31&lt;P31*0.4,L31,""))</f>
        <v/>
      </c>
      <c r="U35" s="30" t="str">
        <f>IF(Q32=0,"",IF(Q32&lt;P32*0.4,L32,""))</f>
        <v/>
      </c>
      <c r="W35" s="60" t="str">
        <f>ادخال1!$K$9</f>
        <v>الرياضيات</v>
      </c>
      <c r="X35" s="51">
        <f>ادخال1!$K$7</f>
        <v>5</v>
      </c>
      <c r="Y35" s="45">
        <f>40*X35*0.3</f>
        <v>60</v>
      </c>
      <c r="Z35" s="2" t="str">
        <f>IFERROR(VLOOKUP(AD42,اسماء,10,0),"")</f>
        <v/>
      </c>
      <c r="AA35" s="47">
        <f>40*X35*0.3</f>
        <v>60</v>
      </c>
      <c r="AB35" s="2" t="str">
        <f>IFERROR(VLOOKUP(AD42,اسماء,23,0),"")</f>
        <v/>
      </c>
      <c r="AC35" s="20"/>
      <c r="AD35" s="29" t="str">
        <f>IF(AB30=0,"",IF(AB30&lt;AA30*0.4,W30,""))</f>
        <v/>
      </c>
      <c r="AE35" s="31" t="str">
        <f>IF(AB31=0,"",IF(AB31&lt;AA31*0.4,W31,""))</f>
        <v/>
      </c>
      <c r="AF35" s="30" t="str">
        <f>IF(AB32=0,"",IF(AB32&lt;AA32*0.4,W32,""))</f>
        <v/>
      </c>
      <c r="AH35" s="60" t="str">
        <f>ادخال1!$K$9</f>
        <v>الرياضيات</v>
      </c>
      <c r="AI35" s="51">
        <f>ادخال1!$K$7</f>
        <v>5</v>
      </c>
      <c r="AJ35" s="45">
        <f>40*AI35*0.3</f>
        <v>60</v>
      </c>
      <c r="AK35" s="2" t="str">
        <f>IFERROR(VLOOKUP(AO42,اسماء,10,0),"")</f>
        <v/>
      </c>
      <c r="AL35" s="47">
        <f>40*AI35*0.3</f>
        <v>60</v>
      </c>
      <c r="AM35" s="2" t="str">
        <f>IFERROR(VLOOKUP(AO42,اسماء,23,0),"")</f>
        <v/>
      </c>
      <c r="AN35" s="20"/>
      <c r="AO35" s="29" t="str">
        <f>IF(AM30=0,"",IF(AM30&lt;AL30*0.4,AH30,""))</f>
        <v/>
      </c>
      <c r="AP35" s="31" t="str">
        <f>IF(AM31=0,"",IF(AM31&lt;AL31*0.4,AH31,""))</f>
        <v/>
      </c>
      <c r="AQ35" s="30" t="str">
        <f>IF(AM32=0,"",IF(AM32&lt;AL32*0.4,AH32,""))</f>
        <v/>
      </c>
    </row>
    <row r="36" spans="1:43" ht="29.1" customHeight="1" x14ac:dyDescent="0.25">
      <c r="A36" s="116" t="str">
        <f>ادخال1!$L$9</f>
        <v>العلوم</v>
      </c>
      <c r="B36" s="52">
        <f>ادخال1!$L$7</f>
        <v>3</v>
      </c>
      <c r="C36" s="45">
        <f>40*B36*0.3</f>
        <v>36</v>
      </c>
      <c r="D36" s="2">
        <f>IFERROR(VLOOKUP(H42,اسماء,11,0),"")</f>
        <v>36</v>
      </c>
      <c r="E36" s="47">
        <f>40*B36*0.3</f>
        <v>36</v>
      </c>
      <c r="F36" s="2">
        <f>IFERROR(VLOOKUP(H42,اسماء,24,0),"")</f>
        <v>0</v>
      </c>
      <c r="G36" s="20"/>
      <c r="H36" s="29" t="str">
        <f>IF(F33=0,"",IF(F33&lt;E33*0.4,A33,""))</f>
        <v/>
      </c>
      <c r="I36" s="31" t="str">
        <f>IF(F34=0,"",IF(F34&lt;E34*0.4,A34,""))</f>
        <v/>
      </c>
      <c r="J36" s="30" t="str">
        <f>IF(F35=0,"",IF(F35&lt;E35*0.4,A35,""))</f>
        <v/>
      </c>
      <c r="L36" s="116" t="str">
        <f>ادخال1!$L$9</f>
        <v>العلوم</v>
      </c>
      <c r="M36" s="52">
        <f>ادخال1!$L$7</f>
        <v>3</v>
      </c>
      <c r="N36" s="45">
        <f>40*M36*0.3</f>
        <v>36</v>
      </c>
      <c r="O36" s="2" t="str">
        <f>IFERROR(VLOOKUP(S42,اسماء,11,0),"")</f>
        <v/>
      </c>
      <c r="P36" s="47">
        <f>40*M36*0.3</f>
        <v>36</v>
      </c>
      <c r="Q36" s="2" t="str">
        <f>IFERROR(VLOOKUP(S42,اسماء,24,0),"")</f>
        <v/>
      </c>
      <c r="R36" s="20"/>
      <c r="S36" s="29" t="str">
        <f>IF(Q33=0,"",IF(Q33&lt;P33*0.4,L33,""))</f>
        <v/>
      </c>
      <c r="T36" s="31" t="str">
        <f>IF(Q34=0,"",IF(Q34&lt;P34*0.4,L34,""))</f>
        <v/>
      </c>
      <c r="U36" s="30" t="str">
        <f>IF(Q35=0,"",IF(Q35&lt;P35*0.4,L35,""))</f>
        <v/>
      </c>
      <c r="W36" s="116" t="str">
        <f>ادخال1!$L$9</f>
        <v>العلوم</v>
      </c>
      <c r="X36" s="52">
        <f>ادخال1!$L$7</f>
        <v>3</v>
      </c>
      <c r="Y36" s="45">
        <f>40*X36*0.3</f>
        <v>36</v>
      </c>
      <c r="Z36" s="2" t="str">
        <f>IFERROR(VLOOKUP(AD42,اسماء,11,0),"")</f>
        <v/>
      </c>
      <c r="AA36" s="47">
        <f>40*X36*0.3</f>
        <v>36</v>
      </c>
      <c r="AB36" s="2" t="str">
        <f>IFERROR(VLOOKUP(AD42,اسماء,24,0),"")</f>
        <v/>
      </c>
      <c r="AC36" s="20"/>
      <c r="AD36" s="29" t="str">
        <f>IF(AB33=0,"",IF(AB33&lt;AA33*0.4,W33,""))</f>
        <v/>
      </c>
      <c r="AE36" s="31" t="str">
        <f>IF(AB34=0,"",IF(AB34&lt;AA34*0.4,W34,""))</f>
        <v/>
      </c>
      <c r="AF36" s="30" t="str">
        <f>IF(AB35=0,"",IF(AB35&lt;AA35*0.4,W35,""))</f>
        <v/>
      </c>
      <c r="AH36" s="116" t="str">
        <f>ادخال1!$L$9</f>
        <v>العلوم</v>
      </c>
      <c r="AI36" s="52">
        <f>ادخال1!$L$7</f>
        <v>3</v>
      </c>
      <c r="AJ36" s="45">
        <f>40*AI36*0.3</f>
        <v>36</v>
      </c>
      <c r="AK36" s="2" t="str">
        <f>IFERROR(VLOOKUP(AO42,اسماء,11,0),"")</f>
        <v/>
      </c>
      <c r="AL36" s="47">
        <f>40*AI36*0.3</f>
        <v>36</v>
      </c>
      <c r="AM36" s="2" t="str">
        <f>IFERROR(VLOOKUP(AO42,اسماء,24,0),"")</f>
        <v/>
      </c>
      <c r="AN36" s="20"/>
      <c r="AO36" s="29" t="str">
        <f>IF(AM33=0,"",IF(AM33&lt;AL33*0.4,AH33,""))</f>
        <v/>
      </c>
      <c r="AP36" s="31" t="str">
        <f>IF(AM34=0,"",IF(AM34&lt;AL34*0.4,AH34,""))</f>
        <v/>
      </c>
      <c r="AQ36" s="30" t="str">
        <f>IF(AM35=0,"",IF(AM35&lt;AL35*0.4,AH35,""))</f>
        <v/>
      </c>
    </row>
    <row r="37" spans="1:43" ht="29.1" customHeight="1" thickBot="1" x14ac:dyDescent="0.3">
      <c r="A37" s="116" t="str">
        <f>ادخال1!$M$9</f>
        <v>الاجتماعيات</v>
      </c>
      <c r="B37" s="52">
        <f>ادخال1!$M$7</f>
        <v>2</v>
      </c>
      <c r="C37" s="45">
        <f>40*B37*0.3</f>
        <v>24</v>
      </c>
      <c r="D37" s="2">
        <f>IFERROR(VLOOKUP(H42,اسماء,12,0),"")</f>
        <v>24</v>
      </c>
      <c r="E37" s="47">
        <f>40*B37*0.3</f>
        <v>24</v>
      </c>
      <c r="F37" s="2">
        <f>IFERROR(VLOOKUP(H42,اسماء,25,0),"")</f>
        <v>0</v>
      </c>
      <c r="G37" s="20"/>
      <c r="H37" s="121" t="str">
        <f>IF(F36=0,"",IF(F36&lt;E36*0.4,A36,""))</f>
        <v/>
      </c>
      <c r="I37" s="293" t="str">
        <f>IF(F37=0,"",IF(F37&lt;E37*0.4,A37,""))</f>
        <v/>
      </c>
      <c r="J37" s="294"/>
      <c r="L37" s="116" t="str">
        <f>ادخال1!$M$9</f>
        <v>الاجتماعيات</v>
      </c>
      <c r="M37" s="52">
        <f>ادخال1!$M$7</f>
        <v>2</v>
      </c>
      <c r="N37" s="45">
        <f>40*M37*0.3</f>
        <v>24</v>
      </c>
      <c r="O37" s="2" t="str">
        <f>IFERROR(VLOOKUP(S42,اسماء,12,0),"")</f>
        <v/>
      </c>
      <c r="P37" s="47">
        <f>40*M37*0.3</f>
        <v>24</v>
      </c>
      <c r="Q37" s="2" t="str">
        <f>IFERROR(VLOOKUP(S42,اسماء,25,0),"")</f>
        <v/>
      </c>
      <c r="R37" s="20"/>
      <c r="S37" s="121" t="str">
        <f>IF(Q36=0,"",IF(Q36&lt;P36*0.4,L36,""))</f>
        <v/>
      </c>
      <c r="T37" s="293" t="str">
        <f>IF(Q37=0,"",IF(Q37&lt;P37*0.4,L37,""))</f>
        <v/>
      </c>
      <c r="U37" s="294"/>
      <c r="W37" s="116" t="str">
        <f>ادخال1!$M$9</f>
        <v>الاجتماعيات</v>
      </c>
      <c r="X37" s="52">
        <f>ادخال1!$M$7</f>
        <v>2</v>
      </c>
      <c r="Y37" s="45">
        <f>40*X37*0.3</f>
        <v>24</v>
      </c>
      <c r="Z37" s="2" t="str">
        <f>IFERROR(VLOOKUP(AD42,اسماء,12,0),"")</f>
        <v/>
      </c>
      <c r="AA37" s="47">
        <f>40*X37*0.3</f>
        <v>24</v>
      </c>
      <c r="AB37" s="2" t="str">
        <f>IFERROR(VLOOKUP(AD42,اسماء,25,0),"")</f>
        <v/>
      </c>
      <c r="AC37" s="20"/>
      <c r="AD37" s="121" t="str">
        <f>IF(AB36=0,"",IF(AB36&lt;AA36*0.4,W36,""))</f>
        <v/>
      </c>
      <c r="AE37" s="293" t="str">
        <f>IF(AB37=0,"",IF(AB37&lt;AA37*0.4,W37,""))</f>
        <v/>
      </c>
      <c r="AF37" s="294"/>
      <c r="AH37" s="116" t="str">
        <f>ادخال1!$M$9</f>
        <v>الاجتماعيات</v>
      </c>
      <c r="AI37" s="52">
        <f>ادخال1!$M$7</f>
        <v>2</v>
      </c>
      <c r="AJ37" s="45">
        <f>40*AI37*0.3</f>
        <v>24</v>
      </c>
      <c r="AK37" s="2" t="str">
        <f>IFERROR(VLOOKUP(AO42,اسماء,12,0),"")</f>
        <v/>
      </c>
      <c r="AL37" s="47">
        <f>40*AI37*0.3</f>
        <v>24</v>
      </c>
      <c r="AM37" s="2" t="str">
        <f>IFERROR(VLOOKUP(AO42,اسماء,25,0),"")</f>
        <v/>
      </c>
      <c r="AN37" s="20"/>
      <c r="AO37" s="121" t="str">
        <f>IF(AM36=0,"",IF(AM36&lt;AL36*0.4,AH36,""))</f>
        <v/>
      </c>
      <c r="AP37" s="293" t="str">
        <f>IF(AM37=0,"",IF(AM37&lt;AL37*0.4,AH37,""))</f>
        <v/>
      </c>
      <c r="AQ37" s="294"/>
    </row>
    <row r="38" spans="1:43" ht="29.1" customHeight="1" thickBot="1" x14ac:dyDescent="0.3">
      <c r="A38" s="62" t="s">
        <v>57</v>
      </c>
      <c r="B38" s="32"/>
      <c r="C38" s="46">
        <f>SUM(C30:C37)</f>
        <v>276</v>
      </c>
      <c r="D38" s="117">
        <f>SUM(D30:D37)</f>
        <v>263</v>
      </c>
      <c r="E38" s="46">
        <f>SUM(E30:E37)</f>
        <v>276</v>
      </c>
      <c r="F38" s="117">
        <f>SUM(F30:F37)</f>
        <v>0</v>
      </c>
      <c r="G38" s="20"/>
      <c r="H38" s="202" t="s">
        <v>66</v>
      </c>
      <c r="I38" s="422" t="str">
        <f>ادخال1!$BP$5</f>
        <v>د.عبدالرحمن خليفة العريبي</v>
      </c>
      <c r="J38" s="423"/>
      <c r="L38" s="62" t="s">
        <v>57</v>
      </c>
      <c r="M38" s="32"/>
      <c r="N38" s="46">
        <f>SUM(N30:N37)</f>
        <v>276</v>
      </c>
      <c r="O38" s="117">
        <f>SUM(O30:O37)</f>
        <v>0</v>
      </c>
      <c r="P38" s="46">
        <f>SUM(P30:P37)</f>
        <v>276</v>
      </c>
      <c r="Q38" s="117">
        <f>SUM(Q30:Q37)</f>
        <v>0</v>
      </c>
      <c r="R38" s="20"/>
      <c r="S38" s="202" t="s">
        <v>66</v>
      </c>
      <c r="T38" s="422" t="str">
        <f>ادخال1!$BP$5</f>
        <v>د.عبدالرحمن خليفة العريبي</v>
      </c>
      <c r="U38" s="423"/>
      <c r="W38" s="62" t="s">
        <v>57</v>
      </c>
      <c r="X38" s="32"/>
      <c r="Y38" s="46">
        <f>SUM(Y30:Y37)</f>
        <v>276</v>
      </c>
      <c r="Z38" s="117">
        <f>SUM(Z30:Z37)</f>
        <v>0</v>
      </c>
      <c r="AA38" s="46">
        <f>SUM(AA30:AA37)</f>
        <v>276</v>
      </c>
      <c r="AB38" s="117">
        <f>SUM(AB30:AB37)</f>
        <v>0</v>
      </c>
      <c r="AC38" s="20"/>
      <c r="AD38" s="202" t="s">
        <v>66</v>
      </c>
      <c r="AE38" s="422" t="str">
        <f>ادخال1!$BP$5</f>
        <v>د.عبدالرحمن خليفة العريبي</v>
      </c>
      <c r="AF38" s="423"/>
      <c r="AH38" s="62" t="s">
        <v>57</v>
      </c>
      <c r="AI38" s="32"/>
      <c r="AJ38" s="46">
        <f>SUM(AJ30:AJ37)</f>
        <v>276</v>
      </c>
      <c r="AK38" s="117">
        <f>SUM(AK30:AK37)</f>
        <v>0</v>
      </c>
      <c r="AL38" s="46">
        <f>SUM(AL30:AL37)</f>
        <v>276</v>
      </c>
      <c r="AM38" s="117">
        <f>SUM(AM30:AM37)</f>
        <v>0</v>
      </c>
      <c r="AN38" s="20"/>
      <c r="AO38" s="202" t="s">
        <v>66</v>
      </c>
      <c r="AP38" s="422" t="str">
        <f>ادخال1!$BP$5</f>
        <v>د.عبدالرحمن خليفة العريبي</v>
      </c>
      <c r="AQ38" s="423"/>
    </row>
    <row r="39" spans="1:43" ht="29.1" customHeight="1" thickBot="1" x14ac:dyDescent="0.3">
      <c r="A39" s="35" t="str">
        <f>ادخال1!$O$8</f>
        <v>التربية الفنية</v>
      </c>
      <c r="B39" s="53">
        <f>ادخال1!$O$7</f>
        <v>1</v>
      </c>
      <c r="C39" s="426" t="str">
        <f>IFERROR(VLOOKUP(H42,اسماء,14,0),"")</f>
        <v>جيد جداً</v>
      </c>
      <c r="D39" s="427"/>
      <c r="E39" s="426">
        <f>IFERROR(VLOOKUP(H42,اسماء,27,0),"")</f>
        <v>0</v>
      </c>
      <c r="F39" s="427"/>
      <c r="G39" s="20"/>
      <c r="H39" s="17" t="s">
        <v>68</v>
      </c>
      <c r="I39" s="431">
        <f ca="1">TODAY()</f>
        <v>46035</v>
      </c>
      <c r="J39" s="432"/>
      <c r="L39" s="35" t="str">
        <f>ادخال1!$O$8</f>
        <v>التربية الفنية</v>
      </c>
      <c r="M39" s="53">
        <f>ادخال1!$O$7</f>
        <v>1</v>
      </c>
      <c r="N39" s="426" t="str">
        <f>IFERROR(VLOOKUP(S42,اسماء,14,0),"")</f>
        <v/>
      </c>
      <c r="O39" s="427"/>
      <c r="P39" s="426" t="str">
        <f>IFERROR(VLOOKUP(S42,اسماء,27,0),"")</f>
        <v/>
      </c>
      <c r="Q39" s="427"/>
      <c r="R39" s="20"/>
      <c r="S39" s="17" t="s">
        <v>68</v>
      </c>
      <c r="T39" s="431">
        <f ca="1">TODAY()</f>
        <v>46035</v>
      </c>
      <c r="U39" s="432"/>
      <c r="W39" s="35" t="str">
        <f>ادخال1!$O$8</f>
        <v>التربية الفنية</v>
      </c>
      <c r="X39" s="53">
        <f>ادخال1!$O$7</f>
        <v>1</v>
      </c>
      <c r="Y39" s="426" t="str">
        <f>IFERROR(VLOOKUP(AD42,اسماء,14,0),"")</f>
        <v/>
      </c>
      <c r="Z39" s="427"/>
      <c r="AA39" s="426" t="str">
        <f>IFERROR(VLOOKUP(AD42,اسماء,27,0),"")</f>
        <v/>
      </c>
      <c r="AB39" s="427"/>
      <c r="AC39" s="20"/>
      <c r="AD39" s="17" t="s">
        <v>68</v>
      </c>
      <c r="AE39" s="431">
        <f ca="1">TODAY()</f>
        <v>46035</v>
      </c>
      <c r="AF39" s="432"/>
      <c r="AH39" s="35" t="str">
        <f>ادخال1!$O$8</f>
        <v>التربية الفنية</v>
      </c>
      <c r="AI39" s="53">
        <f>ادخال1!$O$7</f>
        <v>1</v>
      </c>
      <c r="AJ39" s="426" t="str">
        <f>IFERROR(VLOOKUP(AO42,اسماء,14,0),"")</f>
        <v/>
      </c>
      <c r="AK39" s="427"/>
      <c r="AL39" s="426" t="str">
        <f>IFERROR(VLOOKUP(AO42,اسماء,27,0),"")</f>
        <v/>
      </c>
      <c r="AM39" s="427"/>
      <c r="AN39" s="20"/>
      <c r="AO39" s="17" t="s">
        <v>68</v>
      </c>
      <c r="AP39" s="431">
        <f ca="1">TODAY()</f>
        <v>46035</v>
      </c>
      <c r="AQ39" s="432"/>
    </row>
    <row r="40" spans="1:43" ht="29.1" customHeight="1" thickBot="1" x14ac:dyDescent="0.3">
      <c r="A40" s="37" t="str">
        <f>ادخال1!$P$8</f>
        <v>التربية البدنية</v>
      </c>
      <c r="B40" s="54">
        <f>ادخال1!$P$7</f>
        <v>2</v>
      </c>
      <c r="C40" s="443" t="str">
        <f>IFERROR(VLOOKUP(H42,اسماء,15,0),"")</f>
        <v>جيد جداً</v>
      </c>
      <c r="D40" s="444"/>
      <c r="E40" s="443">
        <f>IFERROR(VLOOKUP(H42,اسماء,28,0),"")</f>
        <v>0</v>
      </c>
      <c r="F40" s="444"/>
      <c r="G40" s="20"/>
      <c r="H40" s="72"/>
      <c r="I40" s="431"/>
      <c r="J40" s="432"/>
      <c r="L40" s="37" t="str">
        <f>ادخال1!$P$8</f>
        <v>التربية البدنية</v>
      </c>
      <c r="M40" s="54">
        <f>ادخال1!$P$7</f>
        <v>2</v>
      </c>
      <c r="N40" s="443" t="str">
        <f>IFERROR(VLOOKUP(S42,اسماء,15,0),"")</f>
        <v/>
      </c>
      <c r="O40" s="444"/>
      <c r="P40" s="443" t="str">
        <f>IFERROR(VLOOKUP(S42,اسماء,28,0),"")</f>
        <v/>
      </c>
      <c r="Q40" s="444"/>
      <c r="R40" s="20"/>
      <c r="S40" s="72"/>
      <c r="T40" s="431"/>
      <c r="U40" s="432"/>
      <c r="W40" s="37" t="str">
        <f>ادخال1!$P$8</f>
        <v>التربية البدنية</v>
      </c>
      <c r="X40" s="54">
        <f>ادخال1!$P$7</f>
        <v>2</v>
      </c>
      <c r="Y40" s="443" t="str">
        <f>IFERROR(VLOOKUP(AD42,اسماء,15,0),"")</f>
        <v/>
      </c>
      <c r="Z40" s="444"/>
      <c r="AA40" s="443" t="str">
        <f>IFERROR(VLOOKUP(AD42,اسماء,28,0),"")</f>
        <v/>
      </c>
      <c r="AB40" s="444"/>
      <c r="AC40" s="20"/>
      <c r="AD40" s="72"/>
      <c r="AE40" s="431"/>
      <c r="AF40" s="432"/>
      <c r="AH40" s="37" t="str">
        <f>ادخال1!$P$8</f>
        <v>التربية البدنية</v>
      </c>
      <c r="AI40" s="54">
        <f>ادخال1!$P$7</f>
        <v>2</v>
      </c>
      <c r="AJ40" s="443" t="str">
        <f>IFERROR(VLOOKUP(AO42,اسماء,15,0),"")</f>
        <v/>
      </c>
      <c r="AK40" s="444"/>
      <c r="AL40" s="443" t="str">
        <f>IFERROR(VLOOKUP(AO42,اسماء,28,0),"")</f>
        <v/>
      </c>
      <c r="AM40" s="444"/>
      <c r="AN40" s="20"/>
      <c r="AO40" s="72"/>
      <c r="AP40" s="431"/>
      <c r="AQ40" s="432"/>
    </row>
    <row r="41" spans="1:43" ht="29.1" customHeight="1" thickBot="1" x14ac:dyDescent="0.3">
      <c r="A41" s="37" t="str">
        <f>ادخال1!$Q$8</f>
        <v>التربية الموسيقية</v>
      </c>
      <c r="B41" s="54">
        <f>ادخال1!$Q$7</f>
        <v>1</v>
      </c>
      <c r="C41" s="443" t="str">
        <f>IFERROR(VLOOKUP(H43,اسماء,16,0),"")</f>
        <v/>
      </c>
      <c r="D41" s="444"/>
      <c r="E41" s="443" t="str">
        <f>IFERROR(VLOOKUP(H43,اسماء,29,0),"")</f>
        <v/>
      </c>
      <c r="F41" s="444"/>
      <c r="G41" s="20"/>
      <c r="H41" s="72"/>
      <c r="I41" s="346"/>
      <c r="J41" s="347"/>
      <c r="L41" s="37" t="str">
        <f>ادخال1!$Q$8</f>
        <v>التربية الموسيقية</v>
      </c>
      <c r="M41" s="54">
        <f>ادخال1!$Q$7</f>
        <v>1</v>
      </c>
      <c r="N41" s="443" t="str">
        <f>IFERROR(VLOOKUP(S43,اسماء,16,0),"")</f>
        <v/>
      </c>
      <c r="O41" s="444"/>
      <c r="P41" s="443" t="str">
        <f>IFERROR(VLOOKUP(S43,اسماء,29,0),"")</f>
        <v/>
      </c>
      <c r="Q41" s="444"/>
      <c r="R41" s="20"/>
      <c r="S41" s="72"/>
      <c r="T41" s="346"/>
      <c r="U41" s="347"/>
      <c r="W41" s="37" t="str">
        <f>ادخال1!$Q$8</f>
        <v>التربية الموسيقية</v>
      </c>
      <c r="X41" s="54">
        <f>ادخال1!$Q$7</f>
        <v>1</v>
      </c>
      <c r="Y41" s="443" t="str">
        <f>IFERROR(VLOOKUP(AD43,اسماء,16,0),"")</f>
        <v/>
      </c>
      <c r="Z41" s="444"/>
      <c r="AA41" s="443" t="str">
        <f>IFERROR(VLOOKUP(AD43,اسماء,29,0),"")</f>
        <v/>
      </c>
      <c r="AB41" s="444"/>
      <c r="AC41" s="20"/>
      <c r="AD41" s="72"/>
      <c r="AE41" s="346"/>
      <c r="AF41" s="347"/>
      <c r="AH41" s="37" t="str">
        <f>ادخال1!$Q$8</f>
        <v>التربية الموسيقية</v>
      </c>
      <c r="AI41" s="54">
        <f>ادخال1!$Q$7</f>
        <v>1</v>
      </c>
      <c r="AJ41" s="443" t="str">
        <f>IFERROR(VLOOKUP(AO43,اسماء,16,0),"")</f>
        <v/>
      </c>
      <c r="AK41" s="444"/>
      <c r="AL41" s="443" t="str">
        <f>IFERROR(VLOOKUP(AO43,اسماء,29,0),"")</f>
        <v/>
      </c>
      <c r="AM41" s="444"/>
      <c r="AN41" s="20"/>
      <c r="AO41" s="72"/>
      <c r="AP41" s="346"/>
      <c r="AQ41" s="347"/>
    </row>
    <row r="42" spans="1:43" ht="24.75" customHeight="1" thickBot="1" x14ac:dyDescent="0.3">
      <c r="A42" s="198" t="s">
        <v>120</v>
      </c>
      <c r="B42" s="464">
        <f>IFERROR(VLOOKUP(H42,اسماء,71,0),"")</f>
        <v>120160386388</v>
      </c>
      <c r="C42" s="465" t="str">
        <f>IFERROR(VLOOKUP(G47,اسماء,8,0),"")</f>
        <v/>
      </c>
      <c r="D42" s="465" t="str">
        <f>IFERROR(VLOOKUP(H47,اسماء,8,0),"")</f>
        <v/>
      </c>
      <c r="E42" s="466" t="str">
        <f>IFERROR(VLOOKUP(I47,اسماء,8,0),"")</f>
        <v/>
      </c>
      <c r="F42" s="20"/>
      <c r="G42" s="20"/>
      <c r="H42" s="422" t="str">
        <f>INDEX(عمود2,MATCH(J26,عمود1))</f>
        <v>معاوية عز الدين محمد أحفيظان</v>
      </c>
      <c r="I42" s="422"/>
      <c r="J42" s="423"/>
      <c r="L42" s="198" t="s">
        <v>120</v>
      </c>
      <c r="M42" s="464" t="str">
        <f>IFERROR(VLOOKUP(S42,اسماء,71,0),"")</f>
        <v/>
      </c>
      <c r="N42" s="465" t="str">
        <f>IFERROR(VLOOKUP(R47,اسماء,8,0),"")</f>
        <v/>
      </c>
      <c r="O42" s="465" t="str">
        <f>IFERROR(VLOOKUP(S47,اسماء,8,0),"")</f>
        <v/>
      </c>
      <c r="P42" s="466" t="str">
        <f>IFERROR(VLOOKUP(T47,اسماء,8,0),"")</f>
        <v/>
      </c>
      <c r="Q42" s="20"/>
      <c r="R42" s="20"/>
      <c r="S42" s="422">
        <f>INDEX(عمود2,MATCH(U26,عمود1))</f>
        <v>0</v>
      </c>
      <c r="T42" s="422"/>
      <c r="U42" s="423"/>
      <c r="W42" s="198" t="s">
        <v>120</v>
      </c>
      <c r="X42" s="464" t="str">
        <f>IFERROR(VLOOKUP(AD42,اسماء,71,0),"")</f>
        <v/>
      </c>
      <c r="Y42" s="465" t="str">
        <f>IFERROR(VLOOKUP(AC47,اسماء,8,0),"")</f>
        <v/>
      </c>
      <c r="Z42" s="465" t="str">
        <f>IFERROR(VLOOKUP(AD47,اسماء,8,0),"")</f>
        <v/>
      </c>
      <c r="AA42" s="466" t="str">
        <f>IFERROR(VLOOKUP(AE47,اسماء,8,0),"")</f>
        <v/>
      </c>
      <c r="AB42" s="20"/>
      <c r="AC42" s="20"/>
      <c r="AD42" s="422">
        <f>INDEX(عمود2,MATCH(AF26,عمود1))</f>
        <v>0</v>
      </c>
      <c r="AE42" s="422"/>
      <c r="AF42" s="423"/>
      <c r="AH42" s="198" t="s">
        <v>120</v>
      </c>
      <c r="AI42" s="464" t="str">
        <f>IFERROR(VLOOKUP(AO42,اسماء,71,0),"")</f>
        <v/>
      </c>
      <c r="AJ42" s="465" t="str">
        <f>IFERROR(VLOOKUP(AN47,اسماء,8,0),"")</f>
        <v/>
      </c>
      <c r="AK42" s="465" t="str">
        <f>IFERROR(VLOOKUP(AO47,اسماء,8,0),"")</f>
        <v/>
      </c>
      <c r="AL42" s="466" t="str">
        <f>IFERROR(VLOOKUP(AP47,اسماء,8,0),"")</f>
        <v/>
      </c>
      <c r="AM42" s="20"/>
      <c r="AN42" s="20"/>
      <c r="AO42" s="422">
        <f>INDEX(عمود2,MATCH(AQ26,عمود1))</f>
        <v>0</v>
      </c>
      <c r="AP42" s="422"/>
      <c r="AQ42" s="423"/>
    </row>
    <row r="43" spans="1:43" ht="29.1" customHeight="1" x14ac:dyDescent="0.25">
      <c r="A43" s="467" t="s">
        <v>59</v>
      </c>
      <c r="B43" s="468"/>
      <c r="C43" s="443">
        <f>IFERROR(VLOOKUP(H42,اسماء,31,0),"")</f>
        <v>0</v>
      </c>
      <c r="D43" s="444"/>
      <c r="E43" s="443">
        <f>IFERROR(VLOOKUP(H42,اسماء,32,0),"")</f>
        <v>0</v>
      </c>
      <c r="F43" s="444"/>
      <c r="G43" s="20"/>
      <c r="H43" s="454" t="s">
        <v>91</v>
      </c>
      <c r="I43" s="454"/>
      <c r="J43" s="455"/>
      <c r="L43" s="467" t="s">
        <v>59</v>
      </c>
      <c r="M43" s="468"/>
      <c r="N43" s="443" t="str">
        <f>IFERROR(VLOOKUP(S42,اسماء,31,0),"")</f>
        <v/>
      </c>
      <c r="O43" s="444"/>
      <c r="P43" s="443" t="str">
        <f>IFERROR(VLOOKUP(S42,اسماء,32,0),"")</f>
        <v/>
      </c>
      <c r="Q43" s="444"/>
      <c r="R43" s="20"/>
      <c r="S43" s="454" t="s">
        <v>91</v>
      </c>
      <c r="T43" s="454"/>
      <c r="U43" s="455"/>
      <c r="W43" s="467" t="s">
        <v>59</v>
      </c>
      <c r="X43" s="468"/>
      <c r="Y43" s="443" t="str">
        <f>IFERROR(VLOOKUP(AD42,اسماء,31,0),"")</f>
        <v/>
      </c>
      <c r="Z43" s="444"/>
      <c r="AA43" s="443" t="str">
        <f>IFERROR(VLOOKUP(AD42,اسماء,32,0),"")</f>
        <v/>
      </c>
      <c r="AB43" s="444"/>
      <c r="AC43" s="20"/>
      <c r="AD43" s="454" t="s">
        <v>91</v>
      </c>
      <c r="AE43" s="454"/>
      <c r="AF43" s="455"/>
      <c r="AH43" s="467" t="s">
        <v>59</v>
      </c>
      <c r="AI43" s="468"/>
      <c r="AJ43" s="443" t="str">
        <f>IFERROR(VLOOKUP(AO42,اسماء,31,0),"")</f>
        <v/>
      </c>
      <c r="AK43" s="444"/>
      <c r="AL43" s="443" t="str">
        <f>IFERROR(VLOOKUP(AO42,اسماء,32,0),"")</f>
        <v/>
      </c>
      <c r="AM43" s="444"/>
      <c r="AN43" s="20"/>
      <c r="AO43" s="454" t="s">
        <v>91</v>
      </c>
      <c r="AP43" s="454"/>
      <c r="AQ43" s="455"/>
    </row>
    <row r="44" spans="1:43" ht="29.1" customHeight="1" x14ac:dyDescent="0.25">
      <c r="A44" s="469" t="s">
        <v>60</v>
      </c>
      <c r="B44" s="433"/>
      <c r="C44" s="434">
        <f>IFERROR(VLOOKUP(H42,اسماء,34,0),"")</f>
        <v>0</v>
      </c>
      <c r="D44" s="436"/>
      <c r="E44" s="434">
        <f>IFERROR(VLOOKUP(H42,اسماء,36,0),"")</f>
        <v>0</v>
      </c>
      <c r="F44" s="436"/>
      <c r="G44" s="20"/>
      <c r="H44" s="454"/>
      <c r="I44" s="454"/>
      <c r="J44" s="455"/>
      <c r="L44" s="469" t="s">
        <v>60</v>
      </c>
      <c r="M44" s="433"/>
      <c r="N44" s="434" t="str">
        <f>IFERROR(VLOOKUP(S42,اسماء,34,0),"")</f>
        <v/>
      </c>
      <c r="O44" s="436"/>
      <c r="P44" s="434" t="str">
        <f>IFERROR(VLOOKUP(S42,اسماء,36,0),"")</f>
        <v/>
      </c>
      <c r="Q44" s="436"/>
      <c r="R44" s="20"/>
      <c r="S44" s="454"/>
      <c r="T44" s="454"/>
      <c r="U44" s="455"/>
      <c r="W44" s="469" t="s">
        <v>60</v>
      </c>
      <c r="X44" s="433"/>
      <c r="Y44" s="434" t="str">
        <f>IFERROR(VLOOKUP(AD42,اسماء,34,0),"")</f>
        <v/>
      </c>
      <c r="Z44" s="436"/>
      <c r="AA44" s="434" t="str">
        <f>IFERROR(VLOOKUP(AD42,اسماء,36,0),"")</f>
        <v/>
      </c>
      <c r="AB44" s="436"/>
      <c r="AC44" s="20"/>
      <c r="AD44" s="454"/>
      <c r="AE44" s="454"/>
      <c r="AF44" s="455"/>
      <c r="AH44" s="469" t="s">
        <v>60</v>
      </c>
      <c r="AI44" s="433"/>
      <c r="AJ44" s="434" t="str">
        <f>IFERROR(VLOOKUP(AO42,اسماء,34,0),"")</f>
        <v/>
      </c>
      <c r="AK44" s="436"/>
      <c r="AL44" s="434" t="str">
        <f>IFERROR(VLOOKUP(AO42,اسماء,36,0),"")</f>
        <v/>
      </c>
      <c r="AM44" s="436"/>
      <c r="AN44" s="20"/>
      <c r="AO44" s="454"/>
      <c r="AP44" s="454"/>
      <c r="AQ44" s="455"/>
    </row>
    <row r="45" spans="1:43" ht="29.1" customHeight="1" thickBot="1" x14ac:dyDescent="0.3">
      <c r="A45" s="450" t="s">
        <v>61</v>
      </c>
      <c r="B45" s="451"/>
      <c r="C45" s="452">
        <f>IFERROR(VLOOKUP(H42,اسماء,35,0),"")</f>
        <v>0</v>
      </c>
      <c r="D45" s="453"/>
      <c r="E45" s="452">
        <f>IFERROR(VLOOKUP(H42,اسماء,37,0),"")</f>
        <v>0</v>
      </c>
      <c r="F45" s="453"/>
      <c r="G45" s="20"/>
      <c r="H45" s="456"/>
      <c r="I45" s="456"/>
      <c r="J45" s="457"/>
      <c r="L45" s="450" t="s">
        <v>61</v>
      </c>
      <c r="M45" s="451"/>
      <c r="N45" s="452" t="str">
        <f>IFERROR(VLOOKUP(S42,اسماء,35,0),"")</f>
        <v/>
      </c>
      <c r="O45" s="453"/>
      <c r="P45" s="452" t="str">
        <f>IFERROR(VLOOKUP(S42,اسماء,37,0),"")</f>
        <v/>
      </c>
      <c r="Q45" s="453"/>
      <c r="R45" s="20"/>
      <c r="S45" s="456"/>
      <c r="T45" s="456"/>
      <c r="U45" s="457"/>
      <c r="W45" s="450" t="s">
        <v>61</v>
      </c>
      <c r="X45" s="451"/>
      <c r="Y45" s="452" t="str">
        <f>IFERROR(VLOOKUP(AD42,اسماء,35,0),"")</f>
        <v/>
      </c>
      <c r="Z45" s="453"/>
      <c r="AA45" s="452" t="str">
        <f>IFERROR(VLOOKUP(AD42,اسماء,37,0),"")</f>
        <v/>
      </c>
      <c r="AB45" s="453"/>
      <c r="AC45" s="20"/>
      <c r="AD45" s="456"/>
      <c r="AE45" s="456"/>
      <c r="AF45" s="457"/>
      <c r="AH45" s="450" t="s">
        <v>61</v>
      </c>
      <c r="AI45" s="451"/>
      <c r="AJ45" s="452" t="str">
        <f>IFERROR(VLOOKUP(AO42,اسماء,35,0),"")</f>
        <v/>
      </c>
      <c r="AK45" s="453"/>
      <c r="AL45" s="452" t="str">
        <f>IFERROR(VLOOKUP(AO42,اسماء,37,0),"")</f>
        <v/>
      </c>
      <c r="AM45" s="453"/>
      <c r="AN45" s="20"/>
      <c r="AO45" s="456"/>
      <c r="AP45" s="456"/>
      <c r="AQ45" s="457"/>
    </row>
    <row r="46" spans="1:43" ht="29.1" customHeight="1" thickBot="1" x14ac:dyDescent="0.3"/>
    <row r="47" spans="1:43" ht="29.1" customHeight="1" thickTop="1" x14ac:dyDescent="0.25">
      <c r="A47" s="428" t="s">
        <v>81</v>
      </c>
      <c r="B47" s="429"/>
      <c r="C47" s="429"/>
      <c r="D47" s="430" t="str">
        <f>ادخال1!$N$4</f>
        <v>الرابع</v>
      </c>
      <c r="E47" s="430"/>
      <c r="F47" s="285" t="s">
        <v>82</v>
      </c>
      <c r="G47" s="285"/>
      <c r="H47" s="285"/>
      <c r="I47" s="285"/>
      <c r="J47" s="83">
        <f>J26+1</f>
        <v>17</v>
      </c>
      <c r="L47" s="428" t="s">
        <v>81</v>
      </c>
      <c r="M47" s="429"/>
      <c r="N47" s="429"/>
      <c r="O47" s="430" t="str">
        <f>ادخال1!$N$4</f>
        <v>الرابع</v>
      </c>
      <c r="P47" s="430"/>
      <c r="Q47" s="285" t="s">
        <v>82</v>
      </c>
      <c r="R47" s="285"/>
      <c r="S47" s="285"/>
      <c r="T47" s="285"/>
      <c r="U47" s="83">
        <f>J47+5</f>
        <v>22</v>
      </c>
      <c r="W47" s="428" t="s">
        <v>81</v>
      </c>
      <c r="X47" s="429"/>
      <c r="Y47" s="429"/>
      <c r="Z47" s="430" t="str">
        <f>ادخال1!$N$4</f>
        <v>الرابع</v>
      </c>
      <c r="AA47" s="430"/>
      <c r="AB47" s="285" t="s">
        <v>82</v>
      </c>
      <c r="AC47" s="285"/>
      <c r="AD47" s="285"/>
      <c r="AE47" s="285"/>
      <c r="AF47" s="83">
        <f>U47+5</f>
        <v>27</v>
      </c>
      <c r="AH47" s="428" t="s">
        <v>81</v>
      </c>
      <c r="AI47" s="429"/>
      <c r="AJ47" s="429"/>
      <c r="AK47" s="430" t="str">
        <f>ادخال1!$N$4</f>
        <v>الرابع</v>
      </c>
      <c r="AL47" s="430"/>
      <c r="AM47" s="285" t="s">
        <v>82</v>
      </c>
      <c r="AN47" s="285"/>
      <c r="AO47" s="285"/>
      <c r="AP47" s="285"/>
      <c r="AQ47" s="83">
        <f>AF47+5</f>
        <v>32</v>
      </c>
    </row>
    <row r="48" spans="1:43" ht="29.1" customHeight="1" thickBot="1" x14ac:dyDescent="0.3">
      <c r="A48" s="1" t="s">
        <v>153</v>
      </c>
      <c r="B48" s="480" t="str">
        <f>ادخال1!$B$5</f>
        <v xml:space="preserve">سهول العلم للتعليم الخاص </v>
      </c>
      <c r="C48" s="480"/>
      <c r="D48" s="480"/>
      <c r="E48" s="480"/>
      <c r="F48" s="286" t="s">
        <v>9</v>
      </c>
      <c r="G48" s="445" t="str">
        <f>H63</f>
        <v xml:space="preserve">ميّار صالح محمد ديماس </v>
      </c>
      <c r="H48" s="445"/>
      <c r="I48" s="445"/>
      <c r="J48" s="446"/>
      <c r="L48" s="1" t="s">
        <v>153</v>
      </c>
      <c r="M48" s="480" t="str">
        <f>ادخال1!$B$5</f>
        <v xml:space="preserve">سهول العلم للتعليم الخاص </v>
      </c>
      <c r="N48" s="480"/>
      <c r="O48" s="480"/>
      <c r="P48" s="480"/>
      <c r="Q48" s="286" t="s">
        <v>9</v>
      </c>
      <c r="R48" s="445">
        <f>S63</f>
        <v>0</v>
      </c>
      <c r="S48" s="445"/>
      <c r="T48" s="445"/>
      <c r="U48" s="446"/>
      <c r="W48" s="1" t="s">
        <v>153</v>
      </c>
      <c r="X48" s="480" t="str">
        <f>ادخال1!$B$5</f>
        <v xml:space="preserve">سهول العلم للتعليم الخاص </v>
      </c>
      <c r="Y48" s="480"/>
      <c r="Z48" s="480"/>
      <c r="AA48" s="480"/>
      <c r="AB48" s="286" t="s">
        <v>9</v>
      </c>
      <c r="AC48" s="445">
        <f>AD63</f>
        <v>0</v>
      </c>
      <c r="AD48" s="445"/>
      <c r="AE48" s="445"/>
      <c r="AF48" s="446"/>
      <c r="AH48" s="1" t="s">
        <v>153</v>
      </c>
      <c r="AI48" s="480" t="str">
        <f>ادخال1!$B$5</f>
        <v xml:space="preserve">سهول العلم للتعليم الخاص </v>
      </c>
      <c r="AJ48" s="480"/>
      <c r="AK48" s="480"/>
      <c r="AL48" s="480"/>
      <c r="AM48" s="286" t="s">
        <v>9</v>
      </c>
      <c r="AN48" s="445">
        <f>AO63</f>
        <v>0</v>
      </c>
      <c r="AO48" s="445"/>
      <c r="AP48" s="445"/>
      <c r="AQ48" s="446"/>
    </row>
    <row r="49" spans="1:43" ht="29.1" customHeight="1" thickBot="1" x14ac:dyDescent="0.3">
      <c r="A49" s="275" t="s">
        <v>46</v>
      </c>
      <c r="B49" s="460" t="s">
        <v>12</v>
      </c>
      <c r="C49" s="462" t="s">
        <v>47</v>
      </c>
      <c r="D49" s="425"/>
      <c r="E49" s="424" t="s">
        <v>48</v>
      </c>
      <c r="F49" s="425"/>
      <c r="G49" s="28"/>
      <c r="H49" s="447" t="s">
        <v>51</v>
      </c>
      <c r="I49" s="448"/>
      <c r="J49" s="449"/>
      <c r="L49" s="275" t="s">
        <v>46</v>
      </c>
      <c r="M49" s="460" t="s">
        <v>12</v>
      </c>
      <c r="N49" s="462" t="s">
        <v>47</v>
      </c>
      <c r="O49" s="425"/>
      <c r="P49" s="424" t="s">
        <v>48</v>
      </c>
      <c r="Q49" s="425"/>
      <c r="R49" s="28"/>
      <c r="S49" s="447" t="s">
        <v>51</v>
      </c>
      <c r="T49" s="448"/>
      <c r="U49" s="449"/>
      <c r="W49" s="275" t="s">
        <v>46</v>
      </c>
      <c r="X49" s="460" t="s">
        <v>12</v>
      </c>
      <c r="Y49" s="462" t="s">
        <v>47</v>
      </c>
      <c r="Z49" s="425"/>
      <c r="AA49" s="424" t="s">
        <v>48</v>
      </c>
      <c r="AB49" s="425"/>
      <c r="AC49" s="28"/>
      <c r="AD49" s="447" t="s">
        <v>51</v>
      </c>
      <c r="AE49" s="448"/>
      <c r="AF49" s="449"/>
      <c r="AH49" s="275" t="s">
        <v>46</v>
      </c>
      <c r="AI49" s="460" t="s">
        <v>12</v>
      </c>
      <c r="AJ49" s="462" t="s">
        <v>47</v>
      </c>
      <c r="AK49" s="425"/>
      <c r="AL49" s="424" t="s">
        <v>48</v>
      </c>
      <c r="AM49" s="425"/>
      <c r="AN49" s="28"/>
      <c r="AO49" s="447" t="s">
        <v>51</v>
      </c>
      <c r="AP49" s="448"/>
      <c r="AQ49" s="449"/>
    </row>
    <row r="50" spans="1:43" ht="29.1" customHeight="1" thickBot="1" x14ac:dyDescent="0.3">
      <c r="A50" s="276" t="s">
        <v>2</v>
      </c>
      <c r="B50" s="461"/>
      <c r="C50" s="43" t="s">
        <v>52</v>
      </c>
      <c r="D50" s="30" t="s">
        <v>53</v>
      </c>
      <c r="E50" s="44" t="s">
        <v>52</v>
      </c>
      <c r="F50" s="30" t="s">
        <v>53</v>
      </c>
      <c r="G50" s="12"/>
      <c r="H50" s="296" t="s">
        <v>56</v>
      </c>
      <c r="I50" s="458" t="str">
        <f>IF(D59=0,"",IF(AND(D51&gt;=C51*0.4,D52&gt;=C52*0.4,D56&gt;=C56*0.4,D57&gt;=C57*0.4,D58&gt;=C58*0.4,D53&gt;=C53*0.4,D54&gt;=C54*0.4,D55&gt;=C55*0.4),LOOKUP(D59,'النتيجة النهائية'!$AF$6:$AG$10),"ضعيف ويحتاج الى اهتمام في المواد"))</f>
        <v>ممتاز</v>
      </c>
      <c r="J50" s="459"/>
      <c r="L50" s="276" t="s">
        <v>2</v>
      </c>
      <c r="M50" s="461"/>
      <c r="N50" s="43" t="s">
        <v>52</v>
      </c>
      <c r="O50" s="30" t="s">
        <v>53</v>
      </c>
      <c r="P50" s="44" t="s">
        <v>52</v>
      </c>
      <c r="Q50" s="30" t="s">
        <v>53</v>
      </c>
      <c r="R50" s="12"/>
      <c r="S50" s="296" t="s">
        <v>56</v>
      </c>
      <c r="T50" s="458" t="str">
        <f>IF(O59=0,"",IF(AND(O51&gt;=N51*0.4,O52&gt;=N52*0.4,O56&gt;=N56*0.4,O57&gt;=N57*0.4,O58&gt;=N58*0.4,O53&gt;=N53*0.4,O54&gt;=N54*0.4,O55&gt;=N55*0.4),LOOKUP(O59,'النتيجة النهائية'!$AF$6:$AG$10),"ضعيف ويحتاج الى اهتمام في المواد"))</f>
        <v/>
      </c>
      <c r="U50" s="459"/>
      <c r="W50" s="276" t="s">
        <v>2</v>
      </c>
      <c r="X50" s="461"/>
      <c r="Y50" s="43" t="s">
        <v>52</v>
      </c>
      <c r="Z50" s="30" t="s">
        <v>53</v>
      </c>
      <c r="AA50" s="44" t="s">
        <v>52</v>
      </c>
      <c r="AB50" s="30" t="s">
        <v>53</v>
      </c>
      <c r="AC50" s="12"/>
      <c r="AD50" s="296" t="s">
        <v>56</v>
      </c>
      <c r="AE50" s="458" t="str">
        <f>IF(Z59=0,"",IF(AND(Z51&gt;=Y51*0.4,Z52&gt;=Y52*0.4,Z56&gt;=Y56*0.4,Z57&gt;=Y57*0.4,Z58&gt;=Y58*0.4,Z53&gt;=Y53*0.4,Z54&gt;=Y54*0.4,Z55&gt;=Y55*0.4),LOOKUP(Z59,'النتيجة النهائية'!$AF$6:$AG$10),"ضعيف ويحتاج الى اهتمام في المواد"))</f>
        <v/>
      </c>
      <c r="AF50" s="459"/>
      <c r="AH50" s="276" t="s">
        <v>2</v>
      </c>
      <c r="AI50" s="461"/>
      <c r="AJ50" s="43" t="s">
        <v>52</v>
      </c>
      <c r="AK50" s="30" t="s">
        <v>53</v>
      </c>
      <c r="AL50" s="44" t="s">
        <v>52</v>
      </c>
      <c r="AM50" s="30" t="s">
        <v>53</v>
      </c>
      <c r="AN50" s="12"/>
      <c r="AO50" s="296" t="s">
        <v>56</v>
      </c>
      <c r="AP50" s="458" t="str">
        <f>IF(AK59=0,"",IF(AND(AK51&gt;=AJ51*0.4,AK52&gt;=AJ52*0.4,AK56&gt;=AJ56*0.4,AK57&gt;=AJ57*0.4,AK58&gt;=AJ58*0.4,AK53&gt;=AJ53*0.4,AK54&gt;=AJ54*0.4,AK55&gt;=AJ55*0.4),LOOKUP(AK59,'النتيجة النهائية'!$AF$6:$AG$10),"ضعيف ويحتاج الى اهتمام في المواد"))</f>
        <v/>
      </c>
      <c r="AQ50" s="459"/>
    </row>
    <row r="51" spans="1:43" ht="29.1" customHeight="1" x14ac:dyDescent="0.25">
      <c r="A51" s="274" t="str">
        <f>ادخال1!$F$9</f>
        <v>التربية الإسلامية</v>
      </c>
      <c r="B51" s="50">
        <f>ادخال1!$F$7</f>
        <v>3</v>
      </c>
      <c r="C51" s="45">
        <f t="shared" ref="C51:C53" si="18">40*B51*0.3</f>
        <v>36</v>
      </c>
      <c r="D51" s="2">
        <f xml:space="preserve"> IFERROR(VLOOKUP(H63,اسماء,5,0),"")</f>
        <v>36</v>
      </c>
      <c r="E51" s="47">
        <f t="shared" ref="E51:E53" si="19">40*B51*0.3</f>
        <v>36</v>
      </c>
      <c r="F51" s="2">
        <f>IFERROR(VLOOKUP(H63,اسماء,18,0),"")</f>
        <v>0</v>
      </c>
      <c r="G51" s="20"/>
      <c r="H51" s="29" t="str">
        <f>IF(D51=0,"",IF(D51&lt;C51*0.4,A51,""))</f>
        <v/>
      </c>
      <c r="I51" s="31" t="str">
        <f>IF(D52=0,"",IF(D52&lt;C52*0.4,A52,""))</f>
        <v/>
      </c>
      <c r="J51" s="30" t="str">
        <f>IF(D53=0,"",IF(D53&lt;C53*0.4,A53,""))</f>
        <v/>
      </c>
      <c r="L51" s="274" t="str">
        <f>ادخال1!$F$9</f>
        <v>التربية الإسلامية</v>
      </c>
      <c r="M51" s="50">
        <f>ادخال1!$F$7</f>
        <v>3</v>
      </c>
      <c r="N51" s="45">
        <f t="shared" ref="N51:N53" si="20">40*M51*0.3</f>
        <v>36</v>
      </c>
      <c r="O51" s="2" t="str">
        <f xml:space="preserve"> IFERROR(VLOOKUP(S63,اسماء,5,0),"")</f>
        <v/>
      </c>
      <c r="P51" s="47">
        <f t="shared" ref="P51:P53" si="21">40*M51*0.3</f>
        <v>36</v>
      </c>
      <c r="Q51" s="2" t="str">
        <f>IFERROR(VLOOKUP(S63,اسماء,18,0),"")</f>
        <v/>
      </c>
      <c r="R51" s="20"/>
      <c r="S51" s="29" t="str">
        <f>IF(O51=0,"",IF(O51&lt;N51*0.4,L51,""))</f>
        <v/>
      </c>
      <c r="T51" s="31" t="str">
        <f>IF(O52=0,"",IF(O52&lt;N52*0.4,L52,""))</f>
        <v/>
      </c>
      <c r="U51" s="30" t="str">
        <f>IF(O53=0,"",IF(O53&lt;N53*0.4,L53,""))</f>
        <v/>
      </c>
      <c r="W51" s="274" t="str">
        <f>ادخال1!$F$9</f>
        <v>التربية الإسلامية</v>
      </c>
      <c r="X51" s="50">
        <f>ادخال1!$F$7</f>
        <v>3</v>
      </c>
      <c r="Y51" s="45">
        <f t="shared" ref="Y51:Y53" si="22">40*X51*0.3</f>
        <v>36</v>
      </c>
      <c r="Z51" s="2" t="str">
        <f xml:space="preserve"> IFERROR(VLOOKUP(AD63,اسماء,5,0),"")</f>
        <v/>
      </c>
      <c r="AA51" s="47">
        <f t="shared" ref="AA51:AA53" si="23">40*X51*0.3</f>
        <v>36</v>
      </c>
      <c r="AB51" s="2" t="str">
        <f>IFERROR(VLOOKUP(AD63,اسماء,18,0),"")</f>
        <v/>
      </c>
      <c r="AC51" s="20"/>
      <c r="AD51" s="29" t="str">
        <f>IF(Z51=0,"",IF(Z51&lt;Y51*0.4,W51,""))</f>
        <v/>
      </c>
      <c r="AE51" s="31" t="str">
        <f>IF(Z52=0,"",IF(Z52&lt;Y52*0.4,W52,""))</f>
        <v/>
      </c>
      <c r="AF51" s="30" t="str">
        <f>IF(Z53=0,"",IF(Z53&lt;Y53*0.4,W53,""))</f>
        <v/>
      </c>
      <c r="AH51" s="274" t="str">
        <f>ادخال1!$F$9</f>
        <v>التربية الإسلامية</v>
      </c>
      <c r="AI51" s="50">
        <f>ادخال1!$F$7</f>
        <v>3</v>
      </c>
      <c r="AJ51" s="45">
        <f t="shared" ref="AJ51:AJ53" si="24">40*AI51*0.3</f>
        <v>36</v>
      </c>
      <c r="AK51" s="2" t="str">
        <f xml:space="preserve"> IFERROR(VLOOKUP(AO63,اسماء,5,0),"")</f>
        <v/>
      </c>
      <c r="AL51" s="47">
        <f t="shared" ref="AL51:AL53" si="25">40*AI51*0.3</f>
        <v>36</v>
      </c>
      <c r="AM51" s="2" t="str">
        <f>IFERROR(VLOOKUP(AO63,اسماء,18,0),"")</f>
        <v/>
      </c>
      <c r="AN51" s="20"/>
      <c r="AO51" s="29" t="str">
        <f>IF(AK51=0,"",IF(AK51&lt;AJ51*0.4,AH51,""))</f>
        <v/>
      </c>
      <c r="AP51" s="31" t="str">
        <f>IF(AK52=0,"",IF(AK52&lt;AJ52*0.4,AH52,""))</f>
        <v/>
      </c>
      <c r="AQ51" s="30" t="str">
        <f>IF(AK53=0,"",IF(AK53&lt;AJ53*0.4,AH53,""))</f>
        <v/>
      </c>
    </row>
    <row r="52" spans="1:43" ht="29.1" customHeight="1" thickBot="1" x14ac:dyDescent="0.3">
      <c r="A52" s="60" t="str">
        <f>ادخال1!$G$9</f>
        <v>اللغة العربية</v>
      </c>
      <c r="B52" s="51">
        <f>ادخال1!$G$7</f>
        <v>4</v>
      </c>
      <c r="C52" s="45">
        <f t="shared" si="18"/>
        <v>48</v>
      </c>
      <c r="D52" s="2">
        <f>IFERROR(VLOOKUP(H63,اسماء,6,0),"")</f>
        <v>48</v>
      </c>
      <c r="E52" s="47">
        <f t="shared" si="19"/>
        <v>48</v>
      </c>
      <c r="F52" s="2">
        <f>IFERROR(VLOOKUP(H63,اسماء,19,0),"")</f>
        <v>0</v>
      </c>
      <c r="G52" s="20"/>
      <c r="H52" s="121" t="str">
        <f>IF(D56=0,"",IF(D56&lt;C56*0.4,A54,""))</f>
        <v/>
      </c>
      <c r="I52" s="293" t="str">
        <f>IF(D58=0,"",IF(D58&lt;C58*0.4,A55,""))</f>
        <v/>
      </c>
      <c r="J52" s="30" t="str">
        <f>IF(D55=0,"",IF(D55&lt;C55*0.4,A56,""))</f>
        <v/>
      </c>
      <c r="L52" s="60" t="str">
        <f>ادخال1!$G$9</f>
        <v>اللغة العربية</v>
      </c>
      <c r="M52" s="51">
        <f>ادخال1!$G$7</f>
        <v>4</v>
      </c>
      <c r="N52" s="45">
        <f t="shared" si="20"/>
        <v>48</v>
      </c>
      <c r="O52" s="2" t="str">
        <f>IFERROR(VLOOKUP(S63,اسماء,6,0),"")</f>
        <v/>
      </c>
      <c r="P52" s="47">
        <f t="shared" si="21"/>
        <v>48</v>
      </c>
      <c r="Q52" s="2" t="str">
        <f>IFERROR(VLOOKUP(S63,اسماء,19,0),"")</f>
        <v/>
      </c>
      <c r="R52" s="20"/>
      <c r="S52" s="121" t="str">
        <f>IF(O56=0,"",IF(O56&lt;N56*0.4,L54,""))</f>
        <v/>
      </c>
      <c r="T52" s="293" t="str">
        <f>IF(O58=0,"",IF(O58&lt;N58*0.4,L55,""))</f>
        <v/>
      </c>
      <c r="U52" s="30" t="str">
        <f>IF(O55=0,"",IF(O55&lt;N55*0.4,L56,""))</f>
        <v/>
      </c>
      <c r="W52" s="60" t="str">
        <f>ادخال1!$G$9</f>
        <v>اللغة العربية</v>
      </c>
      <c r="X52" s="51">
        <f>ادخال1!$G$7</f>
        <v>4</v>
      </c>
      <c r="Y52" s="45">
        <f t="shared" si="22"/>
        <v>48</v>
      </c>
      <c r="Z52" s="2" t="str">
        <f>IFERROR(VLOOKUP(AD63,اسماء,6,0),"")</f>
        <v/>
      </c>
      <c r="AA52" s="47">
        <f t="shared" si="23"/>
        <v>48</v>
      </c>
      <c r="AB52" s="2" t="str">
        <f>IFERROR(VLOOKUP(AD63,اسماء,19,0),"")</f>
        <v/>
      </c>
      <c r="AC52" s="20"/>
      <c r="AD52" s="121" t="str">
        <f>IF(Z56=0,"",IF(Z56&lt;Y56*0.4,W54,""))</f>
        <v/>
      </c>
      <c r="AE52" s="293" t="str">
        <f>IF(Z58=0,"",IF(Z58&lt;Y58*0.4,W55,""))</f>
        <v/>
      </c>
      <c r="AF52" s="30" t="str">
        <f>IF(Z55=0,"",IF(Z55&lt;Y55*0.4,W56,""))</f>
        <v/>
      </c>
      <c r="AH52" s="60" t="str">
        <f>ادخال1!$G$9</f>
        <v>اللغة العربية</v>
      </c>
      <c r="AI52" s="51">
        <f>ادخال1!$G$7</f>
        <v>4</v>
      </c>
      <c r="AJ52" s="45">
        <f t="shared" si="24"/>
        <v>48</v>
      </c>
      <c r="AK52" s="2" t="str">
        <f>IFERROR(VLOOKUP(AO63,اسماء,6,0),"")</f>
        <v/>
      </c>
      <c r="AL52" s="47">
        <f t="shared" si="25"/>
        <v>48</v>
      </c>
      <c r="AM52" s="2" t="str">
        <f>IFERROR(VLOOKUP(AO63,اسماء,19,0),"")</f>
        <v/>
      </c>
      <c r="AN52" s="20"/>
      <c r="AO52" s="121" t="str">
        <f>IF(AK56=0,"",IF(AK56&lt;AJ56*0.4,AH54,""))</f>
        <v/>
      </c>
      <c r="AP52" s="293" t="str">
        <f>IF(AK58=0,"",IF(AK58&lt;AJ58*0.4,AH55,""))</f>
        <v/>
      </c>
      <c r="AQ52" s="30" t="str">
        <f>IF(AK55=0,"",IF(AK55&lt;AJ55*0.4,AH56,""))</f>
        <v/>
      </c>
    </row>
    <row r="53" spans="1:43" ht="29.1" customHeight="1" thickBot="1" x14ac:dyDescent="0.3">
      <c r="A53" s="60" t="str">
        <f>ادخال1!$H$9</f>
        <v>الكتابة</v>
      </c>
      <c r="B53" s="51">
        <f>ادخال1!$H$7</f>
        <v>2</v>
      </c>
      <c r="C53" s="45">
        <f t="shared" si="18"/>
        <v>24</v>
      </c>
      <c r="D53" s="2">
        <f>IFERROR(VLOOKUP(H63,اسماء,7,0),"")</f>
        <v>23</v>
      </c>
      <c r="E53" s="47">
        <f t="shared" si="19"/>
        <v>24</v>
      </c>
      <c r="F53" s="2">
        <f>IFERROR(VLOOKUP(H63,اسماء,20,0),"")</f>
        <v>0</v>
      </c>
      <c r="G53" s="20"/>
      <c r="H53" s="121" t="str">
        <f>IF(D57=0,"",IF(D57&lt;C57*0.4,A57,""))</f>
        <v/>
      </c>
      <c r="I53" s="293" t="str">
        <f>IF(D58=0,"",IF(D58&lt;C58*0.4,A58,""))</f>
        <v/>
      </c>
      <c r="J53" s="356"/>
      <c r="L53" s="60" t="str">
        <f>ادخال1!$H$9</f>
        <v>الكتابة</v>
      </c>
      <c r="M53" s="51">
        <f>ادخال1!$H$7</f>
        <v>2</v>
      </c>
      <c r="N53" s="45">
        <f t="shared" si="20"/>
        <v>24</v>
      </c>
      <c r="O53" s="2" t="str">
        <f>IFERROR(VLOOKUP(S63,اسماء,7,0),"")</f>
        <v/>
      </c>
      <c r="P53" s="47">
        <f t="shared" si="21"/>
        <v>24</v>
      </c>
      <c r="Q53" s="2" t="str">
        <f>IFERROR(VLOOKUP(S63,اسماء,20,0),"")</f>
        <v/>
      </c>
      <c r="R53" s="20"/>
      <c r="S53" s="121" t="str">
        <f>IF(O57=0,"",IF(O57&lt;N57*0.4,L57,""))</f>
        <v/>
      </c>
      <c r="T53" s="293" t="str">
        <f>IF(O58=0,"",IF(O58&lt;N58*0.4,L58,""))</f>
        <v/>
      </c>
      <c r="U53" s="356"/>
      <c r="W53" s="60" t="str">
        <f>ادخال1!$H$9</f>
        <v>الكتابة</v>
      </c>
      <c r="X53" s="51">
        <f>ادخال1!$H$7</f>
        <v>2</v>
      </c>
      <c r="Y53" s="45">
        <f t="shared" si="22"/>
        <v>24</v>
      </c>
      <c r="Z53" s="2" t="str">
        <f>IFERROR(VLOOKUP(AD63,اسماء,7,0),"")</f>
        <v/>
      </c>
      <c r="AA53" s="47">
        <f t="shared" si="23"/>
        <v>24</v>
      </c>
      <c r="AB53" s="2" t="str">
        <f>IFERROR(VLOOKUP(AD63,اسماء,20,0),"")</f>
        <v/>
      </c>
      <c r="AC53" s="20"/>
      <c r="AD53" s="121" t="str">
        <f>IF(Z57=0,"",IF(Z57&lt;Y57*0.4,W57,""))</f>
        <v/>
      </c>
      <c r="AE53" s="293" t="str">
        <f>IF(Z58=0,"",IF(Z58&lt;Y58*0.4,W58,""))</f>
        <v/>
      </c>
      <c r="AF53" s="356"/>
      <c r="AH53" s="60" t="str">
        <f>ادخال1!$H$9</f>
        <v>الكتابة</v>
      </c>
      <c r="AI53" s="51">
        <f>ادخال1!$H$7</f>
        <v>2</v>
      </c>
      <c r="AJ53" s="45">
        <f t="shared" si="24"/>
        <v>24</v>
      </c>
      <c r="AK53" s="2" t="str">
        <f>IFERROR(VLOOKUP(AO63,اسماء,7,0),"")</f>
        <v/>
      </c>
      <c r="AL53" s="47">
        <f t="shared" si="25"/>
        <v>24</v>
      </c>
      <c r="AM53" s="2" t="str">
        <f>IFERROR(VLOOKUP(AO63,اسماء,20,0),"")</f>
        <v/>
      </c>
      <c r="AN53" s="20"/>
      <c r="AO53" s="121" t="str">
        <f>IF(AK57=0,"",IF(AK57&lt;AJ57*0.4,AH57,""))</f>
        <v/>
      </c>
      <c r="AP53" s="293" t="str">
        <f>IF(AK58=0,"",IF(AK58&lt;AJ58*0.4,AH58,""))</f>
        <v/>
      </c>
      <c r="AQ53" s="356"/>
    </row>
    <row r="54" spans="1:43" ht="29.1" customHeight="1" x14ac:dyDescent="0.25">
      <c r="A54" s="136" t="str">
        <f>ادخال1!$I$9</f>
        <v>اللغة الإنجليزية</v>
      </c>
      <c r="B54" s="51">
        <f>ادخال1!$I$7</f>
        <v>3</v>
      </c>
      <c r="C54" s="45">
        <f>40*B54*0.3</f>
        <v>36</v>
      </c>
      <c r="D54" s="2">
        <f>IFERROR(VLOOKUP(H63,اسماء,8,0),"")</f>
        <v>36</v>
      </c>
      <c r="E54" s="47">
        <f>40*B54*0.3</f>
        <v>36</v>
      </c>
      <c r="F54" s="2">
        <f>IFERROR(VLOOKUP(H63,اسماء,21,0),"")</f>
        <v>0</v>
      </c>
      <c r="G54" s="20"/>
      <c r="H54" s="295" t="s">
        <v>158</v>
      </c>
      <c r="I54" s="458" t="str">
        <f>IF(F59=0,"",IF(AND(F51&gt;=E51*0.4,F52&gt;=E52*0.4,F56&gt;=E56*0.4,F57&gt;=E57*0.4,F58&gt;=E58*0.4,F53&gt;=E53*0.4,F54&gt;=E54*0.4,F55&gt;=E55*0.4),LOOKUP(F59,'النتيجة النهائية'!$AF$6:$AG$10),"ضعيف ويحتاج الى اهتمام في المواد"))</f>
        <v/>
      </c>
      <c r="J54" s="459"/>
      <c r="L54" s="136" t="str">
        <f>ادخال1!$I$9</f>
        <v>اللغة الإنجليزية</v>
      </c>
      <c r="M54" s="51">
        <f>ادخال1!$I$7</f>
        <v>3</v>
      </c>
      <c r="N54" s="45">
        <f>40*M54*0.3</f>
        <v>36</v>
      </c>
      <c r="O54" s="2" t="str">
        <f>IFERROR(VLOOKUP(S63,اسماء,8,0),"")</f>
        <v/>
      </c>
      <c r="P54" s="47">
        <f>40*M54*0.3</f>
        <v>36</v>
      </c>
      <c r="Q54" s="2" t="str">
        <f>IFERROR(VLOOKUP(S63,اسماء,21,0),"")</f>
        <v/>
      </c>
      <c r="R54" s="20"/>
      <c r="S54" s="295" t="s">
        <v>158</v>
      </c>
      <c r="T54" s="458" t="str">
        <f>IF(Q59=0,"",IF(AND(Q51&gt;=P51*0.4,Q52&gt;=P52*0.4,Q56&gt;=P56*0.4,Q57&gt;=P57*0.4,Q58&gt;=P58*0.4,Q53&gt;=P53*0.4,Q54&gt;=P54*0.4,Q55&gt;=P55*0.4),LOOKUP(Q59,'النتيجة النهائية'!$AF$6:$AG$10),"ضعيف ويحتاج الى اهتمام في المواد"))</f>
        <v/>
      </c>
      <c r="U54" s="459"/>
      <c r="W54" s="136" t="str">
        <f>ادخال1!$I$9</f>
        <v>اللغة الإنجليزية</v>
      </c>
      <c r="X54" s="51">
        <f>ادخال1!$I$7</f>
        <v>3</v>
      </c>
      <c r="Y54" s="45">
        <f>40*X54*0.3</f>
        <v>36</v>
      </c>
      <c r="Z54" s="2" t="str">
        <f>IFERROR(VLOOKUP(AD63,اسماء,8,0),"")</f>
        <v/>
      </c>
      <c r="AA54" s="47">
        <f>40*X54*0.3</f>
        <v>36</v>
      </c>
      <c r="AB54" s="2" t="str">
        <f>IFERROR(VLOOKUP(AD63,اسماء,21,0),"")</f>
        <v/>
      </c>
      <c r="AC54" s="20"/>
      <c r="AD54" s="295" t="s">
        <v>158</v>
      </c>
      <c r="AE54" s="458" t="str">
        <f>IF(AB59=0,"",IF(AND(AB51&gt;=AA51*0.4,AB52&gt;=AA52*0.4,AB56&gt;=AA56*0.4,AB57&gt;=AA57*0.4,AB58&gt;=AA58*0.4,AB53&gt;=AA53*0.4,AB54&gt;=AA54*0.4,AB55&gt;=AA55*0.4),LOOKUP(AB59,'النتيجة النهائية'!$AF$6:$AG$10),"ضعيف ويحتاج الى اهتمام في المواد"))</f>
        <v/>
      </c>
      <c r="AF54" s="459"/>
      <c r="AH54" s="136" t="str">
        <f>ادخال1!$I$9</f>
        <v>اللغة الإنجليزية</v>
      </c>
      <c r="AI54" s="51">
        <f>ادخال1!$I$7</f>
        <v>3</v>
      </c>
      <c r="AJ54" s="45">
        <f>40*AI54*0.3</f>
        <v>36</v>
      </c>
      <c r="AK54" s="2" t="str">
        <f>IFERROR(VLOOKUP(AO63,اسماء,8,0),"")</f>
        <v/>
      </c>
      <c r="AL54" s="47">
        <f>40*AI54*0.3</f>
        <v>36</v>
      </c>
      <c r="AM54" s="2" t="str">
        <f>IFERROR(VLOOKUP(AO63,اسماء,21,0),"")</f>
        <v/>
      </c>
      <c r="AN54" s="20"/>
      <c r="AO54" s="295" t="s">
        <v>158</v>
      </c>
      <c r="AP54" s="458" t="str">
        <f>IF(AM59=0,"",IF(AND(AM51&gt;=AL51*0.4,AM52&gt;=AL52*0.4,AM56&gt;=AL56*0.4,AM57&gt;=AL57*0.4,AM58&gt;=AL58*0.4,AM53&gt;=AL53*0.4,AM54&gt;=AL54*0.4,AM55&gt;=AL55*0.4),LOOKUP(AM59,'النتيجة النهائية'!$AF$6:$AG$10),"ضعيف ويحتاج الى اهتمام في المواد"))</f>
        <v/>
      </c>
      <c r="AQ54" s="459"/>
    </row>
    <row r="55" spans="1:43" ht="29.1" customHeight="1" x14ac:dyDescent="0.25">
      <c r="A55" s="136" t="str">
        <f>ادخال1!$J$9</f>
        <v>الحاسوب</v>
      </c>
      <c r="B55" s="51">
        <f>ادخال1!$J$7</f>
        <v>1</v>
      </c>
      <c r="C55" s="45">
        <f>40*B55*0.3</f>
        <v>12</v>
      </c>
      <c r="D55" s="2">
        <f>IFERROR(VLOOKUP(H63,اسماء,9,0),"")</f>
        <v>12</v>
      </c>
      <c r="E55" s="47">
        <f>40*B55*0.3</f>
        <v>12</v>
      </c>
      <c r="F55" s="2">
        <f>IFERROR(VLOOKUP(H63,اسماء,22,0),"")</f>
        <v>0</v>
      </c>
      <c r="G55" s="20"/>
      <c r="H55" s="348"/>
      <c r="I55" s="349"/>
      <c r="J55" s="350"/>
      <c r="L55" s="136" t="str">
        <f>ادخال1!$J$9</f>
        <v>الحاسوب</v>
      </c>
      <c r="M55" s="51">
        <f>ادخال1!$J$7</f>
        <v>1</v>
      </c>
      <c r="N55" s="45">
        <f>40*M55*0.3</f>
        <v>12</v>
      </c>
      <c r="O55" s="2" t="str">
        <f>IFERROR(VLOOKUP(S63,اسماء,9,0),"")</f>
        <v/>
      </c>
      <c r="P55" s="47">
        <f>40*M55*0.3</f>
        <v>12</v>
      </c>
      <c r="Q55" s="2" t="str">
        <f>IFERROR(VLOOKUP(S63,اسماء,22,0),"")</f>
        <v/>
      </c>
      <c r="R55" s="20"/>
      <c r="S55" s="348"/>
      <c r="T55" s="349"/>
      <c r="U55" s="350"/>
      <c r="W55" s="136" t="str">
        <f>ادخال1!$J$9</f>
        <v>الحاسوب</v>
      </c>
      <c r="X55" s="51">
        <f>ادخال1!$J$7</f>
        <v>1</v>
      </c>
      <c r="Y55" s="45">
        <f>40*X55*0.3</f>
        <v>12</v>
      </c>
      <c r="Z55" s="2" t="str">
        <f>IFERROR(VLOOKUP(AD63,اسماء,9,0),"")</f>
        <v/>
      </c>
      <c r="AA55" s="47">
        <f>40*X55*0.3</f>
        <v>12</v>
      </c>
      <c r="AB55" s="2" t="str">
        <f>IFERROR(VLOOKUP(AD63,اسماء,22,0),"")</f>
        <v/>
      </c>
      <c r="AC55" s="20"/>
      <c r="AD55" s="348"/>
      <c r="AE55" s="349"/>
      <c r="AF55" s="350"/>
      <c r="AH55" s="136" t="str">
        <f>ادخال1!$J$9</f>
        <v>الحاسوب</v>
      </c>
      <c r="AI55" s="51">
        <f>ادخال1!$J$7</f>
        <v>1</v>
      </c>
      <c r="AJ55" s="45">
        <f>40*AI55*0.3</f>
        <v>12</v>
      </c>
      <c r="AK55" s="2" t="str">
        <f>IFERROR(VLOOKUP(AO63,اسماء,9,0),"")</f>
        <v/>
      </c>
      <c r="AL55" s="47">
        <f>40*AI55*0.3</f>
        <v>12</v>
      </c>
      <c r="AM55" s="2" t="str">
        <f>IFERROR(VLOOKUP(AO63,اسماء,22,0),"")</f>
        <v/>
      </c>
      <c r="AN55" s="20"/>
      <c r="AO55" s="348"/>
      <c r="AP55" s="349"/>
      <c r="AQ55" s="350"/>
    </row>
    <row r="56" spans="1:43" ht="29.1" customHeight="1" x14ac:dyDescent="0.25">
      <c r="A56" s="60" t="str">
        <f>ادخال1!$K$9</f>
        <v>الرياضيات</v>
      </c>
      <c r="B56" s="51">
        <f>ادخال1!$K$7</f>
        <v>5</v>
      </c>
      <c r="C56" s="45">
        <f>40*B56*0.3</f>
        <v>60</v>
      </c>
      <c r="D56" s="2">
        <f>IFERROR(VLOOKUP(H63,اسماء,10,0),"")</f>
        <v>57</v>
      </c>
      <c r="E56" s="47">
        <f>40*B56*0.3</f>
        <v>60</v>
      </c>
      <c r="F56" s="2">
        <f>IFERROR(VLOOKUP(H63,اسماء,23,0),"")</f>
        <v>0</v>
      </c>
      <c r="G56" s="20"/>
      <c r="H56" s="29" t="str">
        <f>IF(F51=0,"",IF(F51&lt;E51*0.4,A51,""))</f>
        <v/>
      </c>
      <c r="I56" s="31" t="str">
        <f>IF(F52=0,"",IF(F52&lt;E52*0.4,A52,""))</f>
        <v/>
      </c>
      <c r="J56" s="30" t="str">
        <f>IF(F53=0,"",IF(F53&lt;E53*0.4,A53,""))</f>
        <v/>
      </c>
      <c r="L56" s="60" t="str">
        <f>ادخال1!$K$9</f>
        <v>الرياضيات</v>
      </c>
      <c r="M56" s="51">
        <f>ادخال1!$K$7</f>
        <v>5</v>
      </c>
      <c r="N56" s="45">
        <f>40*M56*0.3</f>
        <v>60</v>
      </c>
      <c r="O56" s="2" t="str">
        <f>IFERROR(VLOOKUP(S63,اسماء,10,0),"")</f>
        <v/>
      </c>
      <c r="P56" s="47">
        <f>40*M56*0.3</f>
        <v>60</v>
      </c>
      <c r="Q56" s="2" t="str">
        <f>IFERROR(VLOOKUP(S63,اسماء,23,0),"")</f>
        <v/>
      </c>
      <c r="R56" s="20"/>
      <c r="S56" s="29" t="str">
        <f>IF(Q51=0,"",IF(Q51&lt;P51*0.4,L51,""))</f>
        <v/>
      </c>
      <c r="T56" s="31" t="str">
        <f>IF(Q52=0,"",IF(Q52&lt;P52*0.4,L52,""))</f>
        <v/>
      </c>
      <c r="U56" s="30" t="str">
        <f>IF(Q53=0,"",IF(Q53&lt;P53*0.4,L53,""))</f>
        <v/>
      </c>
      <c r="W56" s="60" t="str">
        <f>ادخال1!$K$9</f>
        <v>الرياضيات</v>
      </c>
      <c r="X56" s="51">
        <f>ادخال1!$K$7</f>
        <v>5</v>
      </c>
      <c r="Y56" s="45">
        <f>40*X56*0.3</f>
        <v>60</v>
      </c>
      <c r="Z56" s="2" t="str">
        <f>IFERROR(VLOOKUP(AD63,اسماء,10,0),"")</f>
        <v/>
      </c>
      <c r="AA56" s="47">
        <f>40*X56*0.3</f>
        <v>60</v>
      </c>
      <c r="AB56" s="2" t="str">
        <f>IFERROR(VLOOKUP(AD63,اسماء,23,0),"")</f>
        <v/>
      </c>
      <c r="AC56" s="20"/>
      <c r="AD56" s="29" t="str">
        <f>IF(AB51=0,"",IF(AB51&lt;AA51*0.4,W51,""))</f>
        <v/>
      </c>
      <c r="AE56" s="31" t="str">
        <f>IF(AB52=0,"",IF(AB52&lt;AA52*0.4,W52,""))</f>
        <v/>
      </c>
      <c r="AF56" s="30" t="str">
        <f>IF(AB53=0,"",IF(AB53&lt;AA53*0.4,W53,""))</f>
        <v/>
      </c>
      <c r="AH56" s="60" t="str">
        <f>ادخال1!$K$9</f>
        <v>الرياضيات</v>
      </c>
      <c r="AI56" s="51">
        <f>ادخال1!$K$7</f>
        <v>5</v>
      </c>
      <c r="AJ56" s="45">
        <f>40*AI56*0.3</f>
        <v>60</v>
      </c>
      <c r="AK56" s="2" t="str">
        <f>IFERROR(VLOOKUP(AO63,اسماء,10,0),"")</f>
        <v/>
      </c>
      <c r="AL56" s="47">
        <f>40*AI56*0.3</f>
        <v>60</v>
      </c>
      <c r="AM56" s="2" t="str">
        <f>IFERROR(VLOOKUP(AO63,اسماء,23,0),"")</f>
        <v/>
      </c>
      <c r="AN56" s="20"/>
      <c r="AO56" s="29" t="str">
        <f>IF(AM51=0,"",IF(AM51&lt;AL51*0.4,AH51,""))</f>
        <v/>
      </c>
      <c r="AP56" s="31" t="str">
        <f>IF(AM52=0,"",IF(AM52&lt;AL52*0.4,AH52,""))</f>
        <v/>
      </c>
      <c r="AQ56" s="30" t="str">
        <f>IF(AM53=0,"",IF(AM53&lt;AL53*0.4,AH53,""))</f>
        <v/>
      </c>
    </row>
    <row r="57" spans="1:43" ht="29.1" customHeight="1" x14ac:dyDescent="0.25">
      <c r="A57" s="116" t="str">
        <f>ادخال1!$L$9</f>
        <v>العلوم</v>
      </c>
      <c r="B57" s="52">
        <f>ادخال1!$L$7</f>
        <v>3</v>
      </c>
      <c r="C57" s="45">
        <f>40*B57*0.3</f>
        <v>36</v>
      </c>
      <c r="D57" s="2">
        <f>IFERROR(VLOOKUP(H63,اسماء,11,0),"")</f>
        <v>36</v>
      </c>
      <c r="E57" s="47">
        <f>40*B57*0.3</f>
        <v>36</v>
      </c>
      <c r="F57" s="2">
        <f>IFERROR(VLOOKUP(H63,اسماء,24,0),"")</f>
        <v>0</v>
      </c>
      <c r="G57" s="20"/>
      <c r="H57" s="29" t="str">
        <f>IF(F54=0,"",IF(F54&lt;E54*0.4,A54,""))</f>
        <v/>
      </c>
      <c r="I57" s="31" t="str">
        <f>IF(F55=0,"",IF(F55&lt;E55*0.4,A55,""))</f>
        <v/>
      </c>
      <c r="J57" s="30" t="str">
        <f>IF(F56=0,"",IF(F56&lt;E56*0.4,A56,""))</f>
        <v/>
      </c>
      <c r="L57" s="116" t="str">
        <f>ادخال1!$L$9</f>
        <v>العلوم</v>
      </c>
      <c r="M57" s="52">
        <f>ادخال1!$L$7</f>
        <v>3</v>
      </c>
      <c r="N57" s="45">
        <f>40*M57*0.3</f>
        <v>36</v>
      </c>
      <c r="O57" s="2" t="str">
        <f>IFERROR(VLOOKUP(S63,اسماء,11,0),"")</f>
        <v/>
      </c>
      <c r="P57" s="47">
        <f>40*M57*0.3</f>
        <v>36</v>
      </c>
      <c r="Q57" s="2" t="str">
        <f>IFERROR(VLOOKUP(S63,اسماء,24,0),"")</f>
        <v/>
      </c>
      <c r="R57" s="20"/>
      <c r="S57" s="29" t="str">
        <f>IF(Q54=0,"",IF(Q54&lt;P54*0.4,L54,""))</f>
        <v/>
      </c>
      <c r="T57" s="31" t="str">
        <f>IF(Q55=0,"",IF(Q55&lt;P55*0.4,L55,""))</f>
        <v/>
      </c>
      <c r="U57" s="30" t="str">
        <f>IF(Q56=0,"",IF(Q56&lt;P56*0.4,L56,""))</f>
        <v/>
      </c>
      <c r="W57" s="116" t="str">
        <f>ادخال1!$L$9</f>
        <v>العلوم</v>
      </c>
      <c r="X57" s="52">
        <f>ادخال1!$L$7</f>
        <v>3</v>
      </c>
      <c r="Y57" s="45">
        <f>40*X57*0.3</f>
        <v>36</v>
      </c>
      <c r="Z57" s="2" t="str">
        <f>IFERROR(VLOOKUP(AD63,اسماء,11,0),"")</f>
        <v/>
      </c>
      <c r="AA57" s="47">
        <f>40*X57*0.3</f>
        <v>36</v>
      </c>
      <c r="AB57" s="2" t="str">
        <f>IFERROR(VLOOKUP(AD63,اسماء,24,0),"")</f>
        <v/>
      </c>
      <c r="AC57" s="20"/>
      <c r="AD57" s="29" t="str">
        <f>IF(AB54=0,"",IF(AB54&lt;AA54*0.4,W54,""))</f>
        <v/>
      </c>
      <c r="AE57" s="31" t="str">
        <f>IF(AB55=0,"",IF(AB55&lt;AA55*0.4,W55,""))</f>
        <v/>
      </c>
      <c r="AF57" s="30" t="str">
        <f>IF(AB56=0,"",IF(AB56&lt;AA56*0.4,W56,""))</f>
        <v/>
      </c>
      <c r="AH57" s="116" t="str">
        <f>ادخال1!$L$9</f>
        <v>العلوم</v>
      </c>
      <c r="AI57" s="52">
        <f>ادخال1!$L$7</f>
        <v>3</v>
      </c>
      <c r="AJ57" s="45">
        <f>40*AI57*0.3</f>
        <v>36</v>
      </c>
      <c r="AK57" s="2" t="str">
        <f>IFERROR(VLOOKUP(AO63,اسماء,11,0),"")</f>
        <v/>
      </c>
      <c r="AL57" s="47">
        <f>40*AI57*0.3</f>
        <v>36</v>
      </c>
      <c r="AM57" s="2" t="str">
        <f>IFERROR(VLOOKUP(AO63,اسماء,24,0),"")</f>
        <v/>
      </c>
      <c r="AN57" s="20"/>
      <c r="AO57" s="29" t="str">
        <f>IF(AM54=0,"",IF(AM54&lt;AL54*0.4,AH54,""))</f>
        <v/>
      </c>
      <c r="AP57" s="31" t="str">
        <f>IF(AM55=0,"",IF(AM55&lt;AL55*0.4,AH55,""))</f>
        <v/>
      </c>
      <c r="AQ57" s="30" t="str">
        <f>IF(AM56=0,"",IF(AM56&lt;AL56*0.4,AH56,""))</f>
        <v/>
      </c>
    </row>
    <row r="58" spans="1:43" ht="29.1" customHeight="1" thickBot="1" x14ac:dyDescent="0.3">
      <c r="A58" s="116" t="str">
        <f>ادخال1!$M$9</f>
        <v>الاجتماعيات</v>
      </c>
      <c r="B58" s="52">
        <f>ادخال1!$M$7</f>
        <v>2</v>
      </c>
      <c r="C58" s="45">
        <f>40*B58*0.3</f>
        <v>24</v>
      </c>
      <c r="D58" s="2">
        <f>IFERROR(VLOOKUP(H63,اسماء,12,0),"")</f>
        <v>24</v>
      </c>
      <c r="E58" s="47">
        <f>40*B58*0.3</f>
        <v>24</v>
      </c>
      <c r="F58" s="2">
        <f>IFERROR(VLOOKUP(H63,اسماء,25,0),"")</f>
        <v>0</v>
      </c>
      <c r="G58" s="20"/>
      <c r="H58" s="121" t="str">
        <f>IF(F57=0,"",IF(F57&lt;E57*0.4,A57,""))</f>
        <v/>
      </c>
      <c r="I58" s="293" t="str">
        <f>IF(F58=0,"",IF(F58&lt;E58*0.4,A58,""))</f>
        <v/>
      </c>
      <c r="J58" s="294"/>
      <c r="L58" s="116" t="str">
        <f>ادخال1!$M$9</f>
        <v>الاجتماعيات</v>
      </c>
      <c r="M58" s="52">
        <f>ادخال1!$M$7</f>
        <v>2</v>
      </c>
      <c r="N58" s="45">
        <f>40*M58*0.3</f>
        <v>24</v>
      </c>
      <c r="O58" s="2" t="str">
        <f>IFERROR(VLOOKUP(S63,اسماء,12,0),"")</f>
        <v/>
      </c>
      <c r="P58" s="47">
        <f>40*M58*0.3</f>
        <v>24</v>
      </c>
      <c r="Q58" s="2" t="str">
        <f>IFERROR(VLOOKUP(S63,اسماء,25,0),"")</f>
        <v/>
      </c>
      <c r="R58" s="20"/>
      <c r="S58" s="121" t="str">
        <f>IF(Q57=0,"",IF(Q57&lt;P57*0.4,L57,""))</f>
        <v/>
      </c>
      <c r="T58" s="293" t="str">
        <f>IF(Q58=0,"",IF(Q58&lt;P58*0.4,L58,""))</f>
        <v/>
      </c>
      <c r="U58" s="294"/>
      <c r="W58" s="116" t="str">
        <f>ادخال1!$M$9</f>
        <v>الاجتماعيات</v>
      </c>
      <c r="X58" s="52">
        <f>ادخال1!$M$7</f>
        <v>2</v>
      </c>
      <c r="Y58" s="45">
        <f>40*X58*0.3</f>
        <v>24</v>
      </c>
      <c r="Z58" s="2" t="str">
        <f>IFERROR(VLOOKUP(AD63,اسماء,12,0),"")</f>
        <v/>
      </c>
      <c r="AA58" s="47">
        <f>40*X58*0.3</f>
        <v>24</v>
      </c>
      <c r="AB58" s="2" t="str">
        <f>IFERROR(VLOOKUP(AD63,اسماء,25,0),"")</f>
        <v/>
      </c>
      <c r="AC58" s="20"/>
      <c r="AD58" s="121" t="str">
        <f>IF(AB57=0,"",IF(AB57&lt;AA57*0.4,W57,""))</f>
        <v/>
      </c>
      <c r="AE58" s="293" t="str">
        <f>IF(AB58=0,"",IF(AB58&lt;AA58*0.4,W58,""))</f>
        <v/>
      </c>
      <c r="AF58" s="294"/>
      <c r="AH58" s="116" t="str">
        <f>ادخال1!$M$9</f>
        <v>الاجتماعيات</v>
      </c>
      <c r="AI58" s="52">
        <f>ادخال1!$M$7</f>
        <v>2</v>
      </c>
      <c r="AJ58" s="45">
        <f>40*AI58*0.3</f>
        <v>24</v>
      </c>
      <c r="AK58" s="2" t="str">
        <f>IFERROR(VLOOKUP(AO63,اسماء,12,0),"")</f>
        <v/>
      </c>
      <c r="AL58" s="47">
        <f>40*AI58*0.3</f>
        <v>24</v>
      </c>
      <c r="AM58" s="2" t="str">
        <f>IFERROR(VLOOKUP(AO63,اسماء,25,0),"")</f>
        <v/>
      </c>
      <c r="AN58" s="20"/>
      <c r="AO58" s="121" t="str">
        <f>IF(AM57=0,"",IF(AM57&lt;AL57*0.4,AH57,""))</f>
        <v/>
      </c>
      <c r="AP58" s="293" t="str">
        <f>IF(AM58=0,"",IF(AM58&lt;AL58*0.4,AH58,""))</f>
        <v/>
      </c>
      <c r="AQ58" s="294"/>
    </row>
    <row r="59" spans="1:43" ht="29.1" customHeight="1" thickBot="1" x14ac:dyDescent="0.3">
      <c r="A59" s="62" t="s">
        <v>57</v>
      </c>
      <c r="B59" s="32"/>
      <c r="C59" s="46">
        <f>SUM(C51:C58)</f>
        <v>276</v>
      </c>
      <c r="D59" s="117">
        <f>SUM(D51:D58)</f>
        <v>272</v>
      </c>
      <c r="E59" s="46">
        <f>SUM(E51:E58)</f>
        <v>276</v>
      </c>
      <c r="F59" s="117">
        <f>SUM(F51:F58)</f>
        <v>0</v>
      </c>
      <c r="G59" s="20"/>
      <c r="H59" s="202" t="s">
        <v>66</v>
      </c>
      <c r="I59" s="422" t="str">
        <f>ادخال1!$BP$5</f>
        <v>د.عبدالرحمن خليفة العريبي</v>
      </c>
      <c r="J59" s="423"/>
      <c r="L59" s="62" t="s">
        <v>57</v>
      </c>
      <c r="M59" s="32"/>
      <c r="N59" s="46">
        <f>SUM(N51:N58)</f>
        <v>276</v>
      </c>
      <c r="O59" s="117">
        <f>SUM(O51:O58)</f>
        <v>0</v>
      </c>
      <c r="P59" s="46">
        <f>SUM(P51:P58)</f>
        <v>276</v>
      </c>
      <c r="Q59" s="117">
        <f>SUM(Q51:Q58)</f>
        <v>0</v>
      </c>
      <c r="R59" s="20"/>
      <c r="S59" s="202" t="s">
        <v>66</v>
      </c>
      <c r="T59" s="422" t="str">
        <f>ادخال1!$BP$5</f>
        <v>د.عبدالرحمن خليفة العريبي</v>
      </c>
      <c r="U59" s="423"/>
      <c r="W59" s="62" t="s">
        <v>57</v>
      </c>
      <c r="X59" s="32"/>
      <c r="Y59" s="46">
        <f>SUM(Y51:Y58)</f>
        <v>276</v>
      </c>
      <c r="Z59" s="117">
        <f>SUM(Z51:Z58)</f>
        <v>0</v>
      </c>
      <c r="AA59" s="46">
        <f>SUM(AA51:AA58)</f>
        <v>276</v>
      </c>
      <c r="AB59" s="117">
        <f>SUM(AB51:AB58)</f>
        <v>0</v>
      </c>
      <c r="AC59" s="20"/>
      <c r="AD59" s="202" t="s">
        <v>66</v>
      </c>
      <c r="AE59" s="422" t="str">
        <f>ادخال1!$BP$5</f>
        <v>د.عبدالرحمن خليفة العريبي</v>
      </c>
      <c r="AF59" s="423"/>
      <c r="AH59" s="62" t="s">
        <v>57</v>
      </c>
      <c r="AI59" s="32"/>
      <c r="AJ59" s="46">
        <f>SUM(AJ51:AJ58)</f>
        <v>276</v>
      </c>
      <c r="AK59" s="117">
        <f>SUM(AK51:AK58)</f>
        <v>0</v>
      </c>
      <c r="AL59" s="46">
        <f>SUM(AL51:AL58)</f>
        <v>276</v>
      </c>
      <c r="AM59" s="117">
        <f>SUM(AM51:AM58)</f>
        <v>0</v>
      </c>
      <c r="AN59" s="20"/>
      <c r="AO59" s="202" t="s">
        <v>66</v>
      </c>
      <c r="AP59" s="422" t="str">
        <f>ادخال1!$BP$5</f>
        <v>د.عبدالرحمن خليفة العريبي</v>
      </c>
      <c r="AQ59" s="423"/>
    </row>
    <row r="60" spans="1:43" ht="29.1" customHeight="1" thickBot="1" x14ac:dyDescent="0.3">
      <c r="A60" s="35" t="str">
        <f>ادخال1!$O$8</f>
        <v>التربية الفنية</v>
      </c>
      <c r="B60" s="53">
        <f>ادخال1!$O$7</f>
        <v>1</v>
      </c>
      <c r="C60" s="426" t="str">
        <f>IFERROR(VLOOKUP(H63,اسماء,14,0),"")</f>
        <v>جيد جداً</v>
      </c>
      <c r="D60" s="427"/>
      <c r="E60" s="426">
        <f>IFERROR(VLOOKUP(H63,اسماء,27,0),"")</f>
        <v>0</v>
      </c>
      <c r="F60" s="427"/>
      <c r="G60" s="20"/>
      <c r="H60" s="17" t="s">
        <v>68</v>
      </c>
      <c r="I60" s="431">
        <f ca="1">TODAY()</f>
        <v>46035</v>
      </c>
      <c r="J60" s="432"/>
      <c r="L60" s="35" t="str">
        <f>ادخال1!$O$8</f>
        <v>التربية الفنية</v>
      </c>
      <c r="M60" s="53">
        <f>ادخال1!$O$7</f>
        <v>1</v>
      </c>
      <c r="N60" s="426" t="str">
        <f>IFERROR(VLOOKUP(S63,اسماء,14,0),"")</f>
        <v/>
      </c>
      <c r="O60" s="427"/>
      <c r="P60" s="426" t="str">
        <f>IFERROR(VLOOKUP(S63,اسماء,27,0),"")</f>
        <v/>
      </c>
      <c r="Q60" s="427"/>
      <c r="R60" s="20"/>
      <c r="S60" s="17" t="s">
        <v>68</v>
      </c>
      <c r="T60" s="431">
        <f ca="1">TODAY()</f>
        <v>46035</v>
      </c>
      <c r="U60" s="432"/>
      <c r="W60" s="35" t="str">
        <f>ادخال1!$O$8</f>
        <v>التربية الفنية</v>
      </c>
      <c r="X60" s="53">
        <f>ادخال1!$O$7</f>
        <v>1</v>
      </c>
      <c r="Y60" s="426" t="str">
        <f>IFERROR(VLOOKUP(AD63,اسماء,14,0),"")</f>
        <v/>
      </c>
      <c r="Z60" s="427"/>
      <c r="AA60" s="426" t="str">
        <f>IFERROR(VLOOKUP(AD63,اسماء,27,0),"")</f>
        <v/>
      </c>
      <c r="AB60" s="427"/>
      <c r="AC60" s="20"/>
      <c r="AD60" s="17" t="s">
        <v>68</v>
      </c>
      <c r="AE60" s="431">
        <f ca="1">TODAY()</f>
        <v>46035</v>
      </c>
      <c r="AF60" s="432"/>
      <c r="AH60" s="35" t="str">
        <f>ادخال1!$O$8</f>
        <v>التربية الفنية</v>
      </c>
      <c r="AI60" s="53">
        <f>ادخال1!$O$7</f>
        <v>1</v>
      </c>
      <c r="AJ60" s="426" t="str">
        <f>IFERROR(VLOOKUP(AO63,اسماء,14,0),"")</f>
        <v/>
      </c>
      <c r="AK60" s="427"/>
      <c r="AL60" s="426" t="str">
        <f>IFERROR(VLOOKUP(AO63,اسماء,27,0),"")</f>
        <v/>
      </c>
      <c r="AM60" s="427"/>
      <c r="AN60" s="20"/>
      <c r="AO60" s="17" t="s">
        <v>68</v>
      </c>
      <c r="AP60" s="431">
        <f ca="1">TODAY()</f>
        <v>46035</v>
      </c>
      <c r="AQ60" s="432"/>
    </row>
    <row r="61" spans="1:43" ht="29.1" customHeight="1" thickBot="1" x14ac:dyDescent="0.3">
      <c r="A61" s="37" t="str">
        <f>ادخال1!$P$8</f>
        <v>التربية البدنية</v>
      </c>
      <c r="B61" s="54">
        <f>ادخال1!$P$7</f>
        <v>2</v>
      </c>
      <c r="C61" s="443" t="str">
        <f>IFERROR(VLOOKUP(H63,اسماء,15,0),"")</f>
        <v>جيد جداً</v>
      </c>
      <c r="D61" s="444"/>
      <c r="E61" s="443">
        <f>IFERROR(VLOOKUP(H63,اسماء,28,0),"")</f>
        <v>0</v>
      </c>
      <c r="F61" s="444"/>
      <c r="G61" s="20"/>
      <c r="H61" s="72"/>
      <c r="I61" s="431"/>
      <c r="J61" s="432"/>
      <c r="L61" s="37" t="str">
        <f>ادخال1!$P$8</f>
        <v>التربية البدنية</v>
      </c>
      <c r="M61" s="54">
        <f>ادخال1!$P$7</f>
        <v>2</v>
      </c>
      <c r="N61" s="443" t="str">
        <f>IFERROR(VLOOKUP(S63,اسماء,15,0),"")</f>
        <v/>
      </c>
      <c r="O61" s="444"/>
      <c r="P61" s="443" t="str">
        <f>IFERROR(VLOOKUP(S63,اسماء,28,0),"")</f>
        <v/>
      </c>
      <c r="Q61" s="444"/>
      <c r="R61" s="20"/>
      <c r="S61" s="72"/>
      <c r="T61" s="431"/>
      <c r="U61" s="432"/>
      <c r="W61" s="37" t="str">
        <f>ادخال1!$P$8</f>
        <v>التربية البدنية</v>
      </c>
      <c r="X61" s="54">
        <f>ادخال1!$P$7</f>
        <v>2</v>
      </c>
      <c r="Y61" s="443" t="str">
        <f>IFERROR(VLOOKUP(AD63,اسماء,15,0),"")</f>
        <v/>
      </c>
      <c r="Z61" s="444"/>
      <c r="AA61" s="443" t="str">
        <f>IFERROR(VLOOKUP(AD63,اسماء,28,0),"")</f>
        <v/>
      </c>
      <c r="AB61" s="444"/>
      <c r="AC61" s="20"/>
      <c r="AD61" s="72"/>
      <c r="AE61" s="431"/>
      <c r="AF61" s="432"/>
      <c r="AH61" s="37" t="str">
        <f>ادخال1!$P$8</f>
        <v>التربية البدنية</v>
      </c>
      <c r="AI61" s="54">
        <f>ادخال1!$P$7</f>
        <v>2</v>
      </c>
      <c r="AJ61" s="443" t="str">
        <f>IFERROR(VLOOKUP(AO63,اسماء,15,0),"")</f>
        <v/>
      </c>
      <c r="AK61" s="444"/>
      <c r="AL61" s="443" t="str">
        <f>IFERROR(VLOOKUP(AO63,اسماء,28,0),"")</f>
        <v/>
      </c>
      <c r="AM61" s="444"/>
      <c r="AN61" s="20"/>
      <c r="AO61" s="72"/>
      <c r="AP61" s="431"/>
      <c r="AQ61" s="432"/>
    </row>
    <row r="62" spans="1:43" ht="29.1" customHeight="1" thickBot="1" x14ac:dyDescent="0.3">
      <c r="A62" s="37" t="str">
        <f>ادخال1!$Q$8</f>
        <v>التربية الموسيقية</v>
      </c>
      <c r="B62" s="54">
        <f>ادخال1!$Q$7</f>
        <v>1</v>
      </c>
      <c r="C62" s="443" t="str">
        <f>IFERROR(VLOOKUP(H64,اسماء,16,0),"")</f>
        <v/>
      </c>
      <c r="D62" s="444"/>
      <c r="E62" s="443" t="str">
        <f>IFERROR(VLOOKUP(H64,اسماء,29,0),"")</f>
        <v/>
      </c>
      <c r="F62" s="444"/>
      <c r="G62" s="20"/>
      <c r="H62" s="72"/>
      <c r="I62" s="346"/>
      <c r="J62" s="347"/>
      <c r="L62" s="37" t="str">
        <f>ادخال1!$Q$8</f>
        <v>التربية الموسيقية</v>
      </c>
      <c r="M62" s="54">
        <f>ادخال1!$Q$7</f>
        <v>1</v>
      </c>
      <c r="N62" s="443" t="str">
        <f>IFERROR(VLOOKUP(S64,اسماء,16,0),"")</f>
        <v/>
      </c>
      <c r="O62" s="444"/>
      <c r="P62" s="443" t="str">
        <f>IFERROR(VLOOKUP(S64,اسماء,29,0),"")</f>
        <v/>
      </c>
      <c r="Q62" s="444"/>
      <c r="R62" s="20"/>
      <c r="S62" s="72"/>
      <c r="T62" s="346"/>
      <c r="U62" s="347"/>
      <c r="W62" s="37" t="str">
        <f>ادخال1!$Q$8</f>
        <v>التربية الموسيقية</v>
      </c>
      <c r="X62" s="54">
        <f>ادخال1!$Q$7</f>
        <v>1</v>
      </c>
      <c r="Y62" s="443" t="str">
        <f>IFERROR(VLOOKUP(AD64,اسماء,16,0),"")</f>
        <v/>
      </c>
      <c r="Z62" s="444"/>
      <c r="AA62" s="443" t="str">
        <f>IFERROR(VLOOKUP(AD64,اسماء,29,0),"")</f>
        <v/>
      </c>
      <c r="AB62" s="444"/>
      <c r="AC62" s="20"/>
      <c r="AD62" s="72"/>
      <c r="AE62" s="346"/>
      <c r="AF62" s="347"/>
      <c r="AH62" s="37" t="str">
        <f>ادخال1!$Q$8</f>
        <v>التربية الموسيقية</v>
      </c>
      <c r="AI62" s="54">
        <f>ادخال1!$Q$7</f>
        <v>1</v>
      </c>
      <c r="AJ62" s="443" t="str">
        <f>IFERROR(VLOOKUP(AO64,اسماء,16,0),"")</f>
        <v/>
      </c>
      <c r="AK62" s="444"/>
      <c r="AL62" s="443" t="str">
        <f>IFERROR(VLOOKUP(AO64,اسماء,29,0),"")</f>
        <v/>
      </c>
      <c r="AM62" s="444"/>
      <c r="AN62" s="20"/>
      <c r="AO62" s="72"/>
      <c r="AP62" s="346"/>
      <c r="AQ62" s="347"/>
    </row>
    <row r="63" spans="1:43" ht="27" customHeight="1" thickBot="1" x14ac:dyDescent="0.3">
      <c r="A63" s="198" t="s">
        <v>120</v>
      </c>
      <c r="B63" s="464">
        <f>IFERROR(VLOOKUP(H63,اسماء,71,0),"")</f>
        <v>0</v>
      </c>
      <c r="C63" s="465" t="str">
        <f>IFERROR(VLOOKUP(G68,اسماء,8,0),"")</f>
        <v/>
      </c>
      <c r="D63" s="465" t="str">
        <f>IFERROR(VLOOKUP(H68,اسماء,8,0),"")</f>
        <v/>
      </c>
      <c r="E63" s="466" t="str">
        <f>IFERROR(VLOOKUP(I68,اسماء,8,0),"")</f>
        <v/>
      </c>
      <c r="F63" s="20"/>
      <c r="G63" s="20"/>
      <c r="H63" s="422" t="str">
        <f>INDEX(عمود2,MATCH(J47,عمود1))</f>
        <v xml:space="preserve">ميّار صالح محمد ديماس </v>
      </c>
      <c r="I63" s="422"/>
      <c r="J63" s="423"/>
      <c r="L63" s="198" t="s">
        <v>120</v>
      </c>
      <c r="M63" s="464" t="str">
        <f>IFERROR(VLOOKUP(S63,اسماء,71,0),"")</f>
        <v/>
      </c>
      <c r="N63" s="465" t="str">
        <f>IFERROR(VLOOKUP(R68,اسماء,8,0),"")</f>
        <v/>
      </c>
      <c r="O63" s="465" t="str">
        <f>IFERROR(VLOOKUP(S68,اسماء,8,0),"")</f>
        <v/>
      </c>
      <c r="P63" s="466" t="str">
        <f>IFERROR(VLOOKUP(T68,اسماء,8,0),"")</f>
        <v/>
      </c>
      <c r="Q63" s="20"/>
      <c r="R63" s="20"/>
      <c r="S63" s="422">
        <f>INDEX(عمود2,MATCH(U47,عمود1))</f>
        <v>0</v>
      </c>
      <c r="T63" s="422"/>
      <c r="U63" s="423"/>
      <c r="W63" s="198" t="s">
        <v>120</v>
      </c>
      <c r="X63" s="464" t="str">
        <f>IFERROR(VLOOKUP(AD63,اسماء,71,0),"")</f>
        <v/>
      </c>
      <c r="Y63" s="465" t="str">
        <f>IFERROR(VLOOKUP(AC68,اسماء,8,0),"")</f>
        <v/>
      </c>
      <c r="Z63" s="465" t="str">
        <f>IFERROR(VLOOKUP(AD68,اسماء,8,0),"")</f>
        <v/>
      </c>
      <c r="AA63" s="466" t="str">
        <f>IFERROR(VLOOKUP(AE68,اسماء,8,0),"")</f>
        <v/>
      </c>
      <c r="AB63" s="20"/>
      <c r="AC63" s="20"/>
      <c r="AD63" s="422">
        <f>INDEX(عمود2,MATCH(AF47,عمود1))</f>
        <v>0</v>
      </c>
      <c r="AE63" s="422"/>
      <c r="AF63" s="423"/>
      <c r="AH63" s="198" t="s">
        <v>120</v>
      </c>
      <c r="AI63" s="464" t="str">
        <f>IFERROR(VLOOKUP(AO63,اسماء,71,0),"")</f>
        <v/>
      </c>
      <c r="AJ63" s="465" t="str">
        <f>IFERROR(VLOOKUP(AN68,اسماء,8,0),"")</f>
        <v/>
      </c>
      <c r="AK63" s="465" t="str">
        <f>IFERROR(VLOOKUP(AO68,اسماء,8,0),"")</f>
        <v/>
      </c>
      <c r="AL63" s="466" t="str">
        <f>IFERROR(VLOOKUP(AP68,اسماء,8,0),"")</f>
        <v/>
      </c>
      <c r="AM63" s="20"/>
      <c r="AN63" s="20"/>
      <c r="AO63" s="422">
        <f>INDEX(عمود2,MATCH(AQ47,عمود1))</f>
        <v>0</v>
      </c>
      <c r="AP63" s="422"/>
      <c r="AQ63" s="423"/>
    </row>
    <row r="64" spans="1:43" ht="29.1" customHeight="1" x14ac:dyDescent="0.25">
      <c r="A64" s="467" t="s">
        <v>59</v>
      </c>
      <c r="B64" s="468"/>
      <c r="C64" s="443">
        <f>IFERROR(VLOOKUP(H63,اسماء,31,0),"")</f>
        <v>0</v>
      </c>
      <c r="D64" s="444"/>
      <c r="E64" s="443">
        <f>IFERROR(VLOOKUP(H63,اسماء,32,0),"")</f>
        <v>0</v>
      </c>
      <c r="F64" s="444"/>
      <c r="G64" s="20"/>
      <c r="H64" s="454" t="s">
        <v>91</v>
      </c>
      <c r="I64" s="454"/>
      <c r="J64" s="455"/>
      <c r="L64" s="467" t="s">
        <v>59</v>
      </c>
      <c r="M64" s="468"/>
      <c r="N64" s="443" t="str">
        <f>IFERROR(VLOOKUP(S63,اسماء,31,0),"")</f>
        <v/>
      </c>
      <c r="O64" s="444"/>
      <c r="P64" s="443" t="str">
        <f>IFERROR(VLOOKUP(S63,اسماء,32,0),"")</f>
        <v/>
      </c>
      <c r="Q64" s="444"/>
      <c r="R64" s="20"/>
      <c r="S64" s="454" t="s">
        <v>91</v>
      </c>
      <c r="T64" s="454"/>
      <c r="U64" s="455"/>
      <c r="W64" s="467" t="s">
        <v>59</v>
      </c>
      <c r="X64" s="468"/>
      <c r="Y64" s="443" t="str">
        <f>IFERROR(VLOOKUP(AD63,اسماء,31,0),"")</f>
        <v/>
      </c>
      <c r="Z64" s="444"/>
      <c r="AA64" s="443" t="str">
        <f>IFERROR(VLOOKUP(AD63,اسماء,32,0),"")</f>
        <v/>
      </c>
      <c r="AB64" s="444"/>
      <c r="AC64" s="20"/>
      <c r="AD64" s="454" t="s">
        <v>91</v>
      </c>
      <c r="AE64" s="454"/>
      <c r="AF64" s="455"/>
      <c r="AH64" s="467" t="s">
        <v>59</v>
      </c>
      <c r="AI64" s="468"/>
      <c r="AJ64" s="443" t="str">
        <f>IFERROR(VLOOKUP(AO63,اسماء,31,0),"")</f>
        <v/>
      </c>
      <c r="AK64" s="444"/>
      <c r="AL64" s="443" t="str">
        <f>IFERROR(VLOOKUP(AO63,اسماء,32,0),"")</f>
        <v/>
      </c>
      <c r="AM64" s="444"/>
      <c r="AN64" s="20"/>
      <c r="AO64" s="454" t="s">
        <v>91</v>
      </c>
      <c r="AP64" s="454"/>
      <c r="AQ64" s="455"/>
    </row>
    <row r="65" spans="1:43" ht="29.1" customHeight="1" x14ac:dyDescent="0.25">
      <c r="A65" s="469" t="s">
        <v>60</v>
      </c>
      <c r="B65" s="433"/>
      <c r="C65" s="434">
        <f>IFERROR(VLOOKUP(H63,اسماء,34,0),"")</f>
        <v>0</v>
      </c>
      <c r="D65" s="436"/>
      <c r="E65" s="434">
        <f>IFERROR(VLOOKUP(H63,اسماء,36,0),"")</f>
        <v>0</v>
      </c>
      <c r="F65" s="436"/>
      <c r="G65" s="20"/>
      <c r="H65" s="454"/>
      <c r="I65" s="454"/>
      <c r="J65" s="455"/>
      <c r="L65" s="469" t="s">
        <v>60</v>
      </c>
      <c r="M65" s="433"/>
      <c r="N65" s="434" t="str">
        <f>IFERROR(VLOOKUP(S63,اسماء,34,0),"")</f>
        <v/>
      </c>
      <c r="O65" s="436"/>
      <c r="P65" s="434" t="str">
        <f>IFERROR(VLOOKUP(S63,اسماء,36,0),"")</f>
        <v/>
      </c>
      <c r="Q65" s="436"/>
      <c r="R65" s="20"/>
      <c r="S65" s="454"/>
      <c r="T65" s="454"/>
      <c r="U65" s="455"/>
      <c r="W65" s="469" t="s">
        <v>60</v>
      </c>
      <c r="X65" s="433"/>
      <c r="Y65" s="434" t="str">
        <f>IFERROR(VLOOKUP(AD63,اسماء,34,0),"")</f>
        <v/>
      </c>
      <c r="Z65" s="436"/>
      <c r="AA65" s="434" t="str">
        <f>IFERROR(VLOOKUP(AD63,اسماء,36,0),"")</f>
        <v/>
      </c>
      <c r="AB65" s="436"/>
      <c r="AC65" s="20"/>
      <c r="AD65" s="454"/>
      <c r="AE65" s="454"/>
      <c r="AF65" s="455"/>
      <c r="AH65" s="469" t="s">
        <v>60</v>
      </c>
      <c r="AI65" s="433"/>
      <c r="AJ65" s="434" t="str">
        <f>IFERROR(VLOOKUP(AO63,اسماء,34,0),"")</f>
        <v/>
      </c>
      <c r="AK65" s="436"/>
      <c r="AL65" s="434" t="str">
        <f>IFERROR(VLOOKUP(AO63,اسماء,36,0),"")</f>
        <v/>
      </c>
      <c r="AM65" s="436"/>
      <c r="AN65" s="20"/>
      <c r="AO65" s="454"/>
      <c r="AP65" s="454"/>
      <c r="AQ65" s="455"/>
    </row>
    <row r="66" spans="1:43" ht="29.1" customHeight="1" thickBot="1" x14ac:dyDescent="0.3">
      <c r="A66" s="450" t="s">
        <v>61</v>
      </c>
      <c r="B66" s="451"/>
      <c r="C66" s="452">
        <f>IFERROR(VLOOKUP(H63,اسماء,35,0),"")</f>
        <v>0</v>
      </c>
      <c r="D66" s="453"/>
      <c r="E66" s="452">
        <f>IFERROR(VLOOKUP(H63,اسماء,37,0),"")</f>
        <v>0</v>
      </c>
      <c r="F66" s="453"/>
      <c r="G66" s="20"/>
      <c r="H66" s="456"/>
      <c r="I66" s="456"/>
      <c r="J66" s="457"/>
      <c r="L66" s="450" t="s">
        <v>61</v>
      </c>
      <c r="M66" s="451"/>
      <c r="N66" s="452" t="str">
        <f>IFERROR(VLOOKUP(S63,اسماء,35,0),"")</f>
        <v/>
      </c>
      <c r="O66" s="453"/>
      <c r="P66" s="452" t="str">
        <f>IFERROR(VLOOKUP(S63,اسماء,37,0),"")</f>
        <v/>
      </c>
      <c r="Q66" s="453"/>
      <c r="R66" s="20"/>
      <c r="S66" s="456"/>
      <c r="T66" s="456"/>
      <c r="U66" s="457"/>
      <c r="W66" s="450" t="s">
        <v>61</v>
      </c>
      <c r="X66" s="451"/>
      <c r="Y66" s="452" t="str">
        <f>IFERROR(VLOOKUP(AD63,اسماء,35,0),"")</f>
        <v/>
      </c>
      <c r="Z66" s="453"/>
      <c r="AA66" s="452" t="str">
        <f>IFERROR(VLOOKUP(AD63,اسماء,37,0),"")</f>
        <v/>
      </c>
      <c r="AB66" s="453"/>
      <c r="AC66" s="20"/>
      <c r="AD66" s="456"/>
      <c r="AE66" s="456"/>
      <c r="AF66" s="457"/>
      <c r="AH66" s="450" t="s">
        <v>61</v>
      </c>
      <c r="AI66" s="451"/>
      <c r="AJ66" s="452" t="str">
        <f>IFERROR(VLOOKUP(AO63,اسماء,35,0),"")</f>
        <v/>
      </c>
      <c r="AK66" s="453"/>
      <c r="AL66" s="452" t="str">
        <f>IFERROR(VLOOKUP(AO63,اسماء,37,0),"")</f>
        <v/>
      </c>
      <c r="AM66" s="453"/>
      <c r="AN66" s="20"/>
      <c r="AO66" s="456"/>
      <c r="AP66" s="456"/>
      <c r="AQ66" s="457"/>
    </row>
    <row r="67" spans="1:43" ht="29.1" customHeight="1" thickBot="1" x14ac:dyDescent="0.3"/>
    <row r="68" spans="1:43" ht="29.1" customHeight="1" thickTop="1" x14ac:dyDescent="0.25">
      <c r="A68" s="428" t="s">
        <v>81</v>
      </c>
      <c r="B68" s="429"/>
      <c r="C68" s="429"/>
      <c r="D68" s="430" t="str">
        <f>ادخال1!$N$4</f>
        <v>الرابع</v>
      </c>
      <c r="E68" s="430"/>
      <c r="F68" s="285" t="s">
        <v>82</v>
      </c>
      <c r="G68" s="285"/>
      <c r="H68" s="285"/>
      <c r="I68" s="285"/>
      <c r="J68" s="83">
        <f>J47+1</f>
        <v>18</v>
      </c>
      <c r="L68" s="428" t="s">
        <v>81</v>
      </c>
      <c r="M68" s="429"/>
      <c r="N68" s="429"/>
      <c r="O68" s="430" t="str">
        <f>ادخال1!$N$4</f>
        <v>الرابع</v>
      </c>
      <c r="P68" s="430"/>
      <c r="Q68" s="285" t="s">
        <v>82</v>
      </c>
      <c r="R68" s="285"/>
      <c r="S68" s="285"/>
      <c r="T68" s="285"/>
      <c r="U68" s="83">
        <f>J68+5</f>
        <v>23</v>
      </c>
      <c r="W68" s="428" t="s">
        <v>81</v>
      </c>
      <c r="X68" s="429"/>
      <c r="Y68" s="429"/>
      <c r="Z68" s="430" t="str">
        <f>ادخال1!$N$4</f>
        <v>الرابع</v>
      </c>
      <c r="AA68" s="430"/>
      <c r="AB68" s="285" t="s">
        <v>82</v>
      </c>
      <c r="AC68" s="285"/>
      <c r="AD68" s="285"/>
      <c r="AE68" s="285"/>
      <c r="AF68" s="83">
        <f>U68+5</f>
        <v>28</v>
      </c>
      <c r="AH68" s="428" t="s">
        <v>81</v>
      </c>
      <c r="AI68" s="429"/>
      <c r="AJ68" s="429"/>
      <c r="AK68" s="430" t="str">
        <f>ادخال1!$N$4</f>
        <v>الرابع</v>
      </c>
      <c r="AL68" s="430"/>
      <c r="AM68" s="285" t="s">
        <v>82</v>
      </c>
      <c r="AN68" s="285"/>
      <c r="AO68" s="285"/>
      <c r="AP68" s="285"/>
      <c r="AQ68" s="83">
        <f>AF68+5</f>
        <v>33</v>
      </c>
    </row>
    <row r="69" spans="1:43" ht="29.1" customHeight="1" thickBot="1" x14ac:dyDescent="0.3">
      <c r="A69" s="1" t="s">
        <v>153</v>
      </c>
      <c r="B69" s="480" t="str">
        <f>ادخال1!$B$5</f>
        <v xml:space="preserve">سهول العلم للتعليم الخاص </v>
      </c>
      <c r="C69" s="480"/>
      <c r="D69" s="480"/>
      <c r="E69" s="480"/>
      <c r="F69" s="286" t="s">
        <v>9</v>
      </c>
      <c r="G69" s="445">
        <f>H84</f>
        <v>0</v>
      </c>
      <c r="H69" s="445"/>
      <c r="I69" s="445"/>
      <c r="J69" s="446"/>
      <c r="L69" s="1" t="s">
        <v>153</v>
      </c>
      <c r="M69" s="480" t="str">
        <f>ادخال1!$B$5</f>
        <v xml:space="preserve">سهول العلم للتعليم الخاص </v>
      </c>
      <c r="N69" s="480"/>
      <c r="O69" s="480"/>
      <c r="P69" s="480"/>
      <c r="Q69" s="286" t="s">
        <v>9</v>
      </c>
      <c r="R69" s="445">
        <f>S84</f>
        <v>0</v>
      </c>
      <c r="S69" s="445"/>
      <c r="T69" s="445"/>
      <c r="U69" s="446"/>
      <c r="W69" s="1" t="s">
        <v>153</v>
      </c>
      <c r="X69" s="480" t="str">
        <f>ادخال1!$B$5</f>
        <v xml:space="preserve">سهول العلم للتعليم الخاص </v>
      </c>
      <c r="Y69" s="480"/>
      <c r="Z69" s="480"/>
      <c r="AA69" s="480"/>
      <c r="AB69" s="286" t="s">
        <v>9</v>
      </c>
      <c r="AC69" s="445">
        <f>AD84</f>
        <v>0</v>
      </c>
      <c r="AD69" s="445"/>
      <c r="AE69" s="445"/>
      <c r="AF69" s="446"/>
      <c r="AH69" s="1" t="s">
        <v>153</v>
      </c>
      <c r="AI69" s="480" t="str">
        <f>ادخال1!$B$5</f>
        <v xml:space="preserve">سهول العلم للتعليم الخاص </v>
      </c>
      <c r="AJ69" s="480"/>
      <c r="AK69" s="480"/>
      <c r="AL69" s="480"/>
      <c r="AM69" s="286" t="s">
        <v>9</v>
      </c>
      <c r="AN69" s="445">
        <f>AO84</f>
        <v>0</v>
      </c>
      <c r="AO69" s="445"/>
      <c r="AP69" s="445"/>
      <c r="AQ69" s="446"/>
    </row>
    <row r="70" spans="1:43" ht="29.1" customHeight="1" thickBot="1" x14ac:dyDescent="0.3">
      <c r="A70" s="275" t="s">
        <v>46</v>
      </c>
      <c r="B70" s="460" t="s">
        <v>12</v>
      </c>
      <c r="C70" s="462" t="s">
        <v>47</v>
      </c>
      <c r="D70" s="425"/>
      <c r="E70" s="424" t="s">
        <v>48</v>
      </c>
      <c r="F70" s="425"/>
      <c r="G70" s="28"/>
      <c r="H70" s="447" t="s">
        <v>51</v>
      </c>
      <c r="I70" s="448"/>
      <c r="J70" s="449"/>
      <c r="L70" s="275" t="s">
        <v>46</v>
      </c>
      <c r="M70" s="460" t="s">
        <v>12</v>
      </c>
      <c r="N70" s="462" t="s">
        <v>47</v>
      </c>
      <c r="O70" s="425"/>
      <c r="P70" s="424" t="s">
        <v>48</v>
      </c>
      <c r="Q70" s="425"/>
      <c r="R70" s="28"/>
      <c r="S70" s="447" t="s">
        <v>51</v>
      </c>
      <c r="T70" s="448"/>
      <c r="U70" s="449"/>
      <c r="W70" s="275" t="s">
        <v>46</v>
      </c>
      <c r="X70" s="460" t="s">
        <v>12</v>
      </c>
      <c r="Y70" s="462" t="s">
        <v>47</v>
      </c>
      <c r="Z70" s="425"/>
      <c r="AA70" s="424" t="s">
        <v>48</v>
      </c>
      <c r="AB70" s="425"/>
      <c r="AC70" s="28"/>
      <c r="AD70" s="447" t="s">
        <v>51</v>
      </c>
      <c r="AE70" s="448"/>
      <c r="AF70" s="449"/>
      <c r="AH70" s="275" t="s">
        <v>46</v>
      </c>
      <c r="AI70" s="460" t="s">
        <v>12</v>
      </c>
      <c r="AJ70" s="462" t="s">
        <v>47</v>
      </c>
      <c r="AK70" s="425"/>
      <c r="AL70" s="424" t="s">
        <v>48</v>
      </c>
      <c r="AM70" s="425"/>
      <c r="AN70" s="28"/>
      <c r="AO70" s="447" t="s">
        <v>51</v>
      </c>
      <c r="AP70" s="448"/>
      <c r="AQ70" s="449"/>
    </row>
    <row r="71" spans="1:43" ht="29.1" customHeight="1" thickBot="1" x14ac:dyDescent="0.3">
      <c r="A71" s="276" t="s">
        <v>2</v>
      </c>
      <c r="B71" s="461"/>
      <c r="C71" s="43" t="s">
        <v>52</v>
      </c>
      <c r="D71" s="30" t="s">
        <v>53</v>
      </c>
      <c r="E71" s="44" t="s">
        <v>52</v>
      </c>
      <c r="F71" s="30" t="s">
        <v>53</v>
      </c>
      <c r="G71" s="12"/>
      <c r="H71" s="296" t="s">
        <v>56</v>
      </c>
      <c r="I71" s="458" t="str">
        <f>IF(D80=0,"",IF(AND(D72&gt;=C72*0.4,D73&gt;=C73*0.4,D77&gt;=C77*0.4,D78&gt;=C78*0.4,D79&gt;=C79*0.4,D74&gt;=C74*0.4,D75&gt;=C75*0.4,D76&gt;=C76*0.4),LOOKUP(D80,'النتيجة النهائية'!$AF$6:$AG$10),"ضعيف ويحتاج الى اهتمام في المواد"))</f>
        <v/>
      </c>
      <c r="J71" s="459"/>
      <c r="L71" s="276" t="s">
        <v>2</v>
      </c>
      <c r="M71" s="461"/>
      <c r="N71" s="43" t="s">
        <v>52</v>
      </c>
      <c r="O71" s="30" t="s">
        <v>53</v>
      </c>
      <c r="P71" s="44" t="s">
        <v>52</v>
      </c>
      <c r="Q71" s="30" t="s">
        <v>53</v>
      </c>
      <c r="R71" s="12"/>
      <c r="S71" s="296" t="s">
        <v>56</v>
      </c>
      <c r="T71" s="458" t="str">
        <f>IF(O80=0,"",IF(AND(O72&gt;=N72*0.4,O73&gt;=N73*0.4,O77&gt;=N77*0.4,O78&gt;=N78*0.4,O79&gt;=N79*0.4,O74&gt;=N74*0.4,O75&gt;=N75*0.4,O76&gt;=N76*0.4),LOOKUP(O80,'النتيجة النهائية'!$AF$6:$AG$10),"ضعيف ويحتاج الى اهتمام في المواد"))</f>
        <v/>
      </c>
      <c r="U71" s="459"/>
      <c r="W71" s="276" t="s">
        <v>2</v>
      </c>
      <c r="X71" s="461"/>
      <c r="Y71" s="43" t="s">
        <v>52</v>
      </c>
      <c r="Z71" s="30" t="s">
        <v>53</v>
      </c>
      <c r="AA71" s="44" t="s">
        <v>52</v>
      </c>
      <c r="AB71" s="30" t="s">
        <v>53</v>
      </c>
      <c r="AC71" s="12"/>
      <c r="AD71" s="296" t="s">
        <v>56</v>
      </c>
      <c r="AE71" s="458" t="str">
        <f>IF(Z80=0,"",IF(AND(Z72&gt;=Y72*0.4,Z73&gt;=Y73*0.4,Z77&gt;=Y77*0.4,Z78&gt;=Y78*0.4,Z79&gt;=Y79*0.4,Z74&gt;=Y74*0.4,Z75&gt;=Y75*0.4,Z76&gt;=Y76*0.4),LOOKUP(Z80,'النتيجة النهائية'!$AF$6:$AG$10),"ضعيف ويحتاج الى اهتمام في المواد"))</f>
        <v/>
      </c>
      <c r="AF71" s="459"/>
      <c r="AH71" s="276" t="s">
        <v>2</v>
      </c>
      <c r="AI71" s="461"/>
      <c r="AJ71" s="43" t="s">
        <v>52</v>
      </c>
      <c r="AK71" s="30" t="s">
        <v>53</v>
      </c>
      <c r="AL71" s="44" t="s">
        <v>52</v>
      </c>
      <c r="AM71" s="30" t="s">
        <v>53</v>
      </c>
      <c r="AN71" s="12"/>
      <c r="AO71" s="296" t="s">
        <v>56</v>
      </c>
      <c r="AP71" s="458" t="str">
        <f>IF(AK80=0,"",IF(AND(AK72&gt;=AJ72*0.4,AK73&gt;=AJ73*0.4,AK77&gt;=AJ77*0.4,AK78&gt;=AJ78*0.4,AK79&gt;=AJ79*0.4,AK74&gt;=AJ74*0.4,AK75&gt;=AJ75*0.4,AK76&gt;=AJ76*0.4),LOOKUP(AK80,'النتيجة النهائية'!$AF$6:$AG$10),"ضعيف ويحتاج الى اهتمام في المواد"))</f>
        <v/>
      </c>
      <c r="AQ71" s="459"/>
    </row>
    <row r="72" spans="1:43" ht="29.1" customHeight="1" x14ac:dyDescent="0.25">
      <c r="A72" s="274" t="str">
        <f>ادخال1!$F$9</f>
        <v>التربية الإسلامية</v>
      </c>
      <c r="B72" s="50">
        <f>ادخال1!$F$7</f>
        <v>3</v>
      </c>
      <c r="C72" s="45">
        <f t="shared" ref="C72:C74" si="26">40*B72*0.3</f>
        <v>36</v>
      </c>
      <c r="D72" s="2" t="str">
        <f xml:space="preserve"> IFERROR(VLOOKUP(H84,اسماء,5,0),"")</f>
        <v/>
      </c>
      <c r="E72" s="47">
        <f t="shared" ref="E72:E74" si="27">40*B72*0.3</f>
        <v>36</v>
      </c>
      <c r="F72" s="2" t="str">
        <f>IFERROR(VLOOKUP(H84,اسماء,18,0),"")</f>
        <v/>
      </c>
      <c r="G72" s="20"/>
      <c r="H72" s="29" t="str">
        <f>IF(D72=0,"",IF(D72&lt;C72*0.4,A72,""))</f>
        <v/>
      </c>
      <c r="I72" s="31" t="str">
        <f>IF(D73=0,"",IF(D73&lt;C73*0.4,A73,""))</f>
        <v/>
      </c>
      <c r="J72" s="30" t="str">
        <f>IF(D74=0,"",IF(D74&lt;C74*0.4,A74,""))</f>
        <v/>
      </c>
      <c r="L72" s="274" t="str">
        <f>ادخال1!$F$9</f>
        <v>التربية الإسلامية</v>
      </c>
      <c r="M72" s="50">
        <f>ادخال1!$F$7</f>
        <v>3</v>
      </c>
      <c r="N72" s="45">
        <f t="shared" ref="N72:N74" si="28">40*M72*0.3</f>
        <v>36</v>
      </c>
      <c r="O72" s="2" t="str">
        <f xml:space="preserve"> IFERROR(VLOOKUP(S84,اسماء,5,0),"")</f>
        <v/>
      </c>
      <c r="P72" s="47">
        <f t="shared" ref="P72:P74" si="29">40*M72*0.3</f>
        <v>36</v>
      </c>
      <c r="Q72" s="2" t="str">
        <f>IFERROR(VLOOKUP(S84,اسماء,18,0),"")</f>
        <v/>
      </c>
      <c r="R72" s="20"/>
      <c r="S72" s="29" t="str">
        <f>IF(O72=0,"",IF(O72&lt;N72*0.4,L72,""))</f>
        <v/>
      </c>
      <c r="T72" s="31" t="str">
        <f>IF(O73=0,"",IF(O73&lt;N73*0.4,L73,""))</f>
        <v/>
      </c>
      <c r="U72" s="30" t="str">
        <f>IF(O74=0,"",IF(O74&lt;N74*0.4,L74,""))</f>
        <v/>
      </c>
      <c r="W72" s="274" t="str">
        <f>ادخال1!$F$9</f>
        <v>التربية الإسلامية</v>
      </c>
      <c r="X72" s="50">
        <f>ادخال1!$F$7</f>
        <v>3</v>
      </c>
      <c r="Y72" s="45">
        <f t="shared" ref="Y72:Y74" si="30">40*X72*0.3</f>
        <v>36</v>
      </c>
      <c r="Z72" s="2" t="str">
        <f xml:space="preserve"> IFERROR(VLOOKUP(AD84,اسماء,5,0),"")</f>
        <v/>
      </c>
      <c r="AA72" s="47">
        <f t="shared" ref="AA72:AA74" si="31">40*X72*0.3</f>
        <v>36</v>
      </c>
      <c r="AB72" s="2" t="str">
        <f>IFERROR(VLOOKUP(AD84,اسماء,18,0),"")</f>
        <v/>
      </c>
      <c r="AC72" s="20"/>
      <c r="AD72" s="29" t="str">
        <f>IF(Z72=0,"",IF(Z72&lt;Y72*0.4,W72,""))</f>
        <v/>
      </c>
      <c r="AE72" s="31" t="str">
        <f>IF(Z73=0,"",IF(Z73&lt;Y73*0.4,W73,""))</f>
        <v/>
      </c>
      <c r="AF72" s="30" t="str">
        <f>IF(Z74=0,"",IF(Z74&lt;Y74*0.4,W74,""))</f>
        <v/>
      </c>
      <c r="AH72" s="274" t="str">
        <f>ادخال1!$F$9</f>
        <v>التربية الإسلامية</v>
      </c>
      <c r="AI72" s="50">
        <f>ادخال1!$F$7</f>
        <v>3</v>
      </c>
      <c r="AJ72" s="45">
        <f t="shared" ref="AJ72:AJ74" si="32">40*AI72*0.3</f>
        <v>36</v>
      </c>
      <c r="AK72" s="2" t="str">
        <f xml:space="preserve"> IFERROR(VLOOKUP(AO84,اسماء,5,0),"")</f>
        <v/>
      </c>
      <c r="AL72" s="47">
        <f t="shared" ref="AL72:AL74" si="33">40*AI72*0.3</f>
        <v>36</v>
      </c>
      <c r="AM72" s="2" t="str">
        <f>IFERROR(VLOOKUP(AO84,اسماء,18,0),"")</f>
        <v/>
      </c>
      <c r="AN72" s="20"/>
      <c r="AO72" s="29" t="str">
        <f>IF(AK72=0,"",IF(AK72&lt;AJ72*0.4,AH72,""))</f>
        <v/>
      </c>
      <c r="AP72" s="31" t="str">
        <f>IF(AK73=0,"",IF(AK73&lt;AJ73*0.4,AH73,""))</f>
        <v/>
      </c>
      <c r="AQ72" s="30" t="str">
        <f>IF(AK74=0,"",IF(AK74&lt;AJ74*0.4,AH74,""))</f>
        <v/>
      </c>
    </row>
    <row r="73" spans="1:43" ht="29.1" customHeight="1" thickBot="1" x14ac:dyDescent="0.3">
      <c r="A73" s="60" t="str">
        <f>ادخال1!$G$9</f>
        <v>اللغة العربية</v>
      </c>
      <c r="B73" s="51">
        <f>ادخال1!$G$7</f>
        <v>4</v>
      </c>
      <c r="C73" s="45">
        <f t="shared" si="26"/>
        <v>48</v>
      </c>
      <c r="D73" s="2" t="str">
        <f>IFERROR(VLOOKUP(H84,اسماء,6,0),"")</f>
        <v/>
      </c>
      <c r="E73" s="47">
        <f t="shared" si="27"/>
        <v>48</v>
      </c>
      <c r="F73" s="2" t="str">
        <f>IFERROR(VLOOKUP(H84,اسماء,19,0),"")</f>
        <v/>
      </c>
      <c r="G73" s="20"/>
      <c r="H73" s="121" t="str">
        <f>IF(D77=0,"",IF(D77&lt;C77*0.4,A75,""))</f>
        <v/>
      </c>
      <c r="I73" s="293" t="str">
        <f>IF(D79=0,"",IF(D79&lt;C79*0.4,A76,""))</f>
        <v/>
      </c>
      <c r="J73" s="30" t="str">
        <f>IF(D76=0,"",IF(D76&lt;C76*0.4,A77,""))</f>
        <v/>
      </c>
      <c r="L73" s="60" t="str">
        <f>ادخال1!$G$9</f>
        <v>اللغة العربية</v>
      </c>
      <c r="M73" s="51">
        <f>ادخال1!$G$7</f>
        <v>4</v>
      </c>
      <c r="N73" s="45">
        <f t="shared" si="28"/>
        <v>48</v>
      </c>
      <c r="O73" s="2" t="str">
        <f>IFERROR(VLOOKUP(S84,اسماء,6,0),"")</f>
        <v/>
      </c>
      <c r="P73" s="47">
        <f t="shared" si="29"/>
        <v>48</v>
      </c>
      <c r="Q73" s="2" t="str">
        <f>IFERROR(VLOOKUP(S84,اسماء,19,0),"")</f>
        <v/>
      </c>
      <c r="R73" s="20"/>
      <c r="S73" s="121" t="str">
        <f>IF(O77=0,"",IF(O77&lt;N77*0.4,L75,""))</f>
        <v/>
      </c>
      <c r="T73" s="293" t="str">
        <f>IF(O79=0,"",IF(O79&lt;N79*0.4,L76,""))</f>
        <v/>
      </c>
      <c r="U73" s="30" t="str">
        <f>IF(O76=0,"",IF(O76&lt;N76*0.4,L77,""))</f>
        <v/>
      </c>
      <c r="W73" s="60" t="str">
        <f>ادخال1!$G$9</f>
        <v>اللغة العربية</v>
      </c>
      <c r="X73" s="51">
        <f>ادخال1!$G$7</f>
        <v>4</v>
      </c>
      <c r="Y73" s="45">
        <f t="shared" si="30"/>
        <v>48</v>
      </c>
      <c r="Z73" s="2" t="str">
        <f>IFERROR(VLOOKUP(AD84,اسماء,6,0),"")</f>
        <v/>
      </c>
      <c r="AA73" s="47">
        <f t="shared" si="31"/>
        <v>48</v>
      </c>
      <c r="AB73" s="2" t="str">
        <f>IFERROR(VLOOKUP(AD84,اسماء,19,0),"")</f>
        <v/>
      </c>
      <c r="AC73" s="20"/>
      <c r="AD73" s="121" t="str">
        <f>IF(Z77=0,"",IF(Z77&lt;Y77*0.4,W75,""))</f>
        <v/>
      </c>
      <c r="AE73" s="293" t="str">
        <f>IF(Z79=0,"",IF(Z79&lt;Y79*0.4,W76,""))</f>
        <v/>
      </c>
      <c r="AF73" s="30" t="str">
        <f>IF(Z76=0,"",IF(Z76&lt;Y76*0.4,W77,""))</f>
        <v/>
      </c>
      <c r="AH73" s="60" t="str">
        <f>ادخال1!$G$9</f>
        <v>اللغة العربية</v>
      </c>
      <c r="AI73" s="51">
        <f>ادخال1!$G$7</f>
        <v>4</v>
      </c>
      <c r="AJ73" s="45">
        <f t="shared" si="32"/>
        <v>48</v>
      </c>
      <c r="AK73" s="2" t="str">
        <f>IFERROR(VLOOKUP(AO84,اسماء,6,0),"")</f>
        <v/>
      </c>
      <c r="AL73" s="47">
        <f t="shared" si="33"/>
        <v>48</v>
      </c>
      <c r="AM73" s="2" t="str">
        <f>IFERROR(VLOOKUP(AO84,اسماء,19,0),"")</f>
        <v/>
      </c>
      <c r="AN73" s="20"/>
      <c r="AO73" s="121" t="str">
        <f>IF(AK77=0,"",IF(AK77&lt;AJ77*0.4,AH75,""))</f>
        <v/>
      </c>
      <c r="AP73" s="293" t="str">
        <f>IF(AK79=0,"",IF(AK79&lt;AJ79*0.4,AH76,""))</f>
        <v/>
      </c>
      <c r="AQ73" s="30" t="str">
        <f>IF(AK76=0,"",IF(AK76&lt;AJ76*0.4,AH77,""))</f>
        <v/>
      </c>
    </row>
    <row r="74" spans="1:43" ht="29.1" customHeight="1" thickBot="1" x14ac:dyDescent="0.3">
      <c r="A74" s="60" t="str">
        <f>ادخال1!$H$9</f>
        <v>الكتابة</v>
      </c>
      <c r="B74" s="51">
        <f>ادخال1!$H$7</f>
        <v>2</v>
      </c>
      <c r="C74" s="45">
        <f t="shared" si="26"/>
        <v>24</v>
      </c>
      <c r="D74" s="2" t="str">
        <f>IFERROR(VLOOKUP(H84,اسماء,7,0),"")</f>
        <v/>
      </c>
      <c r="E74" s="47">
        <f t="shared" si="27"/>
        <v>24</v>
      </c>
      <c r="F74" s="2" t="str">
        <f>IFERROR(VLOOKUP(H84,اسماء,20,0),"")</f>
        <v/>
      </c>
      <c r="G74" s="20"/>
      <c r="H74" s="121" t="str">
        <f>IF(D78=0,"",IF(D78&lt;C78*0.4,A78,""))</f>
        <v/>
      </c>
      <c r="I74" s="293" t="str">
        <f>IF(D79=0,"",IF(D79&lt;C79*0.4,A79,""))</f>
        <v/>
      </c>
      <c r="J74" s="356"/>
      <c r="L74" s="60" t="str">
        <f>ادخال1!$H$9</f>
        <v>الكتابة</v>
      </c>
      <c r="M74" s="51">
        <f>ادخال1!$H$7</f>
        <v>2</v>
      </c>
      <c r="N74" s="45">
        <f t="shared" si="28"/>
        <v>24</v>
      </c>
      <c r="O74" s="2" t="str">
        <f>IFERROR(VLOOKUP(S84,اسماء,7,0),"")</f>
        <v/>
      </c>
      <c r="P74" s="47">
        <f t="shared" si="29"/>
        <v>24</v>
      </c>
      <c r="Q74" s="2" t="str">
        <f>IFERROR(VLOOKUP(S84,اسماء,20,0),"")</f>
        <v/>
      </c>
      <c r="R74" s="20"/>
      <c r="S74" s="121" t="str">
        <f>IF(O78=0,"",IF(O78&lt;N78*0.4,L78,""))</f>
        <v/>
      </c>
      <c r="T74" s="293" t="str">
        <f>IF(O79=0,"",IF(O79&lt;N79*0.4,L79,""))</f>
        <v/>
      </c>
      <c r="U74" s="356"/>
      <c r="W74" s="60" t="str">
        <f>ادخال1!$H$9</f>
        <v>الكتابة</v>
      </c>
      <c r="X74" s="51">
        <f>ادخال1!$H$7</f>
        <v>2</v>
      </c>
      <c r="Y74" s="45">
        <f t="shared" si="30"/>
        <v>24</v>
      </c>
      <c r="Z74" s="2" t="str">
        <f>IFERROR(VLOOKUP(AD84,اسماء,7,0),"")</f>
        <v/>
      </c>
      <c r="AA74" s="47">
        <f t="shared" si="31"/>
        <v>24</v>
      </c>
      <c r="AB74" s="2" t="str">
        <f>IFERROR(VLOOKUP(AD84,اسماء,20,0),"")</f>
        <v/>
      </c>
      <c r="AC74" s="20"/>
      <c r="AD74" s="121" t="str">
        <f>IF(Z78=0,"",IF(Z78&lt;Y78*0.4,W78,""))</f>
        <v/>
      </c>
      <c r="AE74" s="293" t="str">
        <f>IF(Z79=0,"",IF(Z79&lt;Y79*0.4,W79,""))</f>
        <v/>
      </c>
      <c r="AF74" s="356"/>
      <c r="AH74" s="60" t="str">
        <f>ادخال1!$H$9</f>
        <v>الكتابة</v>
      </c>
      <c r="AI74" s="51">
        <f>ادخال1!$H$7</f>
        <v>2</v>
      </c>
      <c r="AJ74" s="45">
        <f t="shared" si="32"/>
        <v>24</v>
      </c>
      <c r="AK74" s="2" t="str">
        <f>IFERROR(VLOOKUP(AO84,اسماء,7,0),"")</f>
        <v/>
      </c>
      <c r="AL74" s="47">
        <f t="shared" si="33"/>
        <v>24</v>
      </c>
      <c r="AM74" s="2" t="str">
        <f>IFERROR(VLOOKUP(AO84,اسماء,20,0),"")</f>
        <v/>
      </c>
      <c r="AN74" s="20"/>
      <c r="AO74" s="121" t="str">
        <f>IF(AK78=0,"",IF(AK78&lt;AJ78*0.4,AH78,""))</f>
        <v/>
      </c>
      <c r="AP74" s="293" t="str">
        <f>IF(AK79=0,"",IF(AK79&lt;AJ79*0.4,AH79,""))</f>
        <v/>
      </c>
      <c r="AQ74" s="356"/>
    </row>
    <row r="75" spans="1:43" ht="29.1" customHeight="1" x14ac:dyDescent="0.25">
      <c r="A75" s="136" t="str">
        <f>ادخال1!$I$9</f>
        <v>اللغة الإنجليزية</v>
      </c>
      <c r="B75" s="51">
        <f>ادخال1!$I$7</f>
        <v>3</v>
      </c>
      <c r="C75" s="45">
        <f>40*B75*0.3</f>
        <v>36</v>
      </c>
      <c r="D75" s="2" t="str">
        <f>IFERROR(VLOOKUP(H84,اسماء,8,0),"")</f>
        <v/>
      </c>
      <c r="E75" s="47">
        <f>40*B75*0.3</f>
        <v>36</v>
      </c>
      <c r="F75" s="2" t="str">
        <f>IFERROR(VLOOKUP(H84,اسماء,21,0),"")</f>
        <v/>
      </c>
      <c r="G75" s="20"/>
      <c r="H75" s="295" t="s">
        <v>158</v>
      </c>
      <c r="I75" s="458" t="str">
        <f>IF(F80=0,"",IF(AND(F72&gt;=E72*0.4,F73&gt;=E73*0.4,F77&gt;=E77*0.4,F78&gt;=E78*0.4,F79&gt;=E79*0.4,F74&gt;=E74*0.4,F75&gt;=E75*0.4,F76&gt;=E76*0.4),LOOKUP(F80,'النتيجة النهائية'!$AF$6:$AG$10),"ضعيف ويحتاج الى اهتمام في المواد"))</f>
        <v/>
      </c>
      <c r="J75" s="459"/>
      <c r="L75" s="136" t="str">
        <f>ادخال1!$I$9</f>
        <v>اللغة الإنجليزية</v>
      </c>
      <c r="M75" s="51">
        <f>ادخال1!$I$7</f>
        <v>3</v>
      </c>
      <c r="N75" s="45">
        <f>40*M75*0.3</f>
        <v>36</v>
      </c>
      <c r="O75" s="2" t="str">
        <f>IFERROR(VLOOKUP(S84,اسماء,8,0),"")</f>
        <v/>
      </c>
      <c r="P75" s="47">
        <f>40*M75*0.3</f>
        <v>36</v>
      </c>
      <c r="Q75" s="2" t="str">
        <f>IFERROR(VLOOKUP(S84,اسماء,21,0),"")</f>
        <v/>
      </c>
      <c r="R75" s="20"/>
      <c r="S75" s="295" t="s">
        <v>158</v>
      </c>
      <c r="T75" s="458" t="str">
        <f>IF(Q80=0,"",IF(AND(Q72&gt;=P72*0.4,Q73&gt;=P73*0.4,Q77&gt;=P77*0.4,Q78&gt;=P78*0.4,Q79&gt;=P79*0.4,Q74&gt;=P74*0.4,Q75&gt;=P75*0.4,Q76&gt;=P76*0.4),LOOKUP(Q80,'النتيجة النهائية'!$AF$6:$AG$10),"ضعيف ويحتاج الى اهتمام في المواد"))</f>
        <v/>
      </c>
      <c r="U75" s="459"/>
      <c r="W75" s="136" t="str">
        <f>ادخال1!$I$9</f>
        <v>اللغة الإنجليزية</v>
      </c>
      <c r="X75" s="51">
        <f>ادخال1!$I$7</f>
        <v>3</v>
      </c>
      <c r="Y75" s="45">
        <f>40*X75*0.3</f>
        <v>36</v>
      </c>
      <c r="Z75" s="2" t="str">
        <f>IFERROR(VLOOKUP(AD84,اسماء,8,0),"")</f>
        <v/>
      </c>
      <c r="AA75" s="47">
        <f>40*X75*0.3</f>
        <v>36</v>
      </c>
      <c r="AB75" s="2" t="str">
        <f>IFERROR(VLOOKUP(AD84,اسماء,21,0),"")</f>
        <v/>
      </c>
      <c r="AC75" s="20"/>
      <c r="AD75" s="295" t="s">
        <v>158</v>
      </c>
      <c r="AE75" s="458" t="str">
        <f>IF(AB80=0,"",IF(AND(AB72&gt;=AA72*0.4,AB73&gt;=AA73*0.4,AB77&gt;=AA77*0.4,AB78&gt;=AA78*0.4,AB79&gt;=AA79*0.4,AB74&gt;=AA74*0.4,AB75&gt;=AA75*0.4,AB76&gt;=AA76*0.4),LOOKUP(AB80,'النتيجة النهائية'!$AF$6:$AG$10),"ضعيف ويحتاج الى اهتمام في المواد"))</f>
        <v/>
      </c>
      <c r="AF75" s="459"/>
      <c r="AH75" s="136" t="str">
        <f>ادخال1!$I$9</f>
        <v>اللغة الإنجليزية</v>
      </c>
      <c r="AI75" s="51">
        <f>ادخال1!$I$7</f>
        <v>3</v>
      </c>
      <c r="AJ75" s="45">
        <f>40*AI75*0.3</f>
        <v>36</v>
      </c>
      <c r="AK75" s="2" t="str">
        <f>IFERROR(VLOOKUP(AO84,اسماء,8,0),"")</f>
        <v/>
      </c>
      <c r="AL75" s="47">
        <f>40*AI75*0.3</f>
        <v>36</v>
      </c>
      <c r="AM75" s="2" t="str">
        <f>IFERROR(VLOOKUP(AO84,اسماء,21,0),"")</f>
        <v/>
      </c>
      <c r="AN75" s="20"/>
      <c r="AO75" s="295" t="s">
        <v>158</v>
      </c>
      <c r="AP75" s="458" t="str">
        <f>IF(AM80=0,"",IF(AND(AM72&gt;=AL72*0.4,AM73&gt;=AL73*0.4,AM77&gt;=AL77*0.4,AM78&gt;=AL78*0.4,AM79&gt;=AL79*0.4,AM74&gt;=AL74*0.4,AM75&gt;=AL75*0.4,AM76&gt;=AL76*0.4),LOOKUP(AM80,'النتيجة النهائية'!$AF$6:$AG$10),"ضعيف ويحتاج الى اهتمام في المواد"))</f>
        <v/>
      </c>
      <c r="AQ75" s="459"/>
    </row>
    <row r="76" spans="1:43" ht="29.1" customHeight="1" x14ac:dyDescent="0.25">
      <c r="A76" s="136" t="str">
        <f>ادخال1!$J$9</f>
        <v>الحاسوب</v>
      </c>
      <c r="B76" s="51">
        <f>ادخال1!$J$7</f>
        <v>1</v>
      </c>
      <c r="C76" s="45">
        <f>40*B76*0.3</f>
        <v>12</v>
      </c>
      <c r="D76" s="2" t="str">
        <f>IFERROR(VLOOKUP(H84,اسماء,9,0),"")</f>
        <v/>
      </c>
      <c r="E76" s="47">
        <f>40*B76*0.3</f>
        <v>12</v>
      </c>
      <c r="F76" s="2" t="str">
        <f>IFERROR(VLOOKUP(H84,اسماء,22,0),"")</f>
        <v/>
      </c>
      <c r="G76" s="20"/>
      <c r="H76" s="348"/>
      <c r="I76" s="349"/>
      <c r="J76" s="350"/>
      <c r="L76" s="136" t="str">
        <f>ادخال1!$J$9</f>
        <v>الحاسوب</v>
      </c>
      <c r="M76" s="51">
        <f>ادخال1!$J$7</f>
        <v>1</v>
      </c>
      <c r="N76" s="45">
        <f>40*M76*0.3</f>
        <v>12</v>
      </c>
      <c r="O76" s="2" t="str">
        <f>IFERROR(VLOOKUP(S84,اسماء,9,0),"")</f>
        <v/>
      </c>
      <c r="P76" s="47">
        <f>40*M76*0.3</f>
        <v>12</v>
      </c>
      <c r="Q76" s="2" t="str">
        <f>IFERROR(VLOOKUP(S84,اسماء,22,0),"")</f>
        <v/>
      </c>
      <c r="R76" s="20"/>
      <c r="S76" s="348"/>
      <c r="T76" s="349"/>
      <c r="U76" s="350"/>
      <c r="W76" s="136" t="str">
        <f>ادخال1!$J$9</f>
        <v>الحاسوب</v>
      </c>
      <c r="X76" s="51">
        <f>ادخال1!$J$7</f>
        <v>1</v>
      </c>
      <c r="Y76" s="45">
        <f>40*X76*0.3</f>
        <v>12</v>
      </c>
      <c r="Z76" s="2" t="str">
        <f>IFERROR(VLOOKUP(AD84,اسماء,9,0),"")</f>
        <v/>
      </c>
      <c r="AA76" s="47">
        <f>40*X76*0.3</f>
        <v>12</v>
      </c>
      <c r="AB76" s="2" t="str">
        <f>IFERROR(VLOOKUP(AD84,اسماء,22,0),"")</f>
        <v/>
      </c>
      <c r="AC76" s="20"/>
      <c r="AD76" s="348"/>
      <c r="AE76" s="349"/>
      <c r="AF76" s="350"/>
      <c r="AH76" s="136" t="str">
        <f>ادخال1!$J$9</f>
        <v>الحاسوب</v>
      </c>
      <c r="AI76" s="51">
        <f>ادخال1!$J$7</f>
        <v>1</v>
      </c>
      <c r="AJ76" s="45">
        <f>40*AI76*0.3</f>
        <v>12</v>
      </c>
      <c r="AK76" s="2" t="str">
        <f>IFERROR(VLOOKUP(AO84,اسماء,9,0),"")</f>
        <v/>
      </c>
      <c r="AL76" s="47">
        <f>40*AI76*0.3</f>
        <v>12</v>
      </c>
      <c r="AM76" s="2" t="str">
        <f>IFERROR(VLOOKUP(AO84,اسماء,22,0),"")</f>
        <v/>
      </c>
      <c r="AN76" s="20"/>
      <c r="AO76" s="348"/>
      <c r="AP76" s="349"/>
      <c r="AQ76" s="350"/>
    </row>
    <row r="77" spans="1:43" ht="29.1" customHeight="1" x14ac:dyDescent="0.25">
      <c r="A77" s="60" t="str">
        <f>ادخال1!$K$9</f>
        <v>الرياضيات</v>
      </c>
      <c r="B77" s="51">
        <f>ادخال1!$K$7</f>
        <v>5</v>
      </c>
      <c r="C77" s="45">
        <f>40*B77*0.3</f>
        <v>60</v>
      </c>
      <c r="D77" s="2" t="str">
        <f>IFERROR(VLOOKUP(H84,اسماء,10,0),"")</f>
        <v/>
      </c>
      <c r="E77" s="47">
        <f>40*B77*0.3</f>
        <v>60</v>
      </c>
      <c r="F77" s="2" t="str">
        <f>IFERROR(VLOOKUP(H84,اسماء,23,0),"")</f>
        <v/>
      </c>
      <c r="G77" s="20"/>
      <c r="H77" s="29" t="str">
        <f>IF(F72=0,"",IF(F72&lt;E72*0.4,A72,""))</f>
        <v/>
      </c>
      <c r="I77" s="31" t="str">
        <f>IF(F73=0,"",IF(F73&lt;E73*0.4,A73,""))</f>
        <v/>
      </c>
      <c r="J77" s="30" t="str">
        <f>IF(F74=0,"",IF(F74&lt;E74*0.4,A74,""))</f>
        <v/>
      </c>
      <c r="L77" s="60" t="str">
        <f>ادخال1!$K$9</f>
        <v>الرياضيات</v>
      </c>
      <c r="M77" s="51">
        <f>ادخال1!$K$7</f>
        <v>5</v>
      </c>
      <c r="N77" s="45">
        <f>40*M77*0.3</f>
        <v>60</v>
      </c>
      <c r="O77" s="2" t="str">
        <f>IFERROR(VLOOKUP(S84,اسماء,10,0),"")</f>
        <v/>
      </c>
      <c r="P77" s="47">
        <f>40*M77*0.3</f>
        <v>60</v>
      </c>
      <c r="Q77" s="2" t="str">
        <f>IFERROR(VLOOKUP(S84,اسماء,23,0),"")</f>
        <v/>
      </c>
      <c r="R77" s="20"/>
      <c r="S77" s="29" t="str">
        <f>IF(Q72=0,"",IF(Q72&lt;P72*0.4,L72,""))</f>
        <v/>
      </c>
      <c r="T77" s="31" t="str">
        <f>IF(Q73=0,"",IF(Q73&lt;P73*0.4,L73,""))</f>
        <v/>
      </c>
      <c r="U77" s="30" t="str">
        <f>IF(Q74=0,"",IF(Q74&lt;P74*0.4,L74,""))</f>
        <v/>
      </c>
      <c r="W77" s="60" t="str">
        <f>ادخال1!$K$9</f>
        <v>الرياضيات</v>
      </c>
      <c r="X77" s="51">
        <f>ادخال1!$K$7</f>
        <v>5</v>
      </c>
      <c r="Y77" s="45">
        <f>40*X77*0.3</f>
        <v>60</v>
      </c>
      <c r="Z77" s="2" t="str">
        <f>IFERROR(VLOOKUP(AD84,اسماء,10,0),"")</f>
        <v/>
      </c>
      <c r="AA77" s="47">
        <f>40*X77*0.3</f>
        <v>60</v>
      </c>
      <c r="AB77" s="2" t="str">
        <f>IFERROR(VLOOKUP(AD84,اسماء,23,0),"")</f>
        <v/>
      </c>
      <c r="AC77" s="20"/>
      <c r="AD77" s="29" t="str">
        <f>IF(AB72=0,"",IF(AB72&lt;AA72*0.4,W72,""))</f>
        <v/>
      </c>
      <c r="AE77" s="31" t="str">
        <f>IF(AB73=0,"",IF(AB73&lt;AA73*0.4,W73,""))</f>
        <v/>
      </c>
      <c r="AF77" s="30" t="str">
        <f>IF(AB74=0,"",IF(AB74&lt;AA74*0.4,W74,""))</f>
        <v/>
      </c>
      <c r="AH77" s="60" t="str">
        <f>ادخال1!$K$9</f>
        <v>الرياضيات</v>
      </c>
      <c r="AI77" s="51">
        <f>ادخال1!$K$7</f>
        <v>5</v>
      </c>
      <c r="AJ77" s="45">
        <f>40*AI77*0.3</f>
        <v>60</v>
      </c>
      <c r="AK77" s="2" t="str">
        <f>IFERROR(VLOOKUP(AO84,اسماء,10,0),"")</f>
        <v/>
      </c>
      <c r="AL77" s="47">
        <f>40*AI77*0.3</f>
        <v>60</v>
      </c>
      <c r="AM77" s="2" t="str">
        <f>IFERROR(VLOOKUP(AO84,اسماء,23,0),"")</f>
        <v/>
      </c>
      <c r="AN77" s="20"/>
      <c r="AO77" s="29" t="str">
        <f>IF(AM72=0,"",IF(AM72&lt;AL72*0.4,AH72,""))</f>
        <v/>
      </c>
      <c r="AP77" s="31" t="str">
        <f>IF(AM73=0,"",IF(AM73&lt;AL73*0.4,AH73,""))</f>
        <v/>
      </c>
      <c r="AQ77" s="30" t="str">
        <f>IF(AM74=0,"",IF(AM74&lt;AL74*0.4,AH74,""))</f>
        <v/>
      </c>
    </row>
    <row r="78" spans="1:43" ht="29.1" customHeight="1" x14ac:dyDescent="0.25">
      <c r="A78" s="116" t="str">
        <f>ادخال1!$L$9</f>
        <v>العلوم</v>
      </c>
      <c r="B78" s="52">
        <f>ادخال1!$L$7</f>
        <v>3</v>
      </c>
      <c r="C78" s="45">
        <f>40*B78*0.3</f>
        <v>36</v>
      </c>
      <c r="D78" s="2" t="str">
        <f>IFERROR(VLOOKUP(H84,اسماء,11,0),"")</f>
        <v/>
      </c>
      <c r="E78" s="47">
        <f>40*B78*0.3</f>
        <v>36</v>
      </c>
      <c r="F78" s="2" t="str">
        <f>IFERROR(VLOOKUP(H84,اسماء,24,0),"")</f>
        <v/>
      </c>
      <c r="G78" s="20"/>
      <c r="H78" s="29" t="str">
        <f>IF(F75=0,"",IF(F75&lt;E75*0.4,A75,""))</f>
        <v/>
      </c>
      <c r="I78" s="31" t="str">
        <f>IF(F76=0,"",IF(F76&lt;E76*0.4,A76,""))</f>
        <v/>
      </c>
      <c r="J78" s="30" t="str">
        <f>IF(F77=0,"",IF(F77&lt;E77*0.4,A77,""))</f>
        <v/>
      </c>
      <c r="L78" s="116" t="str">
        <f>ادخال1!$L$9</f>
        <v>العلوم</v>
      </c>
      <c r="M78" s="52">
        <f>ادخال1!$L$7</f>
        <v>3</v>
      </c>
      <c r="N78" s="45">
        <f>40*M78*0.3</f>
        <v>36</v>
      </c>
      <c r="O78" s="2" t="str">
        <f>IFERROR(VLOOKUP(S84,اسماء,11,0),"")</f>
        <v/>
      </c>
      <c r="P78" s="47">
        <f>40*M78*0.3</f>
        <v>36</v>
      </c>
      <c r="Q78" s="2" t="str">
        <f>IFERROR(VLOOKUP(S84,اسماء,24,0),"")</f>
        <v/>
      </c>
      <c r="R78" s="20"/>
      <c r="S78" s="29" t="str">
        <f>IF(Q75=0,"",IF(Q75&lt;P75*0.4,L75,""))</f>
        <v/>
      </c>
      <c r="T78" s="31" t="str">
        <f>IF(Q76=0,"",IF(Q76&lt;P76*0.4,L76,""))</f>
        <v/>
      </c>
      <c r="U78" s="30" t="str">
        <f>IF(Q77=0,"",IF(Q77&lt;P77*0.4,L77,""))</f>
        <v/>
      </c>
      <c r="W78" s="116" t="str">
        <f>ادخال1!$L$9</f>
        <v>العلوم</v>
      </c>
      <c r="X78" s="52">
        <f>ادخال1!$L$7</f>
        <v>3</v>
      </c>
      <c r="Y78" s="45">
        <f>40*X78*0.3</f>
        <v>36</v>
      </c>
      <c r="Z78" s="2" t="str">
        <f>IFERROR(VLOOKUP(AD84,اسماء,11,0),"")</f>
        <v/>
      </c>
      <c r="AA78" s="47">
        <f>40*X78*0.3</f>
        <v>36</v>
      </c>
      <c r="AB78" s="2" t="str">
        <f>IFERROR(VLOOKUP(AD84,اسماء,24,0),"")</f>
        <v/>
      </c>
      <c r="AC78" s="20"/>
      <c r="AD78" s="29" t="str">
        <f>IF(AB75=0,"",IF(AB75&lt;AA75*0.4,W75,""))</f>
        <v/>
      </c>
      <c r="AE78" s="31" t="str">
        <f>IF(AB76=0,"",IF(AB76&lt;AA76*0.4,W76,""))</f>
        <v/>
      </c>
      <c r="AF78" s="30" t="str">
        <f>IF(AB77=0,"",IF(AB77&lt;AA77*0.4,W77,""))</f>
        <v/>
      </c>
      <c r="AH78" s="116" t="str">
        <f>ادخال1!$L$9</f>
        <v>العلوم</v>
      </c>
      <c r="AI78" s="52">
        <f>ادخال1!$L$7</f>
        <v>3</v>
      </c>
      <c r="AJ78" s="45">
        <f>40*AI78*0.3</f>
        <v>36</v>
      </c>
      <c r="AK78" s="2" t="str">
        <f>IFERROR(VLOOKUP(AO84,اسماء,11,0),"")</f>
        <v/>
      </c>
      <c r="AL78" s="47">
        <f>40*AI78*0.3</f>
        <v>36</v>
      </c>
      <c r="AM78" s="2" t="str">
        <f>IFERROR(VLOOKUP(AO84,اسماء,24,0),"")</f>
        <v/>
      </c>
      <c r="AN78" s="20"/>
      <c r="AO78" s="29" t="str">
        <f>IF(AM75=0,"",IF(AM75&lt;AL75*0.4,AH75,""))</f>
        <v/>
      </c>
      <c r="AP78" s="31" t="str">
        <f>IF(AM76=0,"",IF(AM76&lt;AL76*0.4,AH76,""))</f>
        <v/>
      </c>
      <c r="AQ78" s="30" t="str">
        <f>IF(AM77=0,"",IF(AM77&lt;AL77*0.4,AH77,""))</f>
        <v/>
      </c>
    </row>
    <row r="79" spans="1:43" ht="29.1" customHeight="1" thickBot="1" x14ac:dyDescent="0.3">
      <c r="A79" s="116" t="str">
        <f>ادخال1!$M$9</f>
        <v>الاجتماعيات</v>
      </c>
      <c r="B79" s="52">
        <f>ادخال1!$M$7</f>
        <v>2</v>
      </c>
      <c r="C79" s="45">
        <f>40*B79*0.3</f>
        <v>24</v>
      </c>
      <c r="D79" s="2" t="str">
        <f>IFERROR(VLOOKUP(H84,اسماء,12,0),"")</f>
        <v/>
      </c>
      <c r="E79" s="47">
        <f>40*B79*0.3</f>
        <v>24</v>
      </c>
      <c r="F79" s="2" t="str">
        <f>IFERROR(VLOOKUP(H84,اسماء,25,0),"")</f>
        <v/>
      </c>
      <c r="G79" s="20"/>
      <c r="H79" s="121" t="str">
        <f>IF(F78=0,"",IF(F78&lt;E78*0.4,A78,""))</f>
        <v/>
      </c>
      <c r="I79" s="293" t="str">
        <f>IF(F79=0,"",IF(F79&lt;E79*0.4,A79,""))</f>
        <v/>
      </c>
      <c r="J79" s="294"/>
      <c r="L79" s="116" t="str">
        <f>ادخال1!$M$9</f>
        <v>الاجتماعيات</v>
      </c>
      <c r="M79" s="52">
        <f>ادخال1!$M$7</f>
        <v>2</v>
      </c>
      <c r="N79" s="45">
        <f>40*M79*0.3</f>
        <v>24</v>
      </c>
      <c r="O79" s="2" t="str">
        <f>IFERROR(VLOOKUP(S84,اسماء,12,0),"")</f>
        <v/>
      </c>
      <c r="P79" s="47">
        <f>40*M79*0.3</f>
        <v>24</v>
      </c>
      <c r="Q79" s="2" t="str">
        <f>IFERROR(VLOOKUP(S84,اسماء,25,0),"")</f>
        <v/>
      </c>
      <c r="R79" s="20"/>
      <c r="S79" s="121" t="str">
        <f>IF(Q78=0,"",IF(Q78&lt;P78*0.4,L78,""))</f>
        <v/>
      </c>
      <c r="T79" s="293" t="str">
        <f>IF(Q79=0,"",IF(Q79&lt;P79*0.4,L79,""))</f>
        <v/>
      </c>
      <c r="U79" s="294"/>
      <c r="W79" s="116" t="str">
        <f>ادخال1!$M$9</f>
        <v>الاجتماعيات</v>
      </c>
      <c r="X79" s="52">
        <f>ادخال1!$M$7</f>
        <v>2</v>
      </c>
      <c r="Y79" s="45">
        <f>40*X79*0.3</f>
        <v>24</v>
      </c>
      <c r="Z79" s="2" t="str">
        <f>IFERROR(VLOOKUP(AD84,اسماء,12,0),"")</f>
        <v/>
      </c>
      <c r="AA79" s="47">
        <f>40*X79*0.3</f>
        <v>24</v>
      </c>
      <c r="AB79" s="2" t="str">
        <f>IFERROR(VLOOKUP(AD84,اسماء,25,0),"")</f>
        <v/>
      </c>
      <c r="AC79" s="20"/>
      <c r="AD79" s="121" t="str">
        <f>IF(AB78=0,"",IF(AB78&lt;AA78*0.4,W78,""))</f>
        <v/>
      </c>
      <c r="AE79" s="293" t="str">
        <f>IF(AB79=0,"",IF(AB79&lt;AA79*0.4,W79,""))</f>
        <v/>
      </c>
      <c r="AF79" s="294"/>
      <c r="AH79" s="116" t="str">
        <f>ادخال1!$M$9</f>
        <v>الاجتماعيات</v>
      </c>
      <c r="AI79" s="52">
        <f>ادخال1!$M$7</f>
        <v>2</v>
      </c>
      <c r="AJ79" s="45">
        <f>40*AI79*0.3</f>
        <v>24</v>
      </c>
      <c r="AK79" s="2" t="str">
        <f>IFERROR(VLOOKUP(AO84,اسماء,12,0),"")</f>
        <v/>
      </c>
      <c r="AL79" s="47">
        <f>40*AI79*0.3</f>
        <v>24</v>
      </c>
      <c r="AM79" s="2" t="str">
        <f>IFERROR(VLOOKUP(AO84,اسماء,25,0),"")</f>
        <v/>
      </c>
      <c r="AN79" s="20"/>
      <c r="AO79" s="121" t="str">
        <f>IF(AM78=0,"",IF(AM78&lt;AL78*0.4,AH78,""))</f>
        <v/>
      </c>
      <c r="AP79" s="293" t="str">
        <f>IF(AM79=0,"",IF(AM79&lt;AL79*0.4,AH79,""))</f>
        <v/>
      </c>
      <c r="AQ79" s="294"/>
    </row>
    <row r="80" spans="1:43" ht="29.1" customHeight="1" thickBot="1" x14ac:dyDescent="0.3">
      <c r="A80" s="62" t="s">
        <v>57</v>
      </c>
      <c r="B80" s="32"/>
      <c r="C80" s="46">
        <f>SUM(C72:C79)</f>
        <v>276</v>
      </c>
      <c r="D80" s="117">
        <f>SUM(D72:D79)</f>
        <v>0</v>
      </c>
      <c r="E80" s="46">
        <f>SUM(E72:E79)</f>
        <v>276</v>
      </c>
      <c r="F80" s="117">
        <f>SUM(F72:F79)</f>
        <v>0</v>
      </c>
      <c r="G80" s="20"/>
      <c r="H80" s="202" t="s">
        <v>66</v>
      </c>
      <c r="I80" s="422" t="str">
        <f>ادخال1!$BP$5</f>
        <v>د.عبدالرحمن خليفة العريبي</v>
      </c>
      <c r="J80" s="423"/>
      <c r="L80" s="62" t="s">
        <v>57</v>
      </c>
      <c r="M80" s="32"/>
      <c r="N80" s="46">
        <f>SUM(N72:N79)</f>
        <v>276</v>
      </c>
      <c r="O80" s="117">
        <f>SUM(O72:O79)</f>
        <v>0</v>
      </c>
      <c r="P80" s="46">
        <f>SUM(P72:P79)</f>
        <v>276</v>
      </c>
      <c r="Q80" s="117">
        <f>SUM(Q72:Q79)</f>
        <v>0</v>
      </c>
      <c r="R80" s="20"/>
      <c r="S80" s="202" t="s">
        <v>66</v>
      </c>
      <c r="T80" s="422" t="str">
        <f>ادخال1!$BP$5</f>
        <v>د.عبدالرحمن خليفة العريبي</v>
      </c>
      <c r="U80" s="423"/>
      <c r="W80" s="62" t="s">
        <v>57</v>
      </c>
      <c r="X80" s="32"/>
      <c r="Y80" s="46">
        <f>SUM(Y72:Y79)</f>
        <v>276</v>
      </c>
      <c r="Z80" s="117">
        <f>SUM(Z72:Z79)</f>
        <v>0</v>
      </c>
      <c r="AA80" s="46">
        <f>SUM(AA72:AA79)</f>
        <v>276</v>
      </c>
      <c r="AB80" s="117">
        <f>SUM(AB72:AB79)</f>
        <v>0</v>
      </c>
      <c r="AC80" s="20"/>
      <c r="AD80" s="202" t="s">
        <v>66</v>
      </c>
      <c r="AE80" s="422" t="str">
        <f>ادخال1!$BP$5</f>
        <v>د.عبدالرحمن خليفة العريبي</v>
      </c>
      <c r="AF80" s="423"/>
      <c r="AH80" s="62" t="s">
        <v>57</v>
      </c>
      <c r="AI80" s="32"/>
      <c r="AJ80" s="46">
        <f>SUM(AJ72:AJ79)</f>
        <v>276</v>
      </c>
      <c r="AK80" s="117">
        <f>SUM(AK72:AK79)</f>
        <v>0</v>
      </c>
      <c r="AL80" s="46">
        <f>SUM(AL72:AL79)</f>
        <v>276</v>
      </c>
      <c r="AM80" s="117">
        <f>SUM(AM72:AM79)</f>
        <v>0</v>
      </c>
      <c r="AN80" s="20"/>
      <c r="AO80" s="202" t="s">
        <v>66</v>
      </c>
      <c r="AP80" s="422" t="str">
        <f>ادخال1!$BP$5</f>
        <v>د.عبدالرحمن خليفة العريبي</v>
      </c>
      <c r="AQ80" s="423"/>
    </row>
    <row r="81" spans="1:43" ht="29.1" customHeight="1" thickBot="1" x14ac:dyDescent="0.3">
      <c r="A81" s="35" t="str">
        <f>ادخال1!$O$8</f>
        <v>التربية الفنية</v>
      </c>
      <c r="B81" s="53">
        <f>ادخال1!$O$7</f>
        <v>1</v>
      </c>
      <c r="C81" s="426" t="str">
        <f>IFERROR(VLOOKUP(H84,اسماء,14,0),"")</f>
        <v/>
      </c>
      <c r="D81" s="427"/>
      <c r="E81" s="426" t="str">
        <f>IFERROR(VLOOKUP(H84,اسماء,27,0),"")</f>
        <v/>
      </c>
      <c r="F81" s="427"/>
      <c r="G81" s="20"/>
      <c r="H81" s="17" t="s">
        <v>68</v>
      </c>
      <c r="I81" s="431">
        <f ca="1">TODAY()</f>
        <v>46035</v>
      </c>
      <c r="J81" s="432"/>
      <c r="L81" s="35" t="str">
        <f>ادخال1!$O$8</f>
        <v>التربية الفنية</v>
      </c>
      <c r="M81" s="53">
        <f>ادخال1!$O$7</f>
        <v>1</v>
      </c>
      <c r="N81" s="426" t="str">
        <f>IFERROR(VLOOKUP(S84,اسماء,14,0),"")</f>
        <v/>
      </c>
      <c r="O81" s="427"/>
      <c r="P81" s="426" t="str">
        <f>IFERROR(VLOOKUP(S84,اسماء,27,0),"")</f>
        <v/>
      </c>
      <c r="Q81" s="427"/>
      <c r="R81" s="20"/>
      <c r="S81" s="17" t="s">
        <v>68</v>
      </c>
      <c r="T81" s="431">
        <f ca="1">TODAY()</f>
        <v>46035</v>
      </c>
      <c r="U81" s="432"/>
      <c r="W81" s="35" t="str">
        <f>ادخال1!$O$8</f>
        <v>التربية الفنية</v>
      </c>
      <c r="X81" s="53">
        <f>ادخال1!$O$7</f>
        <v>1</v>
      </c>
      <c r="Y81" s="426" t="str">
        <f>IFERROR(VLOOKUP(AD84,اسماء,14,0),"")</f>
        <v/>
      </c>
      <c r="Z81" s="427"/>
      <c r="AA81" s="426" t="str">
        <f>IFERROR(VLOOKUP(AD84,اسماء,27,0),"")</f>
        <v/>
      </c>
      <c r="AB81" s="427"/>
      <c r="AC81" s="20"/>
      <c r="AD81" s="17" t="s">
        <v>68</v>
      </c>
      <c r="AE81" s="431">
        <f ca="1">TODAY()</f>
        <v>46035</v>
      </c>
      <c r="AF81" s="432"/>
      <c r="AH81" s="35" t="str">
        <f>ادخال1!$O$8</f>
        <v>التربية الفنية</v>
      </c>
      <c r="AI81" s="53">
        <f>ادخال1!$O$7</f>
        <v>1</v>
      </c>
      <c r="AJ81" s="426" t="str">
        <f>IFERROR(VLOOKUP(AO84,اسماء,14,0),"")</f>
        <v/>
      </c>
      <c r="AK81" s="427"/>
      <c r="AL81" s="426" t="str">
        <f>IFERROR(VLOOKUP(AO84,اسماء,27,0),"")</f>
        <v/>
      </c>
      <c r="AM81" s="427"/>
      <c r="AN81" s="20"/>
      <c r="AO81" s="17" t="s">
        <v>68</v>
      </c>
      <c r="AP81" s="431">
        <f ca="1">TODAY()</f>
        <v>46035</v>
      </c>
      <c r="AQ81" s="432"/>
    </row>
    <row r="82" spans="1:43" ht="29.1" customHeight="1" thickBot="1" x14ac:dyDescent="0.3">
      <c r="A82" s="37" t="str">
        <f>ادخال1!$P$8</f>
        <v>التربية البدنية</v>
      </c>
      <c r="B82" s="54">
        <f>ادخال1!$P$7</f>
        <v>2</v>
      </c>
      <c r="C82" s="443" t="str">
        <f>IFERROR(VLOOKUP(H84,اسماء,15,0),"")</f>
        <v/>
      </c>
      <c r="D82" s="444"/>
      <c r="E82" s="443" t="str">
        <f>IFERROR(VLOOKUP(H84,اسماء,28,0),"")</f>
        <v/>
      </c>
      <c r="F82" s="444"/>
      <c r="G82" s="20"/>
      <c r="H82" s="72"/>
      <c r="I82" s="431"/>
      <c r="J82" s="432"/>
      <c r="L82" s="37" t="str">
        <f>ادخال1!$P$8</f>
        <v>التربية البدنية</v>
      </c>
      <c r="M82" s="54">
        <f>ادخال1!$P$7</f>
        <v>2</v>
      </c>
      <c r="N82" s="443" t="str">
        <f>IFERROR(VLOOKUP(S84,اسماء,15,0),"")</f>
        <v/>
      </c>
      <c r="O82" s="444"/>
      <c r="P82" s="443" t="str">
        <f>IFERROR(VLOOKUP(S84,اسماء,28,0),"")</f>
        <v/>
      </c>
      <c r="Q82" s="444"/>
      <c r="R82" s="20"/>
      <c r="S82" s="72"/>
      <c r="T82" s="431"/>
      <c r="U82" s="432"/>
      <c r="W82" s="37" t="str">
        <f>ادخال1!$P$8</f>
        <v>التربية البدنية</v>
      </c>
      <c r="X82" s="54">
        <f>ادخال1!$P$7</f>
        <v>2</v>
      </c>
      <c r="Y82" s="443" t="str">
        <f>IFERROR(VLOOKUP(AD84,اسماء,15,0),"")</f>
        <v/>
      </c>
      <c r="Z82" s="444"/>
      <c r="AA82" s="443" t="str">
        <f>IFERROR(VLOOKUP(AD84,اسماء,28,0),"")</f>
        <v/>
      </c>
      <c r="AB82" s="444"/>
      <c r="AC82" s="20"/>
      <c r="AD82" s="72"/>
      <c r="AE82" s="431"/>
      <c r="AF82" s="432"/>
      <c r="AH82" s="37" t="str">
        <f>ادخال1!$P$8</f>
        <v>التربية البدنية</v>
      </c>
      <c r="AI82" s="54">
        <f>ادخال1!$P$7</f>
        <v>2</v>
      </c>
      <c r="AJ82" s="443" t="str">
        <f>IFERROR(VLOOKUP(AO84,اسماء,15,0),"")</f>
        <v/>
      </c>
      <c r="AK82" s="444"/>
      <c r="AL82" s="443" t="str">
        <f>IFERROR(VLOOKUP(AO84,اسماء,28,0),"")</f>
        <v/>
      </c>
      <c r="AM82" s="444"/>
      <c r="AN82" s="20"/>
      <c r="AO82" s="72"/>
      <c r="AP82" s="431"/>
      <c r="AQ82" s="432"/>
    </row>
    <row r="83" spans="1:43" ht="29.1" customHeight="1" thickBot="1" x14ac:dyDescent="0.3">
      <c r="A83" s="37" t="str">
        <f>ادخال1!$Q$8</f>
        <v>التربية الموسيقية</v>
      </c>
      <c r="B83" s="54">
        <f>ادخال1!$Q$7</f>
        <v>1</v>
      </c>
      <c r="C83" s="443" t="str">
        <f>IFERROR(VLOOKUP(H85,اسماء,16,0),"")</f>
        <v/>
      </c>
      <c r="D83" s="444"/>
      <c r="E83" s="443" t="str">
        <f>IFERROR(VLOOKUP(H85,اسماء,29,0),"")</f>
        <v/>
      </c>
      <c r="F83" s="444"/>
      <c r="G83" s="20"/>
      <c r="H83" s="72"/>
      <c r="I83" s="346"/>
      <c r="J83" s="347"/>
      <c r="L83" s="37" t="str">
        <f>ادخال1!$Q$8</f>
        <v>التربية الموسيقية</v>
      </c>
      <c r="M83" s="54">
        <f>ادخال1!$Q$7</f>
        <v>1</v>
      </c>
      <c r="N83" s="443" t="str">
        <f>IFERROR(VLOOKUP(S85,اسماء,16,0),"")</f>
        <v/>
      </c>
      <c r="O83" s="444"/>
      <c r="P83" s="443" t="str">
        <f>IFERROR(VLOOKUP(S85,اسماء,29,0),"")</f>
        <v/>
      </c>
      <c r="Q83" s="444"/>
      <c r="R83" s="20"/>
      <c r="S83" s="72"/>
      <c r="T83" s="346"/>
      <c r="U83" s="347"/>
      <c r="W83" s="37" t="str">
        <f>ادخال1!$Q$8</f>
        <v>التربية الموسيقية</v>
      </c>
      <c r="X83" s="54">
        <f>ادخال1!$Q$7</f>
        <v>1</v>
      </c>
      <c r="Y83" s="443" t="str">
        <f>IFERROR(VLOOKUP(AD85,اسماء,16,0),"")</f>
        <v/>
      </c>
      <c r="Z83" s="444"/>
      <c r="AA83" s="443" t="str">
        <f>IFERROR(VLOOKUP(AD85,اسماء,29,0),"")</f>
        <v/>
      </c>
      <c r="AB83" s="444"/>
      <c r="AC83" s="20"/>
      <c r="AD83" s="72"/>
      <c r="AE83" s="346"/>
      <c r="AF83" s="347"/>
      <c r="AH83" s="37" t="str">
        <f>ادخال1!$Q$8</f>
        <v>التربية الموسيقية</v>
      </c>
      <c r="AI83" s="54">
        <f>ادخال1!$Q$7</f>
        <v>1</v>
      </c>
      <c r="AJ83" s="443" t="str">
        <f>IFERROR(VLOOKUP(AO85,اسماء,16,0),"")</f>
        <v/>
      </c>
      <c r="AK83" s="444"/>
      <c r="AL83" s="443" t="str">
        <f>IFERROR(VLOOKUP(AO85,اسماء,29,0),"")</f>
        <v/>
      </c>
      <c r="AM83" s="444"/>
      <c r="AN83" s="20"/>
      <c r="AO83" s="72"/>
      <c r="AP83" s="346"/>
      <c r="AQ83" s="347"/>
    </row>
    <row r="84" spans="1:43" ht="28.5" customHeight="1" thickBot="1" x14ac:dyDescent="0.3">
      <c r="A84" s="198" t="s">
        <v>120</v>
      </c>
      <c r="B84" s="464" t="str">
        <f>IFERROR(VLOOKUP(H84,اسماء,71,0),"")</f>
        <v/>
      </c>
      <c r="C84" s="465" t="str">
        <f>IFERROR(VLOOKUP(G89,اسماء,8,0),"")</f>
        <v/>
      </c>
      <c r="D84" s="465" t="str">
        <f>IFERROR(VLOOKUP(H89,اسماء,8,0),"")</f>
        <v/>
      </c>
      <c r="E84" s="466" t="str">
        <f>IFERROR(VLOOKUP(I89,اسماء,8,0),"")</f>
        <v/>
      </c>
      <c r="F84" s="20"/>
      <c r="G84" s="20"/>
      <c r="H84" s="422">
        <f>INDEX(عمود2,MATCH(J68,عمود1))</f>
        <v>0</v>
      </c>
      <c r="I84" s="422"/>
      <c r="J84" s="423"/>
      <c r="L84" s="198" t="s">
        <v>120</v>
      </c>
      <c r="M84" s="464" t="str">
        <f>IFERROR(VLOOKUP(S84,اسماء,71,0),"")</f>
        <v/>
      </c>
      <c r="N84" s="465" t="str">
        <f>IFERROR(VLOOKUP(R89,اسماء,8,0),"")</f>
        <v/>
      </c>
      <c r="O84" s="465" t="str">
        <f>IFERROR(VLOOKUP(S89,اسماء,8,0),"")</f>
        <v/>
      </c>
      <c r="P84" s="466" t="str">
        <f>IFERROR(VLOOKUP(T89,اسماء,8,0),"")</f>
        <v/>
      </c>
      <c r="Q84" s="20"/>
      <c r="R84" s="20"/>
      <c r="S84" s="422">
        <f>INDEX(عمود2,MATCH(U68,عمود1))</f>
        <v>0</v>
      </c>
      <c r="T84" s="422"/>
      <c r="U84" s="423"/>
      <c r="W84" s="198" t="s">
        <v>120</v>
      </c>
      <c r="X84" s="464" t="str">
        <f>IFERROR(VLOOKUP(AD84,اسماء,71,0),"")</f>
        <v/>
      </c>
      <c r="Y84" s="465" t="str">
        <f>IFERROR(VLOOKUP(AC89,اسماء,8,0),"")</f>
        <v/>
      </c>
      <c r="Z84" s="465" t="str">
        <f>IFERROR(VLOOKUP(AD89,اسماء,8,0),"")</f>
        <v/>
      </c>
      <c r="AA84" s="466" t="str">
        <f>IFERROR(VLOOKUP(AE89,اسماء,8,0),"")</f>
        <v/>
      </c>
      <c r="AB84" s="20"/>
      <c r="AC84" s="20"/>
      <c r="AD84" s="422">
        <f>INDEX(عمود2,MATCH(AF68,عمود1))</f>
        <v>0</v>
      </c>
      <c r="AE84" s="422"/>
      <c r="AF84" s="423"/>
      <c r="AH84" s="198" t="s">
        <v>120</v>
      </c>
      <c r="AI84" s="464" t="str">
        <f>IFERROR(VLOOKUP(AO84,اسماء,71,0),"")</f>
        <v/>
      </c>
      <c r="AJ84" s="465" t="str">
        <f>IFERROR(VLOOKUP(AN89,اسماء,8,0),"")</f>
        <v/>
      </c>
      <c r="AK84" s="465" t="str">
        <f>IFERROR(VLOOKUP(AO89,اسماء,8,0),"")</f>
        <v/>
      </c>
      <c r="AL84" s="466" t="str">
        <f>IFERROR(VLOOKUP(AP89,اسماء,8,0),"")</f>
        <v/>
      </c>
      <c r="AM84" s="20"/>
      <c r="AN84" s="20"/>
      <c r="AO84" s="422">
        <f>INDEX(عمود2,MATCH(AQ68,عمود1))</f>
        <v>0</v>
      </c>
      <c r="AP84" s="422"/>
      <c r="AQ84" s="423"/>
    </row>
    <row r="85" spans="1:43" ht="29.1" customHeight="1" x14ac:dyDescent="0.25">
      <c r="A85" s="467" t="s">
        <v>59</v>
      </c>
      <c r="B85" s="468"/>
      <c r="C85" s="443" t="str">
        <f>IFERROR(VLOOKUP(H84,اسماء,31,0),"")</f>
        <v/>
      </c>
      <c r="D85" s="444"/>
      <c r="E85" s="443" t="str">
        <f>IFERROR(VLOOKUP(H84,اسماء,32,0),"")</f>
        <v/>
      </c>
      <c r="F85" s="444"/>
      <c r="G85" s="20"/>
      <c r="H85" s="454" t="s">
        <v>91</v>
      </c>
      <c r="I85" s="454"/>
      <c r="J85" s="455"/>
      <c r="L85" s="467" t="s">
        <v>59</v>
      </c>
      <c r="M85" s="468"/>
      <c r="N85" s="443" t="str">
        <f>IFERROR(VLOOKUP(S84,اسماء,31,0),"")</f>
        <v/>
      </c>
      <c r="O85" s="444"/>
      <c r="P85" s="443" t="str">
        <f>IFERROR(VLOOKUP(S84,اسماء,32,0),"")</f>
        <v/>
      </c>
      <c r="Q85" s="444"/>
      <c r="R85" s="20"/>
      <c r="S85" s="454" t="s">
        <v>91</v>
      </c>
      <c r="T85" s="454"/>
      <c r="U85" s="455"/>
      <c r="W85" s="467" t="s">
        <v>59</v>
      </c>
      <c r="X85" s="468"/>
      <c r="Y85" s="443" t="str">
        <f>IFERROR(VLOOKUP(AD84,اسماء,31,0),"")</f>
        <v/>
      </c>
      <c r="Z85" s="444"/>
      <c r="AA85" s="443" t="str">
        <f>IFERROR(VLOOKUP(AD84,اسماء,32,0),"")</f>
        <v/>
      </c>
      <c r="AB85" s="444"/>
      <c r="AC85" s="20"/>
      <c r="AD85" s="454" t="s">
        <v>91</v>
      </c>
      <c r="AE85" s="454"/>
      <c r="AF85" s="455"/>
      <c r="AH85" s="467" t="s">
        <v>59</v>
      </c>
      <c r="AI85" s="468"/>
      <c r="AJ85" s="443" t="str">
        <f>IFERROR(VLOOKUP(AO84,اسماء,31,0),"")</f>
        <v/>
      </c>
      <c r="AK85" s="444"/>
      <c r="AL85" s="443" t="str">
        <f>IFERROR(VLOOKUP(AO84,اسماء,32,0),"")</f>
        <v/>
      </c>
      <c r="AM85" s="444"/>
      <c r="AN85" s="20"/>
      <c r="AO85" s="454" t="s">
        <v>91</v>
      </c>
      <c r="AP85" s="454"/>
      <c r="AQ85" s="455"/>
    </row>
    <row r="86" spans="1:43" ht="29.1" customHeight="1" x14ac:dyDescent="0.25">
      <c r="A86" s="469" t="s">
        <v>60</v>
      </c>
      <c r="B86" s="433"/>
      <c r="C86" s="434" t="str">
        <f>IFERROR(VLOOKUP(H84,اسماء,34,0),"")</f>
        <v/>
      </c>
      <c r="D86" s="436"/>
      <c r="E86" s="434" t="str">
        <f>IFERROR(VLOOKUP(H84,اسماء,36,0),"")</f>
        <v/>
      </c>
      <c r="F86" s="436"/>
      <c r="G86" s="20"/>
      <c r="H86" s="454"/>
      <c r="I86" s="454"/>
      <c r="J86" s="455"/>
      <c r="L86" s="469" t="s">
        <v>60</v>
      </c>
      <c r="M86" s="433"/>
      <c r="N86" s="434" t="str">
        <f>IFERROR(VLOOKUP(S84,اسماء,34,0),"")</f>
        <v/>
      </c>
      <c r="O86" s="436"/>
      <c r="P86" s="434" t="str">
        <f>IFERROR(VLOOKUP(S84,اسماء,36,0),"")</f>
        <v/>
      </c>
      <c r="Q86" s="436"/>
      <c r="R86" s="20"/>
      <c r="S86" s="454"/>
      <c r="T86" s="454"/>
      <c r="U86" s="455"/>
      <c r="W86" s="469" t="s">
        <v>60</v>
      </c>
      <c r="X86" s="433"/>
      <c r="Y86" s="434" t="str">
        <f>IFERROR(VLOOKUP(AD84,اسماء,34,0),"")</f>
        <v/>
      </c>
      <c r="Z86" s="436"/>
      <c r="AA86" s="434" t="str">
        <f>IFERROR(VLOOKUP(AD84,اسماء,36,0),"")</f>
        <v/>
      </c>
      <c r="AB86" s="436"/>
      <c r="AC86" s="20"/>
      <c r="AD86" s="454"/>
      <c r="AE86" s="454"/>
      <c r="AF86" s="455"/>
      <c r="AH86" s="469" t="s">
        <v>60</v>
      </c>
      <c r="AI86" s="433"/>
      <c r="AJ86" s="434" t="str">
        <f>IFERROR(VLOOKUP(AO84,اسماء,34,0),"")</f>
        <v/>
      </c>
      <c r="AK86" s="436"/>
      <c r="AL86" s="434" t="str">
        <f>IFERROR(VLOOKUP(AO84,اسماء,36,0),"")</f>
        <v/>
      </c>
      <c r="AM86" s="436"/>
      <c r="AN86" s="20"/>
      <c r="AO86" s="454"/>
      <c r="AP86" s="454"/>
      <c r="AQ86" s="455"/>
    </row>
    <row r="87" spans="1:43" ht="29.1" customHeight="1" thickBot="1" x14ac:dyDescent="0.3">
      <c r="A87" s="450" t="s">
        <v>61</v>
      </c>
      <c r="B87" s="451"/>
      <c r="C87" s="452" t="str">
        <f>IFERROR(VLOOKUP(H84,اسماء,35,0),"")</f>
        <v/>
      </c>
      <c r="D87" s="453"/>
      <c r="E87" s="452" t="str">
        <f>IFERROR(VLOOKUP(H84,اسماء,37,0),"")</f>
        <v/>
      </c>
      <c r="F87" s="453"/>
      <c r="G87" s="20"/>
      <c r="H87" s="456"/>
      <c r="I87" s="456"/>
      <c r="J87" s="457"/>
      <c r="L87" s="450" t="s">
        <v>61</v>
      </c>
      <c r="M87" s="451"/>
      <c r="N87" s="452" t="str">
        <f>IFERROR(VLOOKUP(S84,اسماء,35,0),"")</f>
        <v/>
      </c>
      <c r="O87" s="453"/>
      <c r="P87" s="452" t="str">
        <f>IFERROR(VLOOKUP(S84,اسماء,37,0),"")</f>
        <v/>
      </c>
      <c r="Q87" s="453"/>
      <c r="R87" s="20"/>
      <c r="S87" s="456"/>
      <c r="T87" s="456"/>
      <c r="U87" s="457"/>
      <c r="W87" s="450" t="s">
        <v>61</v>
      </c>
      <c r="X87" s="451"/>
      <c r="Y87" s="452" t="str">
        <f>IFERROR(VLOOKUP(AD84,اسماء,35,0),"")</f>
        <v/>
      </c>
      <c r="Z87" s="453"/>
      <c r="AA87" s="452" t="str">
        <f>IFERROR(VLOOKUP(AD84,اسماء,37,0),"")</f>
        <v/>
      </c>
      <c r="AB87" s="453"/>
      <c r="AC87" s="20"/>
      <c r="AD87" s="456"/>
      <c r="AE87" s="456"/>
      <c r="AF87" s="457"/>
      <c r="AH87" s="450" t="s">
        <v>61</v>
      </c>
      <c r="AI87" s="451"/>
      <c r="AJ87" s="452" t="str">
        <f>IFERROR(VLOOKUP(AO84,اسماء,35,0),"")</f>
        <v/>
      </c>
      <c r="AK87" s="453"/>
      <c r="AL87" s="452" t="str">
        <f>IFERROR(VLOOKUP(AO84,اسماء,37,0),"")</f>
        <v/>
      </c>
      <c r="AM87" s="453"/>
      <c r="AN87" s="20"/>
      <c r="AO87" s="456"/>
      <c r="AP87" s="456"/>
      <c r="AQ87" s="457"/>
    </row>
    <row r="88" spans="1:43" ht="29.1" customHeight="1" thickBot="1" x14ac:dyDescent="0.3"/>
    <row r="89" spans="1:43" ht="29.1" customHeight="1" thickTop="1" x14ac:dyDescent="0.25">
      <c r="A89" s="428" t="s">
        <v>81</v>
      </c>
      <c r="B89" s="429"/>
      <c r="C89" s="429"/>
      <c r="D89" s="430" t="str">
        <f>ادخال1!$N$4</f>
        <v>الرابع</v>
      </c>
      <c r="E89" s="430"/>
      <c r="F89" s="285" t="s">
        <v>82</v>
      </c>
      <c r="G89" s="285"/>
      <c r="H89" s="285"/>
      <c r="I89" s="285"/>
      <c r="J89" s="83">
        <f>J68+1</f>
        <v>19</v>
      </c>
      <c r="L89" s="428" t="s">
        <v>81</v>
      </c>
      <c r="M89" s="429"/>
      <c r="N89" s="429"/>
      <c r="O89" s="430" t="str">
        <f>ادخال1!$N$4</f>
        <v>الرابع</v>
      </c>
      <c r="P89" s="430"/>
      <c r="Q89" s="285" t="s">
        <v>82</v>
      </c>
      <c r="R89" s="285"/>
      <c r="S89" s="285"/>
      <c r="T89" s="285"/>
      <c r="U89" s="83">
        <f>J89+5</f>
        <v>24</v>
      </c>
      <c r="W89" s="428" t="s">
        <v>81</v>
      </c>
      <c r="X89" s="429"/>
      <c r="Y89" s="429"/>
      <c r="Z89" s="430" t="str">
        <f>ادخال1!$N$4</f>
        <v>الرابع</v>
      </c>
      <c r="AA89" s="430"/>
      <c r="AB89" s="285" t="s">
        <v>82</v>
      </c>
      <c r="AC89" s="285"/>
      <c r="AD89" s="285"/>
      <c r="AE89" s="285"/>
      <c r="AF89" s="83">
        <f>U89+5</f>
        <v>29</v>
      </c>
      <c r="AH89" s="428" t="s">
        <v>81</v>
      </c>
      <c r="AI89" s="429"/>
      <c r="AJ89" s="429"/>
      <c r="AK89" s="430" t="str">
        <f>ادخال1!$N$4</f>
        <v>الرابع</v>
      </c>
      <c r="AL89" s="430"/>
      <c r="AM89" s="285" t="s">
        <v>82</v>
      </c>
      <c r="AN89" s="285"/>
      <c r="AO89" s="285"/>
      <c r="AP89" s="285"/>
      <c r="AQ89" s="83">
        <f>AF89+5</f>
        <v>34</v>
      </c>
    </row>
    <row r="90" spans="1:43" ht="29.1" customHeight="1" thickBot="1" x14ac:dyDescent="0.3">
      <c r="A90" s="1" t="s">
        <v>153</v>
      </c>
      <c r="B90" s="480" t="str">
        <f>ادخال1!$B$5</f>
        <v xml:space="preserve">سهول العلم للتعليم الخاص </v>
      </c>
      <c r="C90" s="480"/>
      <c r="D90" s="480"/>
      <c r="E90" s="480"/>
      <c r="F90" s="286" t="s">
        <v>9</v>
      </c>
      <c r="G90" s="445">
        <f>H105</f>
        <v>0</v>
      </c>
      <c r="H90" s="445"/>
      <c r="I90" s="445"/>
      <c r="J90" s="446"/>
      <c r="L90" s="1" t="s">
        <v>153</v>
      </c>
      <c r="M90" s="480" t="str">
        <f>ادخال1!$B$5</f>
        <v xml:space="preserve">سهول العلم للتعليم الخاص </v>
      </c>
      <c r="N90" s="480"/>
      <c r="O90" s="480"/>
      <c r="P90" s="480"/>
      <c r="Q90" s="286" t="s">
        <v>9</v>
      </c>
      <c r="R90" s="445">
        <f>S105</f>
        <v>0</v>
      </c>
      <c r="S90" s="445"/>
      <c r="T90" s="445"/>
      <c r="U90" s="446"/>
      <c r="W90" s="1" t="s">
        <v>153</v>
      </c>
      <c r="X90" s="480" t="str">
        <f>ادخال1!$B$5</f>
        <v xml:space="preserve">سهول العلم للتعليم الخاص </v>
      </c>
      <c r="Y90" s="480"/>
      <c r="Z90" s="480"/>
      <c r="AA90" s="480"/>
      <c r="AB90" s="286" t="s">
        <v>9</v>
      </c>
      <c r="AC90" s="445">
        <f>AD105</f>
        <v>0</v>
      </c>
      <c r="AD90" s="445"/>
      <c r="AE90" s="445"/>
      <c r="AF90" s="446"/>
      <c r="AH90" s="1" t="s">
        <v>153</v>
      </c>
      <c r="AI90" s="480" t="str">
        <f>ادخال1!$B$5</f>
        <v xml:space="preserve">سهول العلم للتعليم الخاص </v>
      </c>
      <c r="AJ90" s="480"/>
      <c r="AK90" s="480"/>
      <c r="AL90" s="480"/>
      <c r="AM90" s="286" t="s">
        <v>9</v>
      </c>
      <c r="AN90" s="445">
        <f>AO105</f>
        <v>0</v>
      </c>
      <c r="AO90" s="445"/>
      <c r="AP90" s="445"/>
      <c r="AQ90" s="446"/>
    </row>
    <row r="91" spans="1:43" ht="29.1" customHeight="1" thickBot="1" x14ac:dyDescent="0.3">
      <c r="A91" s="275" t="s">
        <v>46</v>
      </c>
      <c r="B91" s="460" t="s">
        <v>12</v>
      </c>
      <c r="C91" s="462" t="s">
        <v>47</v>
      </c>
      <c r="D91" s="425"/>
      <c r="E91" s="424" t="s">
        <v>48</v>
      </c>
      <c r="F91" s="425"/>
      <c r="G91" s="28"/>
      <c r="H91" s="447" t="s">
        <v>51</v>
      </c>
      <c r="I91" s="448"/>
      <c r="J91" s="449"/>
      <c r="L91" s="275" t="s">
        <v>46</v>
      </c>
      <c r="M91" s="460" t="s">
        <v>12</v>
      </c>
      <c r="N91" s="462" t="s">
        <v>47</v>
      </c>
      <c r="O91" s="425"/>
      <c r="P91" s="424" t="s">
        <v>48</v>
      </c>
      <c r="Q91" s="425"/>
      <c r="R91" s="28"/>
      <c r="S91" s="447" t="s">
        <v>51</v>
      </c>
      <c r="T91" s="448"/>
      <c r="U91" s="449"/>
      <c r="W91" s="275" t="s">
        <v>46</v>
      </c>
      <c r="X91" s="460" t="s">
        <v>12</v>
      </c>
      <c r="Y91" s="462" t="s">
        <v>47</v>
      </c>
      <c r="Z91" s="425"/>
      <c r="AA91" s="424" t="s">
        <v>48</v>
      </c>
      <c r="AB91" s="425"/>
      <c r="AC91" s="28"/>
      <c r="AD91" s="447" t="s">
        <v>51</v>
      </c>
      <c r="AE91" s="448"/>
      <c r="AF91" s="449"/>
      <c r="AH91" s="275" t="s">
        <v>46</v>
      </c>
      <c r="AI91" s="460" t="s">
        <v>12</v>
      </c>
      <c r="AJ91" s="462" t="s">
        <v>47</v>
      </c>
      <c r="AK91" s="425"/>
      <c r="AL91" s="424" t="s">
        <v>48</v>
      </c>
      <c r="AM91" s="425"/>
      <c r="AN91" s="28"/>
      <c r="AO91" s="447" t="s">
        <v>51</v>
      </c>
      <c r="AP91" s="448"/>
      <c r="AQ91" s="449"/>
    </row>
    <row r="92" spans="1:43" ht="29.1" customHeight="1" thickBot="1" x14ac:dyDescent="0.3">
      <c r="A92" s="276" t="s">
        <v>2</v>
      </c>
      <c r="B92" s="461"/>
      <c r="C92" s="43" t="s">
        <v>52</v>
      </c>
      <c r="D92" s="30" t="s">
        <v>53</v>
      </c>
      <c r="E92" s="44" t="s">
        <v>52</v>
      </c>
      <c r="F92" s="30" t="s">
        <v>53</v>
      </c>
      <c r="G92" s="12"/>
      <c r="H92" s="296" t="s">
        <v>56</v>
      </c>
      <c r="I92" s="458" t="str">
        <f>IF(D101=0,"",IF(AND(D93&gt;=C93*0.4,D94&gt;=C94*0.4,D98&gt;=C98*0.4,D99&gt;=C99*0.4,D100&gt;=C100*0.4,D95&gt;=C95*0.4,D96&gt;=C96*0.4,D97&gt;=C97*0.4),LOOKUP(D101,'النتيجة النهائية'!$AF$6:$AG$10),"ضعيف ويحتاج الى اهتمام في المواد"))</f>
        <v/>
      </c>
      <c r="J92" s="459"/>
      <c r="L92" s="276" t="s">
        <v>2</v>
      </c>
      <c r="M92" s="461"/>
      <c r="N92" s="43" t="s">
        <v>52</v>
      </c>
      <c r="O92" s="30" t="s">
        <v>53</v>
      </c>
      <c r="P92" s="44" t="s">
        <v>52</v>
      </c>
      <c r="Q92" s="30" t="s">
        <v>53</v>
      </c>
      <c r="R92" s="12"/>
      <c r="S92" s="296" t="s">
        <v>56</v>
      </c>
      <c r="T92" s="458" t="str">
        <f>IF(O101=0,"",IF(AND(O93&gt;=N93*0.4,O94&gt;=N94*0.4,O98&gt;=N98*0.4,O99&gt;=N99*0.4,O100&gt;=N100*0.4,O95&gt;=N95*0.4,O96&gt;=N96*0.4,O97&gt;=N97*0.4),LOOKUP(O101,'النتيجة النهائية'!$AF$6:$AG$10),"ضعيف ويحتاج الى اهتمام في المواد"))</f>
        <v/>
      </c>
      <c r="U92" s="459"/>
      <c r="W92" s="276" t="s">
        <v>2</v>
      </c>
      <c r="X92" s="461"/>
      <c r="Y92" s="43" t="s">
        <v>52</v>
      </c>
      <c r="Z92" s="30" t="s">
        <v>53</v>
      </c>
      <c r="AA92" s="44" t="s">
        <v>52</v>
      </c>
      <c r="AB92" s="30" t="s">
        <v>53</v>
      </c>
      <c r="AC92" s="12"/>
      <c r="AD92" s="296" t="s">
        <v>56</v>
      </c>
      <c r="AE92" s="458" t="str">
        <f>IF(Z101=0,"",IF(AND(Z93&gt;=Y93*0.4,Z94&gt;=Y94*0.4,Z98&gt;=Y98*0.4,Z99&gt;=Y99*0.4,Z100&gt;=Y100*0.4,Z95&gt;=Y95*0.4,Z96&gt;=Y96*0.4,Z97&gt;=Y97*0.4),LOOKUP(Z101,'النتيجة النهائية'!$AF$6:$AG$10),"ضعيف ويحتاج الى اهتمام في المواد"))</f>
        <v/>
      </c>
      <c r="AF92" s="459"/>
      <c r="AH92" s="276" t="s">
        <v>2</v>
      </c>
      <c r="AI92" s="461"/>
      <c r="AJ92" s="43" t="s">
        <v>52</v>
      </c>
      <c r="AK92" s="30" t="s">
        <v>53</v>
      </c>
      <c r="AL92" s="44" t="s">
        <v>52</v>
      </c>
      <c r="AM92" s="30" t="s">
        <v>53</v>
      </c>
      <c r="AN92" s="12"/>
      <c r="AO92" s="296" t="s">
        <v>56</v>
      </c>
      <c r="AP92" s="458" t="str">
        <f>IF(AK101=0,"",IF(AND(AK93&gt;=AJ93*0.4,AK94&gt;=AJ94*0.4,AK98&gt;=AJ98*0.4,AK99&gt;=AJ99*0.4,AK100&gt;=AJ100*0.4,AK95&gt;=AJ95*0.4,AK96&gt;=AJ96*0.4,AK97&gt;=AJ97*0.4),LOOKUP(AK101,'النتيجة النهائية'!$AF$6:$AG$10),"ضعيف ويحتاج الى اهتمام في المواد"))</f>
        <v/>
      </c>
      <c r="AQ92" s="459"/>
    </row>
    <row r="93" spans="1:43" ht="29.1" customHeight="1" x14ac:dyDescent="0.25">
      <c r="A93" s="274" t="str">
        <f>ادخال1!$F$9</f>
        <v>التربية الإسلامية</v>
      </c>
      <c r="B93" s="50">
        <f>ادخال1!$F$7</f>
        <v>3</v>
      </c>
      <c r="C93" s="45">
        <f t="shared" ref="C93:C95" si="34">40*B93*0.3</f>
        <v>36</v>
      </c>
      <c r="D93" s="2" t="str">
        <f xml:space="preserve"> IFERROR(VLOOKUP(H105,اسماء,5,0),"")</f>
        <v/>
      </c>
      <c r="E93" s="47">
        <f t="shared" ref="E93:E95" si="35">40*B93*0.3</f>
        <v>36</v>
      </c>
      <c r="F93" s="2" t="str">
        <f>IFERROR(VLOOKUP(H105,اسماء,18,0),"")</f>
        <v/>
      </c>
      <c r="G93" s="20"/>
      <c r="H93" s="29" t="str">
        <f>IF(D93=0,"",IF(D93&lt;C93*0.4,A93,""))</f>
        <v/>
      </c>
      <c r="I93" s="31" t="str">
        <f>IF(D94=0,"",IF(D94&lt;C94*0.4,A94,""))</f>
        <v/>
      </c>
      <c r="J93" s="30" t="str">
        <f>IF(D95=0,"",IF(D95&lt;C95*0.4,A95,""))</f>
        <v/>
      </c>
      <c r="L93" s="274" t="str">
        <f>ادخال1!$F$9</f>
        <v>التربية الإسلامية</v>
      </c>
      <c r="M93" s="50">
        <f>ادخال1!$F$7</f>
        <v>3</v>
      </c>
      <c r="N93" s="45">
        <f t="shared" ref="N93:N95" si="36">40*M93*0.3</f>
        <v>36</v>
      </c>
      <c r="O93" s="2" t="str">
        <f xml:space="preserve"> IFERROR(VLOOKUP(S105,اسماء,5,0),"")</f>
        <v/>
      </c>
      <c r="P93" s="47">
        <f t="shared" ref="P93:P95" si="37">40*M93*0.3</f>
        <v>36</v>
      </c>
      <c r="Q93" s="2" t="str">
        <f>IFERROR(VLOOKUP(S105,اسماء,18,0),"")</f>
        <v/>
      </c>
      <c r="R93" s="20"/>
      <c r="S93" s="29" t="str">
        <f>IF(O93=0,"",IF(O93&lt;N93*0.4,L93,""))</f>
        <v/>
      </c>
      <c r="T93" s="31" t="str">
        <f>IF(O94=0,"",IF(O94&lt;N94*0.4,L94,""))</f>
        <v/>
      </c>
      <c r="U93" s="30" t="str">
        <f>IF(O95=0,"",IF(O95&lt;N95*0.4,L95,""))</f>
        <v/>
      </c>
      <c r="W93" s="274" t="str">
        <f>ادخال1!$F$9</f>
        <v>التربية الإسلامية</v>
      </c>
      <c r="X93" s="50">
        <f>ادخال1!$F$7</f>
        <v>3</v>
      </c>
      <c r="Y93" s="45">
        <f t="shared" ref="Y93:Y95" si="38">40*X93*0.3</f>
        <v>36</v>
      </c>
      <c r="Z93" s="2" t="str">
        <f xml:space="preserve"> IFERROR(VLOOKUP(AD105,اسماء,5,0),"")</f>
        <v/>
      </c>
      <c r="AA93" s="47">
        <f t="shared" ref="AA93:AA95" si="39">40*X93*0.3</f>
        <v>36</v>
      </c>
      <c r="AB93" s="2" t="str">
        <f>IFERROR(VLOOKUP(AD105,اسماء,18,0),"")</f>
        <v/>
      </c>
      <c r="AC93" s="20"/>
      <c r="AD93" s="29" t="str">
        <f>IF(Z93=0,"",IF(Z93&lt;Y93*0.4,W93,""))</f>
        <v/>
      </c>
      <c r="AE93" s="31" t="str">
        <f>IF(Z94=0,"",IF(Z94&lt;Y94*0.4,W94,""))</f>
        <v/>
      </c>
      <c r="AF93" s="30" t="str">
        <f>IF(Z95=0,"",IF(Z95&lt;Y95*0.4,W95,""))</f>
        <v/>
      </c>
      <c r="AH93" s="274" t="str">
        <f>ادخال1!$F$9</f>
        <v>التربية الإسلامية</v>
      </c>
      <c r="AI93" s="50">
        <f>ادخال1!$F$7</f>
        <v>3</v>
      </c>
      <c r="AJ93" s="45">
        <f t="shared" ref="AJ93:AJ95" si="40">40*AI93*0.3</f>
        <v>36</v>
      </c>
      <c r="AK93" s="2" t="str">
        <f xml:space="preserve"> IFERROR(VLOOKUP(AO105,اسماء,5,0),"")</f>
        <v/>
      </c>
      <c r="AL93" s="47">
        <f t="shared" ref="AL93:AL95" si="41">40*AI93*0.3</f>
        <v>36</v>
      </c>
      <c r="AM93" s="2" t="str">
        <f>IFERROR(VLOOKUP(AO105,اسماء,18,0),"")</f>
        <v/>
      </c>
      <c r="AN93" s="20"/>
      <c r="AO93" s="29" t="str">
        <f>IF(AK93=0,"",IF(AK93&lt;AJ93*0.4,AH93,""))</f>
        <v/>
      </c>
      <c r="AP93" s="31" t="str">
        <f>IF(AK94=0,"",IF(AK94&lt;AJ94*0.4,AH94,""))</f>
        <v/>
      </c>
      <c r="AQ93" s="30" t="str">
        <f>IF(AK95=0,"",IF(AK95&lt;AJ95*0.4,AH95,""))</f>
        <v/>
      </c>
    </row>
    <row r="94" spans="1:43" ht="29.1" customHeight="1" thickBot="1" x14ac:dyDescent="0.3">
      <c r="A94" s="60" t="str">
        <f>ادخال1!$G$9</f>
        <v>اللغة العربية</v>
      </c>
      <c r="B94" s="51">
        <f>ادخال1!$G$7</f>
        <v>4</v>
      </c>
      <c r="C94" s="45">
        <f t="shared" si="34"/>
        <v>48</v>
      </c>
      <c r="D94" s="2" t="str">
        <f>IFERROR(VLOOKUP(H105,اسماء,6,0),"")</f>
        <v/>
      </c>
      <c r="E94" s="47">
        <f t="shared" si="35"/>
        <v>48</v>
      </c>
      <c r="F94" s="2" t="str">
        <f>IFERROR(VLOOKUP(H105,اسماء,19,0),"")</f>
        <v/>
      </c>
      <c r="G94" s="20"/>
      <c r="H94" s="121" t="str">
        <f>IF(D98=0,"",IF(D98&lt;C98*0.4,A96,""))</f>
        <v/>
      </c>
      <c r="I94" s="293" t="str">
        <f>IF(D100=0,"",IF(D100&lt;C100*0.4,A97,""))</f>
        <v/>
      </c>
      <c r="J94" s="30" t="str">
        <f>IF(D97=0,"",IF(D97&lt;C97*0.4,A98,""))</f>
        <v/>
      </c>
      <c r="L94" s="60" t="str">
        <f>ادخال1!$G$9</f>
        <v>اللغة العربية</v>
      </c>
      <c r="M94" s="51">
        <f>ادخال1!$G$7</f>
        <v>4</v>
      </c>
      <c r="N94" s="45">
        <f t="shared" si="36"/>
        <v>48</v>
      </c>
      <c r="O94" s="2" t="str">
        <f>IFERROR(VLOOKUP(S105,اسماء,6,0),"")</f>
        <v/>
      </c>
      <c r="P94" s="47">
        <f t="shared" si="37"/>
        <v>48</v>
      </c>
      <c r="Q94" s="2" t="str">
        <f>IFERROR(VLOOKUP(S105,اسماء,19,0),"")</f>
        <v/>
      </c>
      <c r="R94" s="20"/>
      <c r="S94" s="121" t="str">
        <f>IF(O98=0,"",IF(O98&lt;N98*0.4,L96,""))</f>
        <v/>
      </c>
      <c r="T94" s="293" t="str">
        <f>IF(O100=0,"",IF(O100&lt;N100*0.4,L97,""))</f>
        <v/>
      </c>
      <c r="U94" s="30" t="str">
        <f>IF(O97=0,"",IF(O97&lt;N97*0.4,L98,""))</f>
        <v/>
      </c>
      <c r="W94" s="60" t="str">
        <f>ادخال1!$G$9</f>
        <v>اللغة العربية</v>
      </c>
      <c r="X94" s="51">
        <f>ادخال1!$G$7</f>
        <v>4</v>
      </c>
      <c r="Y94" s="45">
        <f t="shared" si="38"/>
        <v>48</v>
      </c>
      <c r="Z94" s="2" t="str">
        <f>IFERROR(VLOOKUP(AD105,اسماء,6,0),"")</f>
        <v/>
      </c>
      <c r="AA94" s="47">
        <f t="shared" si="39"/>
        <v>48</v>
      </c>
      <c r="AB94" s="2" t="str">
        <f>IFERROR(VLOOKUP(AD105,اسماء,19,0),"")</f>
        <v/>
      </c>
      <c r="AC94" s="20"/>
      <c r="AD94" s="121" t="str">
        <f>IF(Z98=0,"",IF(Z98&lt;Y98*0.4,W96,""))</f>
        <v/>
      </c>
      <c r="AE94" s="293" t="str">
        <f>IF(Z100=0,"",IF(Z100&lt;Y100*0.4,W97,""))</f>
        <v/>
      </c>
      <c r="AF94" s="30" t="str">
        <f>IF(Z97=0,"",IF(Z97&lt;Y97*0.4,W98,""))</f>
        <v/>
      </c>
      <c r="AH94" s="60" t="str">
        <f>ادخال1!$G$9</f>
        <v>اللغة العربية</v>
      </c>
      <c r="AI94" s="51">
        <f>ادخال1!$G$7</f>
        <v>4</v>
      </c>
      <c r="AJ94" s="45">
        <f t="shared" si="40"/>
        <v>48</v>
      </c>
      <c r="AK94" s="2" t="str">
        <f>IFERROR(VLOOKUP(AO105,اسماء,6,0),"")</f>
        <v/>
      </c>
      <c r="AL94" s="47">
        <f t="shared" si="41"/>
        <v>48</v>
      </c>
      <c r="AM94" s="2" t="str">
        <f>IFERROR(VLOOKUP(AO105,اسماء,19,0),"")</f>
        <v/>
      </c>
      <c r="AN94" s="20"/>
      <c r="AO94" s="121" t="str">
        <f>IF(AK98=0,"",IF(AK98&lt;AJ98*0.4,AH96,""))</f>
        <v/>
      </c>
      <c r="AP94" s="293" t="str">
        <f>IF(AK100=0,"",IF(AK100&lt;AJ100*0.4,AH97,""))</f>
        <v/>
      </c>
      <c r="AQ94" s="30" t="str">
        <f>IF(AK97=0,"",IF(AK97&lt;AJ97*0.4,AH98,""))</f>
        <v/>
      </c>
    </row>
    <row r="95" spans="1:43" ht="29.1" customHeight="1" thickBot="1" x14ac:dyDescent="0.3">
      <c r="A95" s="60" t="str">
        <f>ادخال1!$H$9</f>
        <v>الكتابة</v>
      </c>
      <c r="B95" s="51">
        <f>ادخال1!$H$7</f>
        <v>2</v>
      </c>
      <c r="C95" s="45">
        <f t="shared" si="34"/>
        <v>24</v>
      </c>
      <c r="D95" s="2" t="str">
        <f>IFERROR(VLOOKUP(H105,اسماء,7,0),"")</f>
        <v/>
      </c>
      <c r="E95" s="47">
        <f t="shared" si="35"/>
        <v>24</v>
      </c>
      <c r="F95" s="2" t="str">
        <f>IFERROR(VLOOKUP(H105,اسماء,20,0),"")</f>
        <v/>
      </c>
      <c r="G95" s="20"/>
      <c r="H95" s="121" t="str">
        <f>IF(D99=0,"",IF(D99&lt;C99*0.4,A99,""))</f>
        <v/>
      </c>
      <c r="I95" s="293" t="str">
        <f>IF(D100=0,"",IF(D100&lt;C100*0.4,A100,""))</f>
        <v/>
      </c>
      <c r="J95" s="356"/>
      <c r="L95" s="60" t="str">
        <f>ادخال1!$H$9</f>
        <v>الكتابة</v>
      </c>
      <c r="M95" s="51">
        <f>ادخال1!$H$7</f>
        <v>2</v>
      </c>
      <c r="N95" s="45">
        <f t="shared" si="36"/>
        <v>24</v>
      </c>
      <c r="O95" s="2" t="str">
        <f>IFERROR(VLOOKUP(S105,اسماء,7,0),"")</f>
        <v/>
      </c>
      <c r="P95" s="47">
        <f t="shared" si="37"/>
        <v>24</v>
      </c>
      <c r="Q95" s="2" t="str">
        <f>IFERROR(VLOOKUP(S105,اسماء,20,0),"")</f>
        <v/>
      </c>
      <c r="R95" s="20"/>
      <c r="S95" s="121" t="str">
        <f>IF(O99=0,"",IF(O99&lt;N99*0.4,L99,""))</f>
        <v/>
      </c>
      <c r="T95" s="293" t="str">
        <f>IF(O100=0,"",IF(O100&lt;N100*0.4,L100,""))</f>
        <v/>
      </c>
      <c r="U95" s="356"/>
      <c r="W95" s="60" t="str">
        <f>ادخال1!$H$9</f>
        <v>الكتابة</v>
      </c>
      <c r="X95" s="51">
        <f>ادخال1!$H$7</f>
        <v>2</v>
      </c>
      <c r="Y95" s="45">
        <f t="shared" si="38"/>
        <v>24</v>
      </c>
      <c r="Z95" s="2" t="str">
        <f>IFERROR(VLOOKUP(AD105,اسماء,7,0),"")</f>
        <v/>
      </c>
      <c r="AA95" s="47">
        <f t="shared" si="39"/>
        <v>24</v>
      </c>
      <c r="AB95" s="2" t="str">
        <f>IFERROR(VLOOKUP(AD105,اسماء,20,0),"")</f>
        <v/>
      </c>
      <c r="AC95" s="20"/>
      <c r="AD95" s="121" t="str">
        <f>IF(Z99=0,"",IF(Z99&lt;Y99*0.4,W99,""))</f>
        <v/>
      </c>
      <c r="AE95" s="293" t="str">
        <f>IF(Z100=0,"",IF(Z100&lt;Y100*0.4,W100,""))</f>
        <v/>
      </c>
      <c r="AF95" s="356"/>
      <c r="AH95" s="60" t="str">
        <f>ادخال1!$H$9</f>
        <v>الكتابة</v>
      </c>
      <c r="AI95" s="51">
        <f>ادخال1!$H$7</f>
        <v>2</v>
      </c>
      <c r="AJ95" s="45">
        <f t="shared" si="40"/>
        <v>24</v>
      </c>
      <c r="AK95" s="2" t="str">
        <f>IFERROR(VLOOKUP(AO105,اسماء,7,0),"")</f>
        <v/>
      </c>
      <c r="AL95" s="47">
        <f t="shared" si="41"/>
        <v>24</v>
      </c>
      <c r="AM95" s="2" t="str">
        <f>IFERROR(VLOOKUP(AO105,اسماء,20,0),"")</f>
        <v/>
      </c>
      <c r="AN95" s="20"/>
      <c r="AO95" s="121" t="str">
        <f>IF(AK99=0,"",IF(AK99&lt;AJ99*0.4,AH99,""))</f>
        <v/>
      </c>
      <c r="AP95" s="293" t="str">
        <f>IF(AK100=0,"",IF(AK100&lt;AJ100*0.4,AH100,""))</f>
        <v/>
      </c>
      <c r="AQ95" s="356"/>
    </row>
    <row r="96" spans="1:43" ht="29.1" customHeight="1" x14ac:dyDescent="0.25">
      <c r="A96" s="136" t="str">
        <f>ادخال1!$I$9</f>
        <v>اللغة الإنجليزية</v>
      </c>
      <c r="B96" s="51">
        <f>ادخال1!$I$7</f>
        <v>3</v>
      </c>
      <c r="C96" s="45">
        <f>40*B96*0.3</f>
        <v>36</v>
      </c>
      <c r="D96" s="2" t="str">
        <f>IFERROR(VLOOKUP(H105,اسماء,8,0),"")</f>
        <v/>
      </c>
      <c r="E96" s="47">
        <f>40*B96*0.3</f>
        <v>36</v>
      </c>
      <c r="F96" s="2" t="str">
        <f>IFERROR(VLOOKUP(H105,اسماء,21,0),"")</f>
        <v/>
      </c>
      <c r="G96" s="20"/>
      <c r="H96" s="295" t="s">
        <v>158</v>
      </c>
      <c r="I96" s="458" t="str">
        <f>IF(F101=0,"",IF(AND(F93&gt;=E93*0.4,F94&gt;=E94*0.4,F98&gt;=E98*0.4,F99&gt;=E99*0.4,F100&gt;=E100*0.4,F95&gt;=E95*0.4,F96&gt;=E96*0.4,F97&gt;=E97*0.4),LOOKUP(F101,'النتيجة النهائية'!$AF$6:$AG$10),"ضعيف ويحتاج الى اهتمام في المواد"))</f>
        <v/>
      </c>
      <c r="J96" s="459"/>
      <c r="L96" s="136" t="str">
        <f>ادخال1!$I$9</f>
        <v>اللغة الإنجليزية</v>
      </c>
      <c r="M96" s="51">
        <f>ادخال1!$I$7</f>
        <v>3</v>
      </c>
      <c r="N96" s="45">
        <f>40*M96*0.3</f>
        <v>36</v>
      </c>
      <c r="O96" s="2" t="str">
        <f>IFERROR(VLOOKUP(S105,اسماء,8,0),"")</f>
        <v/>
      </c>
      <c r="P96" s="47">
        <f>40*M96*0.3</f>
        <v>36</v>
      </c>
      <c r="Q96" s="2" t="str">
        <f>IFERROR(VLOOKUP(S105,اسماء,21,0),"")</f>
        <v/>
      </c>
      <c r="R96" s="20"/>
      <c r="S96" s="295" t="s">
        <v>158</v>
      </c>
      <c r="T96" s="458" t="str">
        <f>IF(Q101=0,"",IF(AND(Q93&gt;=P93*0.4,Q94&gt;=P94*0.4,Q98&gt;=P98*0.4,Q99&gt;=P99*0.4,Q100&gt;=P100*0.4,Q95&gt;=P95*0.4,Q96&gt;=P96*0.4,Q97&gt;=P97*0.4),LOOKUP(Q101,'النتيجة النهائية'!$AF$6:$AG$10),"ضعيف ويحتاج الى اهتمام في المواد"))</f>
        <v/>
      </c>
      <c r="U96" s="459"/>
      <c r="W96" s="136" t="str">
        <f>ادخال1!$I$9</f>
        <v>اللغة الإنجليزية</v>
      </c>
      <c r="X96" s="51">
        <f>ادخال1!$I$7</f>
        <v>3</v>
      </c>
      <c r="Y96" s="45">
        <f>40*X96*0.3</f>
        <v>36</v>
      </c>
      <c r="Z96" s="2" t="str">
        <f>IFERROR(VLOOKUP(AD105,اسماء,8,0),"")</f>
        <v/>
      </c>
      <c r="AA96" s="47">
        <f>40*X96*0.3</f>
        <v>36</v>
      </c>
      <c r="AB96" s="2" t="str">
        <f>IFERROR(VLOOKUP(AD105,اسماء,21,0),"")</f>
        <v/>
      </c>
      <c r="AC96" s="20"/>
      <c r="AD96" s="295" t="s">
        <v>158</v>
      </c>
      <c r="AE96" s="458" t="str">
        <f>IF(AB101=0,"",IF(AND(AB93&gt;=AA93*0.4,AB94&gt;=AA94*0.4,AB98&gt;=AA98*0.4,AB99&gt;=AA99*0.4,AB100&gt;=AA100*0.4,AB95&gt;=AA95*0.4,AB96&gt;=AA96*0.4,AB97&gt;=AA97*0.4),LOOKUP(AB101,'النتيجة النهائية'!$AF$6:$AG$10),"ضعيف ويحتاج الى اهتمام في المواد"))</f>
        <v/>
      </c>
      <c r="AF96" s="459"/>
      <c r="AH96" s="136" t="str">
        <f>ادخال1!$I$9</f>
        <v>اللغة الإنجليزية</v>
      </c>
      <c r="AI96" s="51">
        <f>ادخال1!$I$7</f>
        <v>3</v>
      </c>
      <c r="AJ96" s="45">
        <f>40*AI96*0.3</f>
        <v>36</v>
      </c>
      <c r="AK96" s="2" t="str">
        <f>IFERROR(VLOOKUP(AO105,اسماء,8,0),"")</f>
        <v/>
      </c>
      <c r="AL96" s="47">
        <f>40*AI96*0.3</f>
        <v>36</v>
      </c>
      <c r="AM96" s="2" t="str">
        <f>IFERROR(VLOOKUP(AO105,اسماء,21,0),"")</f>
        <v/>
      </c>
      <c r="AN96" s="20"/>
      <c r="AO96" s="295" t="s">
        <v>158</v>
      </c>
      <c r="AP96" s="458" t="str">
        <f>IF(AM101=0,"",IF(AND(AM93&gt;=AL93*0.4,AM94&gt;=AL94*0.4,AM98&gt;=AL98*0.4,AM99&gt;=AL99*0.4,AM100&gt;=AL100*0.4,AM95&gt;=AL95*0.4,AM96&gt;=AL96*0.4,AM97&gt;=AL97*0.4),LOOKUP(AM101,'النتيجة النهائية'!$AF$6:$AG$10),"ضعيف ويحتاج الى اهتمام في المواد"))</f>
        <v/>
      </c>
      <c r="AQ96" s="459"/>
    </row>
    <row r="97" spans="1:43" ht="29.1" customHeight="1" x14ac:dyDescent="0.25">
      <c r="A97" s="136" t="str">
        <f>ادخال1!$J$9</f>
        <v>الحاسوب</v>
      </c>
      <c r="B97" s="51">
        <f>ادخال1!$J$7</f>
        <v>1</v>
      </c>
      <c r="C97" s="45">
        <f>40*B97*0.3</f>
        <v>12</v>
      </c>
      <c r="D97" s="2" t="str">
        <f>IFERROR(VLOOKUP(H105,اسماء,9,0),"")</f>
        <v/>
      </c>
      <c r="E97" s="47">
        <f>40*B97*0.3</f>
        <v>12</v>
      </c>
      <c r="F97" s="2" t="str">
        <f>IFERROR(VLOOKUP(H105,اسماء,22,0),"")</f>
        <v/>
      </c>
      <c r="G97" s="20"/>
      <c r="H97" s="348"/>
      <c r="I97" s="349"/>
      <c r="J97" s="350"/>
      <c r="L97" s="136" t="str">
        <f>ادخال1!$J$9</f>
        <v>الحاسوب</v>
      </c>
      <c r="M97" s="51">
        <f>ادخال1!$J$7</f>
        <v>1</v>
      </c>
      <c r="N97" s="45">
        <f>40*M97*0.3</f>
        <v>12</v>
      </c>
      <c r="O97" s="2" t="str">
        <f>IFERROR(VLOOKUP(S105,اسماء,9,0),"")</f>
        <v/>
      </c>
      <c r="P97" s="47">
        <f>40*M97*0.3</f>
        <v>12</v>
      </c>
      <c r="Q97" s="2" t="str">
        <f>IFERROR(VLOOKUP(S105,اسماء,22,0),"")</f>
        <v/>
      </c>
      <c r="R97" s="20"/>
      <c r="S97" s="348"/>
      <c r="T97" s="349"/>
      <c r="U97" s="350"/>
      <c r="W97" s="136" t="str">
        <f>ادخال1!$J$9</f>
        <v>الحاسوب</v>
      </c>
      <c r="X97" s="51">
        <f>ادخال1!$J$7</f>
        <v>1</v>
      </c>
      <c r="Y97" s="45">
        <f>40*X97*0.3</f>
        <v>12</v>
      </c>
      <c r="Z97" s="2" t="str">
        <f>IFERROR(VLOOKUP(AD105,اسماء,9,0),"")</f>
        <v/>
      </c>
      <c r="AA97" s="47">
        <f>40*X97*0.3</f>
        <v>12</v>
      </c>
      <c r="AB97" s="2" t="str">
        <f>IFERROR(VLOOKUP(AD105,اسماء,22,0),"")</f>
        <v/>
      </c>
      <c r="AC97" s="20"/>
      <c r="AD97" s="348"/>
      <c r="AE97" s="349"/>
      <c r="AF97" s="350"/>
      <c r="AH97" s="136" t="str">
        <f>ادخال1!$J$9</f>
        <v>الحاسوب</v>
      </c>
      <c r="AI97" s="51">
        <f>ادخال1!$J$7</f>
        <v>1</v>
      </c>
      <c r="AJ97" s="45">
        <f>40*AI97*0.3</f>
        <v>12</v>
      </c>
      <c r="AK97" s="2" t="str">
        <f>IFERROR(VLOOKUP(AO105,اسماء,9,0),"")</f>
        <v/>
      </c>
      <c r="AL97" s="47">
        <f>40*AI97*0.3</f>
        <v>12</v>
      </c>
      <c r="AM97" s="2" t="str">
        <f>IFERROR(VLOOKUP(AO105,اسماء,22,0),"")</f>
        <v/>
      </c>
      <c r="AN97" s="20"/>
      <c r="AO97" s="348"/>
      <c r="AP97" s="349"/>
      <c r="AQ97" s="350"/>
    </row>
    <row r="98" spans="1:43" ht="29.1" customHeight="1" x14ac:dyDescent="0.25">
      <c r="A98" s="60" t="str">
        <f>ادخال1!$K$9</f>
        <v>الرياضيات</v>
      </c>
      <c r="B98" s="51">
        <f>ادخال1!$K$7</f>
        <v>5</v>
      </c>
      <c r="C98" s="45">
        <f>40*B98*0.3</f>
        <v>60</v>
      </c>
      <c r="D98" s="2" t="str">
        <f>IFERROR(VLOOKUP(H105,اسماء,10,0),"")</f>
        <v/>
      </c>
      <c r="E98" s="47">
        <f>40*B98*0.3</f>
        <v>60</v>
      </c>
      <c r="F98" s="2" t="str">
        <f>IFERROR(VLOOKUP(H105,اسماء,23,0),"")</f>
        <v/>
      </c>
      <c r="G98" s="20"/>
      <c r="H98" s="29" t="str">
        <f>IF(F93=0,"",IF(F93&lt;E93*0.4,A93,""))</f>
        <v/>
      </c>
      <c r="I98" s="31" t="str">
        <f>IF(F94=0,"",IF(F94&lt;E94*0.4,A94,""))</f>
        <v/>
      </c>
      <c r="J98" s="30" t="str">
        <f>IF(F95=0,"",IF(F95&lt;E95*0.4,A95,""))</f>
        <v/>
      </c>
      <c r="L98" s="60" t="str">
        <f>ادخال1!$K$9</f>
        <v>الرياضيات</v>
      </c>
      <c r="M98" s="51">
        <f>ادخال1!$K$7</f>
        <v>5</v>
      </c>
      <c r="N98" s="45">
        <f>40*M98*0.3</f>
        <v>60</v>
      </c>
      <c r="O98" s="2" t="str">
        <f>IFERROR(VLOOKUP(S105,اسماء,10,0),"")</f>
        <v/>
      </c>
      <c r="P98" s="47">
        <f>40*M98*0.3</f>
        <v>60</v>
      </c>
      <c r="Q98" s="2" t="str">
        <f>IFERROR(VLOOKUP(S105,اسماء,23,0),"")</f>
        <v/>
      </c>
      <c r="R98" s="20"/>
      <c r="S98" s="29" t="str">
        <f>IF(Q93=0,"",IF(Q93&lt;P93*0.4,L93,""))</f>
        <v/>
      </c>
      <c r="T98" s="31" t="str">
        <f>IF(Q94=0,"",IF(Q94&lt;P94*0.4,L94,""))</f>
        <v/>
      </c>
      <c r="U98" s="30" t="str">
        <f>IF(Q95=0,"",IF(Q95&lt;P95*0.4,L95,""))</f>
        <v/>
      </c>
      <c r="W98" s="60" t="str">
        <f>ادخال1!$K$9</f>
        <v>الرياضيات</v>
      </c>
      <c r="X98" s="51">
        <f>ادخال1!$K$7</f>
        <v>5</v>
      </c>
      <c r="Y98" s="45">
        <f>40*X98*0.3</f>
        <v>60</v>
      </c>
      <c r="Z98" s="2" t="str">
        <f>IFERROR(VLOOKUP(AD105,اسماء,10,0),"")</f>
        <v/>
      </c>
      <c r="AA98" s="47">
        <f>40*X98*0.3</f>
        <v>60</v>
      </c>
      <c r="AB98" s="2" t="str">
        <f>IFERROR(VLOOKUP(AD105,اسماء,23,0),"")</f>
        <v/>
      </c>
      <c r="AC98" s="20"/>
      <c r="AD98" s="29" t="str">
        <f>IF(AB93=0,"",IF(AB93&lt;AA93*0.4,W93,""))</f>
        <v/>
      </c>
      <c r="AE98" s="31" t="str">
        <f>IF(AB94=0,"",IF(AB94&lt;AA94*0.4,W94,""))</f>
        <v/>
      </c>
      <c r="AF98" s="30" t="str">
        <f>IF(AB95=0,"",IF(AB95&lt;AA95*0.4,W95,""))</f>
        <v/>
      </c>
      <c r="AH98" s="60" t="str">
        <f>ادخال1!$K$9</f>
        <v>الرياضيات</v>
      </c>
      <c r="AI98" s="51">
        <f>ادخال1!$K$7</f>
        <v>5</v>
      </c>
      <c r="AJ98" s="45">
        <f>40*AI98*0.3</f>
        <v>60</v>
      </c>
      <c r="AK98" s="2" t="str">
        <f>IFERROR(VLOOKUP(AO105,اسماء,10,0),"")</f>
        <v/>
      </c>
      <c r="AL98" s="47">
        <f>40*AI98*0.3</f>
        <v>60</v>
      </c>
      <c r="AM98" s="2" t="str">
        <f>IFERROR(VLOOKUP(AO105,اسماء,23,0),"")</f>
        <v/>
      </c>
      <c r="AN98" s="20"/>
      <c r="AO98" s="29" t="str">
        <f>IF(AM93=0,"",IF(AM93&lt;AL93*0.4,AH93,""))</f>
        <v/>
      </c>
      <c r="AP98" s="31" t="str">
        <f>IF(AM94=0,"",IF(AM94&lt;AL94*0.4,AH94,""))</f>
        <v/>
      </c>
      <c r="AQ98" s="30" t="str">
        <f>IF(AM95=0,"",IF(AM95&lt;AL95*0.4,AH95,""))</f>
        <v/>
      </c>
    </row>
    <row r="99" spans="1:43" ht="29.1" customHeight="1" x14ac:dyDescent="0.25">
      <c r="A99" s="116" t="str">
        <f>ادخال1!$L$9</f>
        <v>العلوم</v>
      </c>
      <c r="B99" s="52">
        <f>ادخال1!$L$7</f>
        <v>3</v>
      </c>
      <c r="C99" s="45">
        <f>40*B99*0.3</f>
        <v>36</v>
      </c>
      <c r="D99" s="2" t="str">
        <f>IFERROR(VLOOKUP(H105,اسماء,11,0),"")</f>
        <v/>
      </c>
      <c r="E99" s="47">
        <f>40*B99*0.3</f>
        <v>36</v>
      </c>
      <c r="F99" s="2" t="str">
        <f>IFERROR(VLOOKUP(H105,اسماء,24,0),"")</f>
        <v/>
      </c>
      <c r="G99" s="20"/>
      <c r="H99" s="29" t="str">
        <f>IF(F96=0,"",IF(F96&lt;E96*0.4,A96,""))</f>
        <v/>
      </c>
      <c r="I99" s="31" t="str">
        <f>IF(F97=0,"",IF(F97&lt;E97*0.4,A97,""))</f>
        <v/>
      </c>
      <c r="J99" s="30" t="str">
        <f>IF(F98=0,"",IF(F98&lt;E98*0.4,A98,""))</f>
        <v/>
      </c>
      <c r="L99" s="116" t="str">
        <f>ادخال1!$L$9</f>
        <v>العلوم</v>
      </c>
      <c r="M99" s="52">
        <f>ادخال1!$L$7</f>
        <v>3</v>
      </c>
      <c r="N99" s="45">
        <f>40*M99*0.3</f>
        <v>36</v>
      </c>
      <c r="O99" s="2" t="str">
        <f>IFERROR(VLOOKUP(S105,اسماء,11,0),"")</f>
        <v/>
      </c>
      <c r="P99" s="47">
        <f>40*M99*0.3</f>
        <v>36</v>
      </c>
      <c r="Q99" s="2" t="str">
        <f>IFERROR(VLOOKUP(S105,اسماء,24,0),"")</f>
        <v/>
      </c>
      <c r="R99" s="20"/>
      <c r="S99" s="29" t="str">
        <f>IF(Q96=0,"",IF(Q96&lt;P96*0.4,L96,""))</f>
        <v/>
      </c>
      <c r="T99" s="31" t="str">
        <f>IF(Q97=0,"",IF(Q97&lt;P97*0.4,L97,""))</f>
        <v/>
      </c>
      <c r="U99" s="30" t="str">
        <f>IF(Q98=0,"",IF(Q98&lt;P98*0.4,L98,""))</f>
        <v/>
      </c>
      <c r="W99" s="116" t="str">
        <f>ادخال1!$L$9</f>
        <v>العلوم</v>
      </c>
      <c r="X99" s="52">
        <f>ادخال1!$L$7</f>
        <v>3</v>
      </c>
      <c r="Y99" s="45">
        <f>40*X99*0.3</f>
        <v>36</v>
      </c>
      <c r="Z99" s="2" t="str">
        <f>IFERROR(VLOOKUP(AD105,اسماء,11,0),"")</f>
        <v/>
      </c>
      <c r="AA99" s="47">
        <f>40*X99*0.3</f>
        <v>36</v>
      </c>
      <c r="AB99" s="2" t="str">
        <f>IFERROR(VLOOKUP(AD105,اسماء,24,0),"")</f>
        <v/>
      </c>
      <c r="AC99" s="20"/>
      <c r="AD99" s="29" t="str">
        <f>IF(AB96=0,"",IF(AB96&lt;AA96*0.4,W96,""))</f>
        <v/>
      </c>
      <c r="AE99" s="31" t="str">
        <f>IF(AB97=0,"",IF(AB97&lt;AA97*0.4,W97,""))</f>
        <v/>
      </c>
      <c r="AF99" s="30" t="str">
        <f>IF(AB98=0,"",IF(AB98&lt;AA98*0.4,W98,""))</f>
        <v/>
      </c>
      <c r="AH99" s="116" t="str">
        <f>ادخال1!$L$9</f>
        <v>العلوم</v>
      </c>
      <c r="AI99" s="52">
        <f>ادخال1!$L$7</f>
        <v>3</v>
      </c>
      <c r="AJ99" s="45">
        <f>40*AI99*0.3</f>
        <v>36</v>
      </c>
      <c r="AK99" s="2" t="str">
        <f>IFERROR(VLOOKUP(AO105,اسماء,11,0),"")</f>
        <v/>
      </c>
      <c r="AL99" s="47">
        <f>40*AI99*0.3</f>
        <v>36</v>
      </c>
      <c r="AM99" s="2" t="str">
        <f>IFERROR(VLOOKUP(AO105,اسماء,24,0),"")</f>
        <v/>
      </c>
      <c r="AN99" s="20"/>
      <c r="AO99" s="29" t="str">
        <f>IF(AM96=0,"",IF(AM96&lt;AL96*0.4,AH96,""))</f>
        <v/>
      </c>
      <c r="AP99" s="31" t="str">
        <f>IF(AM97=0,"",IF(AM97&lt;AL97*0.4,AH97,""))</f>
        <v/>
      </c>
      <c r="AQ99" s="30" t="str">
        <f>IF(AM98=0,"",IF(AM98&lt;AL98*0.4,AH98,""))</f>
        <v/>
      </c>
    </row>
    <row r="100" spans="1:43" ht="29.1" customHeight="1" thickBot="1" x14ac:dyDescent="0.3">
      <c r="A100" s="116" t="str">
        <f>ادخال1!$M$9</f>
        <v>الاجتماعيات</v>
      </c>
      <c r="B100" s="52">
        <f>ادخال1!$M$7</f>
        <v>2</v>
      </c>
      <c r="C100" s="45">
        <f>40*B100*0.3</f>
        <v>24</v>
      </c>
      <c r="D100" s="2" t="str">
        <f>IFERROR(VLOOKUP(H105,اسماء,12,0),"")</f>
        <v/>
      </c>
      <c r="E100" s="47">
        <f>40*B100*0.3</f>
        <v>24</v>
      </c>
      <c r="F100" s="2" t="str">
        <f>IFERROR(VLOOKUP(H105,اسماء,25,0),"")</f>
        <v/>
      </c>
      <c r="G100" s="20"/>
      <c r="H100" s="121" t="str">
        <f>IF(F99=0,"",IF(F99&lt;E99*0.4,A99,""))</f>
        <v/>
      </c>
      <c r="I100" s="293" t="str">
        <f>IF(F100=0,"",IF(F100&lt;E100*0.4,A100,""))</f>
        <v/>
      </c>
      <c r="J100" s="294"/>
      <c r="L100" s="116" t="str">
        <f>ادخال1!$M$9</f>
        <v>الاجتماعيات</v>
      </c>
      <c r="M100" s="52">
        <f>ادخال1!$M$7</f>
        <v>2</v>
      </c>
      <c r="N100" s="45">
        <f>40*M100*0.3</f>
        <v>24</v>
      </c>
      <c r="O100" s="2" t="str">
        <f>IFERROR(VLOOKUP(S105,اسماء,12,0),"")</f>
        <v/>
      </c>
      <c r="P100" s="47">
        <f>40*M100*0.3</f>
        <v>24</v>
      </c>
      <c r="Q100" s="2" t="str">
        <f>IFERROR(VLOOKUP(S105,اسماء,25,0),"")</f>
        <v/>
      </c>
      <c r="R100" s="20"/>
      <c r="S100" s="121" t="str">
        <f>IF(Q99=0,"",IF(Q99&lt;P99*0.4,L99,""))</f>
        <v/>
      </c>
      <c r="T100" s="293" t="str">
        <f>IF(Q100=0,"",IF(Q100&lt;P100*0.4,L100,""))</f>
        <v/>
      </c>
      <c r="U100" s="294"/>
      <c r="W100" s="116" t="str">
        <f>ادخال1!$M$9</f>
        <v>الاجتماعيات</v>
      </c>
      <c r="X100" s="52">
        <f>ادخال1!$M$7</f>
        <v>2</v>
      </c>
      <c r="Y100" s="45">
        <f>40*X100*0.3</f>
        <v>24</v>
      </c>
      <c r="Z100" s="2" t="str">
        <f>IFERROR(VLOOKUP(AD105,اسماء,12,0),"")</f>
        <v/>
      </c>
      <c r="AA100" s="47">
        <f>40*X100*0.3</f>
        <v>24</v>
      </c>
      <c r="AB100" s="2" t="str">
        <f>IFERROR(VLOOKUP(AD105,اسماء,25,0),"")</f>
        <v/>
      </c>
      <c r="AC100" s="20"/>
      <c r="AD100" s="121" t="str">
        <f>IF(AB99=0,"",IF(AB99&lt;AA99*0.4,W99,""))</f>
        <v/>
      </c>
      <c r="AE100" s="293" t="str">
        <f>IF(AB100=0,"",IF(AB100&lt;AA100*0.4,W100,""))</f>
        <v/>
      </c>
      <c r="AF100" s="294"/>
      <c r="AH100" s="116" t="str">
        <f>ادخال1!$M$9</f>
        <v>الاجتماعيات</v>
      </c>
      <c r="AI100" s="52">
        <f>ادخال1!$M$7</f>
        <v>2</v>
      </c>
      <c r="AJ100" s="45">
        <f>40*AI100*0.3</f>
        <v>24</v>
      </c>
      <c r="AK100" s="2" t="str">
        <f>IFERROR(VLOOKUP(AO105,اسماء,12,0),"")</f>
        <v/>
      </c>
      <c r="AL100" s="47">
        <f>40*AI100*0.3</f>
        <v>24</v>
      </c>
      <c r="AM100" s="2" t="str">
        <f>IFERROR(VLOOKUP(AO105,اسماء,25,0),"")</f>
        <v/>
      </c>
      <c r="AN100" s="20"/>
      <c r="AO100" s="121" t="str">
        <f>IF(AM99=0,"",IF(AM99&lt;AL99*0.4,AH99,""))</f>
        <v/>
      </c>
      <c r="AP100" s="293" t="str">
        <f>IF(AM100=0,"",IF(AM100&lt;AL100*0.4,AH100,""))</f>
        <v/>
      </c>
      <c r="AQ100" s="294"/>
    </row>
    <row r="101" spans="1:43" ht="29.1" customHeight="1" thickBot="1" x14ac:dyDescent="0.3">
      <c r="A101" s="62" t="s">
        <v>57</v>
      </c>
      <c r="B101" s="32"/>
      <c r="C101" s="46">
        <f>SUM(C93:C100)</f>
        <v>276</v>
      </c>
      <c r="D101" s="117">
        <f>SUM(D93:D100)</f>
        <v>0</v>
      </c>
      <c r="E101" s="46">
        <f>SUM(E93:E100)</f>
        <v>276</v>
      </c>
      <c r="F101" s="117">
        <f>SUM(F93:F100)</f>
        <v>0</v>
      </c>
      <c r="G101" s="20"/>
      <c r="H101" s="202" t="s">
        <v>66</v>
      </c>
      <c r="I101" s="422" t="str">
        <f>ادخال1!$BP$5</f>
        <v>د.عبدالرحمن خليفة العريبي</v>
      </c>
      <c r="J101" s="423"/>
      <c r="L101" s="62" t="s">
        <v>57</v>
      </c>
      <c r="M101" s="32"/>
      <c r="N101" s="46">
        <f>SUM(N93:N100)</f>
        <v>276</v>
      </c>
      <c r="O101" s="117">
        <f>SUM(O93:O100)</f>
        <v>0</v>
      </c>
      <c r="P101" s="46">
        <f>SUM(P93:P100)</f>
        <v>276</v>
      </c>
      <c r="Q101" s="117">
        <f>SUM(Q93:Q100)</f>
        <v>0</v>
      </c>
      <c r="R101" s="20"/>
      <c r="S101" s="202" t="s">
        <v>66</v>
      </c>
      <c r="T101" s="422" t="str">
        <f>ادخال1!$BP$5</f>
        <v>د.عبدالرحمن خليفة العريبي</v>
      </c>
      <c r="U101" s="423"/>
      <c r="W101" s="62" t="s">
        <v>57</v>
      </c>
      <c r="X101" s="32"/>
      <c r="Y101" s="46">
        <f>SUM(Y93:Y100)</f>
        <v>276</v>
      </c>
      <c r="Z101" s="117">
        <f>SUM(Z93:Z100)</f>
        <v>0</v>
      </c>
      <c r="AA101" s="46">
        <f>SUM(AA93:AA100)</f>
        <v>276</v>
      </c>
      <c r="AB101" s="117">
        <f>SUM(AB93:AB100)</f>
        <v>0</v>
      </c>
      <c r="AC101" s="20"/>
      <c r="AD101" s="202" t="s">
        <v>66</v>
      </c>
      <c r="AE101" s="422" t="str">
        <f>ادخال1!$BP$5</f>
        <v>د.عبدالرحمن خليفة العريبي</v>
      </c>
      <c r="AF101" s="423"/>
      <c r="AH101" s="62" t="s">
        <v>57</v>
      </c>
      <c r="AI101" s="32"/>
      <c r="AJ101" s="46">
        <f>SUM(AJ93:AJ100)</f>
        <v>276</v>
      </c>
      <c r="AK101" s="117">
        <f>SUM(AK93:AK100)</f>
        <v>0</v>
      </c>
      <c r="AL101" s="46">
        <f>SUM(AL93:AL100)</f>
        <v>276</v>
      </c>
      <c r="AM101" s="117">
        <f>SUM(AM93:AM100)</f>
        <v>0</v>
      </c>
      <c r="AN101" s="20"/>
      <c r="AO101" s="202" t="s">
        <v>66</v>
      </c>
      <c r="AP101" s="422" t="str">
        <f>ادخال1!$BP$5</f>
        <v>د.عبدالرحمن خليفة العريبي</v>
      </c>
      <c r="AQ101" s="423"/>
    </row>
    <row r="102" spans="1:43" ht="29.1" customHeight="1" thickBot="1" x14ac:dyDescent="0.3">
      <c r="A102" s="35" t="str">
        <f>ادخال1!$O$8</f>
        <v>التربية الفنية</v>
      </c>
      <c r="B102" s="53">
        <f>ادخال1!$O$7</f>
        <v>1</v>
      </c>
      <c r="C102" s="426" t="str">
        <f>IFERROR(VLOOKUP(H105,اسماء,14,0),"")</f>
        <v/>
      </c>
      <c r="D102" s="427"/>
      <c r="E102" s="426" t="str">
        <f>IFERROR(VLOOKUP(H105,اسماء,27,0),"")</f>
        <v/>
      </c>
      <c r="F102" s="427"/>
      <c r="G102" s="20"/>
      <c r="H102" s="17" t="s">
        <v>68</v>
      </c>
      <c r="I102" s="431">
        <f ca="1">TODAY()</f>
        <v>46035</v>
      </c>
      <c r="J102" s="432"/>
      <c r="L102" s="35" t="str">
        <f>ادخال1!$O$8</f>
        <v>التربية الفنية</v>
      </c>
      <c r="M102" s="53">
        <f>ادخال1!$O$7</f>
        <v>1</v>
      </c>
      <c r="N102" s="426" t="str">
        <f>IFERROR(VLOOKUP(S105,اسماء,14,0),"")</f>
        <v/>
      </c>
      <c r="O102" s="427"/>
      <c r="P102" s="426" t="str">
        <f>IFERROR(VLOOKUP(S105,اسماء,27,0),"")</f>
        <v/>
      </c>
      <c r="Q102" s="427"/>
      <c r="R102" s="20"/>
      <c r="S102" s="17" t="s">
        <v>68</v>
      </c>
      <c r="T102" s="431">
        <f ca="1">TODAY()</f>
        <v>46035</v>
      </c>
      <c r="U102" s="432"/>
      <c r="W102" s="35" t="str">
        <f>ادخال1!$O$8</f>
        <v>التربية الفنية</v>
      </c>
      <c r="X102" s="53">
        <f>ادخال1!$O$7</f>
        <v>1</v>
      </c>
      <c r="Y102" s="426" t="str">
        <f>IFERROR(VLOOKUP(AD105,اسماء,14,0),"")</f>
        <v/>
      </c>
      <c r="Z102" s="427"/>
      <c r="AA102" s="426" t="str">
        <f>IFERROR(VLOOKUP(AD105,اسماء,27,0),"")</f>
        <v/>
      </c>
      <c r="AB102" s="427"/>
      <c r="AC102" s="20"/>
      <c r="AD102" s="17" t="s">
        <v>68</v>
      </c>
      <c r="AE102" s="431">
        <f ca="1">TODAY()</f>
        <v>46035</v>
      </c>
      <c r="AF102" s="432"/>
      <c r="AH102" s="35" t="str">
        <f>ادخال1!$O$8</f>
        <v>التربية الفنية</v>
      </c>
      <c r="AI102" s="53">
        <f>ادخال1!$O$7</f>
        <v>1</v>
      </c>
      <c r="AJ102" s="426" t="str">
        <f>IFERROR(VLOOKUP(AO105,اسماء,14,0),"")</f>
        <v/>
      </c>
      <c r="AK102" s="427"/>
      <c r="AL102" s="426" t="str">
        <f>IFERROR(VLOOKUP(AO105,اسماء,27,0),"")</f>
        <v/>
      </c>
      <c r="AM102" s="427"/>
      <c r="AN102" s="20"/>
      <c r="AO102" s="17" t="s">
        <v>68</v>
      </c>
      <c r="AP102" s="431">
        <f ca="1">TODAY()</f>
        <v>46035</v>
      </c>
      <c r="AQ102" s="432"/>
    </row>
    <row r="103" spans="1:43" ht="29.1" customHeight="1" thickBot="1" x14ac:dyDescent="0.3">
      <c r="A103" s="37" t="str">
        <f>ادخال1!$P$8</f>
        <v>التربية البدنية</v>
      </c>
      <c r="B103" s="54">
        <f>ادخال1!$P$7</f>
        <v>2</v>
      </c>
      <c r="C103" s="443" t="str">
        <f>IFERROR(VLOOKUP(H105,اسماء,15,0),"")</f>
        <v/>
      </c>
      <c r="D103" s="444"/>
      <c r="E103" s="443" t="str">
        <f>IFERROR(VLOOKUP(H105,اسماء,28,0),"")</f>
        <v/>
      </c>
      <c r="F103" s="444"/>
      <c r="G103" s="20"/>
      <c r="H103" s="72"/>
      <c r="I103" s="431"/>
      <c r="J103" s="432"/>
      <c r="L103" s="37" t="str">
        <f>ادخال1!$P$8</f>
        <v>التربية البدنية</v>
      </c>
      <c r="M103" s="54">
        <f>ادخال1!$P$7</f>
        <v>2</v>
      </c>
      <c r="N103" s="443" t="str">
        <f>IFERROR(VLOOKUP(S105,اسماء,15,0),"")</f>
        <v/>
      </c>
      <c r="O103" s="444"/>
      <c r="P103" s="443" t="str">
        <f>IFERROR(VLOOKUP(S105,اسماء,28,0),"")</f>
        <v/>
      </c>
      <c r="Q103" s="444"/>
      <c r="R103" s="20"/>
      <c r="S103" s="72"/>
      <c r="T103" s="431"/>
      <c r="U103" s="432"/>
      <c r="W103" s="37" t="str">
        <f>ادخال1!$P$8</f>
        <v>التربية البدنية</v>
      </c>
      <c r="X103" s="54">
        <f>ادخال1!$P$7</f>
        <v>2</v>
      </c>
      <c r="Y103" s="443" t="str">
        <f>IFERROR(VLOOKUP(AD105,اسماء,15,0),"")</f>
        <v/>
      </c>
      <c r="Z103" s="444"/>
      <c r="AA103" s="443" t="str">
        <f>IFERROR(VLOOKUP(AD105,اسماء,28,0),"")</f>
        <v/>
      </c>
      <c r="AB103" s="444"/>
      <c r="AC103" s="20"/>
      <c r="AD103" s="72"/>
      <c r="AE103" s="431"/>
      <c r="AF103" s="432"/>
      <c r="AH103" s="37" t="str">
        <f>ادخال1!$P$8</f>
        <v>التربية البدنية</v>
      </c>
      <c r="AI103" s="54">
        <f>ادخال1!$P$7</f>
        <v>2</v>
      </c>
      <c r="AJ103" s="443" t="str">
        <f>IFERROR(VLOOKUP(AO105,اسماء,15,0),"")</f>
        <v/>
      </c>
      <c r="AK103" s="444"/>
      <c r="AL103" s="443" t="str">
        <f>IFERROR(VLOOKUP(AO105,اسماء,28,0),"")</f>
        <v/>
      </c>
      <c r="AM103" s="444"/>
      <c r="AN103" s="20"/>
      <c r="AO103" s="72"/>
      <c r="AP103" s="431"/>
      <c r="AQ103" s="432"/>
    </row>
    <row r="104" spans="1:43" ht="29.1" customHeight="1" thickBot="1" x14ac:dyDescent="0.3">
      <c r="A104" s="37" t="str">
        <f>ادخال1!$Q$8</f>
        <v>التربية الموسيقية</v>
      </c>
      <c r="B104" s="54">
        <f>ادخال1!$Q$7</f>
        <v>1</v>
      </c>
      <c r="C104" s="443" t="str">
        <f>IFERROR(VLOOKUP(H106,اسماء,16,0),"")</f>
        <v/>
      </c>
      <c r="D104" s="444"/>
      <c r="E104" s="443" t="str">
        <f>IFERROR(VLOOKUP(H106,اسماء,29,0),"")</f>
        <v/>
      </c>
      <c r="F104" s="444"/>
      <c r="G104" s="20"/>
      <c r="H104" s="72"/>
      <c r="I104" s="346"/>
      <c r="J104" s="347"/>
      <c r="L104" s="37" t="str">
        <f>ادخال1!$Q$8</f>
        <v>التربية الموسيقية</v>
      </c>
      <c r="M104" s="54">
        <f>ادخال1!$Q$7</f>
        <v>1</v>
      </c>
      <c r="N104" s="443" t="str">
        <f>IFERROR(VLOOKUP(S106,اسماء,16,0),"")</f>
        <v/>
      </c>
      <c r="O104" s="444"/>
      <c r="P104" s="443" t="str">
        <f>IFERROR(VLOOKUP(S106,اسماء,29,0),"")</f>
        <v/>
      </c>
      <c r="Q104" s="444"/>
      <c r="R104" s="20"/>
      <c r="S104" s="72"/>
      <c r="T104" s="346"/>
      <c r="U104" s="347"/>
      <c r="W104" s="37" t="str">
        <f>ادخال1!$Q$8</f>
        <v>التربية الموسيقية</v>
      </c>
      <c r="X104" s="54">
        <f>ادخال1!$Q$7</f>
        <v>1</v>
      </c>
      <c r="Y104" s="443" t="str">
        <f>IFERROR(VLOOKUP(AD106,اسماء,16,0),"")</f>
        <v/>
      </c>
      <c r="Z104" s="444"/>
      <c r="AA104" s="443" t="str">
        <f>IFERROR(VLOOKUP(AD106,اسماء,29,0),"")</f>
        <v/>
      </c>
      <c r="AB104" s="444"/>
      <c r="AC104" s="20"/>
      <c r="AD104" s="72"/>
      <c r="AE104" s="346"/>
      <c r="AF104" s="347"/>
      <c r="AH104" s="37" t="str">
        <f>ادخال1!$Q$8</f>
        <v>التربية الموسيقية</v>
      </c>
      <c r="AI104" s="54">
        <f>ادخال1!$Q$7</f>
        <v>1</v>
      </c>
      <c r="AJ104" s="443" t="str">
        <f>IFERROR(VLOOKUP(AO106,اسماء,16,0),"")</f>
        <v/>
      </c>
      <c r="AK104" s="444"/>
      <c r="AL104" s="443" t="str">
        <f>IFERROR(VLOOKUP(AO106,اسماء,29,0),"")</f>
        <v/>
      </c>
      <c r="AM104" s="444"/>
      <c r="AN104" s="20"/>
      <c r="AO104" s="72"/>
      <c r="AP104" s="346"/>
      <c r="AQ104" s="347"/>
    </row>
    <row r="105" spans="1:43" ht="25.5" customHeight="1" thickBot="1" x14ac:dyDescent="0.3">
      <c r="A105" s="198" t="s">
        <v>120</v>
      </c>
      <c r="B105" s="464" t="str">
        <f>IFERROR(VLOOKUP(H105,اسماء,71,0),"")</f>
        <v/>
      </c>
      <c r="C105" s="465" t="str">
        <f>IFERROR(VLOOKUP(G110,اسماء,8,0),"")</f>
        <v/>
      </c>
      <c r="D105" s="465" t="str">
        <f>IFERROR(VLOOKUP(H110,اسماء,8,0),"")</f>
        <v/>
      </c>
      <c r="E105" s="466" t="str">
        <f>IFERROR(VLOOKUP(I110,اسماء,8,0),"")</f>
        <v/>
      </c>
      <c r="F105" s="20"/>
      <c r="G105" s="20"/>
      <c r="H105" s="422">
        <f>INDEX(عمود2,MATCH(J89,عمود1))</f>
        <v>0</v>
      </c>
      <c r="I105" s="422"/>
      <c r="J105" s="423"/>
      <c r="L105" s="198" t="s">
        <v>120</v>
      </c>
      <c r="M105" s="464" t="str">
        <f>IFERROR(VLOOKUP(S105,اسماء,71,0),"")</f>
        <v/>
      </c>
      <c r="N105" s="465" t="str">
        <f>IFERROR(VLOOKUP(R110,اسماء,8,0),"")</f>
        <v/>
      </c>
      <c r="O105" s="465" t="str">
        <f>IFERROR(VLOOKUP(S110,اسماء,8,0),"")</f>
        <v/>
      </c>
      <c r="P105" s="466" t="str">
        <f>IFERROR(VLOOKUP(T110,اسماء,8,0),"")</f>
        <v/>
      </c>
      <c r="Q105" s="20"/>
      <c r="R105" s="20"/>
      <c r="S105" s="422">
        <f>INDEX(عمود2,MATCH(U89,عمود1))</f>
        <v>0</v>
      </c>
      <c r="T105" s="422"/>
      <c r="U105" s="423"/>
      <c r="W105" s="198" t="s">
        <v>120</v>
      </c>
      <c r="X105" s="464" t="str">
        <f>IFERROR(VLOOKUP(AD105,اسماء,71,0),"")</f>
        <v/>
      </c>
      <c r="Y105" s="465" t="str">
        <f>IFERROR(VLOOKUP(AC110,اسماء,8,0),"")</f>
        <v/>
      </c>
      <c r="Z105" s="465" t="str">
        <f>IFERROR(VLOOKUP(AD110,اسماء,8,0),"")</f>
        <v/>
      </c>
      <c r="AA105" s="466" t="str">
        <f>IFERROR(VLOOKUP(AE110,اسماء,8,0),"")</f>
        <v/>
      </c>
      <c r="AB105" s="20"/>
      <c r="AC105" s="20"/>
      <c r="AD105" s="422">
        <f>INDEX(عمود2,MATCH(AF89,عمود1))</f>
        <v>0</v>
      </c>
      <c r="AE105" s="422"/>
      <c r="AF105" s="423"/>
      <c r="AH105" s="198" t="s">
        <v>120</v>
      </c>
      <c r="AI105" s="464" t="str">
        <f>IFERROR(VLOOKUP(AO105,اسماء,71,0),"")</f>
        <v/>
      </c>
      <c r="AJ105" s="465" t="str">
        <f>IFERROR(VLOOKUP(AN110,اسماء,8,0),"")</f>
        <v/>
      </c>
      <c r="AK105" s="465" t="str">
        <f>IFERROR(VLOOKUP(AO110,اسماء,8,0),"")</f>
        <v/>
      </c>
      <c r="AL105" s="466" t="str">
        <f>IFERROR(VLOOKUP(AP110,اسماء,8,0),"")</f>
        <v/>
      </c>
      <c r="AM105" s="20"/>
      <c r="AN105" s="20"/>
      <c r="AO105" s="422">
        <f>INDEX(عمود2,MATCH(AQ89,عمود1))</f>
        <v>0</v>
      </c>
      <c r="AP105" s="422"/>
      <c r="AQ105" s="423"/>
    </row>
    <row r="106" spans="1:43" ht="29.1" customHeight="1" x14ac:dyDescent="0.25">
      <c r="A106" s="467" t="s">
        <v>59</v>
      </c>
      <c r="B106" s="468"/>
      <c r="C106" s="443" t="str">
        <f>IFERROR(VLOOKUP(H105,اسماء,31,0),"")</f>
        <v/>
      </c>
      <c r="D106" s="444"/>
      <c r="E106" s="443" t="str">
        <f>IFERROR(VLOOKUP(H105,اسماء,32,0),"")</f>
        <v/>
      </c>
      <c r="F106" s="444"/>
      <c r="G106" s="20"/>
      <c r="H106" s="454" t="s">
        <v>91</v>
      </c>
      <c r="I106" s="454"/>
      <c r="J106" s="455"/>
      <c r="L106" s="467" t="s">
        <v>59</v>
      </c>
      <c r="M106" s="468"/>
      <c r="N106" s="443" t="str">
        <f>IFERROR(VLOOKUP(S105,اسماء,31,0),"")</f>
        <v/>
      </c>
      <c r="O106" s="444"/>
      <c r="P106" s="443" t="str">
        <f>IFERROR(VLOOKUP(S105,اسماء,32,0),"")</f>
        <v/>
      </c>
      <c r="Q106" s="444"/>
      <c r="R106" s="20"/>
      <c r="S106" s="454" t="s">
        <v>91</v>
      </c>
      <c r="T106" s="454"/>
      <c r="U106" s="455"/>
      <c r="W106" s="467" t="s">
        <v>59</v>
      </c>
      <c r="X106" s="468"/>
      <c r="Y106" s="443" t="str">
        <f>IFERROR(VLOOKUP(AD105,اسماء,31,0),"")</f>
        <v/>
      </c>
      <c r="Z106" s="444"/>
      <c r="AA106" s="443" t="str">
        <f>IFERROR(VLOOKUP(AD105,اسماء,32,0),"")</f>
        <v/>
      </c>
      <c r="AB106" s="444"/>
      <c r="AC106" s="20"/>
      <c r="AD106" s="454" t="s">
        <v>91</v>
      </c>
      <c r="AE106" s="454"/>
      <c r="AF106" s="455"/>
      <c r="AH106" s="467" t="s">
        <v>59</v>
      </c>
      <c r="AI106" s="468"/>
      <c r="AJ106" s="443" t="str">
        <f>IFERROR(VLOOKUP(AO105,اسماء,31,0),"")</f>
        <v/>
      </c>
      <c r="AK106" s="444"/>
      <c r="AL106" s="443" t="str">
        <f>IFERROR(VLOOKUP(AO105,اسماء,32,0),"")</f>
        <v/>
      </c>
      <c r="AM106" s="444"/>
      <c r="AN106" s="20"/>
      <c r="AO106" s="454" t="s">
        <v>91</v>
      </c>
      <c r="AP106" s="454"/>
      <c r="AQ106" s="455"/>
    </row>
    <row r="107" spans="1:43" ht="29.1" customHeight="1" x14ac:dyDescent="0.25">
      <c r="A107" s="469" t="s">
        <v>60</v>
      </c>
      <c r="B107" s="433"/>
      <c r="C107" s="434" t="str">
        <f>IFERROR(VLOOKUP(H105,اسماء,34,0),"")</f>
        <v/>
      </c>
      <c r="D107" s="436"/>
      <c r="E107" s="434" t="str">
        <f>IFERROR(VLOOKUP(H105,اسماء,36,0),"")</f>
        <v/>
      </c>
      <c r="F107" s="436"/>
      <c r="G107" s="20"/>
      <c r="H107" s="454"/>
      <c r="I107" s="454"/>
      <c r="J107" s="455"/>
      <c r="L107" s="469" t="s">
        <v>60</v>
      </c>
      <c r="M107" s="433"/>
      <c r="N107" s="434" t="str">
        <f>IFERROR(VLOOKUP(S105,اسماء,34,0),"")</f>
        <v/>
      </c>
      <c r="O107" s="436"/>
      <c r="P107" s="434" t="str">
        <f>IFERROR(VLOOKUP(S105,اسماء,36,0),"")</f>
        <v/>
      </c>
      <c r="Q107" s="436"/>
      <c r="R107" s="20"/>
      <c r="S107" s="454"/>
      <c r="T107" s="454"/>
      <c r="U107" s="455"/>
      <c r="W107" s="469" t="s">
        <v>60</v>
      </c>
      <c r="X107" s="433"/>
      <c r="Y107" s="434" t="str">
        <f>IFERROR(VLOOKUP(AD105,اسماء,34,0),"")</f>
        <v/>
      </c>
      <c r="Z107" s="436"/>
      <c r="AA107" s="434" t="str">
        <f>IFERROR(VLOOKUP(AD105,اسماء,36,0),"")</f>
        <v/>
      </c>
      <c r="AB107" s="436"/>
      <c r="AC107" s="20"/>
      <c r="AD107" s="454"/>
      <c r="AE107" s="454"/>
      <c r="AF107" s="455"/>
      <c r="AH107" s="469" t="s">
        <v>60</v>
      </c>
      <c r="AI107" s="433"/>
      <c r="AJ107" s="434" t="str">
        <f>IFERROR(VLOOKUP(AO105,اسماء,34,0),"")</f>
        <v/>
      </c>
      <c r="AK107" s="436"/>
      <c r="AL107" s="434" t="str">
        <f>IFERROR(VLOOKUP(AO105,اسماء,36,0),"")</f>
        <v/>
      </c>
      <c r="AM107" s="436"/>
      <c r="AN107" s="20"/>
      <c r="AO107" s="454"/>
      <c r="AP107" s="454"/>
      <c r="AQ107" s="455"/>
    </row>
    <row r="108" spans="1:43" ht="29.1" customHeight="1" thickBot="1" x14ac:dyDescent="0.3">
      <c r="A108" s="450" t="s">
        <v>61</v>
      </c>
      <c r="B108" s="451"/>
      <c r="C108" s="452" t="str">
        <f>IFERROR(VLOOKUP(H105,اسماء,35,0),"")</f>
        <v/>
      </c>
      <c r="D108" s="453"/>
      <c r="E108" s="452" t="str">
        <f>IFERROR(VLOOKUP(H105,اسماء,37,0),"")</f>
        <v/>
      </c>
      <c r="F108" s="453"/>
      <c r="G108" s="20"/>
      <c r="H108" s="456"/>
      <c r="I108" s="456"/>
      <c r="J108" s="457"/>
      <c r="L108" s="450" t="s">
        <v>61</v>
      </c>
      <c r="M108" s="451"/>
      <c r="N108" s="452" t="str">
        <f>IFERROR(VLOOKUP(S105,اسماء,35,0),"")</f>
        <v/>
      </c>
      <c r="O108" s="453"/>
      <c r="P108" s="452" t="str">
        <f>IFERROR(VLOOKUP(S105,اسماء,37,0),"")</f>
        <v/>
      </c>
      <c r="Q108" s="453"/>
      <c r="R108" s="20"/>
      <c r="S108" s="456"/>
      <c r="T108" s="456"/>
      <c r="U108" s="457"/>
      <c r="W108" s="450" t="s">
        <v>61</v>
      </c>
      <c r="X108" s="451"/>
      <c r="Y108" s="452" t="str">
        <f>IFERROR(VLOOKUP(AD105,اسماء,35,0),"")</f>
        <v/>
      </c>
      <c r="Z108" s="453"/>
      <c r="AA108" s="452" t="str">
        <f>IFERROR(VLOOKUP(AD105,اسماء,37,0),"")</f>
        <v/>
      </c>
      <c r="AB108" s="453"/>
      <c r="AC108" s="20"/>
      <c r="AD108" s="456"/>
      <c r="AE108" s="456"/>
      <c r="AF108" s="457"/>
      <c r="AH108" s="450" t="s">
        <v>61</v>
      </c>
      <c r="AI108" s="451"/>
      <c r="AJ108" s="452" t="str">
        <f>IFERROR(VLOOKUP(AO105,اسماء,35,0),"")</f>
        <v/>
      </c>
      <c r="AK108" s="453"/>
      <c r="AL108" s="452" t="str">
        <f>IFERROR(VLOOKUP(AO105,اسماء,37,0),"")</f>
        <v/>
      </c>
      <c r="AM108" s="453"/>
      <c r="AN108" s="20"/>
      <c r="AO108" s="456"/>
      <c r="AP108" s="456"/>
      <c r="AQ108" s="457"/>
    </row>
    <row r="109" spans="1:43" ht="29.1" customHeight="1" x14ac:dyDescent="0.25"/>
  </sheetData>
  <sheetProtection selectLockedCells="1"/>
  <mergeCells count="656">
    <mergeCell ref="Y16:Z16"/>
    <mergeCell ref="AA16:AB16"/>
    <mergeCell ref="AJ16:AK16"/>
    <mergeCell ref="AL16:AM16"/>
    <mergeCell ref="AI105:AL105"/>
    <mergeCell ref="AO105:AQ105"/>
    <mergeCell ref="AH106:AI106"/>
    <mergeCell ref="AJ106:AK106"/>
    <mergeCell ref="AL106:AM106"/>
    <mergeCell ref="AO106:AQ108"/>
    <mergeCell ref="AH107:AI107"/>
    <mergeCell ref="AJ107:AK107"/>
    <mergeCell ref="AL107:AM107"/>
    <mergeCell ref="AH108:AI108"/>
    <mergeCell ref="AJ108:AK108"/>
    <mergeCell ref="AL108:AM108"/>
    <mergeCell ref="AI84:AL84"/>
    <mergeCell ref="AO84:AQ84"/>
    <mergeCell ref="AH85:AI85"/>
    <mergeCell ref="AJ85:AK85"/>
    <mergeCell ref="AL85:AM85"/>
    <mergeCell ref="AO85:AQ87"/>
    <mergeCell ref="AH86:AI86"/>
    <mergeCell ref="AJ86:AK86"/>
    <mergeCell ref="AL86:AM86"/>
    <mergeCell ref="AH87:AI87"/>
    <mergeCell ref="AJ87:AK87"/>
    <mergeCell ref="AL87:AM87"/>
    <mergeCell ref="AO64:AQ66"/>
    <mergeCell ref="AH65:AI65"/>
    <mergeCell ref="AJ65:AK65"/>
    <mergeCell ref="AL65:AM65"/>
    <mergeCell ref="AH66:AI66"/>
    <mergeCell ref="AJ66:AK66"/>
    <mergeCell ref="AL66:AM66"/>
    <mergeCell ref="AP75:AQ75"/>
    <mergeCell ref="AP80:AQ80"/>
    <mergeCell ref="AJ81:AK81"/>
    <mergeCell ref="AL81:AM81"/>
    <mergeCell ref="AP81:AQ81"/>
    <mergeCell ref="AP82:AQ82"/>
    <mergeCell ref="AN69:AQ69"/>
    <mergeCell ref="AI70:AI71"/>
    <mergeCell ref="AJ70:AK70"/>
    <mergeCell ref="AL70:AM70"/>
    <mergeCell ref="AO70:AQ70"/>
    <mergeCell ref="AP71:AQ71"/>
    <mergeCell ref="AI69:AL69"/>
    <mergeCell ref="X105:AA105"/>
    <mergeCell ref="AD105:AF105"/>
    <mergeCell ref="W106:X106"/>
    <mergeCell ref="Y106:Z106"/>
    <mergeCell ref="AA106:AB106"/>
    <mergeCell ref="AD106:AF108"/>
    <mergeCell ref="W107:X107"/>
    <mergeCell ref="Y107:Z107"/>
    <mergeCell ref="AA107:AB107"/>
    <mergeCell ref="W108:X108"/>
    <mergeCell ref="Y108:Z108"/>
    <mergeCell ref="AA108:AB108"/>
    <mergeCell ref="AE75:AF75"/>
    <mergeCell ref="AE80:AF80"/>
    <mergeCell ref="AE81:AF81"/>
    <mergeCell ref="AE82:AF82"/>
    <mergeCell ref="X84:AA84"/>
    <mergeCell ref="AD84:AF84"/>
    <mergeCell ref="W85:X85"/>
    <mergeCell ref="Y85:Z85"/>
    <mergeCell ref="AA85:AB85"/>
    <mergeCell ref="AD85:AF87"/>
    <mergeCell ref="W86:X86"/>
    <mergeCell ref="Y86:Z86"/>
    <mergeCell ref="AA86:AB86"/>
    <mergeCell ref="W87:X87"/>
    <mergeCell ref="Y87:Z87"/>
    <mergeCell ref="AA87:AB87"/>
    <mergeCell ref="AA44:AB44"/>
    <mergeCell ref="W45:X45"/>
    <mergeCell ref="Y45:Z45"/>
    <mergeCell ref="AA45:AB45"/>
    <mergeCell ref="AE54:AF54"/>
    <mergeCell ref="AE59:AF59"/>
    <mergeCell ref="AE60:AF60"/>
    <mergeCell ref="Y60:Z60"/>
    <mergeCell ref="AA60:AB60"/>
    <mergeCell ref="Y49:Z49"/>
    <mergeCell ref="AA49:AB49"/>
    <mergeCell ref="AD49:AF49"/>
    <mergeCell ref="AE50:AF50"/>
    <mergeCell ref="T96:U96"/>
    <mergeCell ref="T101:U101"/>
    <mergeCell ref="T102:U102"/>
    <mergeCell ref="T103:U103"/>
    <mergeCell ref="M105:P105"/>
    <mergeCell ref="S105:U105"/>
    <mergeCell ref="L106:M106"/>
    <mergeCell ref="N106:O106"/>
    <mergeCell ref="P106:Q106"/>
    <mergeCell ref="S106:U108"/>
    <mergeCell ref="L107:M107"/>
    <mergeCell ref="N107:O107"/>
    <mergeCell ref="P107:Q107"/>
    <mergeCell ref="L108:M108"/>
    <mergeCell ref="N108:O108"/>
    <mergeCell ref="P108:Q108"/>
    <mergeCell ref="N103:O103"/>
    <mergeCell ref="P103:Q103"/>
    <mergeCell ref="N104:O104"/>
    <mergeCell ref="P104:Q104"/>
    <mergeCell ref="N102:O102"/>
    <mergeCell ref="P102:Q102"/>
    <mergeCell ref="T75:U75"/>
    <mergeCell ref="T80:U80"/>
    <mergeCell ref="P70:Q70"/>
    <mergeCell ref="S70:U70"/>
    <mergeCell ref="T81:U81"/>
    <mergeCell ref="T82:U82"/>
    <mergeCell ref="M84:P84"/>
    <mergeCell ref="S84:U84"/>
    <mergeCell ref="L85:M85"/>
    <mergeCell ref="N85:O85"/>
    <mergeCell ref="P85:Q85"/>
    <mergeCell ref="S85:U87"/>
    <mergeCell ref="L86:M86"/>
    <mergeCell ref="N86:O86"/>
    <mergeCell ref="P86:Q86"/>
    <mergeCell ref="L87:M87"/>
    <mergeCell ref="N87:O87"/>
    <mergeCell ref="P87:Q87"/>
    <mergeCell ref="I96:J96"/>
    <mergeCell ref="I101:J101"/>
    <mergeCell ref="I102:J102"/>
    <mergeCell ref="I103:J103"/>
    <mergeCell ref="B105:E105"/>
    <mergeCell ref="H105:J105"/>
    <mergeCell ref="A106:B106"/>
    <mergeCell ref="C106:D106"/>
    <mergeCell ref="E106:F106"/>
    <mergeCell ref="H106:J108"/>
    <mergeCell ref="A107:B107"/>
    <mergeCell ref="C107:D107"/>
    <mergeCell ref="E107:F107"/>
    <mergeCell ref="A108:B108"/>
    <mergeCell ref="C108:D108"/>
    <mergeCell ref="E108:F108"/>
    <mergeCell ref="C104:D104"/>
    <mergeCell ref="E104:F104"/>
    <mergeCell ref="C103:D103"/>
    <mergeCell ref="E103:F103"/>
    <mergeCell ref="C102:D102"/>
    <mergeCell ref="E102:F102"/>
    <mergeCell ref="I75:J75"/>
    <mergeCell ref="I80:J80"/>
    <mergeCell ref="I81:J81"/>
    <mergeCell ref="I82:J82"/>
    <mergeCell ref="B84:E84"/>
    <mergeCell ref="H84:J84"/>
    <mergeCell ref="A85:B85"/>
    <mergeCell ref="C85:D85"/>
    <mergeCell ref="E85:F85"/>
    <mergeCell ref="H85:J87"/>
    <mergeCell ref="A86:B86"/>
    <mergeCell ref="C86:D86"/>
    <mergeCell ref="E86:F86"/>
    <mergeCell ref="A87:B87"/>
    <mergeCell ref="C87:D87"/>
    <mergeCell ref="E87:F87"/>
    <mergeCell ref="A65:B65"/>
    <mergeCell ref="C65:D65"/>
    <mergeCell ref="E65:F65"/>
    <mergeCell ref="A66:B66"/>
    <mergeCell ref="C66:D66"/>
    <mergeCell ref="E66:F66"/>
    <mergeCell ref="C62:D62"/>
    <mergeCell ref="E62:F62"/>
    <mergeCell ref="C61:D61"/>
    <mergeCell ref="E61:F61"/>
    <mergeCell ref="AE29:AF29"/>
    <mergeCell ref="W18:X18"/>
    <mergeCell ref="Y18:Z18"/>
    <mergeCell ref="AE33:AF33"/>
    <mergeCell ref="AE8:AF8"/>
    <mergeCell ref="X2:AA2"/>
    <mergeCell ref="B42:E42"/>
    <mergeCell ref="H42:J42"/>
    <mergeCell ref="A43:B43"/>
    <mergeCell ref="C43:D43"/>
    <mergeCell ref="E43:F43"/>
    <mergeCell ref="H43:J45"/>
    <mergeCell ref="A44:B44"/>
    <mergeCell ref="C44:D44"/>
    <mergeCell ref="E44:F44"/>
    <mergeCell ref="A45:B45"/>
    <mergeCell ref="C45:D45"/>
    <mergeCell ref="E45:F45"/>
    <mergeCell ref="T33:U33"/>
    <mergeCell ref="T38:U38"/>
    <mergeCell ref="T39:U39"/>
    <mergeCell ref="T40:U40"/>
    <mergeCell ref="M42:P42"/>
    <mergeCell ref="S42:U42"/>
    <mergeCell ref="AH89:AJ89"/>
    <mergeCell ref="AK89:AL89"/>
    <mergeCell ref="AJ82:AK82"/>
    <mergeCell ref="AL82:AM82"/>
    <mergeCell ref="AJ83:AK83"/>
    <mergeCell ref="AL83:AM83"/>
    <mergeCell ref="AI2:AL2"/>
    <mergeCell ref="B27:E27"/>
    <mergeCell ref="M27:P27"/>
    <mergeCell ref="X27:AA27"/>
    <mergeCell ref="AI27:AL27"/>
    <mergeCell ref="AI48:AL48"/>
    <mergeCell ref="X48:AA48"/>
    <mergeCell ref="M48:P48"/>
    <mergeCell ref="B48:E48"/>
    <mergeCell ref="AJ40:AK40"/>
    <mergeCell ref="AL40:AM40"/>
    <mergeCell ref="AJ41:AK41"/>
    <mergeCell ref="AL41:AM41"/>
    <mergeCell ref="AE38:AF38"/>
    <mergeCell ref="X28:X29"/>
    <mergeCell ref="Y28:Z28"/>
    <mergeCell ref="AA28:AB28"/>
    <mergeCell ref="AD28:AF28"/>
    <mergeCell ref="AJ104:AK104"/>
    <mergeCell ref="AL104:AM104"/>
    <mergeCell ref="AJ102:AK102"/>
    <mergeCell ref="AL102:AM102"/>
    <mergeCell ref="AN90:AQ90"/>
    <mergeCell ref="AI91:AI92"/>
    <mergeCell ref="AJ91:AK91"/>
    <mergeCell ref="AL91:AM91"/>
    <mergeCell ref="AO91:AQ91"/>
    <mergeCell ref="AP92:AQ92"/>
    <mergeCell ref="AI90:AL90"/>
    <mergeCell ref="AP96:AQ96"/>
    <mergeCell ref="AP101:AQ101"/>
    <mergeCell ref="AP102:AQ102"/>
    <mergeCell ref="AP103:AQ103"/>
    <mergeCell ref="AJ60:AK60"/>
    <mergeCell ref="AL60:AM60"/>
    <mergeCell ref="AP59:AQ59"/>
    <mergeCell ref="AP60:AQ60"/>
    <mergeCell ref="AP61:AQ61"/>
    <mergeCell ref="AI63:AL63"/>
    <mergeCell ref="AO63:AQ63"/>
    <mergeCell ref="AH64:AI64"/>
    <mergeCell ref="AJ64:AK64"/>
    <mergeCell ref="AL64:AM64"/>
    <mergeCell ref="AP50:AQ50"/>
    <mergeCell ref="AH47:AJ47"/>
    <mergeCell ref="AK47:AL47"/>
    <mergeCell ref="AI49:AI50"/>
    <mergeCell ref="AJ49:AK49"/>
    <mergeCell ref="AL49:AM49"/>
    <mergeCell ref="AP54:AQ54"/>
    <mergeCell ref="AO28:AQ28"/>
    <mergeCell ref="AP29:AQ29"/>
    <mergeCell ref="AP33:AQ33"/>
    <mergeCell ref="AP38:AQ38"/>
    <mergeCell ref="AN48:AQ48"/>
    <mergeCell ref="AP39:AQ39"/>
    <mergeCell ref="AP40:AQ40"/>
    <mergeCell ref="AI42:AL42"/>
    <mergeCell ref="AO42:AQ42"/>
    <mergeCell ref="AH43:AI43"/>
    <mergeCell ref="AJ43:AK43"/>
    <mergeCell ref="AL43:AM43"/>
    <mergeCell ref="AO43:AQ45"/>
    <mergeCell ref="AH44:AI44"/>
    <mergeCell ref="AJ44:AK44"/>
    <mergeCell ref="AL44:AM44"/>
    <mergeCell ref="AH45:AI45"/>
    <mergeCell ref="AO23:AP23"/>
    <mergeCell ref="AI24:AJ24"/>
    <mergeCell ref="AK24:AN24"/>
    <mergeCell ref="AO24:AP24"/>
    <mergeCell ref="AN27:AQ27"/>
    <mergeCell ref="AI28:AI29"/>
    <mergeCell ref="AJ28:AK28"/>
    <mergeCell ref="AL28:AM28"/>
    <mergeCell ref="AO49:AQ49"/>
    <mergeCell ref="AJ45:AK45"/>
    <mergeCell ref="AL45:AM45"/>
    <mergeCell ref="AJ39:AK39"/>
    <mergeCell ref="AL39:AM39"/>
    <mergeCell ref="AN2:AQ2"/>
    <mergeCell ref="AI3:AI4"/>
    <mergeCell ref="AJ3:AK3"/>
    <mergeCell ref="AL3:AM3"/>
    <mergeCell ref="AO3:AQ3"/>
    <mergeCell ref="AP4:AQ4"/>
    <mergeCell ref="AI22:AJ22"/>
    <mergeCell ref="AK22:AN22"/>
    <mergeCell ref="AH26:AJ26"/>
    <mergeCell ref="AK26:AL26"/>
    <mergeCell ref="AP8:AQ8"/>
    <mergeCell ref="AO18:AQ20"/>
    <mergeCell ref="AO17:AQ17"/>
    <mergeCell ref="AH18:AI18"/>
    <mergeCell ref="AJ18:AK18"/>
    <mergeCell ref="AL18:AM18"/>
    <mergeCell ref="AJ14:AK14"/>
    <mergeCell ref="AL14:AM14"/>
    <mergeCell ref="AP13:AQ13"/>
    <mergeCell ref="AP14:AQ14"/>
    <mergeCell ref="AP15:AQ15"/>
    <mergeCell ref="AO22:AP22"/>
    <mergeCell ref="AI23:AJ23"/>
    <mergeCell ref="AK23:AN23"/>
    <mergeCell ref="Y104:Z104"/>
    <mergeCell ref="AH1:AJ1"/>
    <mergeCell ref="AK1:AL1"/>
    <mergeCell ref="AJ15:AK15"/>
    <mergeCell ref="AL15:AM15"/>
    <mergeCell ref="AH19:AI19"/>
    <mergeCell ref="AJ19:AK19"/>
    <mergeCell ref="AL19:AM19"/>
    <mergeCell ref="AI17:AL17"/>
    <mergeCell ref="AA104:AB104"/>
    <mergeCell ref="AD22:AE22"/>
    <mergeCell ref="AD17:AF17"/>
    <mergeCell ref="AH20:AI20"/>
    <mergeCell ref="AJ20:AK20"/>
    <mergeCell ref="AL20:AM20"/>
    <mergeCell ref="AJ61:AK61"/>
    <mergeCell ref="AL61:AM61"/>
    <mergeCell ref="AJ62:AK62"/>
    <mergeCell ref="AL62:AM62"/>
    <mergeCell ref="AH68:AJ68"/>
    <mergeCell ref="AK68:AL68"/>
    <mergeCell ref="Y102:Z102"/>
    <mergeCell ref="AJ103:AK103"/>
    <mergeCell ref="AL103:AM103"/>
    <mergeCell ref="AA102:AB102"/>
    <mergeCell ref="AE101:AF101"/>
    <mergeCell ref="AE102:AF102"/>
    <mergeCell ref="AE103:AF103"/>
    <mergeCell ref="AC90:AF90"/>
    <mergeCell ref="X91:X92"/>
    <mergeCell ref="Y91:Z91"/>
    <mergeCell ref="AA91:AB91"/>
    <mergeCell ref="AD91:AF91"/>
    <mergeCell ref="AE92:AF92"/>
    <mergeCell ref="X90:AA90"/>
    <mergeCell ref="AE96:AF96"/>
    <mergeCell ref="Y103:Z103"/>
    <mergeCell ref="AA103:AB103"/>
    <mergeCell ref="AC69:AF69"/>
    <mergeCell ref="X70:X71"/>
    <mergeCell ref="Y70:Z70"/>
    <mergeCell ref="AA70:AB70"/>
    <mergeCell ref="AD70:AF70"/>
    <mergeCell ref="AE71:AF71"/>
    <mergeCell ref="X69:AA69"/>
    <mergeCell ref="W64:X64"/>
    <mergeCell ref="Y64:Z64"/>
    <mergeCell ref="AA64:AB64"/>
    <mergeCell ref="AD64:AF66"/>
    <mergeCell ref="W65:X65"/>
    <mergeCell ref="W68:Y68"/>
    <mergeCell ref="Z68:AA68"/>
    <mergeCell ref="AD63:AF63"/>
    <mergeCell ref="Y65:Z65"/>
    <mergeCell ref="AA65:AB65"/>
    <mergeCell ref="W66:X66"/>
    <mergeCell ref="Y66:Z66"/>
    <mergeCell ref="AA66:AB66"/>
    <mergeCell ref="Y39:Z39"/>
    <mergeCell ref="AA39:AB39"/>
    <mergeCell ref="AE39:AF39"/>
    <mergeCell ref="AE40:AF40"/>
    <mergeCell ref="X42:AA42"/>
    <mergeCell ref="AD42:AF42"/>
    <mergeCell ref="W43:X43"/>
    <mergeCell ref="Y43:Z43"/>
    <mergeCell ref="AA43:AB43"/>
    <mergeCell ref="AD43:AF45"/>
    <mergeCell ref="W47:Y47"/>
    <mergeCell ref="Z47:AA47"/>
    <mergeCell ref="Y62:Z62"/>
    <mergeCell ref="AA62:AB62"/>
    <mergeCell ref="AC48:AF48"/>
    <mergeCell ref="X49:X50"/>
    <mergeCell ref="W44:X44"/>
    <mergeCell ref="Y44:Z44"/>
    <mergeCell ref="AA61:AB61"/>
    <mergeCell ref="Y40:Z40"/>
    <mergeCell ref="AA40:AB40"/>
    <mergeCell ref="Y41:Z41"/>
    <mergeCell ref="AA41:AB41"/>
    <mergeCell ref="W1:Y1"/>
    <mergeCell ref="Z1:AA1"/>
    <mergeCell ref="Y15:Z15"/>
    <mergeCell ref="AA15:AB15"/>
    <mergeCell ref="W19:X19"/>
    <mergeCell ref="Y19:Z19"/>
    <mergeCell ref="AA19:AB19"/>
    <mergeCell ref="X22:Y22"/>
    <mergeCell ref="Z22:AC22"/>
    <mergeCell ref="Y14:Z14"/>
    <mergeCell ref="AA14:AB14"/>
    <mergeCell ref="X17:AA17"/>
    <mergeCell ref="AC2:AF2"/>
    <mergeCell ref="X3:X4"/>
    <mergeCell ref="Y3:Z3"/>
    <mergeCell ref="AA3:AB3"/>
    <mergeCell ref="AD3:AF3"/>
    <mergeCell ref="AE4:AF4"/>
    <mergeCell ref="AE61:AF61"/>
    <mergeCell ref="S91:U91"/>
    <mergeCell ref="I92:J92"/>
    <mergeCell ref="T92:U92"/>
    <mergeCell ref="G90:J90"/>
    <mergeCell ref="B90:E90"/>
    <mergeCell ref="M90:P90"/>
    <mergeCell ref="B91:B92"/>
    <mergeCell ref="C91:D91"/>
    <mergeCell ref="Y61:Z61"/>
    <mergeCell ref="X63:AA63"/>
    <mergeCell ref="W89:Y89"/>
    <mergeCell ref="Z89:AA89"/>
    <mergeCell ref="Y82:Z82"/>
    <mergeCell ref="AA82:AB82"/>
    <mergeCell ref="Y83:Z83"/>
    <mergeCell ref="AA83:AB83"/>
    <mergeCell ref="Y81:Z81"/>
    <mergeCell ref="AA81:AB81"/>
    <mergeCell ref="I61:J61"/>
    <mergeCell ref="B63:E63"/>
    <mergeCell ref="H63:J63"/>
    <mergeCell ref="A64:B64"/>
    <mergeCell ref="C64:D64"/>
    <mergeCell ref="E64:F64"/>
    <mergeCell ref="E91:F91"/>
    <mergeCell ref="H91:J91"/>
    <mergeCell ref="M91:M92"/>
    <mergeCell ref="N91:O91"/>
    <mergeCell ref="P91:Q91"/>
    <mergeCell ref="A89:C89"/>
    <mergeCell ref="D89:E89"/>
    <mergeCell ref="L89:N89"/>
    <mergeCell ref="O89:P89"/>
    <mergeCell ref="R90:U90"/>
    <mergeCell ref="C83:D83"/>
    <mergeCell ref="E83:F83"/>
    <mergeCell ref="P83:Q83"/>
    <mergeCell ref="C82:D82"/>
    <mergeCell ref="E82:F82"/>
    <mergeCell ref="N82:O82"/>
    <mergeCell ref="P82:Q82"/>
    <mergeCell ref="A68:C68"/>
    <mergeCell ref="D68:E68"/>
    <mergeCell ref="L68:N68"/>
    <mergeCell ref="C81:D81"/>
    <mergeCell ref="E81:F81"/>
    <mergeCell ref="T71:U71"/>
    <mergeCell ref="N83:O83"/>
    <mergeCell ref="N81:O81"/>
    <mergeCell ref="P81:Q81"/>
    <mergeCell ref="H70:J70"/>
    <mergeCell ref="B70:B71"/>
    <mergeCell ref="C70:D70"/>
    <mergeCell ref="E70:F70"/>
    <mergeCell ref="R69:U69"/>
    <mergeCell ref="B69:E69"/>
    <mergeCell ref="G69:J69"/>
    <mergeCell ref="C60:D60"/>
    <mergeCell ref="E60:F60"/>
    <mergeCell ref="N60:O60"/>
    <mergeCell ref="M70:M71"/>
    <mergeCell ref="N70:O70"/>
    <mergeCell ref="I71:J71"/>
    <mergeCell ref="M69:P69"/>
    <mergeCell ref="O68:P68"/>
    <mergeCell ref="I60:J60"/>
    <mergeCell ref="H64:J66"/>
    <mergeCell ref="L66:M66"/>
    <mergeCell ref="N66:O66"/>
    <mergeCell ref="P66:Q66"/>
    <mergeCell ref="N62:O62"/>
    <mergeCell ref="P62:Q62"/>
    <mergeCell ref="N61:O61"/>
    <mergeCell ref="P61:Q61"/>
    <mergeCell ref="T60:U60"/>
    <mergeCell ref="T61:U61"/>
    <mergeCell ref="M63:P63"/>
    <mergeCell ref="S63:U63"/>
    <mergeCell ref="L64:M64"/>
    <mergeCell ref="N64:O64"/>
    <mergeCell ref="P64:Q64"/>
    <mergeCell ref="S64:U66"/>
    <mergeCell ref="L65:M65"/>
    <mergeCell ref="N65:O65"/>
    <mergeCell ref="P65:Q65"/>
    <mergeCell ref="P60:Q60"/>
    <mergeCell ref="G48:J48"/>
    <mergeCell ref="R48:U48"/>
    <mergeCell ref="I54:J54"/>
    <mergeCell ref="I59:J59"/>
    <mergeCell ref="T54:U54"/>
    <mergeCell ref="T59:U59"/>
    <mergeCell ref="N41:O41"/>
    <mergeCell ref="B49:B50"/>
    <mergeCell ref="C49:D49"/>
    <mergeCell ref="E49:F49"/>
    <mergeCell ref="H49:J49"/>
    <mergeCell ref="M49:M50"/>
    <mergeCell ref="N49:O49"/>
    <mergeCell ref="P49:Q49"/>
    <mergeCell ref="S49:U49"/>
    <mergeCell ref="I50:J50"/>
    <mergeCell ref="T50:U50"/>
    <mergeCell ref="L43:M43"/>
    <mergeCell ref="N43:O43"/>
    <mergeCell ref="P43:Q43"/>
    <mergeCell ref="S43:U45"/>
    <mergeCell ref="L44:M44"/>
    <mergeCell ref="N44:O44"/>
    <mergeCell ref="P44:Q44"/>
    <mergeCell ref="R2:U2"/>
    <mergeCell ref="G2:J2"/>
    <mergeCell ref="A26:C26"/>
    <mergeCell ref="D26:E26"/>
    <mergeCell ref="M22:N22"/>
    <mergeCell ref="O22:R22"/>
    <mergeCell ref="S22:T22"/>
    <mergeCell ref="M23:N23"/>
    <mergeCell ref="O23:R23"/>
    <mergeCell ref="S23:T23"/>
    <mergeCell ref="B24:C24"/>
    <mergeCell ref="H24:I24"/>
    <mergeCell ref="B22:C22"/>
    <mergeCell ref="B23:C23"/>
    <mergeCell ref="O26:P26"/>
    <mergeCell ref="H22:I22"/>
    <mergeCell ref="D22:G22"/>
    <mergeCell ref="D23:G23"/>
    <mergeCell ref="D24:G24"/>
    <mergeCell ref="N15:O15"/>
    <mergeCell ref="P15:Q15"/>
    <mergeCell ref="T15:U15"/>
    <mergeCell ref="B3:B4"/>
    <mergeCell ref="C3:D3"/>
    <mergeCell ref="L1:N1"/>
    <mergeCell ref="H3:J3"/>
    <mergeCell ref="I4:J4"/>
    <mergeCell ref="B2:E2"/>
    <mergeCell ref="M2:P2"/>
    <mergeCell ref="O1:P1"/>
    <mergeCell ref="A1:C1"/>
    <mergeCell ref="D1:E1"/>
    <mergeCell ref="I8:J8"/>
    <mergeCell ref="M3:M4"/>
    <mergeCell ref="N3:O3"/>
    <mergeCell ref="P3:Q3"/>
    <mergeCell ref="S3:U3"/>
    <mergeCell ref="T4:U4"/>
    <mergeCell ref="T13:U13"/>
    <mergeCell ref="T14:U14"/>
    <mergeCell ref="T8:U8"/>
    <mergeCell ref="E3:F3"/>
    <mergeCell ref="G27:J27"/>
    <mergeCell ref="H18:J20"/>
    <mergeCell ref="I13:J13"/>
    <mergeCell ref="I14:J14"/>
    <mergeCell ref="I15:J15"/>
    <mergeCell ref="H23:I23"/>
    <mergeCell ref="N19:O19"/>
    <mergeCell ref="P19:Q19"/>
    <mergeCell ref="L20:M20"/>
    <mergeCell ref="N20:O20"/>
    <mergeCell ref="P20:Q20"/>
    <mergeCell ref="M24:N24"/>
    <mergeCell ref="L26:N26"/>
    <mergeCell ref="O24:R24"/>
    <mergeCell ref="S24:T24"/>
    <mergeCell ref="S18:U20"/>
    <mergeCell ref="L18:M18"/>
    <mergeCell ref="N18:O18"/>
    <mergeCell ref="E14:F14"/>
    <mergeCell ref="A20:B20"/>
    <mergeCell ref="C20:D20"/>
    <mergeCell ref="E20:F20"/>
    <mergeCell ref="A18:B18"/>
    <mergeCell ref="C18:D18"/>
    <mergeCell ref="E18:F18"/>
    <mergeCell ref="A19:B19"/>
    <mergeCell ref="C19:D19"/>
    <mergeCell ref="E19:F19"/>
    <mergeCell ref="C14:D14"/>
    <mergeCell ref="C16:D16"/>
    <mergeCell ref="E16:F16"/>
    <mergeCell ref="C15:D15"/>
    <mergeCell ref="E15:F15"/>
    <mergeCell ref="H17:J17"/>
    <mergeCell ref="B17:E17"/>
    <mergeCell ref="I33:J33"/>
    <mergeCell ref="I38:J38"/>
    <mergeCell ref="P41:Q41"/>
    <mergeCell ref="B28:B29"/>
    <mergeCell ref="C28:D28"/>
    <mergeCell ref="E28:F28"/>
    <mergeCell ref="H28:J28"/>
    <mergeCell ref="I29:J29"/>
    <mergeCell ref="M17:P17"/>
    <mergeCell ref="C40:D40"/>
    <mergeCell ref="E40:F40"/>
    <mergeCell ref="C41:D41"/>
    <mergeCell ref="E41:F41"/>
    <mergeCell ref="C39:D39"/>
    <mergeCell ref="E39:F39"/>
    <mergeCell ref="N40:O40"/>
    <mergeCell ref="N39:O39"/>
    <mergeCell ref="I39:J39"/>
    <mergeCell ref="I40:J40"/>
    <mergeCell ref="T29:U29"/>
    <mergeCell ref="M28:M29"/>
    <mergeCell ref="N28:O28"/>
    <mergeCell ref="A47:C47"/>
    <mergeCell ref="D47:E47"/>
    <mergeCell ref="P18:Q18"/>
    <mergeCell ref="L19:M19"/>
    <mergeCell ref="P39:Q39"/>
    <mergeCell ref="P40:Q40"/>
    <mergeCell ref="R27:U27"/>
    <mergeCell ref="L47:N47"/>
    <mergeCell ref="O47:P47"/>
    <mergeCell ref="L45:M45"/>
    <mergeCell ref="N45:O45"/>
    <mergeCell ref="P45:Q45"/>
    <mergeCell ref="S17:U17"/>
    <mergeCell ref="P28:Q28"/>
    <mergeCell ref="N14:O14"/>
    <mergeCell ref="P14:Q14"/>
    <mergeCell ref="W26:Y26"/>
    <mergeCell ref="Z26:AA26"/>
    <mergeCell ref="AE13:AF13"/>
    <mergeCell ref="AE14:AF14"/>
    <mergeCell ref="AE15:AF15"/>
    <mergeCell ref="X23:Y23"/>
    <mergeCell ref="Z23:AC23"/>
    <mergeCell ref="AD23:AE23"/>
    <mergeCell ref="X24:Y24"/>
    <mergeCell ref="Z24:AC24"/>
    <mergeCell ref="AD24:AE24"/>
    <mergeCell ref="AA18:AB18"/>
    <mergeCell ref="AC27:AF27"/>
    <mergeCell ref="S28:U28"/>
    <mergeCell ref="W20:X20"/>
    <mergeCell ref="Y20:Z20"/>
    <mergeCell ref="AA20:AB20"/>
    <mergeCell ref="AD18:AF20"/>
    <mergeCell ref="N16:O16"/>
    <mergeCell ref="P16:Q16"/>
  </mergeCells>
  <printOptions horizontalCentered="1" verticalCentered="1"/>
  <pageMargins left="0" right="0" top="3.937007874015748E-2" bottom="3.937007874015748E-2" header="0" footer="0.11811023622047245"/>
  <pageSetup paperSize="263" scale="105" orientation="portrait" horizontalDpi="300" verticalDpi="300" r:id="rId1"/>
  <rowBreaks count="1" manualBreakCount="1">
    <brk id="24" max="16383" man="1"/>
  </rowBreaks>
  <colBreaks count="1" manualBreakCount="1">
    <brk id="1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BP206"/>
  <sheetViews>
    <sheetView showZeros="0" rightToLeft="1" view="pageBreakPreview" zoomScale="50" zoomScaleNormal="60" zoomScaleSheetLayoutView="50" workbookViewId="0">
      <selection activeCell="Y59" sqref="Y59:AA59"/>
    </sheetView>
  </sheetViews>
  <sheetFormatPr defaultRowHeight="15.75" x14ac:dyDescent="0.25"/>
  <cols>
    <col min="1" max="1" width="11" style="144" customWidth="1"/>
    <col min="2" max="2" width="5.85546875" style="155" customWidth="1"/>
    <col min="3" max="11" width="5.7109375" customWidth="1"/>
    <col min="12" max="12" width="0.42578125" customWidth="1"/>
    <col min="13" max="13" width="7.5703125" style="115" customWidth="1"/>
    <col min="14" max="15" width="7.5703125" style="165" customWidth="1"/>
    <col min="16" max="16" width="3.140625" customWidth="1"/>
    <col min="17" max="17" width="11" style="144" customWidth="1"/>
    <col min="18" max="27" width="5.7109375" customWidth="1"/>
    <col min="28" max="28" width="0.42578125" customWidth="1"/>
    <col min="29" max="31" width="7.5703125" style="115" customWidth="1"/>
    <col min="32" max="32" width="3.7109375" customWidth="1"/>
    <col min="33" max="33" width="11" style="144" customWidth="1"/>
    <col min="34" max="43" width="5.7109375" customWidth="1"/>
    <col min="44" max="44" width="0.42578125" customWidth="1"/>
    <col min="45" max="47" width="7.5703125" style="115" customWidth="1"/>
    <col min="48" max="48" width="3.85546875" customWidth="1"/>
    <col min="49" max="49" width="11" style="144" customWidth="1"/>
    <col min="50" max="59" width="5.7109375" customWidth="1"/>
    <col min="60" max="60" width="1.140625" customWidth="1"/>
    <col min="61" max="63" width="7.5703125" style="115" customWidth="1"/>
    <col min="64" max="64" width="2.140625" customWidth="1"/>
    <col min="65" max="68" width="9.140625" customWidth="1"/>
  </cols>
  <sheetData>
    <row r="1" spans="1:68" ht="21.95" customHeight="1" thickTop="1" x14ac:dyDescent="0.25">
      <c r="A1" s="565" t="s">
        <v>81</v>
      </c>
      <c r="B1" s="566"/>
      <c r="C1" s="566"/>
      <c r="D1" s="430" t="str">
        <f>ادخال1!$N$4</f>
        <v>الرابع</v>
      </c>
      <c r="E1" s="430"/>
      <c r="F1" s="567" t="s">
        <v>82</v>
      </c>
      <c r="G1" s="567"/>
      <c r="H1" s="567"/>
      <c r="I1" s="13"/>
      <c r="J1" s="13"/>
      <c r="K1" s="13"/>
      <c r="L1" s="13"/>
      <c r="M1" s="106"/>
      <c r="N1" s="106"/>
      <c r="O1" s="107">
        <v>1</v>
      </c>
      <c r="Q1" s="565" t="s">
        <v>81</v>
      </c>
      <c r="R1" s="566"/>
      <c r="S1" s="566"/>
      <c r="T1" s="430" t="str">
        <f>ادخال1!$N$4</f>
        <v>الرابع</v>
      </c>
      <c r="U1" s="430"/>
      <c r="V1" s="567" t="s">
        <v>82</v>
      </c>
      <c r="W1" s="567"/>
      <c r="X1" s="567"/>
      <c r="Y1" s="13"/>
      <c r="Z1" s="13"/>
      <c r="AA1" s="13"/>
      <c r="AB1" s="13"/>
      <c r="AC1" s="106"/>
      <c r="AD1" s="106"/>
      <c r="AE1" s="107">
        <f>O1+5</f>
        <v>6</v>
      </c>
      <c r="AG1" s="565" t="s">
        <v>81</v>
      </c>
      <c r="AH1" s="566"/>
      <c r="AI1" s="566"/>
      <c r="AJ1" s="430" t="str">
        <f>ادخال1!$N$4</f>
        <v>الرابع</v>
      </c>
      <c r="AK1" s="430"/>
      <c r="AL1" s="567" t="s">
        <v>82</v>
      </c>
      <c r="AM1" s="567"/>
      <c r="AN1" s="567"/>
      <c r="AO1" s="13"/>
      <c r="AP1" s="13"/>
      <c r="AQ1" s="13"/>
      <c r="AR1" s="13"/>
      <c r="AS1" s="106"/>
      <c r="AT1" s="106"/>
      <c r="AU1" s="107">
        <f>AE1+5</f>
        <v>11</v>
      </c>
      <c r="AW1" s="565" t="s">
        <v>81</v>
      </c>
      <c r="AX1" s="566"/>
      <c r="AY1" s="566"/>
      <c r="AZ1" s="430" t="str">
        <f>ادخال1!$N$4</f>
        <v>الرابع</v>
      </c>
      <c r="BA1" s="430"/>
      <c r="BB1" s="567" t="s">
        <v>82</v>
      </c>
      <c r="BC1" s="567"/>
      <c r="BD1" s="567"/>
      <c r="BE1" s="13"/>
      <c r="BF1" s="13"/>
      <c r="BG1" s="13"/>
      <c r="BH1" s="13"/>
      <c r="BI1" s="106"/>
      <c r="BJ1" s="106"/>
      <c r="BK1" s="107">
        <f>AU1+5</f>
        <v>16</v>
      </c>
      <c r="BN1">
        <f>SUM(I5:I11)</f>
        <v>840</v>
      </c>
    </row>
    <row r="2" spans="1:68" ht="21.95" customHeight="1" thickBot="1" x14ac:dyDescent="0.3">
      <c r="A2" s="273" t="s">
        <v>153</v>
      </c>
      <c r="B2" s="576" t="str">
        <f>ادخال1!$B$5</f>
        <v xml:space="preserve">سهول العلم للتعليم الخاص </v>
      </c>
      <c r="C2" s="576"/>
      <c r="D2" s="576"/>
      <c r="E2" s="576"/>
      <c r="F2" s="576"/>
      <c r="G2" s="576"/>
      <c r="H2" s="491" t="s">
        <v>9</v>
      </c>
      <c r="I2" s="491"/>
      <c r="J2" s="492" t="str">
        <f>M19</f>
        <v>أحمد نورالدين أحمد الذيب</v>
      </c>
      <c r="K2" s="492"/>
      <c r="L2" s="492"/>
      <c r="M2" s="492"/>
      <c r="N2" s="492"/>
      <c r="O2" s="158"/>
      <c r="Q2" s="273" t="s">
        <v>153</v>
      </c>
      <c r="R2" s="576" t="str">
        <f>ادخال1!$B$5</f>
        <v xml:space="preserve">سهول العلم للتعليم الخاص </v>
      </c>
      <c r="S2" s="576"/>
      <c r="T2" s="576"/>
      <c r="U2" s="576"/>
      <c r="V2" s="576"/>
      <c r="W2" s="576"/>
      <c r="X2" s="491" t="s">
        <v>9</v>
      </c>
      <c r="Y2" s="491"/>
      <c r="Z2" s="492" t="str">
        <f>AC19</f>
        <v>خديجة خليل محمد علي</v>
      </c>
      <c r="AA2" s="492"/>
      <c r="AB2" s="492"/>
      <c r="AC2" s="492"/>
      <c r="AD2" s="492"/>
      <c r="AE2" s="158"/>
      <c r="AG2" s="273" t="s">
        <v>153</v>
      </c>
      <c r="AH2" s="576" t="str">
        <f>ادخال1!$B$5</f>
        <v xml:space="preserve">سهول العلم للتعليم الخاص </v>
      </c>
      <c r="AI2" s="576"/>
      <c r="AJ2" s="576"/>
      <c r="AK2" s="576"/>
      <c r="AL2" s="576"/>
      <c r="AM2" s="576"/>
      <c r="AN2" s="491" t="s">
        <v>9</v>
      </c>
      <c r="AO2" s="491"/>
      <c r="AP2" s="492" t="str">
        <f>AS19</f>
        <v>عبد العزيز عبدالله محمد المغربي</v>
      </c>
      <c r="AQ2" s="492"/>
      <c r="AR2" s="492"/>
      <c r="AS2" s="492"/>
      <c r="AT2" s="492"/>
      <c r="AU2" s="158"/>
      <c r="AW2" s="273" t="s">
        <v>153</v>
      </c>
      <c r="AX2" s="576" t="str">
        <f>ادخال1!$B$5</f>
        <v xml:space="preserve">سهول العلم للتعليم الخاص </v>
      </c>
      <c r="AY2" s="576"/>
      <c r="AZ2" s="576"/>
      <c r="BA2" s="576"/>
      <c r="BB2" s="576"/>
      <c r="BC2" s="576"/>
      <c r="BD2" s="491" t="s">
        <v>9</v>
      </c>
      <c r="BE2" s="491"/>
      <c r="BF2" s="492" t="str">
        <f>BI19</f>
        <v>معاوية عز الدين محمد أحفيظان</v>
      </c>
      <c r="BG2" s="492"/>
      <c r="BH2" s="492"/>
      <c r="BI2" s="492"/>
      <c r="BJ2" s="492"/>
      <c r="BK2" s="158"/>
      <c r="BN2">
        <f>BN1*0.3</f>
        <v>252</v>
      </c>
      <c r="BO2">
        <v>0</v>
      </c>
      <c r="BP2" t="s">
        <v>7</v>
      </c>
    </row>
    <row r="3" spans="1:68" ht="18.600000000000001" customHeight="1" thickBot="1" x14ac:dyDescent="0.3">
      <c r="A3" s="135" t="s">
        <v>46</v>
      </c>
      <c r="B3" s="493" t="s">
        <v>12</v>
      </c>
      <c r="C3" s="495" t="s">
        <v>47</v>
      </c>
      <c r="D3" s="496"/>
      <c r="E3" s="497" t="s">
        <v>48</v>
      </c>
      <c r="F3" s="497"/>
      <c r="G3" s="498" t="s">
        <v>49</v>
      </c>
      <c r="H3" s="499"/>
      <c r="I3" s="500" t="s">
        <v>50</v>
      </c>
      <c r="J3" s="501"/>
      <c r="K3" s="502"/>
      <c r="L3" s="28"/>
      <c r="M3" s="503" t="s">
        <v>51</v>
      </c>
      <c r="N3" s="504"/>
      <c r="O3" s="505"/>
      <c r="Q3" s="135" t="s">
        <v>46</v>
      </c>
      <c r="R3" s="493" t="s">
        <v>12</v>
      </c>
      <c r="S3" s="495" t="s">
        <v>47</v>
      </c>
      <c r="T3" s="496"/>
      <c r="U3" s="497" t="s">
        <v>48</v>
      </c>
      <c r="V3" s="497"/>
      <c r="W3" s="498" t="s">
        <v>49</v>
      </c>
      <c r="X3" s="499"/>
      <c r="Y3" s="500" t="s">
        <v>50</v>
      </c>
      <c r="Z3" s="501"/>
      <c r="AA3" s="502"/>
      <c r="AB3" s="28"/>
      <c r="AC3" s="503" t="s">
        <v>51</v>
      </c>
      <c r="AD3" s="504"/>
      <c r="AE3" s="505"/>
      <c r="AG3" s="135" t="s">
        <v>46</v>
      </c>
      <c r="AH3" s="493" t="s">
        <v>12</v>
      </c>
      <c r="AI3" s="495" t="s">
        <v>47</v>
      </c>
      <c r="AJ3" s="496"/>
      <c r="AK3" s="497" t="s">
        <v>48</v>
      </c>
      <c r="AL3" s="497"/>
      <c r="AM3" s="498" t="s">
        <v>49</v>
      </c>
      <c r="AN3" s="499"/>
      <c r="AO3" s="500" t="s">
        <v>50</v>
      </c>
      <c r="AP3" s="501"/>
      <c r="AQ3" s="502"/>
      <c r="AR3" s="28"/>
      <c r="AS3" s="503" t="s">
        <v>51</v>
      </c>
      <c r="AT3" s="504"/>
      <c r="AU3" s="505"/>
      <c r="AW3" s="135" t="s">
        <v>46</v>
      </c>
      <c r="AX3" s="493" t="s">
        <v>12</v>
      </c>
      <c r="AY3" s="495" t="s">
        <v>47</v>
      </c>
      <c r="AZ3" s="496"/>
      <c r="BA3" s="497" t="s">
        <v>48</v>
      </c>
      <c r="BB3" s="497"/>
      <c r="BC3" s="498" t="s">
        <v>49</v>
      </c>
      <c r="BD3" s="499"/>
      <c r="BE3" s="500" t="s">
        <v>50</v>
      </c>
      <c r="BF3" s="501"/>
      <c r="BG3" s="502"/>
      <c r="BH3" s="28"/>
      <c r="BI3" s="503" t="s">
        <v>51</v>
      </c>
      <c r="BJ3" s="504"/>
      <c r="BK3" s="505"/>
      <c r="BN3">
        <f>BN1*0.4</f>
        <v>336</v>
      </c>
      <c r="BO3">
        <f>BN3*0.5</f>
        <v>168</v>
      </c>
      <c r="BP3" t="s">
        <v>4</v>
      </c>
    </row>
    <row r="4" spans="1:68" ht="24.95" customHeight="1" x14ac:dyDescent="0.25">
      <c r="A4" s="60" t="s">
        <v>2</v>
      </c>
      <c r="B4" s="494"/>
      <c r="C4" s="55" t="s">
        <v>52</v>
      </c>
      <c r="D4" s="56" t="s">
        <v>53</v>
      </c>
      <c r="E4" s="57" t="s">
        <v>52</v>
      </c>
      <c r="F4" s="58" t="s">
        <v>53</v>
      </c>
      <c r="G4" s="55" t="s">
        <v>52</v>
      </c>
      <c r="H4" s="56" t="s">
        <v>53</v>
      </c>
      <c r="I4" s="55" t="s">
        <v>54</v>
      </c>
      <c r="J4" s="59" t="s">
        <v>55</v>
      </c>
      <c r="K4" s="56" t="s">
        <v>53</v>
      </c>
      <c r="L4" s="12"/>
      <c r="M4" s="122" t="s">
        <v>110</v>
      </c>
      <c r="N4" s="489" t="str">
        <f>IF(D13=0,"",IF(AND(D5&gt;=C5*0.4,D6&gt;=C6*0.4,D8&gt;=C8*0.4,D10&gt;=C10*0.4,D11&gt;=C11*0.4),LOOKUP(D13,$BO$18:$BP$22),"ضعيف ويحتاج الى اهتمام في المواد"))</f>
        <v>ممتاز</v>
      </c>
      <c r="O4" s="490"/>
      <c r="Q4" s="60" t="s">
        <v>2</v>
      </c>
      <c r="R4" s="494"/>
      <c r="S4" s="55" t="s">
        <v>52</v>
      </c>
      <c r="T4" s="56" t="s">
        <v>53</v>
      </c>
      <c r="U4" s="57" t="s">
        <v>52</v>
      </c>
      <c r="V4" s="58" t="s">
        <v>53</v>
      </c>
      <c r="W4" s="55" t="s">
        <v>52</v>
      </c>
      <c r="X4" s="56" t="s">
        <v>53</v>
      </c>
      <c r="Y4" s="55" t="s">
        <v>54</v>
      </c>
      <c r="Z4" s="59" t="s">
        <v>55</v>
      </c>
      <c r="AA4" s="56" t="s">
        <v>53</v>
      </c>
      <c r="AB4" s="12"/>
      <c r="AC4" s="122" t="s">
        <v>110</v>
      </c>
      <c r="AD4" s="489" t="str">
        <f>IF(T13=0,"",IF(AND(T5&gt;=S5*0.4,T6&gt;=S6*0.4,T8&gt;=S8*0.4,T10&gt;=S10*0.4,T11&gt;=S11*0.4),LOOKUP(T13,$BO$18:$BP$22),"ضعيف ويحتاج الى اهتمام في المواد"))</f>
        <v>ممتاز</v>
      </c>
      <c r="AE4" s="490"/>
      <c r="AF4" s="69"/>
      <c r="AG4" s="60" t="s">
        <v>2</v>
      </c>
      <c r="AH4" s="494"/>
      <c r="AI4" s="55" t="s">
        <v>52</v>
      </c>
      <c r="AJ4" s="56" t="s">
        <v>53</v>
      </c>
      <c r="AK4" s="57" t="s">
        <v>52</v>
      </c>
      <c r="AL4" s="58" t="s">
        <v>53</v>
      </c>
      <c r="AM4" s="55" t="s">
        <v>52</v>
      </c>
      <c r="AN4" s="56" t="s">
        <v>53</v>
      </c>
      <c r="AO4" s="55" t="s">
        <v>54</v>
      </c>
      <c r="AP4" s="59" t="s">
        <v>55</v>
      </c>
      <c r="AQ4" s="56" t="s">
        <v>53</v>
      </c>
      <c r="AR4" s="12"/>
      <c r="AS4" s="122" t="s">
        <v>110</v>
      </c>
      <c r="AT4" s="489" t="str">
        <f>IF(AJ13=0,"",IF(AND(AJ5&gt;=AI5*0.4,AJ6&gt;=AI6*0.4,AJ8&gt;=AI8*0.4,AJ10&gt;=AI10*0.4,AJ11&gt;=AI11*0.4),LOOKUP(AJ13,$BO$18:$BP$22),"ضعيف ويحتاج الى اهتمام في المواد"))</f>
        <v>ممتاز</v>
      </c>
      <c r="AU4" s="490"/>
      <c r="AW4" s="60" t="s">
        <v>2</v>
      </c>
      <c r="AX4" s="494"/>
      <c r="AY4" s="55" t="s">
        <v>52</v>
      </c>
      <c r="AZ4" s="56" t="s">
        <v>53</v>
      </c>
      <c r="BA4" s="57" t="s">
        <v>52</v>
      </c>
      <c r="BB4" s="58" t="s">
        <v>53</v>
      </c>
      <c r="BC4" s="55" t="s">
        <v>52</v>
      </c>
      <c r="BD4" s="56" t="s">
        <v>53</v>
      </c>
      <c r="BE4" s="55" t="s">
        <v>54</v>
      </c>
      <c r="BF4" s="59" t="s">
        <v>55</v>
      </c>
      <c r="BG4" s="56" t="s">
        <v>53</v>
      </c>
      <c r="BH4" s="12"/>
      <c r="BI4" s="122" t="s">
        <v>110</v>
      </c>
      <c r="BJ4" s="489" t="str">
        <f>IF(AZ13=0,"",IF(AND(AZ5&gt;=AY5*0.4,AZ6&gt;=AY6*0.4,AZ8&gt;=AY8*0.4,AZ10&gt;=AY10*0.4,AZ11&gt;=AY11*0.4),LOOKUP(AZ13,$BO$18:$BP$22),"ضعيف ويحتاج الى اهتمام في المواد"))</f>
        <v>ممتاز</v>
      </c>
      <c r="BK4" s="490"/>
      <c r="BL4" s="27"/>
      <c r="BO4">
        <f>$BN$1*0.65</f>
        <v>546</v>
      </c>
      <c r="BP4" t="s">
        <v>5</v>
      </c>
    </row>
    <row r="5" spans="1:68" ht="24.95" customHeight="1" x14ac:dyDescent="0.25">
      <c r="A5" s="118" t="str">
        <f>ادخال1!$F$9</f>
        <v>التربية الإسلامية</v>
      </c>
      <c r="B5" s="148">
        <f>ادخال1!$F$7</f>
        <v>3</v>
      </c>
      <c r="C5" s="45">
        <f t="shared" ref="C5:C7" si="0">40*B5*0.3</f>
        <v>36</v>
      </c>
      <c r="D5" s="2">
        <f xml:space="preserve"> IFERROR(VLOOKUP(M19,اسماء,5,0),"")</f>
        <v>36</v>
      </c>
      <c r="E5" s="47">
        <f t="shared" ref="E5:E7" si="1">40*B5*0.3</f>
        <v>36</v>
      </c>
      <c r="F5" s="2">
        <f>IFERROR(VLOOKUP(M19,اسماء,18,0),"")</f>
        <v>0</v>
      </c>
      <c r="G5" s="45">
        <f t="shared" ref="G5:G7" si="2">40*B5*0.4</f>
        <v>48</v>
      </c>
      <c r="H5" s="2">
        <f>IFERROR(VLOOKUP(M19,اسماء,31,0),"")</f>
        <v>0</v>
      </c>
      <c r="I5" s="45">
        <f t="shared" ref="I5:I6" si="3">SUM(C5,E5,G5)</f>
        <v>120</v>
      </c>
      <c r="J5" s="48">
        <f t="shared" ref="J5:J6" si="4">0.4*I5</f>
        <v>48</v>
      </c>
      <c r="K5" s="2">
        <f t="shared" ref="K5:K7" si="5">SUM(D5,F5,H5)</f>
        <v>36</v>
      </c>
      <c r="L5" s="20"/>
      <c r="M5" s="109" t="str">
        <f>IF(D5=0,"",IF(D5&lt;C5*0.4,A5,""))</f>
        <v/>
      </c>
      <c r="N5" s="159" t="str">
        <f>IF(D6=0,"",IF(D6&lt;C6*0.4,A6,""))</f>
        <v/>
      </c>
      <c r="O5" s="160" t="str">
        <f>IF(D7=0,"",IF(D7&lt;C7*0.4,A7,""))</f>
        <v/>
      </c>
      <c r="P5" s="123"/>
      <c r="Q5" s="118" t="str">
        <f>ادخال1!$F$9</f>
        <v>التربية الإسلامية</v>
      </c>
      <c r="R5" s="148">
        <f>ادخال1!$F$7</f>
        <v>3</v>
      </c>
      <c r="S5" s="45">
        <f t="shared" ref="S5:S7" si="6">40*R5*0.3</f>
        <v>36</v>
      </c>
      <c r="T5" s="2">
        <f xml:space="preserve"> IFERROR(VLOOKUP(AC19,اسماء,5,0),"")</f>
        <v>30</v>
      </c>
      <c r="U5" s="47">
        <f t="shared" ref="U5:U7" si="7">40*R5*0.3</f>
        <v>36</v>
      </c>
      <c r="V5" s="2">
        <f>IFERROR(VLOOKUP(AC19,اسماء,18,0),"")</f>
        <v>0</v>
      </c>
      <c r="W5" s="45">
        <f t="shared" ref="W5:W7" si="8">40*R5*0.4</f>
        <v>48</v>
      </c>
      <c r="X5" s="2">
        <f>IFERROR(VLOOKUP(AC19,اسماء,31,0),"")</f>
        <v>0</v>
      </c>
      <c r="Y5" s="45">
        <f t="shared" ref="Y5:Y7" si="9">SUM(S5,U5,W5)</f>
        <v>120</v>
      </c>
      <c r="Z5" s="48">
        <f t="shared" ref="Z5:Z7" si="10">0.4*Y5</f>
        <v>48</v>
      </c>
      <c r="AA5" s="2">
        <f t="shared" ref="AA5:AA7" si="11">SUM(T5,V5,X5)</f>
        <v>30</v>
      </c>
      <c r="AB5" s="20"/>
      <c r="AC5" s="109" t="str">
        <f>IF(T5=0,"",IF(T5&lt;S5*0.4,Q5,""))</f>
        <v/>
      </c>
      <c r="AD5" s="159" t="str">
        <f>IF(T6=0,"",IF(T6&lt;S6*0.4,Q6,""))</f>
        <v/>
      </c>
      <c r="AE5" s="160" t="str">
        <f>IF(T7=0,"",IF(T7&lt;S7*0.4,Q7,""))</f>
        <v/>
      </c>
      <c r="AF5" s="69"/>
      <c r="AG5" s="118" t="str">
        <f>ادخال1!$F$9</f>
        <v>التربية الإسلامية</v>
      </c>
      <c r="AH5" s="148">
        <f>ادخال1!$F$7</f>
        <v>3</v>
      </c>
      <c r="AI5" s="45">
        <f t="shared" ref="AI5:AI7" si="12">40*AH5*0.3</f>
        <v>36</v>
      </c>
      <c r="AJ5" s="2">
        <f xml:space="preserve"> IFERROR(VLOOKUP(AS19,اسماء,5,0),"")</f>
        <v>36</v>
      </c>
      <c r="AK5" s="47">
        <f t="shared" ref="AK5:AK7" si="13">40*AH5*0.3</f>
        <v>36</v>
      </c>
      <c r="AL5" s="2">
        <f>IFERROR(VLOOKUP(AS19,اسماء,18,0),"")</f>
        <v>0</v>
      </c>
      <c r="AM5" s="45">
        <f t="shared" ref="AM5:AM7" si="14">40*AH5*0.4</f>
        <v>48</v>
      </c>
      <c r="AN5" s="2">
        <f>IFERROR(VLOOKUP(AS19,اسماء,31,0),"")</f>
        <v>0</v>
      </c>
      <c r="AO5" s="45">
        <f t="shared" ref="AO5:AO7" si="15">SUM(AI5,AK5,AM5)</f>
        <v>120</v>
      </c>
      <c r="AP5" s="48">
        <f t="shared" ref="AP5:AP7" si="16">0.4*AO5</f>
        <v>48</v>
      </c>
      <c r="AQ5" s="2">
        <f t="shared" ref="AQ5:AQ7" si="17">SUM(AJ5,AL5,AN5)</f>
        <v>36</v>
      </c>
      <c r="AR5" s="20"/>
      <c r="AS5" s="109" t="str">
        <f>IF(AJ5=0,"",IF(AJ5&lt;AI5*0.4,AG5,""))</f>
        <v/>
      </c>
      <c r="AT5" s="159" t="str">
        <f>IF(AJ6=0,"",IF(AJ6&lt;AI6*0.4,AG6,""))</f>
        <v/>
      </c>
      <c r="AU5" s="160" t="str">
        <f>IF(AJ7=0,"",IF(AJ7&lt;AI7*0.4,AG7,""))</f>
        <v/>
      </c>
      <c r="AW5" s="118" t="str">
        <f>ادخال1!$F$9</f>
        <v>التربية الإسلامية</v>
      </c>
      <c r="AX5" s="148">
        <f>ادخال1!$F$7</f>
        <v>3</v>
      </c>
      <c r="AY5" s="45">
        <f t="shared" ref="AY5:AY7" si="18">40*AX5*0.3</f>
        <v>36</v>
      </c>
      <c r="AZ5" s="2">
        <f xml:space="preserve"> IFERROR(VLOOKUP(BI19,اسماء,5,0),"")</f>
        <v>36</v>
      </c>
      <c r="BA5" s="47">
        <f t="shared" ref="BA5:BA7" si="19">40*AX5*0.3</f>
        <v>36</v>
      </c>
      <c r="BB5" s="2">
        <f>IFERROR(VLOOKUP(BI19,اسماء,18,0),"")</f>
        <v>0</v>
      </c>
      <c r="BC5" s="45">
        <f t="shared" ref="BC5:BC7" si="20">40*AX5*0.4</f>
        <v>48</v>
      </c>
      <c r="BD5" s="2">
        <f>IFERROR(VLOOKUP(BI19,اسماء,31,0),"")</f>
        <v>0</v>
      </c>
      <c r="BE5" s="45">
        <f t="shared" ref="BE5:BE7" si="21">SUM(AY5,BA5,BC5)</f>
        <v>120</v>
      </c>
      <c r="BF5" s="48">
        <f t="shared" ref="BF5:BF7" si="22">0.4*BE5</f>
        <v>48</v>
      </c>
      <c r="BG5" s="2">
        <f t="shared" ref="BG5:BG7" si="23">SUM(AZ5,BB5,BD5)</f>
        <v>36</v>
      </c>
      <c r="BH5" s="20"/>
      <c r="BI5" s="109" t="str">
        <f>IF(AZ5=0,"",IF(AZ5&lt;AY5*0.4,AW5,""))</f>
        <v/>
      </c>
      <c r="BJ5" s="159" t="str">
        <f>IF(AZ6=0,"",IF(AZ6&lt;AY6*0.4,AW6,""))</f>
        <v/>
      </c>
      <c r="BK5" s="160" t="str">
        <f>IF(AZ7=0,"",IF(AZ7&lt;AY7*0.4,AW7,""))</f>
        <v/>
      </c>
      <c r="BL5" s="27"/>
      <c r="BO5">
        <f>$BN$1*0.75</f>
        <v>630</v>
      </c>
      <c r="BP5" t="s">
        <v>105</v>
      </c>
    </row>
    <row r="6" spans="1:68" ht="24.95" customHeight="1" x14ac:dyDescent="0.25">
      <c r="A6" s="136" t="str">
        <f>ادخال1!$G$9</f>
        <v>اللغة العربية</v>
      </c>
      <c r="B6" s="149">
        <f>ادخال1!$G$7</f>
        <v>4</v>
      </c>
      <c r="C6" s="45">
        <f t="shared" si="0"/>
        <v>48</v>
      </c>
      <c r="D6" s="2">
        <f>IFERROR(VLOOKUP(M19,اسماء,6,0),"")</f>
        <v>48</v>
      </c>
      <c r="E6" s="47">
        <f t="shared" si="1"/>
        <v>48</v>
      </c>
      <c r="F6" s="2">
        <f>IFERROR(VLOOKUP(M19,اسماء,19,0),"")</f>
        <v>0</v>
      </c>
      <c r="G6" s="45">
        <f t="shared" si="2"/>
        <v>64</v>
      </c>
      <c r="H6" s="2">
        <f>IFERROR(VLOOKUP(M19,اسماء,32,0),"")</f>
        <v>0</v>
      </c>
      <c r="I6" s="45">
        <f t="shared" si="3"/>
        <v>160</v>
      </c>
      <c r="J6" s="48">
        <f t="shared" si="4"/>
        <v>64</v>
      </c>
      <c r="K6" s="2">
        <f t="shared" si="5"/>
        <v>48</v>
      </c>
      <c r="L6" s="20"/>
      <c r="M6" s="109" t="str">
        <f>IF(D8=0,"",IF(D8&lt;C8*0.4,A8,""))</f>
        <v/>
      </c>
      <c r="N6" s="159" t="str">
        <f>IF(D9=0,"",IF(D9&lt;C9*0.4,A9,""))</f>
        <v/>
      </c>
      <c r="O6" s="160" t="str">
        <f>IF(D10=0,"",IF(D10&lt;C10*0.4,A10,""))</f>
        <v/>
      </c>
      <c r="P6" s="123"/>
      <c r="Q6" s="136" t="str">
        <f>ادخال1!$G$9</f>
        <v>اللغة العربية</v>
      </c>
      <c r="R6" s="149">
        <f>ادخال1!$G$7</f>
        <v>4</v>
      </c>
      <c r="S6" s="45">
        <f t="shared" si="6"/>
        <v>48</v>
      </c>
      <c r="T6" s="2">
        <f>IFERROR(VLOOKUP(AC19,اسماء,6,0),"")</f>
        <v>47</v>
      </c>
      <c r="U6" s="47">
        <f t="shared" si="7"/>
        <v>48</v>
      </c>
      <c r="V6" s="2">
        <f>IFERROR(VLOOKUP(AC19,اسماء,19,0),"")</f>
        <v>0</v>
      </c>
      <c r="W6" s="45">
        <f t="shared" si="8"/>
        <v>64</v>
      </c>
      <c r="X6" s="2">
        <f>IFERROR(VLOOKUP(AC19,اسماء,32,0),"")</f>
        <v>0</v>
      </c>
      <c r="Y6" s="45">
        <f t="shared" si="9"/>
        <v>160</v>
      </c>
      <c r="Z6" s="48">
        <f t="shared" si="10"/>
        <v>64</v>
      </c>
      <c r="AA6" s="2">
        <f t="shared" si="11"/>
        <v>47</v>
      </c>
      <c r="AB6" s="20"/>
      <c r="AC6" s="109" t="str">
        <f>IF(T8=0,"",IF(T8&lt;S8*0.4,Q8,""))</f>
        <v/>
      </c>
      <c r="AD6" s="159" t="str">
        <f>IF(T9=0,"",IF(T9&lt;S9*0.4,Q9,""))</f>
        <v/>
      </c>
      <c r="AE6" s="160" t="str">
        <f>IF(T10=0,"",IF(T10&lt;S10*0.4,Q10,""))</f>
        <v/>
      </c>
      <c r="AF6" s="69"/>
      <c r="AG6" s="136" t="str">
        <f>ادخال1!$G$9</f>
        <v>اللغة العربية</v>
      </c>
      <c r="AH6" s="149">
        <f>ادخال1!$G$7</f>
        <v>4</v>
      </c>
      <c r="AI6" s="45">
        <f t="shared" si="12"/>
        <v>48</v>
      </c>
      <c r="AJ6" s="2">
        <f>IFERROR(VLOOKUP(AS19,اسماء,6,0),"")</f>
        <v>48</v>
      </c>
      <c r="AK6" s="47">
        <f t="shared" si="13"/>
        <v>48</v>
      </c>
      <c r="AL6" s="2">
        <f>IFERROR(VLOOKUP(AS19,اسماء,19,0),"")</f>
        <v>0</v>
      </c>
      <c r="AM6" s="45">
        <f t="shared" si="14"/>
        <v>64</v>
      </c>
      <c r="AN6" s="2">
        <f>IFERROR(VLOOKUP(AS19,اسماء,32,0),"")</f>
        <v>0</v>
      </c>
      <c r="AO6" s="45">
        <f t="shared" si="15"/>
        <v>160</v>
      </c>
      <c r="AP6" s="48">
        <f t="shared" si="16"/>
        <v>64</v>
      </c>
      <c r="AQ6" s="2">
        <f t="shared" si="17"/>
        <v>48</v>
      </c>
      <c r="AR6" s="20"/>
      <c r="AS6" s="109" t="str">
        <f>IF(AJ8=0,"",IF(AJ8&lt;AI8*0.4,AG8,""))</f>
        <v/>
      </c>
      <c r="AT6" s="159" t="str">
        <f>IF(AJ9=0,"",IF(AJ9&lt;AI9*0.4,AG9,""))</f>
        <v/>
      </c>
      <c r="AU6" s="160" t="str">
        <f>IF(AJ10=0,"",IF(AJ10&lt;AI10*0.4,AG10,""))</f>
        <v/>
      </c>
      <c r="AW6" s="136" t="str">
        <f>ادخال1!$G$9</f>
        <v>اللغة العربية</v>
      </c>
      <c r="AX6" s="149">
        <f>ادخال1!$G$7</f>
        <v>4</v>
      </c>
      <c r="AY6" s="45">
        <f t="shared" si="18"/>
        <v>48</v>
      </c>
      <c r="AZ6" s="2">
        <f>IFERROR(VLOOKUP(BI19,اسماء,6,0),"")</f>
        <v>48</v>
      </c>
      <c r="BA6" s="47">
        <f t="shared" si="19"/>
        <v>48</v>
      </c>
      <c r="BB6" s="2">
        <f>IFERROR(VLOOKUP(BI19,اسماء,19,0),"")</f>
        <v>0</v>
      </c>
      <c r="BC6" s="45">
        <f t="shared" si="20"/>
        <v>64</v>
      </c>
      <c r="BD6" s="2">
        <f>IFERROR(VLOOKUP(BI19,اسماء,32,0),"")</f>
        <v>0</v>
      </c>
      <c r="BE6" s="45">
        <f t="shared" si="21"/>
        <v>160</v>
      </c>
      <c r="BF6" s="48">
        <f t="shared" si="22"/>
        <v>64</v>
      </c>
      <c r="BG6" s="2">
        <f t="shared" si="23"/>
        <v>48</v>
      </c>
      <c r="BH6" s="20"/>
      <c r="BI6" s="109" t="str">
        <f>IF(AZ8=0,"",IF(AZ8&lt;AY8*0.4,AW8,""))</f>
        <v/>
      </c>
      <c r="BJ6" s="159" t="str">
        <f>IF(AZ9=0,"",IF(AZ9&lt;AY9*0.4,AW9,""))</f>
        <v/>
      </c>
      <c r="BK6" s="160" t="str">
        <f>IF(AZ10=0,"",IF(AZ10&lt;AY10*0.4,AW10,""))</f>
        <v/>
      </c>
      <c r="BL6" s="27"/>
      <c r="BO6">
        <f>$BN$1*0.85</f>
        <v>714</v>
      </c>
      <c r="BP6" t="s">
        <v>6</v>
      </c>
    </row>
    <row r="7" spans="1:68" ht="24.95" customHeight="1" thickBot="1" x14ac:dyDescent="0.3">
      <c r="A7" s="136" t="str">
        <f>ادخال1!$H$9</f>
        <v>الكتابة</v>
      </c>
      <c r="B7" s="149">
        <f>ادخال1!$H$7</f>
        <v>2</v>
      </c>
      <c r="C7" s="45">
        <f t="shared" si="0"/>
        <v>24</v>
      </c>
      <c r="D7" s="2">
        <f>IFERROR(VLOOKUP(M19,اسماء,7,0),"")</f>
        <v>23</v>
      </c>
      <c r="E7" s="47">
        <f t="shared" si="1"/>
        <v>24</v>
      </c>
      <c r="F7" s="2">
        <f>IFERROR(VLOOKUP(M19,اسماء,20,0),"")</f>
        <v>0</v>
      </c>
      <c r="G7" s="45">
        <f t="shared" si="2"/>
        <v>32</v>
      </c>
      <c r="H7" s="2">
        <f>IFERROR(VLOOKUP(M19,اسماء,33,0),"")</f>
        <v>0</v>
      </c>
      <c r="I7" s="45">
        <f t="shared" ref="I7" si="24">SUM(C7,E7,G7)</f>
        <v>80</v>
      </c>
      <c r="J7" s="48">
        <f t="shared" ref="J7" si="25">0.4*I7</f>
        <v>32</v>
      </c>
      <c r="K7" s="2">
        <f t="shared" si="5"/>
        <v>23</v>
      </c>
      <c r="L7" s="20"/>
      <c r="M7" s="109" t="str">
        <f>IF(D11=0,"",IF(D11&lt;C11*0.4,A11,""))</f>
        <v/>
      </c>
      <c r="N7" s="109" t="str">
        <f>IF(D12=0,"",IF(D12&lt;C12*0.4,A12,""))</f>
        <v/>
      </c>
      <c r="O7" s="357"/>
      <c r="Q7" s="136" t="str">
        <f>ادخال1!$H$9</f>
        <v>الكتابة</v>
      </c>
      <c r="R7" s="149">
        <f>ادخال1!$H$7</f>
        <v>2</v>
      </c>
      <c r="S7" s="45">
        <f t="shared" si="6"/>
        <v>24</v>
      </c>
      <c r="T7" s="2">
        <f>IFERROR(VLOOKUP(AC19,اسماء,7,0),"")</f>
        <v>19</v>
      </c>
      <c r="U7" s="47">
        <f t="shared" si="7"/>
        <v>24</v>
      </c>
      <c r="V7" s="2">
        <f>IFERROR(VLOOKUP(AC19,اسماء,20,0),"")</f>
        <v>0</v>
      </c>
      <c r="W7" s="45">
        <f t="shared" si="8"/>
        <v>32</v>
      </c>
      <c r="X7" s="2">
        <f>IFERROR(VLOOKUP(AC19,اسماء,33,0),"")</f>
        <v>0</v>
      </c>
      <c r="Y7" s="45">
        <f t="shared" si="9"/>
        <v>80</v>
      </c>
      <c r="Z7" s="48">
        <f t="shared" si="10"/>
        <v>32</v>
      </c>
      <c r="AA7" s="2">
        <f t="shared" si="11"/>
        <v>19</v>
      </c>
      <c r="AB7" s="20"/>
      <c r="AC7" s="109" t="str">
        <f>IF(T11=0,"",IF(T11&lt;S11*0.4,Q11,""))</f>
        <v/>
      </c>
      <c r="AD7" s="109" t="str">
        <f>IF(T12=0,"",IF(T12&lt;S12*0.4,Q12,""))</f>
        <v/>
      </c>
      <c r="AE7" s="357"/>
      <c r="AF7" s="69"/>
      <c r="AG7" s="136" t="str">
        <f>ادخال1!$H$9</f>
        <v>الكتابة</v>
      </c>
      <c r="AH7" s="149">
        <f>ادخال1!$H$7</f>
        <v>2</v>
      </c>
      <c r="AI7" s="45">
        <f t="shared" si="12"/>
        <v>24</v>
      </c>
      <c r="AJ7" s="2">
        <f>IFERROR(VLOOKUP(AS19,اسماء,7,0),"")</f>
        <v>22</v>
      </c>
      <c r="AK7" s="47">
        <f t="shared" si="13"/>
        <v>24</v>
      </c>
      <c r="AL7" s="2">
        <f>IFERROR(VLOOKUP(AS19,اسماء,20,0),"")</f>
        <v>0</v>
      </c>
      <c r="AM7" s="45">
        <f t="shared" si="14"/>
        <v>32</v>
      </c>
      <c r="AN7" s="2">
        <f>IFERROR(VLOOKUP(AS19,اسماء,33,0),"")</f>
        <v>0</v>
      </c>
      <c r="AO7" s="45">
        <f t="shared" si="15"/>
        <v>80</v>
      </c>
      <c r="AP7" s="48">
        <f t="shared" si="16"/>
        <v>32</v>
      </c>
      <c r="AQ7" s="2">
        <f t="shared" si="17"/>
        <v>22</v>
      </c>
      <c r="AR7" s="20"/>
      <c r="AS7" s="109" t="str">
        <f>IF(AJ11=0,"",IF(AJ11&lt;AI11*0.4,AG11,""))</f>
        <v/>
      </c>
      <c r="AT7" s="109" t="str">
        <f>IF(AJ12=0,"",IF(AJ12&lt;AI12*0.4,AG12,""))</f>
        <v/>
      </c>
      <c r="AU7" s="357"/>
      <c r="AW7" s="136" t="str">
        <f>ادخال1!$H$9</f>
        <v>الكتابة</v>
      </c>
      <c r="AX7" s="149">
        <f>ادخال1!$H$7</f>
        <v>2</v>
      </c>
      <c r="AY7" s="45">
        <f t="shared" si="18"/>
        <v>24</v>
      </c>
      <c r="AZ7" s="2">
        <f>IFERROR(VLOOKUP(BI19,اسماء,7,0),"")</f>
        <v>23</v>
      </c>
      <c r="BA7" s="47">
        <f t="shared" si="19"/>
        <v>24</v>
      </c>
      <c r="BB7" s="2">
        <f>IFERROR(VLOOKUP(BI19,اسماء,20,0),"")</f>
        <v>0</v>
      </c>
      <c r="BC7" s="45">
        <f t="shared" si="20"/>
        <v>32</v>
      </c>
      <c r="BD7" s="2">
        <f>IFERROR(VLOOKUP(BI19,اسماء,33,0),"")</f>
        <v>0</v>
      </c>
      <c r="BE7" s="45">
        <f t="shared" si="21"/>
        <v>80</v>
      </c>
      <c r="BF7" s="48">
        <f t="shared" si="22"/>
        <v>32</v>
      </c>
      <c r="BG7" s="2">
        <f t="shared" si="23"/>
        <v>23</v>
      </c>
      <c r="BH7" s="20"/>
      <c r="BI7" s="109" t="str">
        <f>IF(AZ11=0,"",IF(AZ11&lt;AY11*0.4,AW11,""))</f>
        <v/>
      </c>
      <c r="BJ7" s="109" t="str">
        <f>IF(AZ12=0,"",IF(AZ12&lt;AY12*0.4,AW12,""))</f>
        <v/>
      </c>
      <c r="BK7" s="357"/>
      <c r="BL7" s="27"/>
    </row>
    <row r="8" spans="1:68" ht="24.95" customHeight="1" x14ac:dyDescent="0.25">
      <c r="A8" s="136" t="str">
        <f>ادخال1!$I$9</f>
        <v>اللغة الإنجليزية</v>
      </c>
      <c r="B8" s="149">
        <f>ادخال1!$I$7</f>
        <v>3</v>
      </c>
      <c r="C8" s="45">
        <f>40*B8*0.3</f>
        <v>36</v>
      </c>
      <c r="D8" s="2">
        <f>IFERROR(VLOOKUP(M19,اسماء,8,0),"")</f>
        <v>36</v>
      </c>
      <c r="E8" s="47">
        <f>40*B8*0.3</f>
        <v>36</v>
      </c>
      <c r="F8" s="2">
        <f>IFERROR(VLOOKUP(M19,اسماء,21,0),"")</f>
        <v>0</v>
      </c>
      <c r="G8" s="45">
        <f>40*B8*0.4</f>
        <v>48</v>
      </c>
      <c r="H8" s="2">
        <f>IFERROR(VLOOKUP(M19,اسماء,34,0),"")</f>
        <v>0</v>
      </c>
      <c r="I8" s="45">
        <f>SUM(C8,E8,G8)</f>
        <v>120</v>
      </c>
      <c r="J8" s="48">
        <f>0.4*I8</f>
        <v>48</v>
      </c>
      <c r="K8" s="2">
        <f>SUM(D8,F8,H8)</f>
        <v>36</v>
      </c>
      <c r="L8" s="20"/>
      <c r="M8" s="108" t="s">
        <v>83</v>
      </c>
      <c r="N8" s="489" t="str">
        <f>IF(F13=0,"",IF(AND(F5&gt;=E5*0.4,F6&gt;=E6*0.4,F8&gt;=E8*0.4,F10&gt;=E10*0.4,F11&gt;=E11*0.4),LOOKUP(F13,'الصحيفة النهائية'!$BO$18:$BP$22),"ضعيف ويحتاج الى اهتمام في المواد"))</f>
        <v/>
      </c>
      <c r="O8" s="490"/>
      <c r="Q8" s="136" t="str">
        <f>ادخال1!$I$9</f>
        <v>اللغة الإنجليزية</v>
      </c>
      <c r="R8" s="149">
        <f>ادخال1!$I$7</f>
        <v>3</v>
      </c>
      <c r="S8" s="45">
        <f>40*R8*0.3</f>
        <v>36</v>
      </c>
      <c r="T8" s="2">
        <f>IFERROR(VLOOKUP(AC19,اسماء,8,0),"")</f>
        <v>31</v>
      </c>
      <c r="U8" s="47">
        <f>40*R8*0.3</f>
        <v>36</v>
      </c>
      <c r="V8" s="2">
        <f>IFERROR(VLOOKUP(AC19,اسماء,21,0),"")</f>
        <v>0</v>
      </c>
      <c r="W8" s="45">
        <f>40*R8*0.4</f>
        <v>48</v>
      </c>
      <c r="X8" s="2">
        <f>IFERROR(VLOOKUP(AC19,اسماء,34,0),"")</f>
        <v>0</v>
      </c>
      <c r="Y8" s="45">
        <f>SUM(S8,U8,W8)</f>
        <v>120</v>
      </c>
      <c r="Z8" s="48">
        <f>0.4*Y8</f>
        <v>48</v>
      </c>
      <c r="AA8" s="2">
        <f>SUM(T8,V8,X8)</f>
        <v>31</v>
      </c>
      <c r="AB8" s="20"/>
      <c r="AC8" s="108" t="s">
        <v>83</v>
      </c>
      <c r="AD8" s="489" t="str">
        <f>IF(V13=0,"",IF(AND(V5&gt;=U5*0.4,V6&gt;=U6*0.4,V8&gt;=U8*0.4,V10&gt;=U10*0.4,V11&gt;=U11*0.4),LOOKUP(V13,'الصحيفة النهائية'!$BO$18:$BP$22),"ضعيف ويحتاج الى اهتمام في المواد"))</f>
        <v/>
      </c>
      <c r="AE8" s="490"/>
      <c r="AF8" s="69"/>
      <c r="AG8" s="136" t="str">
        <f>ادخال1!$I$9</f>
        <v>اللغة الإنجليزية</v>
      </c>
      <c r="AH8" s="149">
        <f>ادخال1!$I$7</f>
        <v>3</v>
      </c>
      <c r="AI8" s="45">
        <f>40*AH8*0.3</f>
        <v>36</v>
      </c>
      <c r="AJ8" s="2">
        <f>IFERROR(VLOOKUP(AS19,اسماء,8,0),"")</f>
        <v>30</v>
      </c>
      <c r="AK8" s="47">
        <f>40*AH8*0.3</f>
        <v>36</v>
      </c>
      <c r="AL8" s="2">
        <f>IFERROR(VLOOKUP(AS19,اسماء,21,0),"")</f>
        <v>0</v>
      </c>
      <c r="AM8" s="45">
        <f>40*AH8*0.4</f>
        <v>48</v>
      </c>
      <c r="AN8" s="2">
        <f>IFERROR(VLOOKUP(AS19,اسماء,34,0),"")</f>
        <v>0</v>
      </c>
      <c r="AO8" s="45">
        <f>SUM(AI8,AK8,AM8)</f>
        <v>120</v>
      </c>
      <c r="AP8" s="48">
        <f>0.4*AO8</f>
        <v>48</v>
      </c>
      <c r="AQ8" s="2">
        <f>SUM(AJ8,AL8,AN8)</f>
        <v>30</v>
      </c>
      <c r="AR8" s="20"/>
      <c r="AS8" s="108" t="s">
        <v>83</v>
      </c>
      <c r="AT8" s="489" t="str">
        <f>IF(AL13=0,"",IF(AND(AL5&gt;=AK5*0.4,AL6&gt;=AK6*0.4,AL8&gt;=AK8*0.4,AL10&gt;=AK10*0.4,AL11&gt;=AK11*0.4),LOOKUP(AL13,'الصحيفة النهائية'!$BO$18:$BP$22),"ضعيف ويحتاج الى اهتمام في المواد"))</f>
        <v/>
      </c>
      <c r="AU8" s="490"/>
      <c r="AW8" s="136" t="str">
        <f>ادخال1!$I$9</f>
        <v>اللغة الإنجليزية</v>
      </c>
      <c r="AX8" s="149">
        <f>ادخال1!$I$7</f>
        <v>3</v>
      </c>
      <c r="AY8" s="45">
        <f>40*AX8*0.3</f>
        <v>36</v>
      </c>
      <c r="AZ8" s="2">
        <f>IFERROR(VLOOKUP(BI19,اسماء,8,0),"")</f>
        <v>32</v>
      </c>
      <c r="BA8" s="47">
        <f>40*AX8*0.3</f>
        <v>36</v>
      </c>
      <c r="BB8" s="2">
        <f>IFERROR(VLOOKUP(BI19,اسماء,21,0),"")</f>
        <v>0</v>
      </c>
      <c r="BC8" s="45">
        <f>40*AX8*0.4</f>
        <v>48</v>
      </c>
      <c r="BD8" s="2">
        <f>IFERROR(VLOOKUP(BI19,اسماء,34,0),"")</f>
        <v>0</v>
      </c>
      <c r="BE8" s="45">
        <f>SUM(AY8,BA8,BC8)</f>
        <v>120</v>
      </c>
      <c r="BF8" s="48">
        <f>0.4*BE8</f>
        <v>48</v>
      </c>
      <c r="BG8" s="2">
        <f>SUM(AZ8,BB8,BD8)</f>
        <v>32</v>
      </c>
      <c r="BH8" s="20"/>
      <c r="BI8" s="108" t="s">
        <v>83</v>
      </c>
      <c r="BJ8" s="489" t="str">
        <f>IF(BB13=0,"",IF(AND(BB5&gt;=BA5*0.4,BB6&gt;=BA6*0.4,BB8&gt;=BA8*0.4,BB10&gt;=BA10*0.4,BB11&gt;=BA11*0.4),LOOKUP(BB13,'الصحيفة النهائية'!$BO$18:$BP$22),"ضعيف ويحتاج الى اهتمام في المواد"))</f>
        <v/>
      </c>
      <c r="BK8" s="490"/>
      <c r="BL8" s="27"/>
    </row>
    <row r="9" spans="1:68" ht="24.95" customHeight="1" x14ac:dyDescent="0.25">
      <c r="A9" s="136" t="str">
        <f>ادخال1!$J$9</f>
        <v>الحاسوب</v>
      </c>
      <c r="B9" s="149">
        <f>ادخال1!$J$7</f>
        <v>1</v>
      </c>
      <c r="C9" s="45">
        <f>40*B9*0.3</f>
        <v>12</v>
      </c>
      <c r="D9" s="2">
        <f>IFERROR(VLOOKUP(M19,اسماء,9,0),"")</f>
        <v>12</v>
      </c>
      <c r="E9" s="47">
        <f>40*B9*0.3</f>
        <v>12</v>
      </c>
      <c r="F9" s="2">
        <f>IFERROR(VLOOKUP(M19,اسماء,22,0),"")</f>
        <v>0</v>
      </c>
      <c r="G9" s="45">
        <f>40*B9*0.4</f>
        <v>16</v>
      </c>
      <c r="H9" s="2">
        <f>IFERROR(VLOOKUP(M19,اسماء,35,0),"")</f>
        <v>0</v>
      </c>
      <c r="I9" s="45">
        <f>SUM(C9,E9,G9)</f>
        <v>40</v>
      </c>
      <c r="J9" s="48">
        <f>0.4*I9</f>
        <v>16</v>
      </c>
      <c r="K9" s="2">
        <f>SUM(D9,F9,H9)</f>
        <v>12</v>
      </c>
      <c r="L9" s="20"/>
      <c r="M9" s="109" t="str">
        <f>IF(F5=0,"",IF(F5&lt;E5*0.4,A5,""))</f>
        <v/>
      </c>
      <c r="N9" s="159" t="str">
        <f>IF(F6=0,"",IF(F6&lt;E6*0.4,A6,""))</f>
        <v/>
      </c>
      <c r="O9" s="160" t="str">
        <f>IF(F7=0,"",IF(F7&lt;E7*0.4,A7,""))</f>
        <v/>
      </c>
      <c r="Q9" s="136" t="str">
        <f>ادخال1!$J$9</f>
        <v>الحاسوب</v>
      </c>
      <c r="R9" s="149">
        <f>ادخال1!$J$7</f>
        <v>1</v>
      </c>
      <c r="S9" s="45">
        <f>40*R9*0.3</f>
        <v>12</v>
      </c>
      <c r="T9" s="2">
        <f>IFERROR(VLOOKUP(AC19,اسماء,9,0),"")</f>
        <v>11</v>
      </c>
      <c r="U9" s="47">
        <f>40*R9*0.3</f>
        <v>12</v>
      </c>
      <c r="V9" s="2">
        <f>IFERROR(VLOOKUP(AC19,اسماء,22,0),"")</f>
        <v>0</v>
      </c>
      <c r="W9" s="45">
        <f>40*R9*0.4</f>
        <v>16</v>
      </c>
      <c r="X9" s="2">
        <f>IFERROR(VLOOKUP(AC19,اسماء,35,0),"")</f>
        <v>0</v>
      </c>
      <c r="Y9" s="45">
        <f>SUM(S9,U9,W9)</f>
        <v>40</v>
      </c>
      <c r="Z9" s="48">
        <f>0.4*Y9</f>
        <v>16</v>
      </c>
      <c r="AA9" s="2">
        <f>SUM(T9,V9,X9)</f>
        <v>11</v>
      </c>
      <c r="AB9" s="20"/>
      <c r="AC9" s="109" t="str">
        <f>IF(V5=0,"",IF(V5&lt;U5*0.4,Q5,""))</f>
        <v/>
      </c>
      <c r="AD9" s="159" t="str">
        <f>IF(V6=0,"",IF(V6&lt;U6*0.4,Q6,""))</f>
        <v/>
      </c>
      <c r="AE9" s="160" t="str">
        <f>IF(V7=0,"",IF(V7&lt;U7*0.4,Q7,""))</f>
        <v/>
      </c>
      <c r="AF9" s="69"/>
      <c r="AG9" s="136" t="str">
        <f>ادخال1!$J$9</f>
        <v>الحاسوب</v>
      </c>
      <c r="AH9" s="149">
        <f>ادخال1!$J$7</f>
        <v>1</v>
      </c>
      <c r="AI9" s="45">
        <f>40*AH9*0.3</f>
        <v>12</v>
      </c>
      <c r="AJ9" s="2">
        <f>IFERROR(VLOOKUP(AS19,اسماء,9,0),"")</f>
        <v>12</v>
      </c>
      <c r="AK9" s="47">
        <f>40*AH9*0.3</f>
        <v>12</v>
      </c>
      <c r="AL9" s="2">
        <f>IFERROR(VLOOKUP(AS19,اسماء,22,0),"")</f>
        <v>0</v>
      </c>
      <c r="AM9" s="45">
        <f>40*AH9*0.4</f>
        <v>16</v>
      </c>
      <c r="AN9" s="2">
        <f>IFERROR(VLOOKUP(AS19,اسماء,35,0),"")</f>
        <v>0</v>
      </c>
      <c r="AO9" s="45">
        <f>SUM(AI9,AK9,AM9)</f>
        <v>40</v>
      </c>
      <c r="AP9" s="48">
        <f>0.4*AO9</f>
        <v>16</v>
      </c>
      <c r="AQ9" s="2">
        <f>SUM(AJ9,AL9,AN9)</f>
        <v>12</v>
      </c>
      <c r="AR9" s="20"/>
      <c r="AS9" s="109" t="str">
        <f>IF(AL5=0,"",IF(AL5&lt;AK5*0.4,AG5,""))</f>
        <v/>
      </c>
      <c r="AT9" s="159" t="str">
        <f>IF(AL6=0,"",IF(AL6&lt;AK6*0.4,AG6,""))</f>
        <v/>
      </c>
      <c r="AU9" s="160" t="str">
        <f>IF(AL7=0,"",IF(AL7&lt;AK7*0.4,AG7,""))</f>
        <v/>
      </c>
      <c r="AW9" s="136" t="str">
        <f>ادخال1!$J$9</f>
        <v>الحاسوب</v>
      </c>
      <c r="AX9" s="149">
        <f>ادخال1!$J$7</f>
        <v>1</v>
      </c>
      <c r="AY9" s="45">
        <f>40*AX9*0.3</f>
        <v>12</v>
      </c>
      <c r="AZ9" s="2">
        <f>IFERROR(VLOOKUP(BI19,اسماء,9,0),"")</f>
        <v>12</v>
      </c>
      <c r="BA9" s="47">
        <f>40*AX9*0.3</f>
        <v>12</v>
      </c>
      <c r="BB9" s="2">
        <f>IFERROR(VLOOKUP(BI19,اسماء,22,0),"")</f>
        <v>0</v>
      </c>
      <c r="BC9" s="45">
        <f>40*AX9*0.4</f>
        <v>16</v>
      </c>
      <c r="BD9" s="2">
        <f>IFERROR(VLOOKUP(BI19,اسماء,35,0),"")</f>
        <v>0</v>
      </c>
      <c r="BE9" s="45">
        <f>SUM(AY9,BA9,BC9)</f>
        <v>40</v>
      </c>
      <c r="BF9" s="48">
        <f>0.4*BE9</f>
        <v>16</v>
      </c>
      <c r="BG9" s="2">
        <f>SUM(AZ9,BB9,BD9)</f>
        <v>12</v>
      </c>
      <c r="BH9" s="20"/>
      <c r="BI9" s="109" t="str">
        <f>IF(BB5=0,"",IF(BB5&lt;BA5*0.4,AW5,""))</f>
        <v/>
      </c>
      <c r="BJ9" s="159" t="str">
        <f>IF(BB6=0,"",IF(BB6&lt;BA6*0.4,AW6,""))</f>
        <v/>
      </c>
      <c r="BK9" s="160" t="str">
        <f>IF(BB7=0,"",IF(BB7&lt;BA7*0.4,AW7,""))</f>
        <v/>
      </c>
      <c r="BL9" s="27"/>
    </row>
    <row r="10" spans="1:68" ht="24.95" customHeight="1" x14ac:dyDescent="0.25">
      <c r="A10" s="136" t="str">
        <f>ادخال1!$K$9</f>
        <v>الرياضيات</v>
      </c>
      <c r="B10" s="149">
        <f>ادخال1!$K$7</f>
        <v>5</v>
      </c>
      <c r="C10" s="45">
        <f>40*B10*0.3</f>
        <v>60</v>
      </c>
      <c r="D10" s="2">
        <f>IFERROR(VLOOKUP(M19,اسماء,10,0),"")</f>
        <v>57</v>
      </c>
      <c r="E10" s="47">
        <f>40*B10*0.3</f>
        <v>60</v>
      </c>
      <c r="F10" s="2">
        <f>IFERROR(VLOOKUP(M19,اسماء,23,0),"")</f>
        <v>0</v>
      </c>
      <c r="G10" s="45">
        <f>40*B10*0.4</f>
        <v>80</v>
      </c>
      <c r="H10" s="2">
        <f>IFERROR(VLOOKUP(M19,اسماء,36,0),"")</f>
        <v>0</v>
      </c>
      <c r="I10" s="45">
        <f>SUM(C10,E10,G10)</f>
        <v>200</v>
      </c>
      <c r="J10" s="48">
        <f>0.4*I10</f>
        <v>80</v>
      </c>
      <c r="K10" s="2">
        <f>SUM(D10,F10,H10)</f>
        <v>57</v>
      </c>
      <c r="L10" s="20"/>
      <c r="M10" s="109" t="str">
        <f>IF(F8=0,"",IF(F8&lt;E8*0.4,A8,""))</f>
        <v/>
      </c>
      <c r="N10" s="159" t="str">
        <f>IF(F9=0,"",IF(F9&lt;E9*0.4,A9,""))</f>
        <v/>
      </c>
      <c r="O10" s="160" t="str">
        <f>IF(F10=0,"",IF(F10&lt;E10*0.4,A10,""))</f>
        <v/>
      </c>
      <c r="Q10" s="136" t="str">
        <f>ادخال1!$K$9</f>
        <v>الرياضيات</v>
      </c>
      <c r="R10" s="149">
        <f>ادخال1!$K$7</f>
        <v>5</v>
      </c>
      <c r="S10" s="45">
        <f>40*R10*0.3</f>
        <v>60</v>
      </c>
      <c r="T10" s="2">
        <f>IFERROR(VLOOKUP(AC19,اسماء,10,0),"")</f>
        <v>52</v>
      </c>
      <c r="U10" s="47">
        <f>40*R10*0.3</f>
        <v>60</v>
      </c>
      <c r="V10" s="2">
        <f>IFERROR(VLOOKUP(AC19,اسماء,23,0),"")</f>
        <v>0</v>
      </c>
      <c r="W10" s="45">
        <f>40*R10*0.4</f>
        <v>80</v>
      </c>
      <c r="X10" s="2">
        <f>IFERROR(VLOOKUP(AC19,اسماء,36,0),"")</f>
        <v>0</v>
      </c>
      <c r="Y10" s="45">
        <f>SUM(S10,U10,W10)</f>
        <v>200</v>
      </c>
      <c r="Z10" s="48">
        <f>0.4*Y10</f>
        <v>80</v>
      </c>
      <c r="AA10" s="2">
        <f>SUM(T10,V10,X10)</f>
        <v>52</v>
      </c>
      <c r="AB10" s="20"/>
      <c r="AC10" s="109" t="str">
        <f>IF(V8=0,"",IF(V8&lt;U8*0.4,Q8,""))</f>
        <v/>
      </c>
      <c r="AD10" s="159" t="str">
        <f>IF(V9=0,"",IF(V9&lt;U9*0.4,Q9,""))</f>
        <v/>
      </c>
      <c r="AE10" s="160" t="str">
        <f>IF(V10=0,"",IF(V10&lt;U10*0.4,Q10,""))</f>
        <v/>
      </c>
      <c r="AF10" s="69"/>
      <c r="AG10" s="136" t="str">
        <f>ادخال1!$K$9</f>
        <v>الرياضيات</v>
      </c>
      <c r="AH10" s="149">
        <f>ادخال1!$K$7</f>
        <v>5</v>
      </c>
      <c r="AI10" s="45">
        <f>40*AH10*0.3</f>
        <v>60</v>
      </c>
      <c r="AJ10" s="2">
        <f>IFERROR(VLOOKUP(AS19,اسماء,10,0),"")</f>
        <v>60</v>
      </c>
      <c r="AK10" s="47">
        <f>40*AH10*0.3</f>
        <v>60</v>
      </c>
      <c r="AL10" s="2">
        <f>IFERROR(VLOOKUP(AS19,اسماء,23,0),"")</f>
        <v>0</v>
      </c>
      <c r="AM10" s="45">
        <f>40*AH10*0.4</f>
        <v>80</v>
      </c>
      <c r="AN10" s="2">
        <f>IFERROR(VLOOKUP(AS19,اسماء,36,0),"")</f>
        <v>0</v>
      </c>
      <c r="AO10" s="45">
        <f>SUM(AI10,AK10,AM10)</f>
        <v>200</v>
      </c>
      <c r="AP10" s="48">
        <f>0.4*AO10</f>
        <v>80</v>
      </c>
      <c r="AQ10" s="2">
        <f>SUM(AJ10,AL10,AN10)</f>
        <v>60</v>
      </c>
      <c r="AR10" s="20"/>
      <c r="AS10" s="109" t="str">
        <f>IF(AL8=0,"",IF(AL8&lt;AK8*0.4,AG8,""))</f>
        <v/>
      </c>
      <c r="AT10" s="159" t="str">
        <f>IF(AL9=0,"",IF(AL9&lt;AK9*0.4,AG9,""))</f>
        <v/>
      </c>
      <c r="AU10" s="160" t="str">
        <f>IF(AL10=0,"",IF(AL10&lt;AK10*0.4,AG10,""))</f>
        <v/>
      </c>
      <c r="AW10" s="136" t="str">
        <f>ادخال1!$K$9</f>
        <v>الرياضيات</v>
      </c>
      <c r="AX10" s="149">
        <f>ادخال1!$K$7</f>
        <v>5</v>
      </c>
      <c r="AY10" s="45">
        <f>40*AX10*0.3</f>
        <v>60</v>
      </c>
      <c r="AZ10" s="2">
        <f>IFERROR(VLOOKUP(BI19,اسماء,10,0),"")</f>
        <v>52</v>
      </c>
      <c r="BA10" s="47">
        <f>40*AX10*0.3</f>
        <v>60</v>
      </c>
      <c r="BB10" s="2">
        <f>IFERROR(VLOOKUP(BI19,اسماء,23,0),"")</f>
        <v>0</v>
      </c>
      <c r="BC10" s="45">
        <f>40*AX10*0.4</f>
        <v>80</v>
      </c>
      <c r="BD10" s="2">
        <f>IFERROR(VLOOKUP(BI19,اسماء,36,0),"")</f>
        <v>0</v>
      </c>
      <c r="BE10" s="45">
        <f>SUM(AY10,BA10,BC10)</f>
        <v>200</v>
      </c>
      <c r="BF10" s="48">
        <f>0.4*BE10</f>
        <v>80</v>
      </c>
      <c r="BG10" s="2">
        <f>SUM(AZ10,BB10,BD10)</f>
        <v>52</v>
      </c>
      <c r="BH10" s="20"/>
      <c r="BI10" s="109" t="str">
        <f>IF(BB8=0,"",IF(BB8&lt;BA8*0.4,AW8,""))</f>
        <v/>
      </c>
      <c r="BJ10" s="159" t="str">
        <f>IF(BB9=0,"",IF(BB9&lt;BA9*0.4,AW9,""))</f>
        <v/>
      </c>
      <c r="BK10" s="160" t="str">
        <f>IF(BB10=0,"",IF(BB10&lt;BA10*0.4,AW10,""))</f>
        <v/>
      </c>
      <c r="BL10" s="27"/>
      <c r="BO10">
        <v>0</v>
      </c>
      <c r="BP10" t="s">
        <v>7</v>
      </c>
    </row>
    <row r="11" spans="1:68" ht="24.95" customHeight="1" x14ac:dyDescent="0.25">
      <c r="A11" s="116" t="str">
        <f>ادخال1!$L$9</f>
        <v>العلوم</v>
      </c>
      <c r="B11" s="150">
        <f>ادخال1!$L$7</f>
        <v>3</v>
      </c>
      <c r="C11" s="45">
        <f>40*B11*0.3</f>
        <v>36</v>
      </c>
      <c r="D11" s="2">
        <f>IFERROR(VLOOKUP(M19,اسماء,11,0),"")</f>
        <v>36</v>
      </c>
      <c r="E11" s="47">
        <f>40*B11*0.3</f>
        <v>36</v>
      </c>
      <c r="F11" s="2">
        <f>IFERROR(VLOOKUP(M19,اسماء,24,0),"")</f>
        <v>0</v>
      </c>
      <c r="G11" s="45">
        <f>40*B11*0.4</f>
        <v>48</v>
      </c>
      <c r="H11" s="2">
        <f>IFERROR(VLOOKUP(M19,اسماء,37,0),"")</f>
        <v>0</v>
      </c>
      <c r="I11" s="45">
        <f>SUM(C11,E11,G11)</f>
        <v>120</v>
      </c>
      <c r="J11" s="48">
        <f>0.4*I11</f>
        <v>48</v>
      </c>
      <c r="K11" s="2">
        <f>SUM(D11,F11,H11)</f>
        <v>36</v>
      </c>
      <c r="L11" s="20"/>
      <c r="M11" s="109" t="str">
        <f>IF(F11=0,"",IF(F11&lt;E11*0.4,A11,""))</f>
        <v/>
      </c>
      <c r="N11" s="109" t="str">
        <f>IF(F12=0,"",IF(F12&lt;E12*0.4,A12,""))</f>
        <v/>
      </c>
      <c r="O11" s="357"/>
      <c r="P11" s="123"/>
      <c r="Q11" s="116" t="str">
        <f>ادخال1!$L$9</f>
        <v>العلوم</v>
      </c>
      <c r="R11" s="150">
        <f>ادخال1!$L$7</f>
        <v>3</v>
      </c>
      <c r="S11" s="45">
        <f>40*R11*0.3</f>
        <v>36</v>
      </c>
      <c r="T11" s="2">
        <f>IFERROR(VLOOKUP(AC19,اسماء,11,0),"")</f>
        <v>30</v>
      </c>
      <c r="U11" s="47">
        <f>40*R11*0.3</f>
        <v>36</v>
      </c>
      <c r="V11" s="2">
        <f>IFERROR(VLOOKUP(AC19,اسماء,24,0),"")</f>
        <v>0</v>
      </c>
      <c r="W11" s="45">
        <f>40*R11*0.4</f>
        <v>48</v>
      </c>
      <c r="X11" s="2">
        <f>IFERROR(VLOOKUP(AC19,اسماء,37,0),"")</f>
        <v>0</v>
      </c>
      <c r="Y11" s="45">
        <f>SUM(S11,U11,W11)</f>
        <v>120</v>
      </c>
      <c r="Z11" s="48">
        <f>0.4*Y11</f>
        <v>48</v>
      </c>
      <c r="AA11" s="2">
        <f>SUM(T11,V11,X11)</f>
        <v>30</v>
      </c>
      <c r="AB11" s="20"/>
      <c r="AC11" s="109" t="str">
        <f>IF(V11=0,"",IF(V11&lt;U11*0.4,Q11,""))</f>
        <v/>
      </c>
      <c r="AD11" s="109" t="str">
        <f>IF(V12=0,"",IF(V12&lt;U12*0.4,Q12,""))</f>
        <v/>
      </c>
      <c r="AE11" s="357"/>
      <c r="AF11" s="69"/>
      <c r="AG11" s="116" t="str">
        <f>ادخال1!$L$9</f>
        <v>العلوم</v>
      </c>
      <c r="AH11" s="150">
        <f>ادخال1!$L$7</f>
        <v>3</v>
      </c>
      <c r="AI11" s="45">
        <f>40*AH11*0.3</f>
        <v>36</v>
      </c>
      <c r="AJ11" s="2">
        <f>IFERROR(VLOOKUP(AS19,اسماء,11,0),"")</f>
        <v>36</v>
      </c>
      <c r="AK11" s="47">
        <f>40*AH11*0.3</f>
        <v>36</v>
      </c>
      <c r="AL11" s="2">
        <f>IFERROR(VLOOKUP(AS19,اسماء,24,0),"")</f>
        <v>0</v>
      </c>
      <c r="AM11" s="45">
        <f>40*AH11*0.4</f>
        <v>48</v>
      </c>
      <c r="AN11" s="2">
        <f>IFERROR(VLOOKUP(AS19,اسماء,37,0),"")</f>
        <v>0</v>
      </c>
      <c r="AO11" s="45">
        <f>SUM(AI11,AK11,AM11)</f>
        <v>120</v>
      </c>
      <c r="AP11" s="48">
        <f>0.4*AO11</f>
        <v>48</v>
      </c>
      <c r="AQ11" s="2">
        <f>SUM(AJ11,AL11,AN11)</f>
        <v>36</v>
      </c>
      <c r="AR11" s="20"/>
      <c r="AS11" s="109" t="str">
        <f>IF(AL11=0,"",IF(AL11&lt;AK11*0.4,AG11,""))</f>
        <v/>
      </c>
      <c r="AT11" s="109" t="str">
        <f>IF(AL12=0,"",IF(AL12&lt;AK12*0.4,AG12,""))</f>
        <v/>
      </c>
      <c r="AU11" s="357"/>
      <c r="AW11" s="116" t="str">
        <f>ادخال1!$L$9</f>
        <v>العلوم</v>
      </c>
      <c r="AX11" s="150">
        <f>ادخال1!$L$7</f>
        <v>3</v>
      </c>
      <c r="AY11" s="45">
        <f>40*AX11*0.3</f>
        <v>36</v>
      </c>
      <c r="AZ11" s="2">
        <f>IFERROR(VLOOKUP(BI19,اسماء,11,0),"")</f>
        <v>36</v>
      </c>
      <c r="BA11" s="47">
        <f>40*AX11*0.3</f>
        <v>36</v>
      </c>
      <c r="BB11" s="2">
        <f>IFERROR(VLOOKUP(BI19,اسماء,24,0),"")</f>
        <v>0</v>
      </c>
      <c r="BC11" s="45">
        <f>40*AX11*0.4</f>
        <v>48</v>
      </c>
      <c r="BD11" s="2">
        <f>IFERROR(VLOOKUP(BI19,اسماء,37,0),"")</f>
        <v>0</v>
      </c>
      <c r="BE11" s="45">
        <f>SUM(AY11,BA11,BC11)</f>
        <v>120</v>
      </c>
      <c r="BF11" s="48">
        <f>0.4*BE11</f>
        <v>48</v>
      </c>
      <c r="BG11" s="2">
        <f>SUM(AZ11,BB11,BD11)</f>
        <v>36</v>
      </c>
      <c r="BH11" s="20"/>
      <c r="BI11" s="109" t="str">
        <f>IF(BB11=0,"",IF(BB11&lt;BA11*0.4,AW11,""))</f>
        <v/>
      </c>
      <c r="BJ11" s="109" t="str">
        <f>IF(BB12=0,"",IF(BB12&lt;BA12*0.4,AW12,""))</f>
        <v/>
      </c>
      <c r="BK11" s="357"/>
      <c r="BL11" s="27"/>
      <c r="BO11">
        <f>BN3*0.5</f>
        <v>168</v>
      </c>
      <c r="BP11" t="s">
        <v>4</v>
      </c>
    </row>
    <row r="12" spans="1:68" ht="24.95" customHeight="1" thickBot="1" x14ac:dyDescent="0.3">
      <c r="A12" s="116" t="str">
        <f>ادخال1!$M$9</f>
        <v>الاجتماعيات</v>
      </c>
      <c r="B12" s="150">
        <f>ادخال1!$M$7</f>
        <v>2</v>
      </c>
      <c r="C12" s="45">
        <f>40*B12*0.3</f>
        <v>24</v>
      </c>
      <c r="D12" s="2">
        <f>IFERROR(VLOOKUP(M19,اسماء,12,0),"")</f>
        <v>24</v>
      </c>
      <c r="E12" s="47">
        <f>40*B12*0.3</f>
        <v>24</v>
      </c>
      <c r="F12" s="2">
        <f>IFERROR(VLOOKUP(M19,اسماء,25,0),"")</f>
        <v>0</v>
      </c>
      <c r="G12" s="45">
        <f>40*B12*0.4</f>
        <v>32</v>
      </c>
      <c r="H12" s="2">
        <f>IFERROR(VLOOKUP(M19,اسماء,38,0),"")</f>
        <v>0</v>
      </c>
      <c r="I12" s="45">
        <f>SUM(C12,E12,G12)</f>
        <v>80</v>
      </c>
      <c r="J12" s="48">
        <f>0.4*I12</f>
        <v>32</v>
      </c>
      <c r="K12" s="2">
        <f>SUM(D12,F12,H12)</f>
        <v>24</v>
      </c>
      <c r="L12" s="20"/>
      <c r="M12" s="291"/>
      <c r="N12" s="364"/>
      <c r="O12" s="365"/>
      <c r="Q12" s="116" t="str">
        <f>ادخال1!$M$9</f>
        <v>الاجتماعيات</v>
      </c>
      <c r="R12" s="150">
        <f>ادخال1!$M$7</f>
        <v>2</v>
      </c>
      <c r="S12" s="45">
        <f>40*R12*0.3</f>
        <v>24</v>
      </c>
      <c r="T12" s="2">
        <f>IFERROR(VLOOKUP(AC19,اسماء,12,0),"")</f>
        <v>24</v>
      </c>
      <c r="U12" s="47">
        <f>40*R12*0.3</f>
        <v>24</v>
      </c>
      <c r="V12" s="2">
        <f>IFERROR(VLOOKUP(AC19,اسماء,25,0),"")</f>
        <v>0</v>
      </c>
      <c r="W12" s="45">
        <f>40*R12*0.4</f>
        <v>32</v>
      </c>
      <c r="X12" s="2">
        <f>IFERROR(VLOOKUP(AC19,اسماء,38,0),"")</f>
        <v>0</v>
      </c>
      <c r="Y12" s="45">
        <f>SUM(S12,U12,W12)</f>
        <v>80</v>
      </c>
      <c r="Z12" s="48">
        <f>0.4*Y12</f>
        <v>32</v>
      </c>
      <c r="AA12" s="2">
        <f>SUM(T12,V12,X12)</f>
        <v>24</v>
      </c>
      <c r="AB12" s="20"/>
      <c r="AC12" s="291"/>
      <c r="AD12" s="364"/>
      <c r="AE12" s="365"/>
      <c r="AG12" s="116" t="str">
        <f>ادخال1!$M$9</f>
        <v>الاجتماعيات</v>
      </c>
      <c r="AH12" s="150">
        <f>ادخال1!$M$7</f>
        <v>2</v>
      </c>
      <c r="AI12" s="45">
        <f>40*AH12*0.3</f>
        <v>24</v>
      </c>
      <c r="AJ12" s="2">
        <f>IFERROR(VLOOKUP(AS19,اسماء,12,0),"")</f>
        <v>24</v>
      </c>
      <c r="AK12" s="47">
        <f>40*AH12*0.3</f>
        <v>24</v>
      </c>
      <c r="AL12" s="2">
        <f>IFERROR(VLOOKUP(AS19,اسماء,25,0),"")</f>
        <v>0</v>
      </c>
      <c r="AM12" s="45">
        <f>40*AH12*0.4</f>
        <v>32</v>
      </c>
      <c r="AN12" s="2">
        <f>IFERROR(VLOOKUP(AS19,اسماء,38,0),"")</f>
        <v>0</v>
      </c>
      <c r="AO12" s="45">
        <f>SUM(AI12,AK12,AM12)</f>
        <v>80</v>
      </c>
      <c r="AP12" s="48">
        <f>0.4*AO12</f>
        <v>32</v>
      </c>
      <c r="AQ12" s="2">
        <f>SUM(AJ12,AL12,AN12)</f>
        <v>24</v>
      </c>
      <c r="AR12" s="20"/>
      <c r="AS12" s="291"/>
      <c r="AT12" s="364"/>
      <c r="AU12" s="365"/>
      <c r="AW12" s="116" t="str">
        <f>ادخال1!$M$9</f>
        <v>الاجتماعيات</v>
      </c>
      <c r="AX12" s="150">
        <f>ادخال1!$M$7</f>
        <v>2</v>
      </c>
      <c r="AY12" s="45">
        <f>40*AX12*0.3</f>
        <v>24</v>
      </c>
      <c r="AZ12" s="2">
        <f>IFERROR(VLOOKUP(BI19,اسماء,12,0),"")</f>
        <v>24</v>
      </c>
      <c r="BA12" s="47">
        <f>40*AX12*0.3</f>
        <v>24</v>
      </c>
      <c r="BB12" s="2">
        <f>IFERROR(VLOOKUP(BI19,اسماء,25,0),"")</f>
        <v>0</v>
      </c>
      <c r="BC12" s="45">
        <f>40*AX12*0.4</f>
        <v>32</v>
      </c>
      <c r="BD12" s="2">
        <f>IFERROR(VLOOKUP(BI19,اسماء,38,0),"")</f>
        <v>0</v>
      </c>
      <c r="BE12" s="45">
        <f>SUM(AY12,BA12,BC12)</f>
        <v>80</v>
      </c>
      <c r="BF12" s="48">
        <f>0.4*BE12</f>
        <v>32</v>
      </c>
      <c r="BG12" s="2">
        <f>SUM(AZ12,BB12,BD12)</f>
        <v>24</v>
      </c>
      <c r="BH12" s="20"/>
      <c r="BI12" s="291"/>
      <c r="BJ12" s="364"/>
      <c r="BK12" s="365"/>
      <c r="BL12" s="27"/>
    </row>
    <row r="13" spans="1:68" ht="30" customHeight="1" thickBot="1" x14ac:dyDescent="0.3">
      <c r="A13" s="62" t="s">
        <v>57</v>
      </c>
      <c r="B13" s="151"/>
      <c r="C13" s="46">
        <f t="shared" ref="C13:I13" si="26">SUM(C5:C11)</f>
        <v>252</v>
      </c>
      <c r="D13" s="117">
        <f t="shared" si="26"/>
        <v>248</v>
      </c>
      <c r="E13" s="46">
        <f t="shared" si="26"/>
        <v>252</v>
      </c>
      <c r="F13" s="117">
        <f t="shared" si="26"/>
        <v>0</v>
      </c>
      <c r="G13" s="46">
        <f t="shared" si="26"/>
        <v>336</v>
      </c>
      <c r="H13" s="33">
        <f t="shared" si="26"/>
        <v>0</v>
      </c>
      <c r="I13" s="46">
        <f t="shared" si="26"/>
        <v>840</v>
      </c>
      <c r="J13" s="49"/>
      <c r="K13" s="3">
        <f>IF(AND(K5&gt;=J5,K6&gt;=J6,K8&gt;=J8,K10&gt;=J10,K11&gt;=J11),SUM(K5:K11),0)</f>
        <v>0</v>
      </c>
      <c r="L13" s="20"/>
      <c r="M13" s="360" t="s">
        <v>157</v>
      </c>
      <c r="N13" s="569" t="str">
        <f>IF(K13=0,"",IF(AND(K5&gt;=I5*0.4,K6&gt;=I6*0.4,K7&gt;=I7*0.4,K8&gt;=I8*0.4,K9&gt;=I9*0.4,K10&gt;=I10*0.4,K11&gt;=I11*0.4),LOOKUP(K13,$BO$10:$BP$15),"له دور ثان في "))</f>
        <v/>
      </c>
      <c r="O13" s="570"/>
      <c r="Q13" s="62" t="s">
        <v>57</v>
      </c>
      <c r="R13" s="151"/>
      <c r="S13" s="46">
        <f t="shared" ref="S13:Y13" si="27">SUM(S5:S11)</f>
        <v>252</v>
      </c>
      <c r="T13" s="117">
        <f t="shared" si="27"/>
        <v>220</v>
      </c>
      <c r="U13" s="46">
        <f t="shared" si="27"/>
        <v>252</v>
      </c>
      <c r="V13" s="117">
        <f t="shared" si="27"/>
        <v>0</v>
      </c>
      <c r="W13" s="46">
        <f t="shared" si="27"/>
        <v>336</v>
      </c>
      <c r="X13" s="33">
        <f t="shared" si="27"/>
        <v>0</v>
      </c>
      <c r="Y13" s="46">
        <f t="shared" si="27"/>
        <v>840</v>
      </c>
      <c r="Z13" s="49"/>
      <c r="AA13" s="3">
        <f>IF(AND(AA5&gt;=Z5,AA6&gt;=Z6,AA8&gt;=Z8,AA10&gt;=Z10,AA11&gt;=Z11),SUM(AA5:AA11),0)</f>
        <v>0</v>
      </c>
      <c r="AB13" s="20"/>
      <c r="AC13" s="360" t="s">
        <v>157</v>
      </c>
      <c r="AD13" s="569" t="str">
        <f>IF(AA13=0,"",IF(AND(AA5&gt;=Y5*0.4,AA6&gt;=Y6*0.4,AA7&gt;=Y7*0.4,AA8&gt;=Y8*0.4,AA9&gt;=Y9*0.4,AA10&gt;=Y10*0.4,AA11&gt;=Y11*0.4),LOOKUP(AA13,$BO$10:$BP$15),"له دور ثان في "))</f>
        <v/>
      </c>
      <c r="AE13" s="570"/>
      <c r="AG13" s="62" t="s">
        <v>57</v>
      </c>
      <c r="AH13" s="151"/>
      <c r="AI13" s="46">
        <f t="shared" ref="AI13:AO13" si="28">SUM(AI5:AI11)</f>
        <v>252</v>
      </c>
      <c r="AJ13" s="117">
        <f t="shared" si="28"/>
        <v>244</v>
      </c>
      <c r="AK13" s="46">
        <f t="shared" si="28"/>
        <v>252</v>
      </c>
      <c r="AL13" s="117">
        <f t="shared" si="28"/>
        <v>0</v>
      </c>
      <c r="AM13" s="46">
        <f t="shared" si="28"/>
        <v>336</v>
      </c>
      <c r="AN13" s="33">
        <f t="shared" si="28"/>
        <v>0</v>
      </c>
      <c r="AO13" s="46">
        <f t="shared" si="28"/>
        <v>840</v>
      </c>
      <c r="AP13" s="49"/>
      <c r="AQ13" s="3">
        <f>IF(AND(AQ5&gt;=AP5,AQ6&gt;=AP6,AQ8&gt;=AP8,AQ10&gt;=AP10,AQ11&gt;=AP11),SUM(AQ5:AQ11),0)</f>
        <v>0</v>
      </c>
      <c r="AR13" s="20"/>
      <c r="AS13" s="360" t="s">
        <v>157</v>
      </c>
      <c r="AT13" s="569" t="str">
        <f>IF(AQ13=0,"",IF(AND(AQ5&gt;=AO5*0.4,AQ6&gt;=AO6*0.4,AQ7&gt;=AO7*0.4,AQ8&gt;=AO8*0.4,AQ9&gt;=AO9*0.4,AQ10&gt;=AO10*0.4,AQ11&gt;=AO11*0.4),LOOKUP(AQ13,$BO$10:$BP$15),"له دور ثان في "))</f>
        <v/>
      </c>
      <c r="AU13" s="570"/>
      <c r="AW13" s="62" t="s">
        <v>57</v>
      </c>
      <c r="AX13" s="151"/>
      <c r="AY13" s="46">
        <f t="shared" ref="AY13:BE13" si="29">SUM(AY5:AY11)</f>
        <v>252</v>
      </c>
      <c r="AZ13" s="117">
        <f t="shared" si="29"/>
        <v>239</v>
      </c>
      <c r="BA13" s="46">
        <f t="shared" si="29"/>
        <v>252</v>
      </c>
      <c r="BB13" s="117">
        <f t="shared" si="29"/>
        <v>0</v>
      </c>
      <c r="BC13" s="46">
        <f t="shared" si="29"/>
        <v>336</v>
      </c>
      <c r="BD13" s="33">
        <f t="shared" si="29"/>
        <v>0</v>
      </c>
      <c r="BE13" s="46">
        <f t="shared" si="29"/>
        <v>840</v>
      </c>
      <c r="BF13" s="49"/>
      <c r="BG13" s="3">
        <f>IF(AND(BG5&gt;=BF5,BG6&gt;=BF6,BG8&gt;=BF8,BG10&gt;=BF10,BG11&gt;=BF11),SUM(BG5:BG11),0)</f>
        <v>0</v>
      </c>
      <c r="BH13" s="20"/>
      <c r="BI13" s="360" t="s">
        <v>157</v>
      </c>
      <c r="BJ13" s="569" t="str">
        <f>IF(BG13=0,"",IF(AND(BG5&gt;=BE5*0.4,BG6&gt;=BE6*0.4,BG7&gt;=BE7*0.4,BG8&gt;=BE8*0.4,BG9&gt;=BE9*0.4,BG10&gt;=BE10*0.4,BG11&gt;=BE11*0.4),LOOKUP(BG13,$BO$10:$BP$15),"له دور ثان في "))</f>
        <v/>
      </c>
      <c r="BK13" s="570"/>
      <c r="BL13" s="27"/>
      <c r="BO13">
        <f>BN3*0.65</f>
        <v>218.4</v>
      </c>
      <c r="BP13" t="s">
        <v>5</v>
      </c>
    </row>
    <row r="14" spans="1:68" ht="29.25" customHeight="1" thickBot="1" x14ac:dyDescent="0.3">
      <c r="A14" s="571" t="s">
        <v>120</v>
      </c>
      <c r="B14" s="572"/>
      <c r="C14" s="573"/>
      <c r="D14" s="573"/>
      <c r="E14" s="573"/>
      <c r="F14" s="573"/>
      <c r="G14" s="573"/>
      <c r="H14" s="358"/>
      <c r="I14" s="359"/>
      <c r="J14" s="574"/>
      <c r="K14" s="574"/>
      <c r="L14" s="34"/>
      <c r="M14" s="109" t="str">
        <f>IF(K5=0,"",IF(K5&lt;I5*0.4,A5,""))</f>
        <v>التربية الإسلامية</v>
      </c>
      <c r="N14" s="159" t="str">
        <f>IF(K6=0,"",IF(K6&lt;I6*0.4,A6,""))</f>
        <v>اللغة العربية</v>
      </c>
      <c r="O14" s="160" t="str">
        <f>IF(K7=0,"",IF(K7&lt;I7*0.4,A7,""))</f>
        <v>الكتابة</v>
      </c>
      <c r="P14" s="123"/>
      <c r="Q14" s="571" t="s">
        <v>120</v>
      </c>
      <c r="R14" s="572"/>
      <c r="S14" s="573"/>
      <c r="T14" s="573"/>
      <c r="U14" s="573"/>
      <c r="V14" s="573"/>
      <c r="W14" s="573"/>
      <c r="X14" s="358"/>
      <c r="Y14" s="359"/>
      <c r="Z14" s="574"/>
      <c r="AA14" s="574"/>
      <c r="AB14" s="34"/>
      <c r="AC14" s="109" t="str">
        <f>IF(AA5=0,"",IF(AA5&lt;Y5*0.4,Q5,""))</f>
        <v>التربية الإسلامية</v>
      </c>
      <c r="AD14" s="159" t="str">
        <f>IF(AA6=0,"",IF(AA6&lt;Y6*0.4,Q6,""))</f>
        <v>اللغة العربية</v>
      </c>
      <c r="AE14" s="160" t="str">
        <f>IF(AA7=0,"",IF(AA7&lt;Y7*0.4,Q7,""))</f>
        <v>الكتابة</v>
      </c>
      <c r="AF14" s="123"/>
      <c r="AG14" s="571" t="s">
        <v>120</v>
      </c>
      <c r="AH14" s="572"/>
      <c r="AI14" s="573"/>
      <c r="AJ14" s="573"/>
      <c r="AK14" s="573"/>
      <c r="AL14" s="573"/>
      <c r="AM14" s="573"/>
      <c r="AN14" s="358"/>
      <c r="AO14" s="359"/>
      <c r="AP14" s="574"/>
      <c r="AQ14" s="574"/>
      <c r="AR14" s="34"/>
      <c r="AS14" s="109" t="str">
        <f>IF(AQ5=0,"",IF(AQ5&lt;AO5*0.4,AG5,""))</f>
        <v>التربية الإسلامية</v>
      </c>
      <c r="AT14" s="159" t="str">
        <f>IF(AQ6=0,"",IF(AQ6&lt;AO6*0.4,AG6,""))</f>
        <v>اللغة العربية</v>
      </c>
      <c r="AU14" s="160" t="str">
        <f>IF(AQ7=0,"",IF(AQ7&lt;AO7*0.4,AG7,""))</f>
        <v>الكتابة</v>
      </c>
      <c r="AV14" s="69"/>
      <c r="AW14" s="571" t="s">
        <v>120</v>
      </c>
      <c r="AX14" s="572"/>
      <c r="AY14" s="573"/>
      <c r="AZ14" s="573"/>
      <c r="BA14" s="573"/>
      <c r="BB14" s="573"/>
      <c r="BC14" s="573"/>
      <c r="BD14" s="358"/>
      <c r="BE14" s="359"/>
      <c r="BF14" s="574"/>
      <c r="BG14" s="574"/>
      <c r="BH14" s="34"/>
      <c r="BI14" s="109" t="str">
        <f>IF(BG5=0,"",IF(BG5&lt;BE5*0.4,AW5,""))</f>
        <v>التربية الإسلامية</v>
      </c>
      <c r="BJ14" s="159" t="str">
        <f>IF(BG6=0,"",IF(BG6&lt;BE6*0.4,AW6,""))</f>
        <v>اللغة العربية</v>
      </c>
      <c r="BK14" s="160" t="str">
        <f>IF(BG7=0,"",IF(BG7&lt;BE7*0.4,AW7,""))</f>
        <v>الكتابة</v>
      </c>
      <c r="BL14" s="27"/>
      <c r="BO14">
        <f>BN3*0.75</f>
        <v>252</v>
      </c>
      <c r="BP14" t="s">
        <v>105</v>
      </c>
    </row>
    <row r="15" spans="1:68" ht="24.95" customHeight="1" x14ac:dyDescent="0.25">
      <c r="A15" s="137" t="str">
        <f>ادخال1!$O$8</f>
        <v>التربية الفنية</v>
      </c>
      <c r="B15" s="152">
        <f>ادخال1!$O$7</f>
        <v>1</v>
      </c>
      <c r="C15" s="433" t="str">
        <f>IFERROR(VLOOKUP(M19,اسماء,14,0),"")</f>
        <v>جيد جداً</v>
      </c>
      <c r="D15" s="433"/>
      <c r="E15" s="433">
        <f>IFERROR(VLOOKUP(M19,اسماء,27,0),"")</f>
        <v>0</v>
      </c>
      <c r="F15" s="433"/>
      <c r="G15" s="433">
        <f>IFERROR(VLOOKUP(M19,اسماء,40,0),"")</f>
        <v>0</v>
      </c>
      <c r="H15" s="433"/>
      <c r="I15" s="443"/>
      <c r="J15" s="575"/>
      <c r="K15" s="487"/>
      <c r="L15" s="36"/>
      <c r="M15" s="109" t="str">
        <f>IF(K8=0,"",IF(K8&lt;I8*0.4,A8,""))</f>
        <v>اللغة الإنجليزية</v>
      </c>
      <c r="N15" s="159" t="str">
        <f>IF(K9=0,"",IF(K9&lt;I9*0.4,A9,""))</f>
        <v>الحاسوب</v>
      </c>
      <c r="O15" s="160" t="str">
        <f>IF(K10=0,"",IF(K10&lt;I10*0.4,A10,""))</f>
        <v>الرياضيات</v>
      </c>
      <c r="P15" s="123"/>
      <c r="Q15" s="137" t="str">
        <f>ادخال1!$O$8</f>
        <v>التربية الفنية</v>
      </c>
      <c r="R15" s="152">
        <f>ادخال1!$O$7</f>
        <v>1</v>
      </c>
      <c r="S15" s="433" t="str">
        <f>IFERROR(VLOOKUP(AC19,اسماء,14,0),"")</f>
        <v>جيد جداً</v>
      </c>
      <c r="T15" s="433"/>
      <c r="U15" s="433">
        <f>IFERROR(VLOOKUP(AC19,اسماء,27,0),"")</f>
        <v>0</v>
      </c>
      <c r="V15" s="433"/>
      <c r="W15" s="433">
        <f>IFERROR(VLOOKUP(AC19,اسماء,40,0),"")</f>
        <v>0</v>
      </c>
      <c r="X15" s="433"/>
      <c r="Y15" s="443"/>
      <c r="Z15" s="575"/>
      <c r="AA15" s="487"/>
      <c r="AB15" s="36"/>
      <c r="AC15" s="109" t="str">
        <f>IF(AA8=0,"",IF(AA8&lt;Y8*0.4,Q8,""))</f>
        <v>اللغة الإنجليزية</v>
      </c>
      <c r="AD15" s="159" t="str">
        <f>IF(AA9=0,"",IF(AA9&lt;Y9*0.4,Q9,""))</f>
        <v>الحاسوب</v>
      </c>
      <c r="AE15" s="160" t="str">
        <f>IF(AA10=0,"",IF(AA10&lt;Y10*0.4,Q10,""))</f>
        <v>الرياضيات</v>
      </c>
      <c r="AG15" s="137" t="str">
        <f>ادخال1!$O$8</f>
        <v>التربية الفنية</v>
      </c>
      <c r="AH15" s="152">
        <f>ادخال1!$O$7</f>
        <v>1</v>
      </c>
      <c r="AI15" s="433" t="str">
        <f>IFERROR(VLOOKUP(AS19,اسماء,14,0),"")</f>
        <v>جيد جداً</v>
      </c>
      <c r="AJ15" s="433"/>
      <c r="AK15" s="433">
        <f>IFERROR(VLOOKUP(AS19,اسماء,27,0),"")</f>
        <v>0</v>
      </c>
      <c r="AL15" s="433"/>
      <c r="AM15" s="433">
        <f>IFERROR(VLOOKUP(AS19,اسماء,40,0),"")</f>
        <v>0</v>
      </c>
      <c r="AN15" s="433"/>
      <c r="AO15" s="443"/>
      <c r="AP15" s="575"/>
      <c r="AQ15" s="487"/>
      <c r="AR15" s="36"/>
      <c r="AS15" s="109" t="str">
        <f>IF(AQ8=0,"",IF(AQ8&lt;AO8*0.4,AG8,""))</f>
        <v>اللغة الإنجليزية</v>
      </c>
      <c r="AT15" s="159" t="str">
        <f>IF(AQ9=0,"",IF(AQ9&lt;AO9*0.4,AG9,""))</f>
        <v>الحاسوب</v>
      </c>
      <c r="AU15" s="160" t="str">
        <f>IF(AQ10=0,"",IF(AQ10&lt;AO10*0.4,AG10,""))</f>
        <v>الرياضيات</v>
      </c>
      <c r="AW15" s="137" t="str">
        <f>ادخال1!$O$8</f>
        <v>التربية الفنية</v>
      </c>
      <c r="AX15" s="152">
        <f>ادخال1!$O$7</f>
        <v>1</v>
      </c>
      <c r="AY15" s="433" t="str">
        <f>IFERROR(VLOOKUP(BI19,اسماء,14,0),"")</f>
        <v>جيد جداً</v>
      </c>
      <c r="AZ15" s="433"/>
      <c r="BA15" s="433">
        <f>IFERROR(VLOOKUP(BI19,اسماء,27,0),"")</f>
        <v>0</v>
      </c>
      <c r="BB15" s="433"/>
      <c r="BC15" s="433">
        <f>IFERROR(VLOOKUP(BI19,اسماء,40,0),"")</f>
        <v>0</v>
      </c>
      <c r="BD15" s="433"/>
      <c r="BE15" s="443"/>
      <c r="BF15" s="575"/>
      <c r="BG15" s="487"/>
      <c r="BH15" s="36"/>
      <c r="BI15" s="109" t="str">
        <f>IF(BG8=0,"",IF(BG8&lt;BE8*0.4,AW8,""))</f>
        <v>اللغة الإنجليزية</v>
      </c>
      <c r="BJ15" s="159" t="str">
        <f>IF(BG9=0,"",IF(BG9&lt;BE9*0.4,AW9,""))</f>
        <v>الحاسوب</v>
      </c>
      <c r="BK15" s="160" t="str">
        <f>IF(BG10=0,"",IF(BG10&lt;BE10*0.4,AW10,""))</f>
        <v>الرياضيات</v>
      </c>
      <c r="BL15" s="27"/>
      <c r="BO15">
        <f>BN3*0.85</f>
        <v>285.59999999999997</v>
      </c>
      <c r="BP15" t="s">
        <v>6</v>
      </c>
    </row>
    <row r="16" spans="1:68" ht="24.95" customHeight="1" thickBot="1" x14ac:dyDescent="0.3">
      <c r="A16" s="138" t="str">
        <f>ادخال1!$P$8</f>
        <v>التربية البدنية</v>
      </c>
      <c r="B16" s="153">
        <f>ادخال1!$P$7</f>
        <v>2</v>
      </c>
      <c r="C16" s="433" t="str">
        <f>IFERROR(VLOOKUP(M19,اسماء,15,0),"")</f>
        <v>جيد جداً</v>
      </c>
      <c r="D16" s="433"/>
      <c r="E16" s="433">
        <f>IFERROR(VLOOKUP(M19,اسماء,28,0),"")</f>
        <v>0</v>
      </c>
      <c r="F16" s="433"/>
      <c r="G16" s="433">
        <f>IFERROR(VLOOKUP(M19,اسماء,41,0),"")</f>
        <v>0</v>
      </c>
      <c r="H16" s="433"/>
      <c r="I16" s="507"/>
      <c r="J16" s="508"/>
      <c r="K16" s="509"/>
      <c r="L16" s="36"/>
      <c r="M16" s="109" t="str">
        <f>IF(K11=0,"",IF(K11&lt;I11*0.4,A11,""))</f>
        <v>العلوم</v>
      </c>
      <c r="N16" s="109" t="str">
        <f>IF(K12=0,"",IF(K12&lt;I12*0.4,A12,""))</f>
        <v>الاجتماعيات</v>
      </c>
      <c r="O16" s="357"/>
      <c r="P16" s="123"/>
      <c r="Q16" s="138" t="str">
        <f>ادخال1!$P$8</f>
        <v>التربية البدنية</v>
      </c>
      <c r="R16" s="153">
        <f>ادخال1!$P$7</f>
        <v>2</v>
      </c>
      <c r="S16" s="433" t="str">
        <f>IFERROR(VLOOKUP(AC19,اسماء,15,0),"")</f>
        <v>جيد جداً</v>
      </c>
      <c r="T16" s="433"/>
      <c r="U16" s="433">
        <f>IFERROR(VLOOKUP(AC19,اسماء,28,0),"")</f>
        <v>0</v>
      </c>
      <c r="V16" s="433"/>
      <c r="W16" s="433">
        <f>IFERROR(VLOOKUP(AC19,اسماء,41,0),"")</f>
        <v>0</v>
      </c>
      <c r="X16" s="433"/>
      <c r="Y16" s="507"/>
      <c r="Z16" s="508"/>
      <c r="AA16" s="509"/>
      <c r="AB16" s="36"/>
      <c r="AC16" s="109" t="str">
        <f>IF(AA11=0,"",IF(AA11&lt;Y11*0.4,Q11,""))</f>
        <v>العلوم</v>
      </c>
      <c r="AD16" s="109" t="str">
        <f>IF(AA12=0,"",IF(AA12&lt;Y12*0.4,Q12,""))</f>
        <v>الاجتماعيات</v>
      </c>
      <c r="AE16" s="357"/>
      <c r="AG16" s="138" t="str">
        <f>ادخال1!$P$8</f>
        <v>التربية البدنية</v>
      </c>
      <c r="AH16" s="153">
        <f>ادخال1!$P$7</f>
        <v>2</v>
      </c>
      <c r="AI16" s="433" t="str">
        <f>IFERROR(VLOOKUP(AS19,اسماء,15,0),"")</f>
        <v>جيد جداً</v>
      </c>
      <c r="AJ16" s="433"/>
      <c r="AK16" s="433">
        <f>IFERROR(VLOOKUP(AS19,اسماء,28,0),"")</f>
        <v>0</v>
      </c>
      <c r="AL16" s="433"/>
      <c r="AM16" s="433">
        <f>IFERROR(VLOOKUP(AS19,اسماء,41,0),"")</f>
        <v>0</v>
      </c>
      <c r="AN16" s="433"/>
      <c r="AO16" s="507"/>
      <c r="AP16" s="508"/>
      <c r="AQ16" s="509"/>
      <c r="AR16" s="36"/>
      <c r="AS16" s="109" t="str">
        <f>IF(AQ11=0,"",IF(AQ11&lt;AO11*0.4,AG11,""))</f>
        <v>العلوم</v>
      </c>
      <c r="AT16" s="109" t="str">
        <f>IF(AQ12=0,"",IF(AQ12&lt;AO12*0.4,AG12,""))</f>
        <v>الاجتماعيات</v>
      </c>
      <c r="AU16" s="357"/>
      <c r="AW16" s="138" t="str">
        <f>ادخال1!$P$8</f>
        <v>التربية البدنية</v>
      </c>
      <c r="AX16" s="153">
        <f>ادخال1!$P$7</f>
        <v>2</v>
      </c>
      <c r="AY16" s="433" t="str">
        <f>IFERROR(VLOOKUP(BI19,اسماء,15,0),"")</f>
        <v>جيد جداً</v>
      </c>
      <c r="AZ16" s="433"/>
      <c r="BA16" s="433">
        <f>IFERROR(VLOOKUP(BI19,اسماء,28,0),"")</f>
        <v>0</v>
      </c>
      <c r="BB16" s="433"/>
      <c r="BC16" s="433">
        <f>IFERROR(VLOOKUP(BI19,اسماء,41,0),"")</f>
        <v>0</v>
      </c>
      <c r="BD16" s="433"/>
      <c r="BE16" s="507"/>
      <c r="BF16" s="508"/>
      <c r="BG16" s="509"/>
      <c r="BH16" s="36"/>
      <c r="BI16" s="109" t="str">
        <f>IF(BG11=0,"",IF(BG11&lt;BE11*0.4,AW11,""))</f>
        <v>العلوم</v>
      </c>
      <c r="BJ16" s="109" t="str">
        <f>IF(BG12=0,"",IF(BG12&lt;BE12*0.4,AW12,""))</f>
        <v>الاجتماعيات</v>
      </c>
      <c r="BK16" s="357"/>
      <c r="BL16" s="27"/>
    </row>
    <row r="17" spans="1:68" ht="24.95" customHeight="1" thickBot="1" x14ac:dyDescent="0.3">
      <c r="A17" s="138" t="str">
        <f>ادخال1!$Q$8</f>
        <v>التربية الموسيقية</v>
      </c>
      <c r="B17" s="153">
        <f>ادخال1!$Q$7</f>
        <v>1</v>
      </c>
      <c r="C17" s="433">
        <f>IFERROR(VLOOKUP(M19,اسماء,16,0),"")</f>
        <v>0</v>
      </c>
      <c r="D17" s="433"/>
      <c r="E17" s="433">
        <f>IFERROR(VLOOKUP(M19,اسماء,29,0),"")</f>
        <v>0</v>
      </c>
      <c r="F17" s="433"/>
      <c r="G17" s="433">
        <f>IFERROR(VLOOKUP(M19,اسماء,42,0),"")</f>
        <v>0</v>
      </c>
      <c r="H17" s="433"/>
      <c r="I17" s="507"/>
      <c r="J17" s="508"/>
      <c r="K17" s="509"/>
      <c r="L17" s="36"/>
      <c r="M17" s="291"/>
      <c r="N17" s="292"/>
      <c r="O17" s="292"/>
      <c r="Q17" s="138" t="str">
        <f>ادخال1!$Q$8</f>
        <v>التربية الموسيقية</v>
      </c>
      <c r="R17" s="153">
        <f>ادخال1!$Q$7</f>
        <v>1</v>
      </c>
      <c r="S17" s="433">
        <f>IFERROR(VLOOKUP(AC19,اسماء,16,0),"")</f>
        <v>0</v>
      </c>
      <c r="T17" s="433"/>
      <c r="U17" s="433">
        <f>IFERROR(VLOOKUP(AC19,اسماء,29,0),"")</f>
        <v>0</v>
      </c>
      <c r="V17" s="433"/>
      <c r="W17" s="433">
        <f>IFERROR(VLOOKUP(AC19,اسماء,42,0),"")</f>
        <v>0</v>
      </c>
      <c r="X17" s="433"/>
      <c r="Y17" s="507"/>
      <c r="Z17" s="508"/>
      <c r="AA17" s="509"/>
      <c r="AB17" s="36"/>
      <c r="AC17" s="291"/>
      <c r="AD17" s="292"/>
      <c r="AE17" s="292"/>
      <c r="AG17" s="138" t="str">
        <f>ادخال1!$Q$8</f>
        <v>التربية الموسيقية</v>
      </c>
      <c r="AH17" s="153">
        <f>ادخال1!$Q$7</f>
        <v>1</v>
      </c>
      <c r="AI17" s="433">
        <f>IFERROR(VLOOKUP(AS19,اسماء,16,0),"")</f>
        <v>0</v>
      </c>
      <c r="AJ17" s="433"/>
      <c r="AK17" s="433">
        <f>IFERROR(VLOOKUP(AS19,اسماء,29,0),"")</f>
        <v>0</v>
      </c>
      <c r="AL17" s="433"/>
      <c r="AM17" s="433">
        <f>IFERROR(VLOOKUP(AS19,اسماء,42,0),"")</f>
        <v>0</v>
      </c>
      <c r="AN17" s="433"/>
      <c r="AO17" s="507"/>
      <c r="AP17" s="508"/>
      <c r="AQ17" s="509"/>
      <c r="AR17" s="36"/>
      <c r="AS17" s="291"/>
      <c r="AT17" s="292"/>
      <c r="AU17" s="292"/>
      <c r="AW17" s="138" t="str">
        <f>ادخال1!$Q$8</f>
        <v>التربية الموسيقية</v>
      </c>
      <c r="AX17" s="153">
        <f>ادخال1!$Q$7</f>
        <v>1</v>
      </c>
      <c r="AY17" s="433">
        <f>IFERROR(VLOOKUP(BI19,اسماء,16,0),"")</f>
        <v>0</v>
      </c>
      <c r="AZ17" s="433"/>
      <c r="BA17" s="433">
        <f>IFERROR(VLOOKUP(BI19,اسماء,29,0),"")</f>
        <v>0</v>
      </c>
      <c r="BB17" s="433"/>
      <c r="BC17" s="433">
        <f>IFERROR(VLOOKUP(BI19,اسماء,42,0),"")</f>
        <v>0</v>
      </c>
      <c r="BD17" s="433"/>
      <c r="BE17" s="507"/>
      <c r="BF17" s="508"/>
      <c r="BG17" s="509"/>
      <c r="BH17" s="36"/>
      <c r="BI17" s="291"/>
      <c r="BJ17" s="292"/>
      <c r="BK17" s="292"/>
      <c r="BL17" s="27"/>
    </row>
    <row r="18" spans="1:68" ht="24.95" customHeight="1" thickBot="1" x14ac:dyDescent="0.3">
      <c r="A18" s="139"/>
      <c r="B18" s="154"/>
      <c r="C18" s="34"/>
      <c r="D18" s="34"/>
      <c r="E18" s="34"/>
      <c r="F18" s="34"/>
      <c r="G18" s="34"/>
      <c r="H18" s="34"/>
      <c r="I18" s="513" t="s">
        <v>33</v>
      </c>
      <c r="J18" s="514"/>
      <c r="K18" s="514"/>
      <c r="L18" s="34"/>
      <c r="M18" s="510" t="s">
        <v>58</v>
      </c>
      <c r="N18" s="511"/>
      <c r="O18" s="512"/>
      <c r="Q18" s="139"/>
      <c r="R18" s="154"/>
      <c r="S18" s="34"/>
      <c r="T18" s="34"/>
      <c r="U18" s="34"/>
      <c r="V18" s="34"/>
      <c r="W18" s="34"/>
      <c r="X18" s="34"/>
      <c r="Y18" s="513" t="s">
        <v>33</v>
      </c>
      <c r="Z18" s="514"/>
      <c r="AA18" s="514"/>
      <c r="AB18" s="34"/>
      <c r="AC18" s="510" t="s">
        <v>58</v>
      </c>
      <c r="AD18" s="511"/>
      <c r="AE18" s="512"/>
      <c r="AG18" s="139"/>
      <c r="AH18" s="154"/>
      <c r="AI18" s="34"/>
      <c r="AJ18" s="34"/>
      <c r="AK18" s="34"/>
      <c r="AL18" s="34"/>
      <c r="AM18" s="34"/>
      <c r="AN18" s="34"/>
      <c r="AO18" s="513" t="s">
        <v>33</v>
      </c>
      <c r="AP18" s="514"/>
      <c r="AQ18" s="514"/>
      <c r="AR18" s="34"/>
      <c r="AS18" s="510" t="s">
        <v>58</v>
      </c>
      <c r="AT18" s="511"/>
      <c r="AU18" s="512"/>
      <c r="AW18" s="139"/>
      <c r="AX18" s="154"/>
      <c r="AY18" s="34"/>
      <c r="AZ18" s="34"/>
      <c r="BA18" s="34"/>
      <c r="BB18" s="34"/>
      <c r="BC18" s="34"/>
      <c r="BD18" s="34"/>
      <c r="BE18" s="513" t="s">
        <v>33</v>
      </c>
      <c r="BF18" s="514"/>
      <c r="BG18" s="514"/>
      <c r="BH18" s="34"/>
      <c r="BI18" s="510" t="s">
        <v>58</v>
      </c>
      <c r="BJ18" s="511"/>
      <c r="BK18" s="512"/>
      <c r="BL18" s="27"/>
      <c r="BO18">
        <v>0</v>
      </c>
      <c r="BP18" t="s">
        <v>7</v>
      </c>
    </row>
    <row r="19" spans="1:68" ht="24.95" customHeight="1" x14ac:dyDescent="0.25">
      <c r="A19" s="433" t="s">
        <v>59</v>
      </c>
      <c r="B19" s="433"/>
      <c r="C19" s="433">
        <f>IFERROR(VLOOKUP(M19,اسماء,43,0),"")</f>
        <v>0</v>
      </c>
      <c r="D19" s="433"/>
      <c r="E19" s="433">
        <f>IFERROR(VLOOKUP(M19,اسماء,44,0),"")</f>
        <v>0</v>
      </c>
      <c r="F19" s="433"/>
      <c r="G19" s="433">
        <f>IFERROR(VLOOKUP(M19,اسماء,45,0),"")</f>
        <v>0</v>
      </c>
      <c r="H19" s="433"/>
      <c r="I19" s="536">
        <f>IFERROR(VLOOKUP(M19,اسماء,42,0),"")</f>
        <v>0</v>
      </c>
      <c r="J19" s="537"/>
      <c r="K19" s="538"/>
      <c r="L19" s="36"/>
      <c r="M19" s="539" t="str">
        <f>INDEX(عمود2,MATCH(O1,عمود1))</f>
        <v>أحمد نورالدين أحمد الذيب</v>
      </c>
      <c r="N19" s="540"/>
      <c r="O19" s="541"/>
      <c r="Q19" s="433" t="s">
        <v>59</v>
      </c>
      <c r="R19" s="433"/>
      <c r="S19" s="433">
        <f>IFERROR(VLOOKUP(AC19,اسماء,43,0),"")</f>
        <v>0</v>
      </c>
      <c r="T19" s="433"/>
      <c r="U19" s="433">
        <f>IFERROR(VLOOKUP(AC19,اسماء,44,0),"")</f>
        <v>0</v>
      </c>
      <c r="V19" s="433"/>
      <c r="W19" s="433">
        <f>IFERROR(VLOOKUP(AC19,اسماء,45,0),"")</f>
        <v>0</v>
      </c>
      <c r="X19" s="433"/>
      <c r="Y19" s="536">
        <f>IFERROR(VLOOKUP(AC19,اسماء,42,0),"")</f>
        <v>0</v>
      </c>
      <c r="Z19" s="537"/>
      <c r="AA19" s="538"/>
      <c r="AB19" s="36"/>
      <c r="AC19" s="539" t="str">
        <f>INDEX(عمود2,MATCH(AE1,عمود1))</f>
        <v>خديجة خليل محمد علي</v>
      </c>
      <c r="AD19" s="540"/>
      <c r="AE19" s="541"/>
      <c r="AG19" s="433" t="s">
        <v>59</v>
      </c>
      <c r="AH19" s="433"/>
      <c r="AI19" s="433">
        <f>IFERROR(VLOOKUP(AS19,اسماء,43,0),"")</f>
        <v>0</v>
      </c>
      <c r="AJ19" s="433"/>
      <c r="AK19" s="433">
        <f>IFERROR(VLOOKUP(AS19,اسماء,44,0),"")</f>
        <v>0</v>
      </c>
      <c r="AL19" s="433"/>
      <c r="AM19" s="433">
        <f>IFERROR(VLOOKUP(AS19,اسماء,45,0),"")</f>
        <v>0</v>
      </c>
      <c r="AN19" s="433"/>
      <c r="AO19" s="536">
        <f>IFERROR(VLOOKUP(AS19,اسماء,42,0),"")</f>
        <v>0</v>
      </c>
      <c r="AP19" s="537"/>
      <c r="AQ19" s="538"/>
      <c r="AR19" s="36"/>
      <c r="AS19" s="539" t="str">
        <f>INDEX(عمود2,MATCH(AU1,عمود1))</f>
        <v>عبد العزيز عبدالله محمد المغربي</v>
      </c>
      <c r="AT19" s="540"/>
      <c r="AU19" s="541"/>
      <c r="AW19" s="433" t="s">
        <v>59</v>
      </c>
      <c r="AX19" s="433"/>
      <c r="AY19" s="433">
        <f>IFERROR(VLOOKUP(BI19,اسماء,43,0),"")</f>
        <v>0</v>
      </c>
      <c r="AZ19" s="433"/>
      <c r="BA19" s="433">
        <f>IFERROR(VLOOKUP(BI19,اسماء,44,0),"")</f>
        <v>0</v>
      </c>
      <c r="BB19" s="433"/>
      <c r="BC19" s="433">
        <f>IFERROR(VLOOKUP(BI19,اسماء,45,0),"")</f>
        <v>0</v>
      </c>
      <c r="BD19" s="433"/>
      <c r="BE19" s="536">
        <f>IFERROR(VLOOKUP(BI19,اسماء,42,0),"")</f>
        <v>0</v>
      </c>
      <c r="BF19" s="537"/>
      <c r="BG19" s="538"/>
      <c r="BH19" s="36"/>
      <c r="BI19" s="539" t="str">
        <f>INDEX(عمود2,MATCH(BK1,عمود1))</f>
        <v>معاوية عز الدين محمد أحفيظان</v>
      </c>
      <c r="BJ19" s="540"/>
      <c r="BK19" s="541"/>
      <c r="BL19" s="27"/>
      <c r="BO19">
        <f>BN2*0.5</f>
        <v>126</v>
      </c>
      <c r="BP19" t="s">
        <v>4</v>
      </c>
    </row>
    <row r="20" spans="1:68" ht="24.95" customHeight="1" x14ac:dyDescent="0.25">
      <c r="A20" s="433" t="s">
        <v>60</v>
      </c>
      <c r="B20" s="433"/>
      <c r="C20" s="433">
        <f>IFERROR(VLOOKUP(M19,اسماء,46,0),"")</f>
        <v>0</v>
      </c>
      <c r="D20" s="433"/>
      <c r="E20" s="433">
        <f>IFERROR(VLOOKUP(M19,اسماء,48,0),"")</f>
        <v>0</v>
      </c>
      <c r="F20" s="433"/>
      <c r="G20" s="433">
        <f>IFERROR(VLOOKUP(M19,اسماء,50,0),"")</f>
        <v>0</v>
      </c>
      <c r="H20" s="433"/>
      <c r="I20" s="436"/>
      <c r="J20" s="433"/>
      <c r="K20" s="516"/>
      <c r="L20" s="36"/>
      <c r="M20" s="542" t="str">
        <f>IF(I19="غائب","يبقى سنة اخرى في الصف",IF(K13&gt;0,"ناجحاً ومنقولاً الى الصف ","له دور ثان"))</f>
        <v>له دور ثان</v>
      </c>
      <c r="N20" s="543"/>
      <c r="O20" s="544"/>
      <c r="Q20" s="433" t="s">
        <v>60</v>
      </c>
      <c r="R20" s="433"/>
      <c r="S20" s="433">
        <f>IFERROR(VLOOKUP(AC19,اسماء,46,0),"")</f>
        <v>0</v>
      </c>
      <c r="T20" s="433"/>
      <c r="U20" s="433">
        <f>IFERROR(VLOOKUP(AC19,اسماء,48,0),"")</f>
        <v>0</v>
      </c>
      <c r="V20" s="433"/>
      <c r="W20" s="433">
        <f>IFERROR(VLOOKUP(AC19,اسماء,50,0),"")</f>
        <v>0</v>
      </c>
      <c r="X20" s="433"/>
      <c r="Y20" s="436"/>
      <c r="Z20" s="433"/>
      <c r="AA20" s="516"/>
      <c r="AB20" s="36"/>
      <c r="AC20" s="542" t="str">
        <f>IF(Y19="غائب","يبقى سنة اخرى في الصف",IF(AA13&gt;0,"ناجحاً ومنقولاً الى الصف ","له دور ثان"))</f>
        <v>له دور ثان</v>
      </c>
      <c r="AD20" s="543"/>
      <c r="AE20" s="544"/>
      <c r="AG20" s="433" t="s">
        <v>60</v>
      </c>
      <c r="AH20" s="433"/>
      <c r="AI20" s="433">
        <f>IFERROR(VLOOKUP(AS19,اسماء,46,0),"")</f>
        <v>0</v>
      </c>
      <c r="AJ20" s="433"/>
      <c r="AK20" s="433">
        <f>IFERROR(VLOOKUP(AS19,اسماء,48,0),"")</f>
        <v>0</v>
      </c>
      <c r="AL20" s="433"/>
      <c r="AM20" s="433">
        <f>IFERROR(VLOOKUP(AS19,اسماء,50,0),"")</f>
        <v>0</v>
      </c>
      <c r="AN20" s="433"/>
      <c r="AO20" s="436"/>
      <c r="AP20" s="433"/>
      <c r="AQ20" s="516"/>
      <c r="AR20" s="36"/>
      <c r="AS20" s="542" t="str">
        <f>IF(AO19="غائب","يبقى سنة اخرى في الصف",IF(AQ13&gt;0,"ناجحاً ومنقولاً الى الصف ","له دور ثان"))</f>
        <v>له دور ثان</v>
      </c>
      <c r="AT20" s="543"/>
      <c r="AU20" s="544"/>
      <c r="AW20" s="433" t="s">
        <v>60</v>
      </c>
      <c r="AX20" s="433"/>
      <c r="AY20" s="433">
        <f>IFERROR(VLOOKUP(BI19,اسماء,46,0),"")</f>
        <v>0</v>
      </c>
      <c r="AZ20" s="433"/>
      <c r="BA20" s="433">
        <f>IFERROR(VLOOKUP(BI19,اسماء,48,0),"")</f>
        <v>0</v>
      </c>
      <c r="BB20" s="433"/>
      <c r="BC20" s="433">
        <f>IFERROR(VLOOKUP(BI19,اسماء,50,0),"")</f>
        <v>0</v>
      </c>
      <c r="BD20" s="433"/>
      <c r="BE20" s="436"/>
      <c r="BF20" s="433"/>
      <c r="BG20" s="516"/>
      <c r="BH20" s="36"/>
      <c r="BI20" s="542" t="str">
        <f>IF(BE19="غائب","يبقى سنة اخرى في الصف",IF(BG13&gt;0,"ناجحاً ومنقولاً الى الصف ","له دور ثان"))</f>
        <v>له دور ثان</v>
      </c>
      <c r="BJ20" s="543"/>
      <c r="BK20" s="544"/>
      <c r="BL20" s="27"/>
      <c r="BO20">
        <f>BN2*0.65</f>
        <v>163.80000000000001</v>
      </c>
      <c r="BP20" t="s">
        <v>5</v>
      </c>
    </row>
    <row r="21" spans="1:68" ht="24.95" customHeight="1" thickBot="1" x14ac:dyDescent="0.3">
      <c r="A21" s="545" t="s">
        <v>61</v>
      </c>
      <c r="B21" s="545"/>
      <c r="C21" s="433">
        <f>IFERROR(VLOOKUP(M19,اسماء,47,0),"")</f>
        <v>0</v>
      </c>
      <c r="D21" s="433"/>
      <c r="E21" s="433">
        <f>IFERROR(VLOOKUP(M19,اسماء,49,0),"")</f>
        <v>0</v>
      </c>
      <c r="F21" s="433"/>
      <c r="G21" s="433">
        <f>IFERROR(VLOOKUP(M19,اسماء,51,0),"")</f>
        <v>0</v>
      </c>
      <c r="H21" s="433"/>
      <c r="I21" s="453"/>
      <c r="J21" s="518"/>
      <c r="K21" s="519"/>
      <c r="L21" s="36"/>
      <c r="M21" s="546" t="str">
        <f>IF(I19="غائب",D1,IF(M20="له دور ثان","",IF(M20="يبقى سنة أخرى بالصف",D1,IF(D1="الرابع","الخامس",IF(D1="الخامس","السادس")))))</f>
        <v/>
      </c>
      <c r="N21" s="546"/>
      <c r="O21" s="546"/>
      <c r="P21" s="69"/>
      <c r="Q21" s="545" t="s">
        <v>61</v>
      </c>
      <c r="R21" s="545"/>
      <c r="S21" s="433">
        <f>IFERROR(VLOOKUP(AC19,اسماء,47,0),"")</f>
        <v>0</v>
      </c>
      <c r="T21" s="433"/>
      <c r="U21" s="433">
        <f>IFERROR(VLOOKUP(AC19,اسماء,49,0),"")</f>
        <v>0</v>
      </c>
      <c r="V21" s="433"/>
      <c r="W21" s="433">
        <f>IFERROR(VLOOKUP(AC19,اسماء,51,0),"")</f>
        <v>0</v>
      </c>
      <c r="X21" s="433"/>
      <c r="Y21" s="453"/>
      <c r="Z21" s="518"/>
      <c r="AA21" s="519"/>
      <c r="AB21" s="36"/>
      <c r="AC21" s="546" t="str">
        <f>IF(Y19="غائب",T1,IF(AC20="له دور ثان","",IF(AC20="يبقى سنة أخرى بالصف",T1,IF(T1="الرابع","الخامس",IF(T1="الخامس","السادس")))))</f>
        <v/>
      </c>
      <c r="AD21" s="546"/>
      <c r="AE21" s="546"/>
      <c r="AG21" s="545" t="s">
        <v>61</v>
      </c>
      <c r="AH21" s="545"/>
      <c r="AI21" s="433">
        <f>IFERROR(VLOOKUP(AS19,اسماء,47,0),"")</f>
        <v>0</v>
      </c>
      <c r="AJ21" s="433"/>
      <c r="AK21" s="433">
        <f>IFERROR(VLOOKUP(AS19,اسماء,49,0),"")</f>
        <v>0</v>
      </c>
      <c r="AL21" s="433"/>
      <c r="AM21" s="433">
        <f>IFERROR(VLOOKUP(AS19,اسماء,51,0),"")</f>
        <v>0</v>
      </c>
      <c r="AN21" s="433"/>
      <c r="AO21" s="453"/>
      <c r="AP21" s="518"/>
      <c r="AQ21" s="519"/>
      <c r="AR21" s="36"/>
      <c r="AS21" s="546" t="str">
        <f>IF(AO19="غائب",AJ1,IF(AS20="له دور ثان","",IF(AS20="يبقى سنة أخرى بالصف",AJ1,IF(AJ1="الرابع","الخامس",IF(AJ1="الخامس","السادس")))))</f>
        <v/>
      </c>
      <c r="AT21" s="546"/>
      <c r="AU21" s="546"/>
      <c r="AV21" s="69"/>
      <c r="AW21" s="545" t="s">
        <v>61</v>
      </c>
      <c r="AX21" s="545"/>
      <c r="AY21" s="433">
        <f>IFERROR(VLOOKUP(BI19,اسماء,47,0),"")</f>
        <v>0</v>
      </c>
      <c r="AZ21" s="433"/>
      <c r="BA21" s="433">
        <f>IFERROR(VLOOKUP(BI19,اسماء,49,0),"")</f>
        <v>0</v>
      </c>
      <c r="BB21" s="433"/>
      <c r="BC21" s="433">
        <f>IFERROR(VLOOKUP(BI19,اسماء,51,0),"")</f>
        <v>0</v>
      </c>
      <c r="BD21" s="433"/>
      <c r="BE21" s="453"/>
      <c r="BF21" s="518"/>
      <c r="BG21" s="519"/>
      <c r="BH21" s="36"/>
      <c r="BI21" s="546" t="str">
        <f>IF(BE19="غائب",AZ1,IF(BI20="له دور ثان","",IF(BI20="يبقى سنة أخرى بالصف",AZ1,IF(AZ1="الرابع","الخامس",IF(AZ1="الخامس","السادس")))))</f>
        <v/>
      </c>
      <c r="BJ21" s="546"/>
      <c r="BK21" s="546"/>
      <c r="BL21" s="27"/>
      <c r="BO21">
        <f>BN2*0.75</f>
        <v>189</v>
      </c>
      <c r="BP21" t="s">
        <v>105</v>
      </c>
    </row>
    <row r="22" spans="1:68" ht="12.6" customHeight="1" thickBot="1" x14ac:dyDescent="0.3">
      <c r="A22" s="139"/>
      <c r="B22" s="15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110"/>
      <c r="N22" s="110"/>
      <c r="O22" s="110"/>
      <c r="P22" s="69"/>
      <c r="Q22" s="139"/>
      <c r="R22" s="15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110"/>
      <c r="AD22" s="110"/>
      <c r="AE22" s="110"/>
      <c r="AG22" s="139"/>
      <c r="AH22" s="15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110"/>
      <c r="AT22" s="110"/>
      <c r="AU22" s="110"/>
      <c r="AW22" s="139"/>
      <c r="AX22" s="15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110"/>
      <c r="BJ22" s="110"/>
      <c r="BK22" s="110"/>
      <c r="BL22" s="27"/>
      <c r="BO22">
        <f>BN2*0.85</f>
        <v>214.2</v>
      </c>
      <c r="BP22" t="s">
        <v>6</v>
      </c>
    </row>
    <row r="23" spans="1:68" ht="18.75" customHeight="1" thickBot="1" x14ac:dyDescent="0.3">
      <c r="A23" s="140" t="s">
        <v>14</v>
      </c>
      <c r="B23" s="577" t="s">
        <v>65</v>
      </c>
      <c r="C23" s="577"/>
      <c r="D23" s="577" t="s">
        <v>67</v>
      </c>
      <c r="E23" s="577"/>
      <c r="F23" s="578"/>
      <c r="G23" s="579" t="s">
        <v>87</v>
      </c>
      <c r="H23" s="580"/>
      <c r="I23" s="581" t="s">
        <v>64</v>
      </c>
      <c r="J23" s="581"/>
      <c r="K23" s="581"/>
      <c r="L23" s="581"/>
      <c r="M23" s="581"/>
      <c r="N23" s="581"/>
      <c r="O23" s="581"/>
      <c r="P23" s="69"/>
      <c r="Q23" s="140" t="s">
        <v>14</v>
      </c>
      <c r="R23" s="577" t="s">
        <v>65</v>
      </c>
      <c r="S23" s="577"/>
      <c r="T23" s="577" t="s">
        <v>67</v>
      </c>
      <c r="U23" s="577"/>
      <c r="V23" s="578"/>
      <c r="W23" s="579" t="s">
        <v>87</v>
      </c>
      <c r="X23" s="580"/>
      <c r="Y23" s="581" t="s">
        <v>64</v>
      </c>
      <c r="Z23" s="581"/>
      <c r="AA23" s="581"/>
      <c r="AB23" s="581"/>
      <c r="AC23" s="581"/>
      <c r="AD23" s="581"/>
      <c r="AE23" s="581"/>
      <c r="AG23" s="140" t="s">
        <v>14</v>
      </c>
      <c r="AH23" s="577" t="s">
        <v>65</v>
      </c>
      <c r="AI23" s="577"/>
      <c r="AJ23" s="577" t="s">
        <v>67</v>
      </c>
      <c r="AK23" s="577"/>
      <c r="AL23" s="578"/>
      <c r="AM23" s="579" t="s">
        <v>87</v>
      </c>
      <c r="AN23" s="580"/>
      <c r="AO23" s="581" t="s">
        <v>64</v>
      </c>
      <c r="AP23" s="581"/>
      <c r="AQ23" s="581"/>
      <c r="AR23" s="581"/>
      <c r="AS23" s="581"/>
      <c r="AT23" s="581"/>
      <c r="AU23" s="581"/>
      <c r="AW23" s="140" t="s">
        <v>14</v>
      </c>
      <c r="AX23" s="577" t="s">
        <v>65</v>
      </c>
      <c r="AY23" s="577"/>
      <c r="AZ23" s="577" t="s">
        <v>67</v>
      </c>
      <c r="BA23" s="577"/>
      <c r="BB23" s="578"/>
      <c r="BC23" s="579" t="s">
        <v>87</v>
      </c>
      <c r="BD23" s="580"/>
      <c r="BE23" s="581" t="s">
        <v>64</v>
      </c>
      <c r="BF23" s="581"/>
      <c r="BG23" s="581"/>
      <c r="BH23" s="581"/>
      <c r="BI23" s="581"/>
      <c r="BJ23" s="581"/>
      <c r="BK23" s="581"/>
    </row>
    <row r="24" spans="1:68" s="67" customFormat="1" ht="24.95" customHeight="1" x14ac:dyDescent="0.25">
      <c r="A24" s="137" t="s">
        <v>88</v>
      </c>
      <c r="B24" s="468"/>
      <c r="C24" s="468"/>
      <c r="D24" s="468"/>
      <c r="E24" s="468"/>
      <c r="F24" s="468"/>
      <c r="G24" s="468"/>
      <c r="H24" s="568"/>
      <c r="I24" s="517" t="s">
        <v>66</v>
      </c>
      <c r="J24" s="517"/>
      <c r="K24" s="515" t="str">
        <f>ادخال1!$BP$5</f>
        <v>د.عبدالرحمن خليفة العريبي</v>
      </c>
      <c r="L24" s="515"/>
      <c r="M24" s="515"/>
      <c r="N24" s="515"/>
      <c r="O24" s="515"/>
      <c r="P24" s="70"/>
      <c r="Q24" s="137" t="s">
        <v>88</v>
      </c>
      <c r="R24" s="468"/>
      <c r="S24" s="468"/>
      <c r="T24" s="468"/>
      <c r="U24" s="468"/>
      <c r="V24" s="468"/>
      <c r="W24" s="468"/>
      <c r="X24" s="568"/>
      <c r="Y24" s="517" t="s">
        <v>66</v>
      </c>
      <c r="Z24" s="517"/>
      <c r="AA24" s="515" t="str">
        <f>ادخال1!$BP$5</f>
        <v>د.عبدالرحمن خليفة العريبي</v>
      </c>
      <c r="AB24" s="515"/>
      <c r="AC24" s="515"/>
      <c r="AD24" s="515"/>
      <c r="AE24" s="515"/>
      <c r="AG24" s="137" t="s">
        <v>88</v>
      </c>
      <c r="AH24" s="468"/>
      <c r="AI24" s="468"/>
      <c r="AJ24" s="468"/>
      <c r="AK24" s="468"/>
      <c r="AL24" s="468"/>
      <c r="AM24" s="468"/>
      <c r="AN24" s="568"/>
      <c r="AO24" s="517" t="s">
        <v>66</v>
      </c>
      <c r="AP24" s="517"/>
      <c r="AQ24" s="515" t="str">
        <f>ادخال1!$BP$5</f>
        <v>د.عبدالرحمن خليفة العريبي</v>
      </c>
      <c r="AR24" s="515"/>
      <c r="AS24" s="515"/>
      <c r="AT24" s="515"/>
      <c r="AU24" s="515"/>
      <c r="AW24" s="137" t="s">
        <v>88</v>
      </c>
      <c r="AX24" s="468"/>
      <c r="AY24" s="468"/>
      <c r="AZ24" s="468"/>
      <c r="BA24" s="468"/>
      <c r="BB24" s="468"/>
      <c r="BC24" s="468"/>
      <c r="BD24" s="568"/>
      <c r="BE24" s="517" t="s">
        <v>66</v>
      </c>
      <c r="BF24" s="517"/>
      <c r="BG24" s="515" t="str">
        <f>ادخال1!$BP$5</f>
        <v>د.عبدالرحمن خليفة العريبي</v>
      </c>
      <c r="BH24" s="515"/>
      <c r="BI24" s="515"/>
      <c r="BJ24" s="515"/>
      <c r="BK24" s="515"/>
    </row>
    <row r="25" spans="1:68" s="67" customFormat="1" ht="24.95" customHeight="1" x14ac:dyDescent="0.25">
      <c r="A25" s="61" t="s">
        <v>15</v>
      </c>
      <c r="B25" s="433"/>
      <c r="C25" s="433"/>
      <c r="D25" s="433"/>
      <c r="E25" s="433"/>
      <c r="F25" s="433"/>
      <c r="G25" s="433"/>
      <c r="H25" s="516"/>
      <c r="I25" s="488" t="s">
        <v>68</v>
      </c>
      <c r="J25" s="488"/>
      <c r="K25" s="488"/>
      <c r="L25" s="68"/>
      <c r="M25" s="506">
        <f ca="1">TODAY()</f>
        <v>46035</v>
      </c>
      <c r="N25" s="506"/>
      <c r="O25" s="506"/>
      <c r="P25" s="70"/>
      <c r="Q25" s="61" t="s">
        <v>15</v>
      </c>
      <c r="R25" s="433"/>
      <c r="S25" s="433"/>
      <c r="T25" s="433"/>
      <c r="U25" s="433"/>
      <c r="V25" s="433"/>
      <c r="W25" s="433"/>
      <c r="X25" s="516"/>
      <c r="Y25" s="488" t="s">
        <v>68</v>
      </c>
      <c r="Z25" s="488"/>
      <c r="AA25" s="488"/>
      <c r="AB25" s="68"/>
      <c r="AC25" s="506">
        <f ca="1">TODAY()</f>
        <v>46035</v>
      </c>
      <c r="AD25" s="506"/>
      <c r="AE25" s="506"/>
      <c r="AG25" s="61" t="s">
        <v>15</v>
      </c>
      <c r="AH25" s="433"/>
      <c r="AI25" s="433"/>
      <c r="AJ25" s="433"/>
      <c r="AK25" s="433"/>
      <c r="AL25" s="433"/>
      <c r="AM25" s="433"/>
      <c r="AN25" s="516"/>
      <c r="AO25" s="488" t="s">
        <v>68</v>
      </c>
      <c r="AP25" s="488"/>
      <c r="AQ25" s="488"/>
      <c r="AR25" s="68"/>
      <c r="AS25" s="506">
        <f ca="1">TODAY()</f>
        <v>46035</v>
      </c>
      <c r="AT25" s="506"/>
      <c r="AU25" s="506"/>
      <c r="AW25" s="61" t="s">
        <v>15</v>
      </c>
      <c r="AX25" s="433"/>
      <c r="AY25" s="433"/>
      <c r="AZ25" s="433"/>
      <c r="BA25" s="433"/>
      <c r="BB25" s="433"/>
      <c r="BC25" s="433"/>
      <c r="BD25" s="516"/>
      <c r="BE25" s="488" t="s">
        <v>68</v>
      </c>
      <c r="BF25" s="488"/>
      <c r="BG25" s="488"/>
      <c r="BH25" s="68"/>
      <c r="BI25" s="506">
        <f ca="1">TODAY()</f>
        <v>46035</v>
      </c>
      <c r="BJ25" s="506"/>
      <c r="BK25" s="506"/>
    </row>
    <row r="26" spans="1:68" s="67" customFormat="1" ht="24.95" customHeight="1" thickBot="1" x14ac:dyDescent="0.3">
      <c r="A26" s="138" t="s">
        <v>89</v>
      </c>
      <c r="B26" s="518"/>
      <c r="C26" s="518"/>
      <c r="D26" s="518"/>
      <c r="E26" s="518"/>
      <c r="F26" s="518"/>
      <c r="G26" s="518"/>
      <c r="H26" s="519"/>
      <c r="I26" s="520" t="s">
        <v>70</v>
      </c>
      <c r="J26" s="520"/>
      <c r="K26" s="520"/>
      <c r="L26" s="520"/>
      <c r="M26" s="520"/>
      <c r="N26" s="520"/>
      <c r="O26" s="521"/>
      <c r="Q26" s="138" t="s">
        <v>89</v>
      </c>
      <c r="R26" s="518"/>
      <c r="S26" s="518"/>
      <c r="T26" s="518"/>
      <c r="U26" s="518"/>
      <c r="V26" s="518"/>
      <c r="W26" s="518"/>
      <c r="X26" s="519"/>
      <c r="Y26" s="520" t="s">
        <v>70</v>
      </c>
      <c r="Z26" s="520"/>
      <c r="AA26" s="520"/>
      <c r="AB26" s="520"/>
      <c r="AC26" s="520"/>
      <c r="AD26" s="520"/>
      <c r="AE26" s="521"/>
      <c r="AG26" s="138" t="s">
        <v>89</v>
      </c>
      <c r="AH26" s="518"/>
      <c r="AI26" s="518"/>
      <c r="AJ26" s="518"/>
      <c r="AK26" s="518"/>
      <c r="AL26" s="518"/>
      <c r="AM26" s="518"/>
      <c r="AN26" s="519"/>
      <c r="AO26" s="520" t="s">
        <v>70</v>
      </c>
      <c r="AP26" s="520"/>
      <c r="AQ26" s="520"/>
      <c r="AR26" s="520"/>
      <c r="AS26" s="520"/>
      <c r="AT26" s="520"/>
      <c r="AU26" s="521"/>
      <c r="AW26" s="138" t="s">
        <v>89</v>
      </c>
      <c r="AX26" s="518"/>
      <c r="AY26" s="518"/>
      <c r="AZ26" s="518"/>
      <c r="BA26" s="518"/>
      <c r="BB26" s="518"/>
      <c r="BC26" s="518"/>
      <c r="BD26" s="519"/>
      <c r="BE26" s="520" t="s">
        <v>70</v>
      </c>
      <c r="BF26" s="520"/>
      <c r="BG26" s="520"/>
      <c r="BH26" s="520"/>
      <c r="BI26" s="520"/>
      <c r="BJ26" s="520"/>
      <c r="BK26" s="521"/>
    </row>
    <row r="27" spans="1:68" ht="16.350000000000001" customHeight="1" thickBot="1" x14ac:dyDescent="0.3">
      <c r="A27" s="141"/>
      <c r="I27" s="38"/>
      <c r="J27" s="38"/>
      <c r="K27" s="38"/>
      <c r="L27" s="38"/>
      <c r="M27" s="111"/>
      <c r="N27" s="161"/>
      <c r="O27" s="162"/>
      <c r="Q27" s="141"/>
      <c r="Y27" s="38"/>
      <c r="Z27" s="38"/>
      <c r="AA27" s="38"/>
      <c r="AB27" s="38"/>
      <c r="AC27" s="111"/>
      <c r="AD27" s="111"/>
      <c r="AE27" s="112"/>
      <c r="AG27" s="141"/>
      <c r="AO27" s="38"/>
      <c r="AP27" s="38"/>
      <c r="AQ27" s="38"/>
      <c r="AR27" s="38"/>
      <c r="AS27" s="111"/>
      <c r="AT27" s="111"/>
      <c r="AU27" s="112"/>
      <c r="AW27" s="141"/>
      <c r="BE27" s="38"/>
      <c r="BF27" s="38"/>
      <c r="BG27" s="38"/>
      <c r="BH27" s="38"/>
      <c r="BI27" s="111"/>
      <c r="BJ27" s="111"/>
      <c r="BK27" s="112"/>
    </row>
    <row r="28" spans="1:68" ht="16.350000000000001" customHeight="1" thickTop="1" x14ac:dyDescent="0.25">
      <c r="A28" s="522" t="s">
        <v>84</v>
      </c>
      <c r="B28" s="523"/>
      <c r="C28" s="523"/>
      <c r="D28" s="523"/>
      <c r="E28" s="39"/>
      <c r="F28" s="39"/>
      <c r="G28" s="40"/>
      <c r="H28" s="8"/>
      <c r="I28" s="524" t="s">
        <v>71</v>
      </c>
      <c r="J28" s="525"/>
      <c r="K28" s="525"/>
      <c r="L28" s="525"/>
      <c r="M28" s="525"/>
      <c r="N28" s="525"/>
      <c r="O28" s="526"/>
      <c r="Q28" s="522" t="s">
        <v>84</v>
      </c>
      <c r="R28" s="523"/>
      <c r="S28" s="523"/>
      <c r="T28" s="523"/>
      <c r="U28" s="39"/>
      <c r="V28" s="39"/>
      <c r="W28" s="40"/>
      <c r="X28" s="8"/>
      <c r="Y28" s="524" t="s">
        <v>71</v>
      </c>
      <c r="Z28" s="525"/>
      <c r="AA28" s="525"/>
      <c r="AB28" s="525"/>
      <c r="AC28" s="525"/>
      <c r="AD28" s="525"/>
      <c r="AE28" s="526"/>
      <c r="AG28" s="522" t="s">
        <v>84</v>
      </c>
      <c r="AH28" s="523"/>
      <c r="AI28" s="523"/>
      <c r="AJ28" s="523"/>
      <c r="AK28" s="39"/>
      <c r="AL28" s="39"/>
      <c r="AM28" s="40"/>
      <c r="AN28" s="8"/>
      <c r="AO28" s="524" t="s">
        <v>71</v>
      </c>
      <c r="AP28" s="525"/>
      <c r="AQ28" s="525"/>
      <c r="AR28" s="525"/>
      <c r="AS28" s="525"/>
      <c r="AT28" s="525"/>
      <c r="AU28" s="526"/>
      <c r="AW28" s="522" t="s">
        <v>84</v>
      </c>
      <c r="AX28" s="523"/>
      <c r="AY28" s="523"/>
      <c r="AZ28" s="523"/>
      <c r="BA28" s="39"/>
      <c r="BB28" s="39"/>
      <c r="BC28" s="40"/>
      <c r="BD28" s="8"/>
      <c r="BE28" s="524" t="s">
        <v>71</v>
      </c>
      <c r="BF28" s="525"/>
      <c r="BG28" s="525"/>
      <c r="BH28" s="525"/>
      <c r="BI28" s="525"/>
      <c r="BJ28" s="525"/>
      <c r="BK28" s="526"/>
    </row>
    <row r="29" spans="1:68" ht="16.350000000000001" customHeight="1" x14ac:dyDescent="0.25">
      <c r="A29" s="527" t="s">
        <v>72</v>
      </c>
      <c r="B29" s="528"/>
      <c r="C29" s="528"/>
      <c r="D29" s="528"/>
      <c r="E29" s="528"/>
      <c r="F29" s="528"/>
      <c r="G29" s="529"/>
      <c r="H29" s="8"/>
      <c r="I29" s="530" t="s">
        <v>85</v>
      </c>
      <c r="J29" s="531"/>
      <c r="K29" s="531"/>
      <c r="L29" s="531"/>
      <c r="M29" s="531"/>
      <c r="N29" s="531"/>
      <c r="O29" s="532"/>
      <c r="Q29" s="527" t="s">
        <v>72</v>
      </c>
      <c r="R29" s="528"/>
      <c r="S29" s="528"/>
      <c r="T29" s="528"/>
      <c r="U29" s="528"/>
      <c r="V29" s="528"/>
      <c r="W29" s="529"/>
      <c r="X29" s="8"/>
      <c r="Y29" s="530" t="s">
        <v>85</v>
      </c>
      <c r="Z29" s="531"/>
      <c r="AA29" s="531"/>
      <c r="AB29" s="531"/>
      <c r="AC29" s="531"/>
      <c r="AD29" s="531"/>
      <c r="AE29" s="532"/>
      <c r="AG29" s="527" t="s">
        <v>72</v>
      </c>
      <c r="AH29" s="528"/>
      <c r="AI29" s="528"/>
      <c r="AJ29" s="528"/>
      <c r="AK29" s="528"/>
      <c r="AL29" s="528"/>
      <c r="AM29" s="529"/>
      <c r="AN29" s="8"/>
      <c r="AO29" s="530" t="s">
        <v>85</v>
      </c>
      <c r="AP29" s="531"/>
      <c r="AQ29" s="531"/>
      <c r="AR29" s="531"/>
      <c r="AS29" s="531"/>
      <c r="AT29" s="531"/>
      <c r="AU29" s="532"/>
      <c r="AW29" s="527" t="s">
        <v>72</v>
      </c>
      <c r="AX29" s="528"/>
      <c r="AY29" s="528"/>
      <c r="AZ29" s="528"/>
      <c r="BA29" s="528"/>
      <c r="BB29" s="528"/>
      <c r="BC29" s="529"/>
      <c r="BD29" s="8"/>
      <c r="BE29" s="530" t="s">
        <v>85</v>
      </c>
      <c r="BF29" s="531"/>
      <c r="BG29" s="531"/>
      <c r="BH29" s="531"/>
      <c r="BI29" s="531"/>
      <c r="BJ29" s="531"/>
      <c r="BK29" s="532"/>
    </row>
    <row r="30" spans="1:68" ht="16.350000000000001" customHeight="1" x14ac:dyDescent="0.25">
      <c r="A30" s="527"/>
      <c r="B30" s="528"/>
      <c r="C30" s="528"/>
      <c r="D30" s="528"/>
      <c r="E30" s="528"/>
      <c r="F30" s="528"/>
      <c r="G30" s="529"/>
      <c r="H30" s="8"/>
      <c r="I30" s="530"/>
      <c r="J30" s="531"/>
      <c r="K30" s="531"/>
      <c r="L30" s="531"/>
      <c r="M30" s="531"/>
      <c r="N30" s="531"/>
      <c r="O30" s="532"/>
      <c r="Q30" s="527"/>
      <c r="R30" s="528"/>
      <c r="S30" s="528"/>
      <c r="T30" s="528"/>
      <c r="U30" s="528"/>
      <c r="V30" s="528"/>
      <c r="W30" s="529"/>
      <c r="X30" s="8"/>
      <c r="Y30" s="530"/>
      <c r="Z30" s="531"/>
      <c r="AA30" s="531"/>
      <c r="AB30" s="531"/>
      <c r="AC30" s="531"/>
      <c r="AD30" s="531"/>
      <c r="AE30" s="532"/>
      <c r="AG30" s="527"/>
      <c r="AH30" s="528"/>
      <c r="AI30" s="528"/>
      <c r="AJ30" s="528"/>
      <c r="AK30" s="528"/>
      <c r="AL30" s="528"/>
      <c r="AM30" s="529"/>
      <c r="AN30" s="8"/>
      <c r="AO30" s="530"/>
      <c r="AP30" s="531"/>
      <c r="AQ30" s="531"/>
      <c r="AR30" s="531"/>
      <c r="AS30" s="531"/>
      <c r="AT30" s="531"/>
      <c r="AU30" s="532"/>
      <c r="AW30" s="527"/>
      <c r="AX30" s="528"/>
      <c r="AY30" s="528"/>
      <c r="AZ30" s="528"/>
      <c r="BA30" s="528"/>
      <c r="BB30" s="528"/>
      <c r="BC30" s="529"/>
      <c r="BD30" s="8"/>
      <c r="BE30" s="530"/>
      <c r="BF30" s="531"/>
      <c r="BG30" s="531"/>
      <c r="BH30" s="531"/>
      <c r="BI30" s="531"/>
      <c r="BJ30" s="531"/>
      <c r="BK30" s="532"/>
    </row>
    <row r="31" spans="1:68" ht="16.350000000000001" customHeight="1" x14ac:dyDescent="0.25">
      <c r="A31" s="527"/>
      <c r="B31" s="528"/>
      <c r="C31" s="528"/>
      <c r="D31" s="528"/>
      <c r="E31" s="528"/>
      <c r="F31" s="528"/>
      <c r="G31" s="529"/>
      <c r="H31" s="8"/>
      <c r="I31" s="530"/>
      <c r="J31" s="531"/>
      <c r="K31" s="531"/>
      <c r="L31" s="531"/>
      <c r="M31" s="531"/>
      <c r="N31" s="531"/>
      <c r="O31" s="532"/>
      <c r="Q31" s="527"/>
      <c r="R31" s="528"/>
      <c r="S31" s="528"/>
      <c r="T31" s="528"/>
      <c r="U31" s="528"/>
      <c r="V31" s="528"/>
      <c r="W31" s="529"/>
      <c r="X31" s="8"/>
      <c r="Y31" s="530"/>
      <c r="Z31" s="531"/>
      <c r="AA31" s="531"/>
      <c r="AB31" s="531"/>
      <c r="AC31" s="531"/>
      <c r="AD31" s="531"/>
      <c r="AE31" s="532"/>
      <c r="AG31" s="527"/>
      <c r="AH31" s="528"/>
      <c r="AI31" s="528"/>
      <c r="AJ31" s="528"/>
      <c r="AK31" s="528"/>
      <c r="AL31" s="528"/>
      <c r="AM31" s="529"/>
      <c r="AN31" s="8"/>
      <c r="AO31" s="530"/>
      <c r="AP31" s="531"/>
      <c r="AQ31" s="531"/>
      <c r="AR31" s="531"/>
      <c r="AS31" s="531"/>
      <c r="AT31" s="531"/>
      <c r="AU31" s="532"/>
      <c r="AW31" s="527"/>
      <c r="AX31" s="528"/>
      <c r="AY31" s="528"/>
      <c r="AZ31" s="528"/>
      <c r="BA31" s="528"/>
      <c r="BB31" s="528"/>
      <c r="BC31" s="529"/>
      <c r="BD31" s="8"/>
      <c r="BE31" s="530"/>
      <c r="BF31" s="531"/>
      <c r="BG31" s="531"/>
      <c r="BH31" s="531"/>
      <c r="BI31" s="531"/>
      <c r="BJ31" s="531"/>
      <c r="BK31" s="532"/>
    </row>
    <row r="32" spans="1:68" ht="5.25" customHeight="1" x14ac:dyDescent="0.25">
      <c r="A32" s="527"/>
      <c r="B32" s="528"/>
      <c r="C32" s="528"/>
      <c r="D32" s="528"/>
      <c r="E32" s="528"/>
      <c r="F32" s="528"/>
      <c r="G32" s="529"/>
      <c r="H32" s="8"/>
      <c r="I32" s="530"/>
      <c r="J32" s="531"/>
      <c r="K32" s="531"/>
      <c r="L32" s="531"/>
      <c r="M32" s="531"/>
      <c r="N32" s="531"/>
      <c r="O32" s="532"/>
      <c r="Q32" s="527"/>
      <c r="R32" s="528"/>
      <c r="S32" s="528"/>
      <c r="T32" s="528"/>
      <c r="U32" s="528"/>
      <c r="V32" s="528"/>
      <c r="W32" s="529"/>
      <c r="X32" s="8"/>
      <c r="Y32" s="530"/>
      <c r="Z32" s="531"/>
      <c r="AA32" s="531"/>
      <c r="AB32" s="531"/>
      <c r="AC32" s="531"/>
      <c r="AD32" s="531"/>
      <c r="AE32" s="532"/>
      <c r="AG32" s="527"/>
      <c r="AH32" s="528"/>
      <c r="AI32" s="528"/>
      <c r="AJ32" s="528"/>
      <c r="AK32" s="528"/>
      <c r="AL32" s="528"/>
      <c r="AM32" s="529"/>
      <c r="AN32" s="8"/>
      <c r="AO32" s="530"/>
      <c r="AP32" s="531"/>
      <c r="AQ32" s="531"/>
      <c r="AR32" s="531"/>
      <c r="AS32" s="531"/>
      <c r="AT32" s="531"/>
      <c r="AU32" s="532"/>
      <c r="AW32" s="527"/>
      <c r="AX32" s="528"/>
      <c r="AY32" s="528"/>
      <c r="AZ32" s="528"/>
      <c r="BA32" s="528"/>
      <c r="BB32" s="528"/>
      <c r="BC32" s="529"/>
      <c r="BD32" s="8"/>
      <c r="BE32" s="530"/>
      <c r="BF32" s="531"/>
      <c r="BG32" s="531"/>
      <c r="BH32" s="531"/>
      <c r="BI32" s="531"/>
      <c r="BJ32" s="531"/>
      <c r="BK32" s="532"/>
    </row>
    <row r="33" spans="1:63" ht="16.350000000000001" customHeight="1" x14ac:dyDescent="0.25">
      <c r="A33" s="527" t="s">
        <v>73</v>
      </c>
      <c r="B33" s="528"/>
      <c r="C33" s="528"/>
      <c r="D33" s="528"/>
      <c r="E33" s="528"/>
      <c r="F33" s="528"/>
      <c r="G33" s="529"/>
      <c r="H33" s="8"/>
      <c r="I33" s="530"/>
      <c r="J33" s="531"/>
      <c r="K33" s="531"/>
      <c r="L33" s="531"/>
      <c r="M33" s="531"/>
      <c r="N33" s="531"/>
      <c r="O33" s="532"/>
      <c r="Q33" s="527" t="s">
        <v>73</v>
      </c>
      <c r="R33" s="528"/>
      <c r="S33" s="528"/>
      <c r="T33" s="528"/>
      <c r="U33" s="528"/>
      <c r="V33" s="528"/>
      <c r="W33" s="529"/>
      <c r="X33" s="8"/>
      <c r="Y33" s="530"/>
      <c r="Z33" s="531"/>
      <c r="AA33" s="531"/>
      <c r="AB33" s="531"/>
      <c r="AC33" s="531"/>
      <c r="AD33" s="531"/>
      <c r="AE33" s="532"/>
      <c r="AG33" s="527" t="s">
        <v>73</v>
      </c>
      <c r="AH33" s="528"/>
      <c r="AI33" s="528"/>
      <c r="AJ33" s="528"/>
      <c r="AK33" s="528"/>
      <c r="AL33" s="528"/>
      <c r="AM33" s="529"/>
      <c r="AN33" s="8"/>
      <c r="AO33" s="530"/>
      <c r="AP33" s="531"/>
      <c r="AQ33" s="531"/>
      <c r="AR33" s="531"/>
      <c r="AS33" s="531"/>
      <c r="AT33" s="531"/>
      <c r="AU33" s="532"/>
      <c r="AW33" s="527" t="s">
        <v>73</v>
      </c>
      <c r="AX33" s="528"/>
      <c r="AY33" s="528"/>
      <c r="AZ33" s="528"/>
      <c r="BA33" s="528"/>
      <c r="BB33" s="528"/>
      <c r="BC33" s="529"/>
      <c r="BD33" s="8"/>
      <c r="BE33" s="530"/>
      <c r="BF33" s="531"/>
      <c r="BG33" s="531"/>
      <c r="BH33" s="531"/>
      <c r="BI33" s="531"/>
      <c r="BJ33" s="531"/>
      <c r="BK33" s="532"/>
    </row>
    <row r="34" spans="1:63" ht="15" customHeight="1" thickBot="1" x14ac:dyDescent="0.3">
      <c r="A34" s="533"/>
      <c r="B34" s="534"/>
      <c r="C34" s="534"/>
      <c r="D34" s="534"/>
      <c r="E34" s="534"/>
      <c r="F34" s="534"/>
      <c r="G34" s="535"/>
      <c r="H34" s="8"/>
      <c r="I34" s="547" t="s">
        <v>74</v>
      </c>
      <c r="J34" s="548"/>
      <c r="K34" s="548"/>
      <c r="L34" s="548"/>
      <c r="M34" s="548"/>
      <c r="N34" s="548"/>
      <c r="O34" s="549"/>
      <c r="Q34" s="533"/>
      <c r="R34" s="534"/>
      <c r="S34" s="534"/>
      <c r="T34" s="534"/>
      <c r="U34" s="534"/>
      <c r="V34" s="534"/>
      <c r="W34" s="535"/>
      <c r="X34" s="8"/>
      <c r="Y34" s="547" t="s">
        <v>74</v>
      </c>
      <c r="Z34" s="548"/>
      <c r="AA34" s="548"/>
      <c r="AB34" s="548"/>
      <c r="AC34" s="548"/>
      <c r="AD34" s="548"/>
      <c r="AE34" s="549"/>
      <c r="AG34" s="533"/>
      <c r="AH34" s="534"/>
      <c r="AI34" s="534"/>
      <c r="AJ34" s="534"/>
      <c r="AK34" s="534"/>
      <c r="AL34" s="534"/>
      <c r="AM34" s="535"/>
      <c r="AN34" s="8"/>
      <c r="AO34" s="547" t="s">
        <v>74</v>
      </c>
      <c r="AP34" s="548"/>
      <c r="AQ34" s="548"/>
      <c r="AR34" s="548"/>
      <c r="AS34" s="548"/>
      <c r="AT34" s="548"/>
      <c r="AU34" s="549"/>
      <c r="AW34" s="533"/>
      <c r="AX34" s="534"/>
      <c r="AY34" s="534"/>
      <c r="AZ34" s="534"/>
      <c r="BA34" s="534"/>
      <c r="BB34" s="534"/>
      <c r="BC34" s="535"/>
      <c r="BD34" s="8"/>
      <c r="BE34" s="547" t="s">
        <v>74</v>
      </c>
      <c r="BF34" s="548"/>
      <c r="BG34" s="548"/>
      <c r="BH34" s="548"/>
      <c r="BI34" s="548"/>
      <c r="BJ34" s="548"/>
      <c r="BK34" s="549"/>
    </row>
    <row r="35" spans="1:63" ht="16.350000000000001" customHeight="1" thickTop="1" x14ac:dyDescent="0.25">
      <c r="A35" s="142"/>
      <c r="B35" s="156"/>
      <c r="C35" s="8"/>
      <c r="D35" s="8"/>
      <c r="E35" s="8"/>
      <c r="F35" s="8"/>
      <c r="G35" s="8"/>
      <c r="H35" s="8"/>
      <c r="I35" s="553" t="s">
        <v>75</v>
      </c>
      <c r="J35" s="554"/>
      <c r="K35" s="554"/>
      <c r="L35" s="554"/>
      <c r="M35" s="554"/>
      <c r="N35" s="554"/>
      <c r="O35" s="555"/>
      <c r="Q35" s="142"/>
      <c r="R35" s="8"/>
      <c r="S35" s="8"/>
      <c r="T35" s="8"/>
      <c r="U35" s="8"/>
      <c r="V35" s="8"/>
      <c r="W35" s="8"/>
      <c r="X35" s="8"/>
      <c r="Y35" s="553" t="s">
        <v>75</v>
      </c>
      <c r="Z35" s="554"/>
      <c r="AA35" s="554"/>
      <c r="AB35" s="554"/>
      <c r="AC35" s="554"/>
      <c r="AD35" s="554"/>
      <c r="AE35" s="555"/>
      <c r="AG35" s="142"/>
      <c r="AH35" s="8"/>
      <c r="AI35" s="8"/>
      <c r="AJ35" s="8"/>
      <c r="AK35" s="8"/>
      <c r="AL35" s="8"/>
      <c r="AM35" s="8"/>
      <c r="AN35" s="8"/>
      <c r="AO35" s="553" t="s">
        <v>75</v>
      </c>
      <c r="AP35" s="554"/>
      <c r="AQ35" s="554"/>
      <c r="AR35" s="554"/>
      <c r="AS35" s="554"/>
      <c r="AT35" s="554"/>
      <c r="AU35" s="555"/>
      <c r="AW35" s="142"/>
      <c r="AX35" s="8"/>
      <c r="AY35" s="8"/>
      <c r="AZ35" s="8"/>
      <c r="BA35" s="8"/>
      <c r="BB35" s="8"/>
      <c r="BC35" s="8"/>
      <c r="BD35" s="8"/>
      <c r="BE35" s="553" t="s">
        <v>75</v>
      </c>
      <c r="BF35" s="554"/>
      <c r="BG35" s="554"/>
      <c r="BH35" s="554"/>
      <c r="BI35" s="554"/>
      <c r="BJ35" s="554"/>
      <c r="BK35" s="555"/>
    </row>
    <row r="36" spans="1:63" ht="16.350000000000001" customHeight="1" thickBot="1" x14ac:dyDescent="0.3">
      <c r="A36" s="142"/>
      <c r="B36" s="156"/>
      <c r="C36" s="8"/>
      <c r="D36" s="8"/>
      <c r="E36" s="8"/>
      <c r="F36" s="8"/>
      <c r="G36" s="8"/>
      <c r="H36" s="71"/>
      <c r="I36" s="553"/>
      <c r="J36" s="554"/>
      <c r="K36" s="554"/>
      <c r="L36" s="554"/>
      <c r="M36" s="554"/>
      <c r="N36" s="554"/>
      <c r="O36" s="555"/>
      <c r="Q36" s="142"/>
      <c r="R36" s="8"/>
      <c r="S36" s="8"/>
      <c r="T36" s="8"/>
      <c r="U36" s="8"/>
      <c r="V36" s="8"/>
      <c r="W36" s="8"/>
      <c r="X36" s="71"/>
      <c r="Y36" s="553"/>
      <c r="Z36" s="554"/>
      <c r="AA36" s="554"/>
      <c r="AB36" s="554"/>
      <c r="AC36" s="554"/>
      <c r="AD36" s="554"/>
      <c r="AE36" s="555"/>
      <c r="AG36" s="142"/>
      <c r="AH36" s="8"/>
      <c r="AI36" s="8"/>
      <c r="AJ36" s="8"/>
      <c r="AK36" s="8"/>
      <c r="AL36" s="8"/>
      <c r="AM36" s="8"/>
      <c r="AN36" s="71"/>
      <c r="AO36" s="553"/>
      <c r="AP36" s="554"/>
      <c r="AQ36" s="554"/>
      <c r="AR36" s="554"/>
      <c r="AS36" s="554"/>
      <c r="AT36" s="554"/>
      <c r="AU36" s="555"/>
      <c r="AW36" s="142"/>
      <c r="AX36" s="8"/>
      <c r="AY36" s="8"/>
      <c r="AZ36" s="8"/>
      <c r="BA36" s="8"/>
      <c r="BB36" s="8"/>
      <c r="BC36" s="8"/>
      <c r="BD36" s="71"/>
      <c r="BE36" s="553"/>
      <c r="BF36" s="554"/>
      <c r="BG36" s="554"/>
      <c r="BH36" s="554"/>
      <c r="BI36" s="554"/>
      <c r="BJ36" s="554"/>
      <c r="BK36" s="555"/>
    </row>
    <row r="37" spans="1:63" ht="16.350000000000001" customHeight="1" thickTop="1" x14ac:dyDescent="0.25">
      <c r="A37" s="142"/>
      <c r="B37" s="562" t="s">
        <v>76</v>
      </c>
      <c r="C37" s="563"/>
      <c r="D37" s="563"/>
      <c r="E37" s="563"/>
      <c r="F37" s="39"/>
      <c r="G37" s="39"/>
      <c r="H37" s="40"/>
      <c r="I37" s="547" t="s">
        <v>77</v>
      </c>
      <c r="J37" s="548"/>
      <c r="K37" s="548"/>
      <c r="L37" s="548"/>
      <c r="M37" s="548"/>
      <c r="N37" s="548"/>
      <c r="O37" s="549"/>
      <c r="Q37" s="142"/>
      <c r="R37" s="562" t="s">
        <v>76</v>
      </c>
      <c r="S37" s="563"/>
      <c r="T37" s="563"/>
      <c r="U37" s="563"/>
      <c r="V37" s="39"/>
      <c r="W37" s="39"/>
      <c r="X37" s="40"/>
      <c r="Y37" s="547" t="s">
        <v>77</v>
      </c>
      <c r="Z37" s="548"/>
      <c r="AA37" s="548"/>
      <c r="AB37" s="548"/>
      <c r="AC37" s="548"/>
      <c r="AD37" s="548"/>
      <c r="AE37" s="549"/>
      <c r="AG37" s="142"/>
      <c r="AH37" s="562" t="s">
        <v>76</v>
      </c>
      <c r="AI37" s="563"/>
      <c r="AJ37" s="563"/>
      <c r="AK37" s="563"/>
      <c r="AL37" s="39"/>
      <c r="AM37" s="39"/>
      <c r="AN37" s="40"/>
      <c r="AO37" s="547" t="s">
        <v>77</v>
      </c>
      <c r="AP37" s="548"/>
      <c r="AQ37" s="548"/>
      <c r="AR37" s="548"/>
      <c r="AS37" s="548"/>
      <c r="AT37" s="548"/>
      <c r="AU37" s="549"/>
      <c r="AW37" s="142"/>
      <c r="AX37" s="562" t="s">
        <v>76</v>
      </c>
      <c r="AY37" s="563"/>
      <c r="AZ37" s="563"/>
      <c r="BA37" s="563"/>
      <c r="BB37" s="39"/>
      <c r="BC37" s="39"/>
      <c r="BD37" s="40"/>
      <c r="BE37" s="547" t="s">
        <v>77</v>
      </c>
      <c r="BF37" s="548"/>
      <c r="BG37" s="548"/>
      <c r="BH37" s="548"/>
      <c r="BI37" s="548"/>
      <c r="BJ37" s="548"/>
      <c r="BK37" s="549"/>
    </row>
    <row r="38" spans="1:63" ht="16.350000000000001" customHeight="1" x14ac:dyDescent="0.25">
      <c r="A38" s="142"/>
      <c r="B38" s="550" t="s">
        <v>78</v>
      </c>
      <c r="C38" s="551"/>
      <c r="D38" s="551"/>
      <c r="E38" s="551"/>
      <c r="F38" s="551"/>
      <c r="G38" s="551"/>
      <c r="H38" s="552"/>
      <c r="I38" s="553" t="s">
        <v>79</v>
      </c>
      <c r="J38" s="554"/>
      <c r="K38" s="554"/>
      <c r="L38" s="554"/>
      <c r="M38" s="554"/>
      <c r="N38" s="554"/>
      <c r="O38" s="555"/>
      <c r="Q38" s="142"/>
      <c r="R38" s="550" t="s">
        <v>78</v>
      </c>
      <c r="S38" s="551"/>
      <c r="T38" s="551"/>
      <c r="U38" s="551"/>
      <c r="V38" s="551"/>
      <c r="W38" s="551"/>
      <c r="X38" s="552"/>
      <c r="Y38" s="553" t="s">
        <v>79</v>
      </c>
      <c r="Z38" s="554"/>
      <c r="AA38" s="554"/>
      <c r="AB38" s="554"/>
      <c r="AC38" s="554"/>
      <c r="AD38" s="554"/>
      <c r="AE38" s="555"/>
      <c r="AG38" s="142"/>
      <c r="AH38" s="550" t="s">
        <v>78</v>
      </c>
      <c r="AI38" s="551"/>
      <c r="AJ38" s="551"/>
      <c r="AK38" s="551"/>
      <c r="AL38" s="551"/>
      <c r="AM38" s="551"/>
      <c r="AN38" s="552"/>
      <c r="AO38" s="553" t="s">
        <v>79</v>
      </c>
      <c r="AP38" s="554"/>
      <c r="AQ38" s="554"/>
      <c r="AR38" s="554"/>
      <c r="AS38" s="554"/>
      <c r="AT38" s="554"/>
      <c r="AU38" s="555"/>
      <c r="AW38" s="142"/>
      <c r="AX38" s="550" t="s">
        <v>78</v>
      </c>
      <c r="AY38" s="551"/>
      <c r="AZ38" s="551"/>
      <c r="BA38" s="551"/>
      <c r="BB38" s="551"/>
      <c r="BC38" s="551"/>
      <c r="BD38" s="552"/>
      <c r="BE38" s="553" t="s">
        <v>79</v>
      </c>
      <c r="BF38" s="554"/>
      <c r="BG38" s="554"/>
      <c r="BH38" s="554"/>
      <c r="BI38" s="554"/>
      <c r="BJ38" s="554"/>
      <c r="BK38" s="555"/>
    </row>
    <row r="39" spans="1:63" ht="16.350000000000001" customHeight="1" x14ac:dyDescent="0.25">
      <c r="A39" s="142"/>
      <c r="B39" s="556" t="s">
        <v>91</v>
      </c>
      <c r="C39" s="454"/>
      <c r="D39" s="454"/>
      <c r="E39" s="454"/>
      <c r="F39" s="454"/>
      <c r="G39" s="454"/>
      <c r="H39" s="455"/>
      <c r="I39" s="553"/>
      <c r="J39" s="554"/>
      <c r="K39" s="554"/>
      <c r="L39" s="554"/>
      <c r="M39" s="554"/>
      <c r="N39" s="554"/>
      <c r="O39" s="555"/>
      <c r="Q39" s="142"/>
      <c r="R39" s="556" t="s">
        <v>91</v>
      </c>
      <c r="S39" s="454"/>
      <c r="T39" s="454"/>
      <c r="U39" s="454"/>
      <c r="V39" s="454"/>
      <c r="W39" s="454"/>
      <c r="X39" s="455"/>
      <c r="Y39" s="553"/>
      <c r="Z39" s="554"/>
      <c r="AA39" s="554"/>
      <c r="AB39" s="554"/>
      <c r="AC39" s="554"/>
      <c r="AD39" s="554"/>
      <c r="AE39" s="555"/>
      <c r="AG39" s="142"/>
      <c r="AH39" s="556" t="s">
        <v>91</v>
      </c>
      <c r="AI39" s="454"/>
      <c r="AJ39" s="454"/>
      <c r="AK39" s="454"/>
      <c r="AL39" s="454"/>
      <c r="AM39" s="454"/>
      <c r="AN39" s="455"/>
      <c r="AO39" s="553"/>
      <c r="AP39" s="554"/>
      <c r="AQ39" s="554"/>
      <c r="AR39" s="554"/>
      <c r="AS39" s="554"/>
      <c r="AT39" s="554"/>
      <c r="AU39" s="555"/>
      <c r="AW39" s="142"/>
      <c r="AX39" s="556" t="s">
        <v>91</v>
      </c>
      <c r="AY39" s="454"/>
      <c r="AZ39" s="454"/>
      <c r="BA39" s="454"/>
      <c r="BB39" s="454"/>
      <c r="BC39" s="454"/>
      <c r="BD39" s="455"/>
      <c r="BE39" s="553"/>
      <c r="BF39" s="554"/>
      <c r="BG39" s="554"/>
      <c r="BH39" s="554"/>
      <c r="BI39" s="554"/>
      <c r="BJ39" s="554"/>
      <c r="BK39" s="555"/>
    </row>
    <row r="40" spans="1:63" ht="16.350000000000001" customHeight="1" x14ac:dyDescent="0.25">
      <c r="A40" s="142"/>
      <c r="B40" s="556"/>
      <c r="C40" s="454"/>
      <c r="D40" s="454"/>
      <c r="E40" s="454"/>
      <c r="F40" s="454"/>
      <c r="G40" s="454"/>
      <c r="H40" s="455"/>
      <c r="I40" s="554" t="s">
        <v>80</v>
      </c>
      <c r="J40" s="554"/>
      <c r="K40" s="554"/>
      <c r="L40" s="554"/>
      <c r="M40" s="554"/>
      <c r="N40" s="554"/>
      <c r="O40" s="555"/>
      <c r="Q40" s="142"/>
      <c r="R40" s="556"/>
      <c r="S40" s="454"/>
      <c r="T40" s="454"/>
      <c r="U40" s="454"/>
      <c r="V40" s="454"/>
      <c r="W40" s="454"/>
      <c r="X40" s="455"/>
      <c r="Y40" s="554" t="s">
        <v>80</v>
      </c>
      <c r="Z40" s="554"/>
      <c r="AA40" s="554"/>
      <c r="AB40" s="554"/>
      <c r="AC40" s="554"/>
      <c r="AD40" s="554"/>
      <c r="AE40" s="555"/>
      <c r="AG40" s="142"/>
      <c r="AH40" s="556"/>
      <c r="AI40" s="454"/>
      <c r="AJ40" s="454"/>
      <c r="AK40" s="454"/>
      <c r="AL40" s="454"/>
      <c r="AM40" s="454"/>
      <c r="AN40" s="455"/>
      <c r="AO40" s="554" t="s">
        <v>80</v>
      </c>
      <c r="AP40" s="554"/>
      <c r="AQ40" s="554"/>
      <c r="AR40" s="554"/>
      <c r="AS40" s="554"/>
      <c r="AT40" s="554"/>
      <c r="AU40" s="555"/>
      <c r="AW40" s="142"/>
      <c r="AX40" s="556"/>
      <c r="AY40" s="454"/>
      <c r="AZ40" s="454"/>
      <c r="BA40" s="454"/>
      <c r="BB40" s="454"/>
      <c r="BC40" s="454"/>
      <c r="BD40" s="455"/>
      <c r="BE40" s="554" t="s">
        <v>80</v>
      </c>
      <c r="BF40" s="554"/>
      <c r="BG40" s="554"/>
      <c r="BH40" s="554"/>
      <c r="BI40" s="554"/>
      <c r="BJ40" s="554"/>
      <c r="BK40" s="555"/>
    </row>
    <row r="41" spans="1:63" ht="16.350000000000001" customHeight="1" thickBot="1" x14ac:dyDescent="0.3">
      <c r="A41" s="142"/>
      <c r="B41" s="557"/>
      <c r="C41" s="558"/>
      <c r="D41" s="558"/>
      <c r="E41" s="558"/>
      <c r="F41" s="558"/>
      <c r="G41" s="558"/>
      <c r="H41" s="559"/>
      <c r="I41" s="560"/>
      <c r="J41" s="560"/>
      <c r="K41" s="560"/>
      <c r="L41" s="560"/>
      <c r="M41" s="560"/>
      <c r="N41" s="560"/>
      <c r="O41" s="561"/>
      <c r="Q41" s="142"/>
      <c r="R41" s="557"/>
      <c r="S41" s="558"/>
      <c r="T41" s="558"/>
      <c r="U41" s="558"/>
      <c r="V41" s="558"/>
      <c r="W41" s="558"/>
      <c r="X41" s="559"/>
      <c r="Y41" s="560"/>
      <c r="Z41" s="560"/>
      <c r="AA41" s="560"/>
      <c r="AB41" s="560"/>
      <c r="AC41" s="560"/>
      <c r="AD41" s="560"/>
      <c r="AE41" s="561"/>
      <c r="AG41" s="142"/>
      <c r="AH41" s="557"/>
      <c r="AI41" s="558"/>
      <c r="AJ41" s="558"/>
      <c r="AK41" s="558"/>
      <c r="AL41" s="558"/>
      <c r="AM41" s="558"/>
      <c r="AN41" s="559"/>
      <c r="AO41" s="560"/>
      <c r="AP41" s="560"/>
      <c r="AQ41" s="560"/>
      <c r="AR41" s="560"/>
      <c r="AS41" s="560"/>
      <c r="AT41" s="560"/>
      <c r="AU41" s="561"/>
      <c r="AW41" s="142"/>
      <c r="AX41" s="557"/>
      <c r="AY41" s="558"/>
      <c r="AZ41" s="558"/>
      <c r="BA41" s="558"/>
      <c r="BB41" s="558"/>
      <c r="BC41" s="558"/>
      <c r="BD41" s="559"/>
      <c r="BE41" s="560"/>
      <c r="BF41" s="560"/>
      <c r="BG41" s="560"/>
      <c r="BH41" s="560"/>
      <c r="BI41" s="560"/>
      <c r="BJ41" s="560"/>
      <c r="BK41" s="561"/>
    </row>
    <row r="42" spans="1:63" ht="16.350000000000001" customHeight="1" thickTop="1" thickBot="1" x14ac:dyDescent="0.3">
      <c r="A42" s="143"/>
      <c r="B42" s="157"/>
      <c r="C42" s="564"/>
      <c r="D42" s="564"/>
      <c r="E42" s="564"/>
      <c r="F42" s="564"/>
      <c r="G42" s="564"/>
      <c r="H42" s="41"/>
      <c r="I42" s="42"/>
      <c r="J42" s="42"/>
      <c r="K42" s="42"/>
      <c r="L42" s="42"/>
      <c r="M42" s="113"/>
      <c r="N42" s="163"/>
      <c r="O42" s="164"/>
      <c r="P42" s="69"/>
      <c r="Q42" s="143"/>
      <c r="R42" s="41"/>
      <c r="S42" s="564"/>
      <c r="T42" s="564"/>
      <c r="U42" s="564"/>
      <c r="V42" s="564"/>
      <c r="W42" s="564"/>
      <c r="X42" s="41"/>
      <c r="Y42" s="42"/>
      <c r="Z42" s="42"/>
      <c r="AA42" s="42"/>
      <c r="AB42" s="42"/>
      <c r="AC42" s="113"/>
      <c r="AD42" s="113"/>
      <c r="AE42" s="114"/>
      <c r="AG42" s="143"/>
      <c r="AH42" s="41"/>
      <c r="AI42" s="564"/>
      <c r="AJ42" s="564"/>
      <c r="AK42" s="564"/>
      <c r="AL42" s="564"/>
      <c r="AM42" s="564"/>
      <c r="AN42" s="41"/>
      <c r="AO42" s="42"/>
      <c r="AP42" s="42"/>
      <c r="AQ42" s="42"/>
      <c r="AR42" s="42"/>
      <c r="AS42" s="113"/>
      <c r="AT42" s="113"/>
      <c r="AU42" s="114"/>
      <c r="AW42" s="143"/>
      <c r="AX42" s="41"/>
      <c r="AY42" s="564"/>
      <c r="AZ42" s="564"/>
      <c r="BA42" s="564"/>
      <c r="BB42" s="564"/>
      <c r="BC42" s="564"/>
      <c r="BD42" s="41"/>
      <c r="BE42" s="42"/>
      <c r="BF42" s="42"/>
      <c r="BG42" s="42"/>
      <c r="BH42" s="42"/>
      <c r="BI42" s="113"/>
      <c r="BJ42" s="113"/>
      <c r="BK42" s="114"/>
    </row>
    <row r="43" spans="1:63" ht="17.25" thickTop="1" thickBot="1" x14ac:dyDescent="0.3">
      <c r="D43" s="65"/>
      <c r="E43" s="65"/>
      <c r="T43" s="65"/>
      <c r="U43" s="65"/>
      <c r="AJ43" s="65"/>
      <c r="AK43" s="65"/>
      <c r="AZ43" s="65"/>
      <c r="BA43" s="65"/>
    </row>
    <row r="44" spans="1:63" ht="24.95" customHeight="1" thickTop="1" x14ac:dyDescent="0.25">
      <c r="A44" s="565" t="s">
        <v>81</v>
      </c>
      <c r="B44" s="566"/>
      <c r="C44" s="566"/>
      <c r="D44" s="430" t="str">
        <f>ادخال1!$N$4</f>
        <v>الرابع</v>
      </c>
      <c r="E44" s="430"/>
      <c r="F44" s="567" t="s">
        <v>82</v>
      </c>
      <c r="G44" s="567"/>
      <c r="H44" s="567"/>
      <c r="I44" s="13"/>
      <c r="J44" s="13"/>
      <c r="K44" s="13"/>
      <c r="L44" s="13"/>
      <c r="M44" s="106"/>
      <c r="N44" s="106"/>
      <c r="O44" s="107">
        <f>O1+1</f>
        <v>2</v>
      </c>
      <c r="Q44" s="565" t="s">
        <v>81</v>
      </c>
      <c r="R44" s="566"/>
      <c r="S44" s="566"/>
      <c r="T44" s="430" t="str">
        <f>ادخال1!$N$4</f>
        <v>الرابع</v>
      </c>
      <c r="U44" s="430"/>
      <c r="V44" s="567" t="s">
        <v>82</v>
      </c>
      <c r="W44" s="567"/>
      <c r="X44" s="567"/>
      <c r="Y44" s="13"/>
      <c r="Z44" s="13"/>
      <c r="AA44" s="13"/>
      <c r="AB44" s="13"/>
      <c r="AC44" s="106"/>
      <c r="AD44" s="106"/>
      <c r="AE44" s="107">
        <f>AE1+1</f>
        <v>7</v>
      </c>
      <c r="AG44" s="565" t="s">
        <v>81</v>
      </c>
      <c r="AH44" s="566"/>
      <c r="AI44" s="566"/>
      <c r="AJ44" s="430" t="str">
        <f>ادخال1!$N$4</f>
        <v>الرابع</v>
      </c>
      <c r="AK44" s="430"/>
      <c r="AL44" s="567" t="s">
        <v>82</v>
      </c>
      <c r="AM44" s="567"/>
      <c r="AN44" s="567"/>
      <c r="AO44" s="13"/>
      <c r="AP44" s="13"/>
      <c r="AQ44" s="13"/>
      <c r="AR44" s="13"/>
      <c r="AS44" s="106"/>
      <c r="AT44" s="106"/>
      <c r="AU44" s="107">
        <f>AU1+1</f>
        <v>12</v>
      </c>
      <c r="AW44" s="565" t="s">
        <v>81</v>
      </c>
      <c r="AX44" s="566"/>
      <c r="AY44" s="566"/>
      <c r="AZ44" s="430" t="str">
        <f>ادخال1!$N$4</f>
        <v>الرابع</v>
      </c>
      <c r="BA44" s="430"/>
      <c r="BB44" s="567" t="s">
        <v>82</v>
      </c>
      <c r="BC44" s="567"/>
      <c r="BD44" s="567"/>
      <c r="BE44" s="13"/>
      <c r="BF44" s="13"/>
      <c r="BG44" s="13"/>
      <c r="BH44" s="13"/>
      <c r="BI44" s="106"/>
      <c r="BJ44" s="106"/>
      <c r="BK44" s="107">
        <f>BK1+1</f>
        <v>17</v>
      </c>
    </row>
    <row r="45" spans="1:63" ht="24.95" customHeight="1" thickBot="1" x14ac:dyDescent="0.3">
      <c r="A45" s="273" t="s">
        <v>153</v>
      </c>
      <c r="B45" s="576" t="str">
        <f>ادخال1!$B$5</f>
        <v xml:space="preserve">سهول العلم للتعليم الخاص </v>
      </c>
      <c r="C45" s="576"/>
      <c r="D45" s="576"/>
      <c r="E45" s="576"/>
      <c r="F45" s="576"/>
      <c r="G45" s="576"/>
      <c r="H45" s="491" t="s">
        <v>9</v>
      </c>
      <c r="I45" s="491"/>
      <c r="J45" s="492">
        <f>M60</f>
        <v>0</v>
      </c>
      <c r="K45" s="492"/>
      <c r="L45" s="492"/>
      <c r="M45" s="492"/>
      <c r="N45" s="492"/>
      <c r="O45" s="158"/>
      <c r="Q45" s="273" t="s">
        <v>153</v>
      </c>
      <c r="R45" s="576" t="str">
        <f>ادخال1!$B$5</f>
        <v xml:space="preserve">سهول العلم للتعليم الخاص </v>
      </c>
      <c r="S45" s="576"/>
      <c r="T45" s="576"/>
      <c r="U45" s="576"/>
      <c r="V45" s="576"/>
      <c r="W45" s="576"/>
      <c r="X45" s="491" t="s">
        <v>9</v>
      </c>
      <c r="Y45" s="491"/>
      <c r="Z45" s="492">
        <f>AC60</f>
        <v>0</v>
      </c>
      <c r="AA45" s="492"/>
      <c r="AB45" s="492"/>
      <c r="AC45" s="492"/>
      <c r="AD45" s="492"/>
      <c r="AE45" s="158"/>
      <c r="AG45" s="273" t="s">
        <v>153</v>
      </c>
      <c r="AH45" s="576" t="str">
        <f>ادخال1!$B$5</f>
        <v xml:space="preserve">سهول العلم للتعليم الخاص </v>
      </c>
      <c r="AI45" s="576"/>
      <c r="AJ45" s="576"/>
      <c r="AK45" s="576"/>
      <c r="AL45" s="576"/>
      <c r="AM45" s="576"/>
      <c r="AN45" s="491" t="s">
        <v>9</v>
      </c>
      <c r="AO45" s="491"/>
      <c r="AP45" s="492">
        <f>AS60</f>
        <v>0</v>
      </c>
      <c r="AQ45" s="492"/>
      <c r="AR45" s="492"/>
      <c r="AS45" s="492"/>
      <c r="AT45" s="492"/>
      <c r="AU45" s="158"/>
      <c r="AW45" s="273" t="s">
        <v>153</v>
      </c>
      <c r="AX45" s="576" t="str">
        <f>ادخال1!$B$5</f>
        <v xml:space="preserve">سهول العلم للتعليم الخاص </v>
      </c>
      <c r="AY45" s="576"/>
      <c r="AZ45" s="576"/>
      <c r="BA45" s="576"/>
      <c r="BB45" s="576"/>
      <c r="BC45" s="576"/>
      <c r="BD45" s="491" t="s">
        <v>9</v>
      </c>
      <c r="BE45" s="491"/>
      <c r="BF45" s="492">
        <f>BI60</f>
        <v>0</v>
      </c>
      <c r="BG45" s="492"/>
      <c r="BH45" s="492"/>
      <c r="BI45" s="492"/>
      <c r="BJ45" s="492"/>
      <c r="BK45" s="158"/>
    </row>
    <row r="46" spans="1:63" ht="18.600000000000001" customHeight="1" thickBot="1" x14ac:dyDescent="0.3">
      <c r="A46" s="135" t="s">
        <v>46</v>
      </c>
      <c r="B46" s="493" t="s">
        <v>12</v>
      </c>
      <c r="C46" s="495" t="s">
        <v>47</v>
      </c>
      <c r="D46" s="496"/>
      <c r="E46" s="497" t="s">
        <v>48</v>
      </c>
      <c r="F46" s="497"/>
      <c r="G46" s="498" t="s">
        <v>49</v>
      </c>
      <c r="H46" s="499"/>
      <c r="I46" s="500" t="s">
        <v>50</v>
      </c>
      <c r="J46" s="501"/>
      <c r="K46" s="502"/>
      <c r="L46" s="28"/>
      <c r="M46" s="503" t="s">
        <v>51</v>
      </c>
      <c r="N46" s="504"/>
      <c r="O46" s="505"/>
      <c r="Q46" s="135" t="s">
        <v>46</v>
      </c>
      <c r="R46" s="493" t="s">
        <v>12</v>
      </c>
      <c r="S46" s="495" t="s">
        <v>47</v>
      </c>
      <c r="T46" s="496"/>
      <c r="U46" s="497" t="s">
        <v>48</v>
      </c>
      <c r="V46" s="497"/>
      <c r="W46" s="498" t="s">
        <v>49</v>
      </c>
      <c r="X46" s="499"/>
      <c r="Y46" s="500" t="s">
        <v>50</v>
      </c>
      <c r="Z46" s="501"/>
      <c r="AA46" s="502"/>
      <c r="AB46" s="28"/>
      <c r="AC46" s="503" t="s">
        <v>51</v>
      </c>
      <c r="AD46" s="504"/>
      <c r="AE46" s="505"/>
      <c r="AG46" s="135" t="s">
        <v>46</v>
      </c>
      <c r="AH46" s="493" t="s">
        <v>12</v>
      </c>
      <c r="AI46" s="495" t="s">
        <v>47</v>
      </c>
      <c r="AJ46" s="496"/>
      <c r="AK46" s="497" t="s">
        <v>48</v>
      </c>
      <c r="AL46" s="497"/>
      <c r="AM46" s="498" t="s">
        <v>49</v>
      </c>
      <c r="AN46" s="499"/>
      <c r="AO46" s="500" t="s">
        <v>50</v>
      </c>
      <c r="AP46" s="501"/>
      <c r="AQ46" s="502"/>
      <c r="AR46" s="28"/>
      <c r="AS46" s="503" t="s">
        <v>51</v>
      </c>
      <c r="AT46" s="504"/>
      <c r="AU46" s="505"/>
      <c r="AW46" s="135" t="s">
        <v>46</v>
      </c>
      <c r="AX46" s="493" t="s">
        <v>12</v>
      </c>
      <c r="AY46" s="495" t="s">
        <v>47</v>
      </c>
      <c r="AZ46" s="496"/>
      <c r="BA46" s="497" t="s">
        <v>48</v>
      </c>
      <c r="BB46" s="497"/>
      <c r="BC46" s="498" t="s">
        <v>49</v>
      </c>
      <c r="BD46" s="499"/>
      <c r="BE46" s="500" t="s">
        <v>50</v>
      </c>
      <c r="BF46" s="501"/>
      <c r="BG46" s="502"/>
      <c r="BH46" s="28"/>
      <c r="BI46" s="503" t="s">
        <v>51</v>
      </c>
      <c r="BJ46" s="504"/>
      <c r="BK46" s="505"/>
    </row>
    <row r="47" spans="1:63" ht="24.95" customHeight="1" x14ac:dyDescent="0.25">
      <c r="A47" s="60" t="s">
        <v>2</v>
      </c>
      <c r="B47" s="494"/>
      <c r="C47" s="55" t="s">
        <v>52</v>
      </c>
      <c r="D47" s="56" t="s">
        <v>53</v>
      </c>
      <c r="E47" s="57" t="s">
        <v>52</v>
      </c>
      <c r="F47" s="58" t="s">
        <v>53</v>
      </c>
      <c r="G47" s="55" t="s">
        <v>52</v>
      </c>
      <c r="H47" s="56" t="s">
        <v>53</v>
      </c>
      <c r="I47" s="55" t="s">
        <v>54</v>
      </c>
      <c r="J47" s="59" t="s">
        <v>55</v>
      </c>
      <c r="K47" s="56" t="s">
        <v>53</v>
      </c>
      <c r="L47" s="12"/>
      <c r="M47" s="122" t="s">
        <v>110</v>
      </c>
      <c r="N47" s="489" t="str">
        <f>IF(D56=0,"",IF(AND(D48&gt;=C48*0.4,D49&gt;=C49*0.4,D51&gt;=C51*0.4,D53&gt;=C53*0.4,D54&gt;=C54*0.4),LOOKUP(D56,$BO$18:$BP$22),"ضعيف ويحتاج الى اهتمام في المواد"))</f>
        <v>ممتاز</v>
      </c>
      <c r="O47" s="490"/>
      <c r="Q47" s="60" t="s">
        <v>2</v>
      </c>
      <c r="R47" s="494"/>
      <c r="S47" s="55" t="s">
        <v>52</v>
      </c>
      <c r="T47" s="56" t="s">
        <v>53</v>
      </c>
      <c r="U47" s="57" t="s">
        <v>52</v>
      </c>
      <c r="V47" s="58" t="s">
        <v>53</v>
      </c>
      <c r="W47" s="55" t="s">
        <v>52</v>
      </c>
      <c r="X47" s="56" t="s">
        <v>53</v>
      </c>
      <c r="Y47" s="55" t="s">
        <v>54</v>
      </c>
      <c r="Z47" s="59" t="s">
        <v>55</v>
      </c>
      <c r="AA47" s="56" t="s">
        <v>53</v>
      </c>
      <c r="AB47" s="12"/>
      <c r="AC47" s="122" t="s">
        <v>110</v>
      </c>
      <c r="AD47" s="489" t="str">
        <f>IF(T56=0,"",IF(AND(T48&gt;=S48*0.4,T49&gt;=S49*0.4,T51&gt;=S51*0.4,T53&gt;=S53*0.4,T54&gt;=S54*0.4),LOOKUP(T56,$BO$18:$BP$22),"ضعيف ويحتاج الى اهتمام في المواد"))</f>
        <v>جيدجداً</v>
      </c>
      <c r="AE47" s="490"/>
      <c r="AG47" s="60" t="s">
        <v>2</v>
      </c>
      <c r="AH47" s="494"/>
      <c r="AI47" s="55" t="s">
        <v>52</v>
      </c>
      <c r="AJ47" s="56" t="s">
        <v>53</v>
      </c>
      <c r="AK47" s="57" t="s">
        <v>52</v>
      </c>
      <c r="AL47" s="58" t="s">
        <v>53</v>
      </c>
      <c r="AM47" s="55" t="s">
        <v>52</v>
      </c>
      <c r="AN47" s="56" t="s">
        <v>53</v>
      </c>
      <c r="AO47" s="55" t="s">
        <v>54</v>
      </c>
      <c r="AP47" s="59" t="s">
        <v>55</v>
      </c>
      <c r="AQ47" s="56" t="s">
        <v>53</v>
      </c>
      <c r="AR47" s="12"/>
      <c r="AS47" s="122" t="s">
        <v>110</v>
      </c>
      <c r="AT47" s="489" t="str">
        <f>IF(AJ56=0,"",IF(AND(AJ48&gt;=AI48*0.4,AJ49&gt;=AI49*0.4,AJ51&gt;=AI51*0.4,AJ53&gt;=AI53*0.4,AJ54&gt;=AI54*0.4),LOOKUP(AJ56,$BO$18:$BP$22),"ضعيف ويحتاج الى اهتمام في المواد"))</f>
        <v>ممتاز</v>
      </c>
      <c r="AU47" s="490"/>
      <c r="AW47" s="60" t="s">
        <v>2</v>
      </c>
      <c r="AX47" s="494"/>
      <c r="AY47" s="55" t="s">
        <v>52</v>
      </c>
      <c r="AZ47" s="56" t="s">
        <v>53</v>
      </c>
      <c r="BA47" s="57" t="s">
        <v>52</v>
      </c>
      <c r="BB47" s="58" t="s">
        <v>53</v>
      </c>
      <c r="BC47" s="55" t="s">
        <v>52</v>
      </c>
      <c r="BD47" s="56" t="s">
        <v>53</v>
      </c>
      <c r="BE47" s="55" t="s">
        <v>54</v>
      </c>
      <c r="BF47" s="59" t="s">
        <v>55</v>
      </c>
      <c r="BG47" s="56" t="s">
        <v>53</v>
      </c>
      <c r="BH47" s="12"/>
      <c r="BI47" s="122" t="s">
        <v>110</v>
      </c>
      <c r="BJ47" s="489" t="str">
        <f>IF(AZ56=0,"",IF(AND(AZ48&gt;=AY48*0.4,AZ49&gt;=AY49*0.4,AZ51&gt;=AY51*0.4,AZ53&gt;=AY53*0.4,AZ54&gt;=AY54*0.4),LOOKUP(AZ56,$BO$18:$BP$22),"ضعيف ويحتاج الى اهتمام في المواد"))</f>
        <v>ممتاز</v>
      </c>
      <c r="BK47" s="490"/>
    </row>
    <row r="48" spans="1:63" ht="25.15" customHeight="1" x14ac:dyDescent="0.25">
      <c r="A48" s="118" t="str">
        <f>ادخال1!$F$9</f>
        <v>التربية الإسلامية</v>
      </c>
      <c r="B48" s="148">
        <f>ادخال1!$F$7</f>
        <v>3</v>
      </c>
      <c r="C48" s="45">
        <f t="shared" ref="C48:C50" si="30">40*B48*0.3</f>
        <v>36</v>
      </c>
      <c r="D48" s="2">
        <f xml:space="preserve"> IFERROR(VLOOKUP(M62,اسماء,5,0),"")</f>
        <v>36</v>
      </c>
      <c r="E48" s="47">
        <f t="shared" ref="E48:E50" si="31">40*B48*0.3</f>
        <v>36</v>
      </c>
      <c r="F48" s="2">
        <f>IFERROR(VLOOKUP(M62,اسماء,18,0),"")</f>
        <v>0</v>
      </c>
      <c r="G48" s="45">
        <f t="shared" ref="G48:G50" si="32">40*B48*0.4</f>
        <v>48</v>
      </c>
      <c r="H48" s="2">
        <f>IFERROR(VLOOKUP(M62,اسماء,31,0),"")</f>
        <v>0</v>
      </c>
      <c r="I48" s="45">
        <f t="shared" ref="I48:I50" si="33">SUM(C48,E48,G48)</f>
        <v>120</v>
      </c>
      <c r="J48" s="48">
        <f t="shared" ref="J48:J50" si="34">0.4*I48</f>
        <v>48</v>
      </c>
      <c r="K48" s="2">
        <f t="shared" ref="K48:K50" si="35">SUM(D48,F48,H48)</f>
        <v>36</v>
      </c>
      <c r="L48" s="20"/>
      <c r="M48" s="109" t="str">
        <f>IF(D48=0,"",IF(D48&lt;C48*0.4,A48,""))</f>
        <v/>
      </c>
      <c r="N48" s="159" t="str">
        <f>IF(D49=0,"",IF(D49&lt;C49*0.4,A49,""))</f>
        <v/>
      </c>
      <c r="O48" s="160" t="str">
        <f>IF(D50=0,"",IF(D50&lt;C50*0.4,A50,""))</f>
        <v/>
      </c>
      <c r="Q48" s="118" t="str">
        <f>ادخال1!$F$9</f>
        <v>التربية الإسلامية</v>
      </c>
      <c r="R48" s="148">
        <f>ادخال1!$F$7</f>
        <v>3</v>
      </c>
      <c r="S48" s="45">
        <f t="shared" ref="S48:S50" si="36">40*R48*0.3</f>
        <v>36</v>
      </c>
      <c r="T48" s="2">
        <f xml:space="preserve"> IFERROR(VLOOKUP(AC62,اسماء,5,0),"")</f>
        <v>36</v>
      </c>
      <c r="U48" s="47">
        <f t="shared" ref="U48:U50" si="37">40*R48*0.3</f>
        <v>36</v>
      </c>
      <c r="V48" s="2">
        <f>IFERROR(VLOOKUP(AC62,اسماء,18,0),"")</f>
        <v>0</v>
      </c>
      <c r="W48" s="45">
        <f t="shared" ref="W48:W50" si="38">40*R48*0.4</f>
        <v>48</v>
      </c>
      <c r="X48" s="2">
        <f>IFERROR(VLOOKUP(AC62,اسماء,31,0),"")</f>
        <v>0</v>
      </c>
      <c r="Y48" s="45">
        <f t="shared" ref="Y48:Y50" si="39">SUM(S48,U48,W48)</f>
        <v>120</v>
      </c>
      <c r="Z48" s="48">
        <f t="shared" ref="Z48:Z50" si="40">0.4*Y48</f>
        <v>48</v>
      </c>
      <c r="AA48" s="2">
        <f t="shared" ref="AA48:AA50" si="41">SUM(T48,V48,X48)</f>
        <v>36</v>
      </c>
      <c r="AB48" s="20"/>
      <c r="AC48" s="109" t="str">
        <f>IF(T48=0,"",IF(T48&lt;S48*0.4,Q48,""))</f>
        <v/>
      </c>
      <c r="AD48" s="159" t="str">
        <f>IF(T49=0,"",IF(T49&lt;S49*0.4,Q49,""))</f>
        <v/>
      </c>
      <c r="AE48" s="160" t="str">
        <f>IF(T50=0,"",IF(T50&lt;S50*0.4,Q50,""))</f>
        <v/>
      </c>
      <c r="AG48" s="118" t="str">
        <f>ادخال1!$F$9</f>
        <v>التربية الإسلامية</v>
      </c>
      <c r="AH48" s="148">
        <f>ادخال1!$F$7</f>
        <v>3</v>
      </c>
      <c r="AI48" s="45">
        <f t="shared" ref="AI48:AI50" si="42">40*AH48*0.3</f>
        <v>36</v>
      </c>
      <c r="AJ48" s="2">
        <f xml:space="preserve"> IFERROR(VLOOKUP(AS62,اسماء,5,0),"")</f>
        <v>35</v>
      </c>
      <c r="AK48" s="47">
        <f t="shared" ref="AK48:AK50" si="43">40*AH48*0.3</f>
        <v>36</v>
      </c>
      <c r="AL48" s="2">
        <f>IFERROR(VLOOKUP(AS62,اسماء,18,0),"")</f>
        <v>0</v>
      </c>
      <c r="AM48" s="45">
        <f t="shared" ref="AM48:AM50" si="44">40*AH48*0.4</f>
        <v>48</v>
      </c>
      <c r="AN48" s="2">
        <f>IFERROR(VLOOKUP(AS62,اسماء,31,0),"")</f>
        <v>0</v>
      </c>
      <c r="AO48" s="45">
        <f t="shared" ref="AO48:AO50" si="45">SUM(AI48,AK48,AM48)</f>
        <v>120</v>
      </c>
      <c r="AP48" s="48">
        <f t="shared" ref="AP48:AP50" si="46">0.4*AO48</f>
        <v>48</v>
      </c>
      <c r="AQ48" s="2">
        <f t="shared" ref="AQ48:AQ50" si="47">SUM(AJ48,AL48,AN48)</f>
        <v>35</v>
      </c>
      <c r="AR48" s="20"/>
      <c r="AS48" s="109" t="str">
        <f>IF(AJ48=0,"",IF(AJ48&lt;AI48*0.4,AG48,""))</f>
        <v/>
      </c>
      <c r="AT48" s="159" t="str">
        <f>IF(AJ49=0,"",IF(AJ49&lt;AI49*0.4,AG49,""))</f>
        <v/>
      </c>
      <c r="AU48" s="160" t="str">
        <f>IF(AJ50=0,"",IF(AJ50&lt;AI50*0.4,AG50,""))</f>
        <v/>
      </c>
      <c r="AW48" s="118" t="str">
        <f>ادخال1!$F$9</f>
        <v>التربية الإسلامية</v>
      </c>
      <c r="AX48" s="148">
        <f>ادخال1!$F$7</f>
        <v>3</v>
      </c>
      <c r="AY48" s="45">
        <f t="shared" ref="AY48:AY50" si="48">40*AX48*0.3</f>
        <v>36</v>
      </c>
      <c r="AZ48" s="2">
        <f xml:space="preserve"> IFERROR(VLOOKUP(BI62,اسماء,5,0),"")</f>
        <v>36</v>
      </c>
      <c r="BA48" s="47">
        <f t="shared" ref="BA48:BA50" si="49">40*AX48*0.3</f>
        <v>36</v>
      </c>
      <c r="BB48" s="2">
        <f>IFERROR(VLOOKUP(BI62,اسماء,18,0),"")</f>
        <v>0</v>
      </c>
      <c r="BC48" s="45">
        <f t="shared" ref="BC48:BC50" si="50">40*AX48*0.4</f>
        <v>48</v>
      </c>
      <c r="BD48" s="2">
        <f>IFERROR(VLOOKUP(BI62,اسماء,31,0),"")</f>
        <v>0</v>
      </c>
      <c r="BE48" s="45">
        <f t="shared" ref="BE48:BE50" si="51">SUM(AY48,BA48,BC48)</f>
        <v>120</v>
      </c>
      <c r="BF48" s="48">
        <f t="shared" ref="BF48:BF50" si="52">0.4*BE48</f>
        <v>48</v>
      </c>
      <c r="BG48" s="2">
        <f t="shared" ref="BG48:BG50" si="53">SUM(AZ48,BB48,BD48)</f>
        <v>36</v>
      </c>
      <c r="BH48" s="20"/>
      <c r="BI48" s="109" t="str">
        <f>IF(AZ48=0,"",IF(AZ48&lt;AY48*0.4,AW48,""))</f>
        <v/>
      </c>
      <c r="BJ48" s="159" t="str">
        <f>IF(AZ49=0,"",IF(AZ49&lt;AY49*0.4,AW49,""))</f>
        <v/>
      </c>
      <c r="BK48" s="160" t="str">
        <f>IF(AZ50=0,"",IF(AZ50&lt;AY50*0.4,AW50,""))</f>
        <v/>
      </c>
    </row>
    <row r="49" spans="1:64" ht="25.15" customHeight="1" x14ac:dyDescent="0.25">
      <c r="A49" s="136" t="str">
        <f>ادخال1!$G$9</f>
        <v>اللغة العربية</v>
      </c>
      <c r="B49" s="149">
        <f>ادخال1!$G$7</f>
        <v>4</v>
      </c>
      <c r="C49" s="45">
        <f t="shared" si="30"/>
        <v>48</v>
      </c>
      <c r="D49" s="2">
        <f>IFERROR(VLOOKUP(M62,اسماء,6,0),"")</f>
        <v>48</v>
      </c>
      <c r="E49" s="47">
        <f t="shared" si="31"/>
        <v>48</v>
      </c>
      <c r="F49" s="2">
        <f>IFERROR(VLOOKUP(M62,اسماء,19,0),"")</f>
        <v>0</v>
      </c>
      <c r="G49" s="45">
        <f t="shared" si="32"/>
        <v>64</v>
      </c>
      <c r="H49" s="2">
        <f>IFERROR(VLOOKUP(M62,اسماء,32,0),"")</f>
        <v>0</v>
      </c>
      <c r="I49" s="45">
        <f t="shared" si="33"/>
        <v>160</v>
      </c>
      <c r="J49" s="48">
        <f t="shared" si="34"/>
        <v>64</v>
      </c>
      <c r="K49" s="2">
        <f t="shared" si="35"/>
        <v>48</v>
      </c>
      <c r="L49" s="20"/>
      <c r="M49" s="109" t="str">
        <f>IF(D51=0,"",IF(D51&lt;C51*0.4,A51,""))</f>
        <v/>
      </c>
      <c r="N49" s="159" t="str">
        <f>IF(D52=0,"",IF(D52&lt;C52*0.4,A52,""))</f>
        <v/>
      </c>
      <c r="O49" s="160" t="str">
        <f>IF(D53=0,"",IF(D53&lt;C53*0.4,A53,""))</f>
        <v/>
      </c>
      <c r="Q49" s="136" t="str">
        <f>ادخال1!$G$9</f>
        <v>اللغة العربية</v>
      </c>
      <c r="R49" s="149">
        <f>ادخال1!$G$7</f>
        <v>4</v>
      </c>
      <c r="S49" s="45">
        <f t="shared" si="36"/>
        <v>48</v>
      </c>
      <c r="T49" s="2">
        <f>IFERROR(VLOOKUP(AC62,اسماء,6,0),"")</f>
        <v>35</v>
      </c>
      <c r="U49" s="47">
        <f t="shared" si="37"/>
        <v>48</v>
      </c>
      <c r="V49" s="2">
        <f>IFERROR(VLOOKUP(AC62,اسماء,19,0),"")</f>
        <v>0</v>
      </c>
      <c r="W49" s="45">
        <f t="shared" si="38"/>
        <v>64</v>
      </c>
      <c r="X49" s="2">
        <f>IFERROR(VLOOKUP(AC62,اسماء,32,0),"")</f>
        <v>0</v>
      </c>
      <c r="Y49" s="45">
        <f t="shared" si="39"/>
        <v>160</v>
      </c>
      <c r="Z49" s="48">
        <f t="shared" si="40"/>
        <v>64</v>
      </c>
      <c r="AA49" s="2">
        <f t="shared" si="41"/>
        <v>35</v>
      </c>
      <c r="AB49" s="20"/>
      <c r="AC49" s="109" t="str">
        <f>IF(T51=0,"",IF(T51&lt;S51*0.4,Q51,""))</f>
        <v/>
      </c>
      <c r="AD49" s="159" t="str">
        <f>IF(T52=0,"",IF(T52&lt;S52*0.4,Q52,""))</f>
        <v/>
      </c>
      <c r="AE49" s="160" t="str">
        <f>IF(T53=0,"",IF(T53&lt;S53*0.4,Q53,""))</f>
        <v/>
      </c>
      <c r="AG49" s="136" t="str">
        <f>ادخال1!$G$9</f>
        <v>اللغة العربية</v>
      </c>
      <c r="AH49" s="149">
        <f>ادخال1!$G$7</f>
        <v>4</v>
      </c>
      <c r="AI49" s="45">
        <f t="shared" si="42"/>
        <v>48</v>
      </c>
      <c r="AJ49" s="2">
        <f>IFERROR(VLOOKUP(AS62,اسماء,6,0),"")</f>
        <v>46</v>
      </c>
      <c r="AK49" s="47">
        <f t="shared" si="43"/>
        <v>48</v>
      </c>
      <c r="AL49" s="2">
        <f>IFERROR(VLOOKUP(AS62,اسماء,19,0),"")</f>
        <v>0</v>
      </c>
      <c r="AM49" s="45">
        <f t="shared" si="44"/>
        <v>64</v>
      </c>
      <c r="AN49" s="2">
        <f>IFERROR(VLOOKUP(AS62,اسماء,32,0),"")</f>
        <v>0</v>
      </c>
      <c r="AO49" s="45">
        <f t="shared" si="45"/>
        <v>160</v>
      </c>
      <c r="AP49" s="48">
        <f t="shared" si="46"/>
        <v>64</v>
      </c>
      <c r="AQ49" s="2">
        <f t="shared" si="47"/>
        <v>46</v>
      </c>
      <c r="AR49" s="20"/>
      <c r="AS49" s="109" t="str">
        <f>IF(AJ51=0,"",IF(AJ51&lt;AI51*0.4,AG51,""))</f>
        <v/>
      </c>
      <c r="AT49" s="159" t="str">
        <f>IF(AJ52=0,"",IF(AJ52&lt;AI52*0.4,AG52,""))</f>
        <v/>
      </c>
      <c r="AU49" s="160" t="str">
        <f>IF(AJ53=0,"",IF(AJ53&lt;AI53*0.4,AG53,""))</f>
        <v/>
      </c>
      <c r="AW49" s="136" t="str">
        <f>ادخال1!$G$9</f>
        <v>اللغة العربية</v>
      </c>
      <c r="AX49" s="149">
        <f>ادخال1!$G$7</f>
        <v>4</v>
      </c>
      <c r="AY49" s="45">
        <f t="shared" si="48"/>
        <v>48</v>
      </c>
      <c r="AZ49" s="2">
        <f>IFERROR(VLOOKUP(BI62,اسماء,6,0),"")</f>
        <v>48</v>
      </c>
      <c r="BA49" s="47">
        <f t="shared" si="49"/>
        <v>48</v>
      </c>
      <c r="BB49" s="2">
        <f>IFERROR(VLOOKUP(BI62,اسماء,19,0),"")</f>
        <v>0</v>
      </c>
      <c r="BC49" s="45">
        <f t="shared" si="50"/>
        <v>64</v>
      </c>
      <c r="BD49" s="2">
        <f>IFERROR(VLOOKUP(BI62,اسماء,32,0),"")</f>
        <v>0</v>
      </c>
      <c r="BE49" s="45">
        <f t="shared" si="51"/>
        <v>160</v>
      </c>
      <c r="BF49" s="48">
        <f t="shared" si="52"/>
        <v>64</v>
      </c>
      <c r="BG49" s="2">
        <f t="shared" si="53"/>
        <v>48</v>
      </c>
      <c r="BH49" s="20"/>
      <c r="BI49" s="109" t="str">
        <f>IF(AZ51=0,"",IF(AZ51&lt;AY51*0.4,AW51,""))</f>
        <v/>
      </c>
      <c r="BJ49" s="159" t="str">
        <f>IF(AZ52=0,"",IF(AZ52&lt;AY52*0.4,AW52,""))</f>
        <v/>
      </c>
      <c r="BK49" s="160" t="str">
        <f>IF(AZ53=0,"",IF(AZ53&lt;AY53*0.4,AW53,""))</f>
        <v/>
      </c>
    </row>
    <row r="50" spans="1:64" ht="25.15" customHeight="1" thickBot="1" x14ac:dyDescent="0.3">
      <c r="A50" s="136" t="str">
        <f>ادخال1!$H$9</f>
        <v>الكتابة</v>
      </c>
      <c r="B50" s="149">
        <f>ادخال1!$H$7</f>
        <v>2</v>
      </c>
      <c r="C50" s="45">
        <f t="shared" si="30"/>
        <v>24</v>
      </c>
      <c r="D50" s="2">
        <f>IFERROR(VLOOKUP(M62,اسماء,7,0),"")</f>
        <v>23</v>
      </c>
      <c r="E50" s="47">
        <f t="shared" si="31"/>
        <v>24</v>
      </c>
      <c r="F50" s="2">
        <f>IFERROR(VLOOKUP(M62,اسماء,20,0),"")</f>
        <v>0</v>
      </c>
      <c r="G50" s="45">
        <f t="shared" si="32"/>
        <v>32</v>
      </c>
      <c r="H50" s="2">
        <f>IFERROR(VLOOKUP(M62,اسماء,33,0),"")</f>
        <v>0</v>
      </c>
      <c r="I50" s="45">
        <f t="shared" si="33"/>
        <v>80</v>
      </c>
      <c r="J50" s="48">
        <f t="shared" si="34"/>
        <v>32</v>
      </c>
      <c r="K50" s="2">
        <f t="shared" si="35"/>
        <v>23</v>
      </c>
      <c r="L50" s="20"/>
      <c r="M50" s="109" t="str">
        <f>IF(D54=0,"",IF(D54&lt;C54*0.4,A54,""))</f>
        <v/>
      </c>
      <c r="N50" s="109" t="str">
        <f>IF(D55=0,"",IF(D55&lt;C55*0.4,A55,""))</f>
        <v/>
      </c>
      <c r="O50" s="357"/>
      <c r="Q50" s="136" t="str">
        <f>ادخال1!$H$9</f>
        <v>الكتابة</v>
      </c>
      <c r="R50" s="149">
        <f>ادخال1!$H$7</f>
        <v>2</v>
      </c>
      <c r="S50" s="45">
        <f t="shared" si="36"/>
        <v>24</v>
      </c>
      <c r="T50" s="2">
        <f>IFERROR(VLOOKUP(AC62,اسماء,7,0),"")</f>
        <v>16</v>
      </c>
      <c r="U50" s="47">
        <f t="shared" si="37"/>
        <v>24</v>
      </c>
      <c r="V50" s="2">
        <f>IFERROR(VLOOKUP(AC62,اسماء,20,0),"")</f>
        <v>0</v>
      </c>
      <c r="W50" s="45">
        <f t="shared" si="38"/>
        <v>32</v>
      </c>
      <c r="X50" s="2">
        <f>IFERROR(VLOOKUP(AC62,اسماء,33,0),"")</f>
        <v>0</v>
      </c>
      <c r="Y50" s="45">
        <f t="shared" si="39"/>
        <v>80</v>
      </c>
      <c r="Z50" s="48">
        <f t="shared" si="40"/>
        <v>32</v>
      </c>
      <c r="AA50" s="2">
        <f t="shared" si="41"/>
        <v>16</v>
      </c>
      <c r="AB50" s="20"/>
      <c r="AC50" s="109" t="str">
        <f>IF(T54=0,"",IF(T54&lt;S54*0.4,Q54,""))</f>
        <v/>
      </c>
      <c r="AD50" s="109" t="str">
        <f>IF(T55=0,"",IF(T55&lt;S55*0.4,Q55,""))</f>
        <v/>
      </c>
      <c r="AE50" s="357"/>
      <c r="AG50" s="136" t="str">
        <f>ادخال1!$H$9</f>
        <v>الكتابة</v>
      </c>
      <c r="AH50" s="149">
        <f>ادخال1!$H$7</f>
        <v>2</v>
      </c>
      <c r="AI50" s="45">
        <f t="shared" si="42"/>
        <v>24</v>
      </c>
      <c r="AJ50" s="2">
        <f>IFERROR(VLOOKUP(AS62,اسماء,7,0),"")</f>
        <v>19</v>
      </c>
      <c r="AK50" s="47">
        <f t="shared" si="43"/>
        <v>24</v>
      </c>
      <c r="AL50" s="2">
        <f>IFERROR(VLOOKUP(AS62,اسماء,20,0),"")</f>
        <v>0</v>
      </c>
      <c r="AM50" s="45">
        <f t="shared" si="44"/>
        <v>32</v>
      </c>
      <c r="AN50" s="2">
        <f>IFERROR(VLOOKUP(AS62,اسماء,33,0),"")</f>
        <v>0</v>
      </c>
      <c r="AO50" s="45">
        <f t="shared" si="45"/>
        <v>80</v>
      </c>
      <c r="AP50" s="48">
        <f t="shared" si="46"/>
        <v>32</v>
      </c>
      <c r="AQ50" s="2">
        <f t="shared" si="47"/>
        <v>19</v>
      </c>
      <c r="AR50" s="20"/>
      <c r="AS50" s="109" t="str">
        <f>IF(AJ54=0,"",IF(AJ54&lt;AI54*0.4,AG54,""))</f>
        <v/>
      </c>
      <c r="AT50" s="109" t="str">
        <f>IF(AJ55=0,"",IF(AJ55&lt;AI55*0.4,AG55,""))</f>
        <v/>
      </c>
      <c r="AU50" s="357"/>
      <c r="AW50" s="136" t="str">
        <f>ادخال1!$H$9</f>
        <v>الكتابة</v>
      </c>
      <c r="AX50" s="149">
        <f>ادخال1!$H$7</f>
        <v>2</v>
      </c>
      <c r="AY50" s="45">
        <f t="shared" si="48"/>
        <v>24</v>
      </c>
      <c r="AZ50" s="2">
        <f>IFERROR(VLOOKUP(BI62,اسماء,7,0),"")</f>
        <v>23</v>
      </c>
      <c r="BA50" s="47">
        <f t="shared" si="49"/>
        <v>24</v>
      </c>
      <c r="BB50" s="2">
        <f>IFERROR(VLOOKUP(BI62,اسماء,20,0),"")</f>
        <v>0</v>
      </c>
      <c r="BC50" s="45">
        <f t="shared" si="50"/>
        <v>32</v>
      </c>
      <c r="BD50" s="2">
        <f>IFERROR(VLOOKUP(BI62,اسماء,33,0),"")</f>
        <v>0</v>
      </c>
      <c r="BE50" s="45">
        <f t="shared" si="51"/>
        <v>80</v>
      </c>
      <c r="BF50" s="48">
        <f t="shared" si="52"/>
        <v>32</v>
      </c>
      <c r="BG50" s="2">
        <f t="shared" si="53"/>
        <v>23</v>
      </c>
      <c r="BH50" s="20"/>
      <c r="BI50" s="109" t="str">
        <f>IF(AZ54=0,"",IF(AZ54&lt;AY54*0.4,AW54,""))</f>
        <v/>
      </c>
      <c r="BJ50" s="109" t="str">
        <f>IF(AZ55=0,"",IF(AZ55&lt;AY55*0.4,AW55,""))</f>
        <v/>
      </c>
      <c r="BK50" s="357"/>
    </row>
    <row r="51" spans="1:64" ht="25.15" customHeight="1" x14ac:dyDescent="0.25">
      <c r="A51" s="136" t="str">
        <f>ادخال1!$I$9</f>
        <v>اللغة الإنجليزية</v>
      </c>
      <c r="B51" s="149">
        <f>ادخال1!$I$7</f>
        <v>3</v>
      </c>
      <c r="C51" s="45">
        <f>40*B51*0.3</f>
        <v>36</v>
      </c>
      <c r="D51" s="2">
        <f>IFERROR(VLOOKUP(M62,اسماء,8,0),"")</f>
        <v>36</v>
      </c>
      <c r="E51" s="47">
        <f>40*B51*0.3</f>
        <v>36</v>
      </c>
      <c r="F51" s="2">
        <f>IFERROR(VLOOKUP(M62,اسماء,21,0),"")</f>
        <v>0</v>
      </c>
      <c r="G51" s="45">
        <f>40*B51*0.4</f>
        <v>48</v>
      </c>
      <c r="H51" s="2">
        <f>IFERROR(VLOOKUP(M62,اسماء,34,0),"")</f>
        <v>0</v>
      </c>
      <c r="I51" s="45">
        <f>SUM(C51,E51,G51)</f>
        <v>120</v>
      </c>
      <c r="J51" s="48">
        <f>0.4*I51</f>
        <v>48</v>
      </c>
      <c r="K51" s="2">
        <f>SUM(D51,F51,H51)</f>
        <v>36</v>
      </c>
      <c r="L51" s="20"/>
      <c r="M51" s="108" t="s">
        <v>83</v>
      </c>
      <c r="N51" s="489" t="str">
        <f>IF(F56=0,"",IF(AND(F48&gt;=E48*0.4,F49&gt;=E49*0.4,F51&gt;=E51*0.4,F53&gt;=E53*0.4,F54&gt;=E54*0.4),LOOKUP(F56,'الصحيفة النهائية'!$BO$18:$BP$22),"ضعيف ويحتاج الى اهتمام في المواد"))</f>
        <v/>
      </c>
      <c r="O51" s="490"/>
      <c r="Q51" s="136" t="str">
        <f>ادخال1!$I$9</f>
        <v>اللغة الإنجليزية</v>
      </c>
      <c r="R51" s="149">
        <f>ادخال1!$I$7</f>
        <v>3</v>
      </c>
      <c r="S51" s="45">
        <f>40*R51*0.3</f>
        <v>36</v>
      </c>
      <c r="T51" s="2">
        <f>IFERROR(VLOOKUP(AC62,اسماء,8,0),"")</f>
        <v>27</v>
      </c>
      <c r="U51" s="47">
        <f>40*R51*0.3</f>
        <v>36</v>
      </c>
      <c r="V51" s="2">
        <f>IFERROR(VLOOKUP(AC62,اسماء,21,0),"")</f>
        <v>0</v>
      </c>
      <c r="W51" s="45">
        <f>40*R51*0.4</f>
        <v>48</v>
      </c>
      <c r="X51" s="2">
        <f>IFERROR(VLOOKUP(AC62,اسماء,34,0),"")</f>
        <v>0</v>
      </c>
      <c r="Y51" s="45">
        <f>SUM(S51,U51,W51)</f>
        <v>120</v>
      </c>
      <c r="Z51" s="48">
        <f>0.4*Y51</f>
        <v>48</v>
      </c>
      <c r="AA51" s="2">
        <f>SUM(T51,V51,X51)</f>
        <v>27</v>
      </c>
      <c r="AB51" s="20"/>
      <c r="AC51" s="108" t="s">
        <v>83</v>
      </c>
      <c r="AD51" s="489" t="str">
        <f>IF(V56=0,"",IF(AND(V48&gt;=U48*0.4,V49&gt;=U49*0.4,V51&gt;=U51*0.4,V53&gt;=U53*0.4,V54&gt;=U54*0.4),LOOKUP(V56,'الصحيفة النهائية'!$BO$18:$BP$22),"ضعيف ويحتاج الى اهتمام في المواد"))</f>
        <v/>
      </c>
      <c r="AE51" s="490"/>
      <c r="AG51" s="136" t="str">
        <f>ادخال1!$I$9</f>
        <v>اللغة الإنجليزية</v>
      </c>
      <c r="AH51" s="149">
        <f>ادخال1!$I$7</f>
        <v>3</v>
      </c>
      <c r="AI51" s="45">
        <f>40*AH51*0.3</f>
        <v>36</v>
      </c>
      <c r="AJ51" s="2">
        <f>IFERROR(VLOOKUP(AS62,اسماء,8,0),"")</f>
        <v>30</v>
      </c>
      <c r="AK51" s="47">
        <f>40*AH51*0.3</f>
        <v>36</v>
      </c>
      <c r="AL51" s="2">
        <f>IFERROR(VLOOKUP(AS62,اسماء,21,0),"")</f>
        <v>0</v>
      </c>
      <c r="AM51" s="45">
        <f>40*AH51*0.4</f>
        <v>48</v>
      </c>
      <c r="AN51" s="2">
        <f>IFERROR(VLOOKUP(AS62,اسماء,34,0),"")</f>
        <v>0</v>
      </c>
      <c r="AO51" s="45">
        <f>SUM(AI51,AK51,AM51)</f>
        <v>120</v>
      </c>
      <c r="AP51" s="48">
        <f>0.4*AO51</f>
        <v>48</v>
      </c>
      <c r="AQ51" s="2">
        <f>SUM(AJ51,AL51,AN51)</f>
        <v>30</v>
      </c>
      <c r="AR51" s="20"/>
      <c r="AS51" s="108" t="s">
        <v>83</v>
      </c>
      <c r="AT51" s="489" t="str">
        <f>IF(AL56=0,"",IF(AND(AL48&gt;=AK48*0.4,AL49&gt;=AK49*0.4,AL51&gt;=AK51*0.4,AL53&gt;=AK53*0.4,AL54&gt;=AK54*0.4),LOOKUP(AL56,'الصحيفة النهائية'!$BO$18:$BP$22),"ضعيف ويحتاج الى اهتمام في المواد"))</f>
        <v/>
      </c>
      <c r="AU51" s="490"/>
      <c r="AW51" s="136" t="str">
        <f>ادخال1!$I$9</f>
        <v>اللغة الإنجليزية</v>
      </c>
      <c r="AX51" s="149">
        <f>ادخال1!$I$7</f>
        <v>3</v>
      </c>
      <c r="AY51" s="45">
        <f>40*AX51*0.3</f>
        <v>36</v>
      </c>
      <c r="AZ51" s="2">
        <f>IFERROR(VLOOKUP(BI62,اسماء,8,0),"")</f>
        <v>36</v>
      </c>
      <c r="BA51" s="47">
        <f>40*AX51*0.3</f>
        <v>36</v>
      </c>
      <c r="BB51" s="2">
        <f>IFERROR(VLOOKUP(BI62,اسماء,21,0),"")</f>
        <v>0</v>
      </c>
      <c r="BC51" s="45">
        <f>40*AX51*0.4</f>
        <v>48</v>
      </c>
      <c r="BD51" s="2">
        <f>IFERROR(VLOOKUP(BI62,اسماء,34,0),"")</f>
        <v>0</v>
      </c>
      <c r="BE51" s="45">
        <f>SUM(AY51,BA51,BC51)</f>
        <v>120</v>
      </c>
      <c r="BF51" s="48">
        <f>0.4*BE51</f>
        <v>48</v>
      </c>
      <c r="BG51" s="2">
        <f>SUM(AZ51,BB51,BD51)</f>
        <v>36</v>
      </c>
      <c r="BH51" s="20"/>
      <c r="BI51" s="108" t="s">
        <v>83</v>
      </c>
      <c r="BJ51" s="489" t="str">
        <f>IF(BB56=0,"",IF(AND(BB48&gt;=BA48*0.4,BB49&gt;=BA49*0.4,BB51&gt;=BA51*0.4,BB53&gt;=BA53*0.4,BB54&gt;=BA54*0.4),LOOKUP(BB56,'الصحيفة النهائية'!$BO$18:$BP$22),"ضعيف ويحتاج الى اهتمام في المواد"))</f>
        <v/>
      </c>
      <c r="BK51" s="490"/>
    </row>
    <row r="52" spans="1:64" ht="25.15" customHeight="1" x14ac:dyDescent="0.25">
      <c r="A52" s="136" t="str">
        <f>ادخال1!$J$9</f>
        <v>الحاسوب</v>
      </c>
      <c r="B52" s="149">
        <f>ادخال1!$J$7</f>
        <v>1</v>
      </c>
      <c r="C52" s="45">
        <f>40*B52*0.3</f>
        <v>12</v>
      </c>
      <c r="D52" s="2">
        <f>IFERROR(VLOOKUP(M62,اسماء,9,0),"")</f>
        <v>12</v>
      </c>
      <c r="E52" s="47">
        <f>40*B52*0.3</f>
        <v>12</v>
      </c>
      <c r="F52" s="2">
        <f>IFERROR(VLOOKUP(M62,اسماء,22,0),"")</f>
        <v>0</v>
      </c>
      <c r="G52" s="45">
        <f>40*B52*0.4</f>
        <v>16</v>
      </c>
      <c r="H52" s="2">
        <f>IFERROR(VLOOKUP(M62,اسماء,35,0),"")</f>
        <v>0</v>
      </c>
      <c r="I52" s="45">
        <f>SUM(C52,E52,G52)</f>
        <v>40</v>
      </c>
      <c r="J52" s="48">
        <f>0.4*I52</f>
        <v>16</v>
      </c>
      <c r="K52" s="2">
        <f>SUM(D52,F52,H52)</f>
        <v>12</v>
      </c>
      <c r="L52" s="20"/>
      <c r="M52" s="109" t="str">
        <f>IF(F48=0,"",IF(F48&lt;E48*0.4,A48,""))</f>
        <v/>
      </c>
      <c r="N52" s="159" t="str">
        <f>IF(F49=0,"",IF(F49&lt;E49*0.4,A49,""))</f>
        <v/>
      </c>
      <c r="O52" s="160" t="str">
        <f>IF(F50=0,"",IF(F50&lt;E50*0.4,A50,""))</f>
        <v/>
      </c>
      <c r="Q52" s="136" t="str">
        <f>ادخال1!$J$9</f>
        <v>الحاسوب</v>
      </c>
      <c r="R52" s="149">
        <f>ادخال1!$J$7</f>
        <v>1</v>
      </c>
      <c r="S52" s="45">
        <f>40*R52*0.3</f>
        <v>12</v>
      </c>
      <c r="T52" s="2">
        <f>IFERROR(VLOOKUP(AC62,اسماء,9,0),"")</f>
        <v>11</v>
      </c>
      <c r="U52" s="47">
        <f>40*R52*0.3</f>
        <v>12</v>
      </c>
      <c r="V52" s="2">
        <f>IFERROR(VLOOKUP(AC62,اسماء,22,0),"")</f>
        <v>0</v>
      </c>
      <c r="W52" s="45">
        <f>40*R52*0.4</f>
        <v>16</v>
      </c>
      <c r="X52" s="2">
        <f>IFERROR(VLOOKUP(AC62,اسماء,35,0),"")</f>
        <v>0</v>
      </c>
      <c r="Y52" s="45">
        <f>SUM(S52,U52,W52)</f>
        <v>40</v>
      </c>
      <c r="Z52" s="48">
        <f>0.4*Y52</f>
        <v>16</v>
      </c>
      <c r="AA52" s="2">
        <f>SUM(T52,V52,X52)</f>
        <v>11</v>
      </c>
      <c r="AB52" s="20"/>
      <c r="AC52" s="109" t="str">
        <f>IF(V48=0,"",IF(V48&lt;U48*0.4,Q48,""))</f>
        <v/>
      </c>
      <c r="AD52" s="159" t="str">
        <f>IF(V49=0,"",IF(V49&lt;U49*0.4,Q49,""))</f>
        <v/>
      </c>
      <c r="AE52" s="160" t="str">
        <f>IF(V50=0,"",IF(V50&lt;U50*0.4,Q50,""))</f>
        <v/>
      </c>
      <c r="AG52" s="136" t="str">
        <f>ادخال1!$J$9</f>
        <v>الحاسوب</v>
      </c>
      <c r="AH52" s="149">
        <f>ادخال1!$J$7</f>
        <v>1</v>
      </c>
      <c r="AI52" s="45">
        <f>40*AH52*0.3</f>
        <v>12</v>
      </c>
      <c r="AJ52" s="2">
        <f>IFERROR(VLOOKUP(AS62,اسماء,9,0),"")</f>
        <v>12</v>
      </c>
      <c r="AK52" s="47">
        <f>40*AH52*0.3</f>
        <v>12</v>
      </c>
      <c r="AL52" s="2">
        <f>IFERROR(VLOOKUP(AS62,اسماء,22,0),"")</f>
        <v>0</v>
      </c>
      <c r="AM52" s="45">
        <f>40*AH52*0.4</f>
        <v>16</v>
      </c>
      <c r="AN52" s="2">
        <f>IFERROR(VLOOKUP(AS62,اسماء,35,0),"")</f>
        <v>0</v>
      </c>
      <c r="AO52" s="45">
        <f>SUM(AI52,AK52,AM52)</f>
        <v>40</v>
      </c>
      <c r="AP52" s="48">
        <f>0.4*AO52</f>
        <v>16</v>
      </c>
      <c r="AQ52" s="2">
        <f>SUM(AJ52,AL52,AN52)</f>
        <v>12</v>
      </c>
      <c r="AR52" s="20"/>
      <c r="AS52" s="109" t="str">
        <f>IF(AL48=0,"",IF(AL48&lt;AK48*0.4,AG48,""))</f>
        <v/>
      </c>
      <c r="AT52" s="159" t="str">
        <f>IF(AL49=0,"",IF(AL49&lt;AK49*0.4,AG49,""))</f>
        <v/>
      </c>
      <c r="AU52" s="160" t="str">
        <f>IF(AL50=0,"",IF(AL50&lt;AK50*0.4,AG50,""))</f>
        <v/>
      </c>
      <c r="AW52" s="136" t="str">
        <f>ادخال1!$J$9</f>
        <v>الحاسوب</v>
      </c>
      <c r="AX52" s="149">
        <f>ادخال1!$J$7</f>
        <v>1</v>
      </c>
      <c r="AY52" s="45">
        <f>40*AX52*0.3</f>
        <v>12</v>
      </c>
      <c r="AZ52" s="2">
        <f>IFERROR(VLOOKUP(BI62,اسماء,9,0),"")</f>
        <v>12</v>
      </c>
      <c r="BA52" s="47">
        <f>40*AX52*0.3</f>
        <v>12</v>
      </c>
      <c r="BB52" s="2">
        <f>IFERROR(VLOOKUP(BI62,اسماء,22,0),"")</f>
        <v>0</v>
      </c>
      <c r="BC52" s="45">
        <f>40*AX52*0.4</f>
        <v>16</v>
      </c>
      <c r="BD52" s="2">
        <f>IFERROR(VLOOKUP(BI62,اسماء,35,0),"")</f>
        <v>0</v>
      </c>
      <c r="BE52" s="45">
        <f>SUM(AY52,BA52,BC52)</f>
        <v>40</v>
      </c>
      <c r="BF52" s="48">
        <f>0.4*BE52</f>
        <v>16</v>
      </c>
      <c r="BG52" s="2">
        <f>SUM(AZ52,BB52,BD52)</f>
        <v>12</v>
      </c>
      <c r="BH52" s="20"/>
      <c r="BI52" s="109" t="str">
        <f>IF(BB48=0,"",IF(BB48&lt;BA48*0.4,AW48,""))</f>
        <v/>
      </c>
      <c r="BJ52" s="159" t="str">
        <f>IF(BB49=0,"",IF(BB49&lt;BA49*0.4,AW49,""))</f>
        <v/>
      </c>
      <c r="BK52" s="160" t="str">
        <f>IF(BB50=0,"",IF(BB50&lt;BA50*0.4,AW50,""))</f>
        <v/>
      </c>
    </row>
    <row r="53" spans="1:64" ht="25.15" customHeight="1" x14ac:dyDescent="0.25">
      <c r="A53" s="136" t="str">
        <f>ادخال1!$K$9</f>
        <v>الرياضيات</v>
      </c>
      <c r="B53" s="149">
        <f>ادخال1!$K$7</f>
        <v>5</v>
      </c>
      <c r="C53" s="45">
        <f>40*B53*0.3</f>
        <v>60</v>
      </c>
      <c r="D53" s="2">
        <f>IFERROR(VLOOKUP(M62,اسماء,10,0),"")</f>
        <v>59</v>
      </c>
      <c r="E53" s="47">
        <f>40*B53*0.3</f>
        <v>60</v>
      </c>
      <c r="F53" s="2">
        <f>IFERROR(VLOOKUP(M62,اسماء,23,0),"")</f>
        <v>0</v>
      </c>
      <c r="G53" s="45">
        <f>40*B53*0.4</f>
        <v>80</v>
      </c>
      <c r="H53" s="2">
        <f>IFERROR(VLOOKUP(M62,اسماء,36,0),"")</f>
        <v>0</v>
      </c>
      <c r="I53" s="45">
        <f>SUM(C53,E53,G53)</f>
        <v>200</v>
      </c>
      <c r="J53" s="48">
        <f>0.4*I53</f>
        <v>80</v>
      </c>
      <c r="K53" s="2">
        <f>SUM(D53,F53,H53)</f>
        <v>59</v>
      </c>
      <c r="L53" s="20"/>
      <c r="M53" s="109" t="str">
        <f>IF(F51=0,"",IF(F51&lt;E51*0.4,A51,""))</f>
        <v/>
      </c>
      <c r="N53" s="159" t="str">
        <f>IF(F52=0,"",IF(F52&lt;E52*0.4,A52,""))</f>
        <v/>
      </c>
      <c r="O53" s="160" t="str">
        <f>IF(F53=0,"",IF(F53&lt;E53*0.4,A53,""))</f>
        <v/>
      </c>
      <c r="Q53" s="136" t="str">
        <f>ادخال1!$K$9</f>
        <v>الرياضيات</v>
      </c>
      <c r="R53" s="149">
        <f>ادخال1!$K$7</f>
        <v>5</v>
      </c>
      <c r="S53" s="45">
        <f>40*R53*0.3</f>
        <v>60</v>
      </c>
      <c r="T53" s="2">
        <f>IFERROR(VLOOKUP(AC62,اسماء,10,0),"")</f>
        <v>51</v>
      </c>
      <c r="U53" s="47">
        <f>40*R53*0.3</f>
        <v>60</v>
      </c>
      <c r="V53" s="2">
        <f>IFERROR(VLOOKUP(AC62,اسماء,23,0),"")</f>
        <v>0</v>
      </c>
      <c r="W53" s="45">
        <f>40*R53*0.4</f>
        <v>80</v>
      </c>
      <c r="X53" s="2">
        <f>IFERROR(VLOOKUP(AC62,اسماء,36,0),"")</f>
        <v>0</v>
      </c>
      <c r="Y53" s="45">
        <f>SUM(S53,U53,W53)</f>
        <v>200</v>
      </c>
      <c r="Z53" s="48">
        <f>0.4*Y53</f>
        <v>80</v>
      </c>
      <c r="AA53" s="2">
        <f>SUM(T53,V53,X53)</f>
        <v>51</v>
      </c>
      <c r="AB53" s="20"/>
      <c r="AC53" s="109" t="str">
        <f>IF(V51=0,"",IF(V51&lt;U51*0.4,Q51,""))</f>
        <v/>
      </c>
      <c r="AD53" s="159" t="str">
        <f>IF(V52=0,"",IF(V52&lt;U52*0.4,Q52,""))</f>
        <v/>
      </c>
      <c r="AE53" s="160" t="str">
        <f>IF(V53=0,"",IF(V53&lt;U53*0.4,Q53,""))</f>
        <v/>
      </c>
      <c r="AG53" s="136" t="str">
        <f>ادخال1!$K$9</f>
        <v>الرياضيات</v>
      </c>
      <c r="AH53" s="149">
        <f>ادخال1!$K$7</f>
        <v>5</v>
      </c>
      <c r="AI53" s="45">
        <f>40*AH53*0.3</f>
        <v>60</v>
      </c>
      <c r="AJ53" s="2">
        <f>IFERROR(VLOOKUP(AS62,اسماء,10,0),"")</f>
        <v>44</v>
      </c>
      <c r="AK53" s="47">
        <f>40*AH53*0.3</f>
        <v>60</v>
      </c>
      <c r="AL53" s="2">
        <f>IFERROR(VLOOKUP(AS62,اسماء,23,0),"")</f>
        <v>0</v>
      </c>
      <c r="AM53" s="45">
        <f>40*AH53*0.4</f>
        <v>80</v>
      </c>
      <c r="AN53" s="2">
        <f>IFERROR(VLOOKUP(AS62,اسماء,36,0),"")</f>
        <v>0</v>
      </c>
      <c r="AO53" s="45">
        <f>SUM(AI53,AK53,AM53)</f>
        <v>200</v>
      </c>
      <c r="AP53" s="48">
        <f>0.4*AO53</f>
        <v>80</v>
      </c>
      <c r="AQ53" s="2">
        <f>SUM(AJ53,AL53,AN53)</f>
        <v>44</v>
      </c>
      <c r="AR53" s="20"/>
      <c r="AS53" s="109" t="str">
        <f>IF(AL51=0,"",IF(AL51&lt;AK51*0.4,AG51,""))</f>
        <v/>
      </c>
      <c r="AT53" s="159" t="str">
        <f>IF(AL52=0,"",IF(AL52&lt;AK52*0.4,AG52,""))</f>
        <v/>
      </c>
      <c r="AU53" s="160" t="str">
        <f>IF(AL53=0,"",IF(AL53&lt;AK53*0.4,AG53,""))</f>
        <v/>
      </c>
      <c r="AW53" s="136" t="str">
        <f>ادخال1!$K$9</f>
        <v>الرياضيات</v>
      </c>
      <c r="AX53" s="149">
        <f>ادخال1!$K$7</f>
        <v>5</v>
      </c>
      <c r="AY53" s="45">
        <f>40*AX53*0.3</f>
        <v>60</v>
      </c>
      <c r="AZ53" s="2">
        <f>IFERROR(VLOOKUP(BI62,اسماء,10,0),"")</f>
        <v>57</v>
      </c>
      <c r="BA53" s="47">
        <f>40*AX53*0.3</f>
        <v>60</v>
      </c>
      <c r="BB53" s="2">
        <f>IFERROR(VLOOKUP(BI62,اسماء,23,0),"")</f>
        <v>0</v>
      </c>
      <c r="BC53" s="45">
        <f>40*AX53*0.4</f>
        <v>80</v>
      </c>
      <c r="BD53" s="2">
        <f>IFERROR(VLOOKUP(BI62,اسماء,36,0),"")</f>
        <v>0</v>
      </c>
      <c r="BE53" s="45">
        <f>SUM(AY53,BA53,BC53)</f>
        <v>200</v>
      </c>
      <c r="BF53" s="48">
        <f>0.4*BE53</f>
        <v>80</v>
      </c>
      <c r="BG53" s="2">
        <f>SUM(AZ53,BB53,BD53)</f>
        <v>57</v>
      </c>
      <c r="BH53" s="20"/>
      <c r="BI53" s="109" t="str">
        <f>IF(BB51=0,"",IF(BB51&lt;BA51*0.4,AW51,""))</f>
        <v/>
      </c>
      <c r="BJ53" s="159" t="str">
        <f>IF(BB52=0,"",IF(BB52&lt;BA52*0.4,AW52,""))</f>
        <v/>
      </c>
      <c r="BK53" s="160" t="str">
        <f>IF(BB53=0,"",IF(BB53&lt;BA53*0.4,AW53,""))</f>
        <v/>
      </c>
    </row>
    <row r="54" spans="1:64" ht="24.95" customHeight="1" x14ac:dyDescent="0.25">
      <c r="A54" s="116" t="str">
        <f>ادخال1!$L$9</f>
        <v>العلوم</v>
      </c>
      <c r="B54" s="150">
        <f>ادخال1!$L$7</f>
        <v>3</v>
      </c>
      <c r="C54" s="45">
        <f>40*B54*0.3</f>
        <v>36</v>
      </c>
      <c r="D54" s="2">
        <f>IFERROR(VLOOKUP(M62,اسماء,11,0),"")</f>
        <v>36</v>
      </c>
      <c r="E54" s="47">
        <f>40*B54*0.3</f>
        <v>36</v>
      </c>
      <c r="F54" s="2">
        <f>IFERROR(VLOOKUP(M62,اسماء,24,0),"")</f>
        <v>0</v>
      </c>
      <c r="G54" s="45">
        <f>40*B54*0.4</f>
        <v>48</v>
      </c>
      <c r="H54" s="2">
        <f>IFERROR(VLOOKUP(M62,اسماء,37,0),"")</f>
        <v>0</v>
      </c>
      <c r="I54" s="45">
        <f>SUM(C54,E54,G54)</f>
        <v>120</v>
      </c>
      <c r="J54" s="48">
        <f>0.4*I54</f>
        <v>48</v>
      </c>
      <c r="K54" s="2">
        <f>SUM(D54,F54,H54)</f>
        <v>36</v>
      </c>
      <c r="L54" s="20"/>
      <c r="M54" s="109" t="str">
        <f>IF(F54=0,"",IF(F54&lt;E54*0.4,A54,""))</f>
        <v/>
      </c>
      <c r="N54" s="109" t="str">
        <f>IF(F55=0,"",IF(F55&lt;E55*0.4,A55,""))</f>
        <v/>
      </c>
      <c r="O54" s="357"/>
      <c r="Q54" s="116" t="str">
        <f>ادخال1!$L$9</f>
        <v>العلوم</v>
      </c>
      <c r="R54" s="150">
        <f>ادخال1!$L$7</f>
        <v>3</v>
      </c>
      <c r="S54" s="45">
        <f>40*R54*0.3</f>
        <v>36</v>
      </c>
      <c r="T54" s="2">
        <f>IFERROR(VLOOKUP(AC62,اسماء,11,0),"")</f>
        <v>36</v>
      </c>
      <c r="U54" s="47">
        <f>40*R54*0.3</f>
        <v>36</v>
      </c>
      <c r="V54" s="2">
        <f>IFERROR(VLOOKUP(AC62,اسماء,24,0),"")</f>
        <v>0</v>
      </c>
      <c r="W54" s="45">
        <f>40*R54*0.4</f>
        <v>48</v>
      </c>
      <c r="X54" s="2">
        <f>IFERROR(VLOOKUP(AC62,اسماء,37,0),"")</f>
        <v>0</v>
      </c>
      <c r="Y54" s="45">
        <f>SUM(S54,U54,W54)</f>
        <v>120</v>
      </c>
      <c r="Z54" s="48">
        <f>0.4*Y54</f>
        <v>48</v>
      </c>
      <c r="AA54" s="2">
        <f>SUM(T54,V54,X54)</f>
        <v>36</v>
      </c>
      <c r="AB54" s="20"/>
      <c r="AC54" s="109" t="str">
        <f>IF(V54=0,"",IF(V54&lt;U54*0.4,Q54,""))</f>
        <v/>
      </c>
      <c r="AD54" s="109" t="str">
        <f>IF(V55=0,"",IF(V55&lt;U55*0.4,Q55,""))</f>
        <v/>
      </c>
      <c r="AE54" s="357"/>
      <c r="AF54" s="69"/>
      <c r="AG54" s="116" t="str">
        <f>ادخال1!$L$9</f>
        <v>العلوم</v>
      </c>
      <c r="AH54" s="150">
        <f>ادخال1!$L$7</f>
        <v>3</v>
      </c>
      <c r="AI54" s="45">
        <f>40*AH54*0.3</f>
        <v>36</v>
      </c>
      <c r="AJ54" s="2">
        <f>IFERROR(VLOOKUP(AS62,اسماء,11,0),"")</f>
        <v>36</v>
      </c>
      <c r="AK54" s="47">
        <f>40*AH54*0.3</f>
        <v>36</v>
      </c>
      <c r="AL54" s="2">
        <f>IFERROR(VLOOKUP(AS62,اسماء,24,0),"")</f>
        <v>0</v>
      </c>
      <c r="AM54" s="45">
        <f>40*AH54*0.4</f>
        <v>48</v>
      </c>
      <c r="AN54" s="2">
        <f>IFERROR(VLOOKUP(AS62,اسماء,37,0),"")</f>
        <v>0</v>
      </c>
      <c r="AO54" s="45">
        <f>SUM(AI54,AK54,AM54)</f>
        <v>120</v>
      </c>
      <c r="AP54" s="48">
        <f>0.4*AO54</f>
        <v>48</v>
      </c>
      <c r="AQ54" s="2">
        <f>SUM(AJ54,AL54,AN54)</f>
        <v>36</v>
      </c>
      <c r="AR54" s="20"/>
      <c r="AS54" s="109" t="str">
        <f>IF(AL54=0,"",IF(AL54&lt;AK54*0.4,AG54,""))</f>
        <v/>
      </c>
      <c r="AT54" s="109" t="str">
        <f>IF(AL55=0,"",IF(AL55&lt;AK55*0.4,AG55,""))</f>
        <v/>
      </c>
      <c r="AU54" s="357"/>
      <c r="AV54" s="123"/>
      <c r="AW54" s="116" t="str">
        <f>ادخال1!$L$9</f>
        <v>العلوم</v>
      </c>
      <c r="AX54" s="150">
        <f>ادخال1!$L$7</f>
        <v>3</v>
      </c>
      <c r="AY54" s="45">
        <f>40*AX54*0.3</f>
        <v>36</v>
      </c>
      <c r="AZ54" s="2">
        <f>IFERROR(VLOOKUP(BI62,اسماء,11,0),"")</f>
        <v>36</v>
      </c>
      <c r="BA54" s="47">
        <f>40*AX54*0.3</f>
        <v>36</v>
      </c>
      <c r="BB54" s="2">
        <f>IFERROR(VLOOKUP(BI62,اسماء,24,0),"")</f>
        <v>0</v>
      </c>
      <c r="BC54" s="45">
        <f>40*AX54*0.4</f>
        <v>48</v>
      </c>
      <c r="BD54" s="2">
        <f>IFERROR(VLOOKUP(BI62,اسماء,37,0),"")</f>
        <v>0</v>
      </c>
      <c r="BE54" s="45">
        <f>SUM(AY54,BA54,BC54)</f>
        <v>120</v>
      </c>
      <c r="BF54" s="48">
        <f>0.4*BE54</f>
        <v>48</v>
      </c>
      <c r="BG54" s="2">
        <f>SUM(AZ54,BB54,BD54)</f>
        <v>36</v>
      </c>
      <c r="BH54" s="20"/>
      <c r="BI54" s="109" t="str">
        <f>IF(BB54=0,"",IF(BB54&lt;BA54*0.4,AW54,""))</f>
        <v/>
      </c>
      <c r="BJ54" s="109" t="str">
        <f>IF(BB55=0,"",IF(BB55&lt;BA55*0.4,AW55,""))</f>
        <v/>
      </c>
      <c r="BK54" s="357"/>
      <c r="BL54" s="27"/>
    </row>
    <row r="55" spans="1:64" ht="24.95" customHeight="1" thickBot="1" x14ac:dyDescent="0.3">
      <c r="A55" s="116" t="str">
        <f>ادخال1!$M$9</f>
        <v>الاجتماعيات</v>
      </c>
      <c r="B55" s="150">
        <f>ادخال1!$M$7</f>
        <v>2</v>
      </c>
      <c r="C55" s="45">
        <f>40*B55*0.3</f>
        <v>24</v>
      </c>
      <c r="D55" s="2">
        <f>IFERROR(VLOOKUP(M62,اسماء,12,0),"")</f>
        <v>24</v>
      </c>
      <c r="E55" s="47">
        <f>40*B55*0.3</f>
        <v>24</v>
      </c>
      <c r="F55" s="2">
        <f>IFERROR(VLOOKUP(M62,اسماء,25,0),"")</f>
        <v>0</v>
      </c>
      <c r="G55" s="45">
        <f>40*B55*0.4</f>
        <v>32</v>
      </c>
      <c r="H55" s="2">
        <f>IFERROR(VLOOKUP(M62,اسماء,38,0),"")</f>
        <v>0</v>
      </c>
      <c r="I55" s="45">
        <f>SUM(C55,E55,G55)</f>
        <v>80</v>
      </c>
      <c r="J55" s="48">
        <f>0.4*I55</f>
        <v>32</v>
      </c>
      <c r="K55" s="2">
        <f>SUM(D55,F55,H55)</f>
        <v>24</v>
      </c>
      <c r="L55" s="20"/>
      <c r="M55" s="291"/>
      <c r="N55" s="364"/>
      <c r="O55" s="365"/>
      <c r="Q55" s="116" t="str">
        <f>ادخال1!$M$9</f>
        <v>الاجتماعيات</v>
      </c>
      <c r="R55" s="150">
        <f>ادخال1!$M$7</f>
        <v>2</v>
      </c>
      <c r="S55" s="45">
        <f>40*R55*0.3</f>
        <v>24</v>
      </c>
      <c r="T55" s="2">
        <f>IFERROR(VLOOKUP(AC62,اسماء,12,0),"")</f>
        <v>18</v>
      </c>
      <c r="U55" s="47">
        <f>40*R55*0.3</f>
        <v>24</v>
      </c>
      <c r="V55" s="2">
        <f>IFERROR(VLOOKUP(AC62,اسماء,25,0),"")</f>
        <v>0</v>
      </c>
      <c r="W55" s="45">
        <f>40*R55*0.4</f>
        <v>32</v>
      </c>
      <c r="X55" s="2">
        <f>IFERROR(VLOOKUP(AC62,اسماء,38,0),"")</f>
        <v>0</v>
      </c>
      <c r="Y55" s="45">
        <f>SUM(S55,U55,W55)</f>
        <v>80</v>
      </c>
      <c r="Z55" s="48">
        <f>0.4*Y55</f>
        <v>32</v>
      </c>
      <c r="AA55" s="2">
        <f>SUM(T55,V55,X55)</f>
        <v>18</v>
      </c>
      <c r="AB55" s="20"/>
      <c r="AC55" s="291"/>
      <c r="AD55" s="364"/>
      <c r="AE55" s="365"/>
      <c r="AG55" s="116" t="str">
        <f>ادخال1!$M$9</f>
        <v>الاجتماعيات</v>
      </c>
      <c r="AH55" s="150">
        <f>ادخال1!$M$7</f>
        <v>2</v>
      </c>
      <c r="AI55" s="45">
        <f>40*AH55*0.3</f>
        <v>24</v>
      </c>
      <c r="AJ55" s="2">
        <f>IFERROR(VLOOKUP(AS62,اسماء,12,0),"")</f>
        <v>24</v>
      </c>
      <c r="AK55" s="47">
        <f>40*AH55*0.3</f>
        <v>24</v>
      </c>
      <c r="AL55" s="2">
        <f>IFERROR(VLOOKUP(AS62,اسماء,25,0),"")</f>
        <v>0</v>
      </c>
      <c r="AM55" s="45">
        <f>40*AH55*0.4</f>
        <v>32</v>
      </c>
      <c r="AN55" s="2">
        <f>IFERROR(VLOOKUP(AS62,اسماء,38,0),"")</f>
        <v>0</v>
      </c>
      <c r="AO55" s="45">
        <f>SUM(AI55,AK55,AM55)</f>
        <v>80</v>
      </c>
      <c r="AP55" s="48">
        <f>0.4*AO55</f>
        <v>32</v>
      </c>
      <c r="AQ55" s="2">
        <f>SUM(AJ55,AL55,AN55)</f>
        <v>24</v>
      </c>
      <c r="AR55" s="20"/>
      <c r="AS55" s="291"/>
      <c r="AT55" s="364"/>
      <c r="AU55" s="365"/>
      <c r="AW55" s="116" t="str">
        <f>ادخال1!$M$9</f>
        <v>الاجتماعيات</v>
      </c>
      <c r="AX55" s="150">
        <f>ادخال1!$M$7</f>
        <v>2</v>
      </c>
      <c r="AY55" s="45">
        <f>40*AX55*0.3</f>
        <v>24</v>
      </c>
      <c r="AZ55" s="2">
        <f>IFERROR(VLOOKUP(BI62,اسماء,12,0),"")</f>
        <v>24</v>
      </c>
      <c r="BA55" s="47">
        <f>40*AX55*0.3</f>
        <v>24</v>
      </c>
      <c r="BB55" s="2">
        <f>IFERROR(VLOOKUP(BI62,اسماء,25,0),"")</f>
        <v>0</v>
      </c>
      <c r="BC55" s="45">
        <f>40*AX55*0.4</f>
        <v>32</v>
      </c>
      <c r="BD55" s="2">
        <f>IFERROR(VLOOKUP(BI62,اسماء,38,0),"")</f>
        <v>0</v>
      </c>
      <c r="BE55" s="45">
        <f>SUM(AY55,BA55,BC55)</f>
        <v>80</v>
      </c>
      <c r="BF55" s="48">
        <f>0.4*BE55</f>
        <v>32</v>
      </c>
      <c r="BG55" s="2">
        <f>SUM(AZ55,BB55,BD55)</f>
        <v>24</v>
      </c>
      <c r="BH55" s="20"/>
      <c r="BI55" s="291"/>
      <c r="BJ55" s="364"/>
      <c r="BK55" s="365"/>
    </row>
    <row r="56" spans="1:64" ht="24.95" customHeight="1" thickBot="1" x14ac:dyDescent="0.3">
      <c r="A56" s="62" t="s">
        <v>57</v>
      </c>
      <c r="B56" s="151"/>
      <c r="C56" s="46">
        <f t="shared" ref="C56:I56" si="54">SUM(C48:C54)</f>
        <v>252</v>
      </c>
      <c r="D56" s="117">
        <f t="shared" si="54"/>
        <v>250</v>
      </c>
      <c r="E56" s="46">
        <f t="shared" si="54"/>
        <v>252</v>
      </c>
      <c r="F56" s="117">
        <f t="shared" si="54"/>
        <v>0</v>
      </c>
      <c r="G56" s="46">
        <f t="shared" si="54"/>
        <v>336</v>
      </c>
      <c r="H56" s="33">
        <f t="shared" si="54"/>
        <v>0</v>
      </c>
      <c r="I56" s="46">
        <f t="shared" si="54"/>
        <v>840</v>
      </c>
      <c r="J56" s="49"/>
      <c r="K56" s="3">
        <f>IF(AND(K48&gt;=J48,K49&gt;=J49,K51&gt;=J51,K53&gt;=J53,K54&gt;=J54),SUM(K48:K54),0)</f>
        <v>0</v>
      </c>
      <c r="L56" s="20"/>
      <c r="M56" s="360" t="s">
        <v>157</v>
      </c>
      <c r="N56" s="569" t="str">
        <f>IF(K56=0,"",IF(AND(K48&gt;=I48*0.4,K49&gt;=I49*0.4,K50&gt;=I50*0.4,K51&gt;=I51*0.4,K52&gt;=I52*0.4,K53&gt;=I53*0.4,K54&gt;=I54*0.4),LOOKUP(K56,$BO$10:$BP$15),"له دور ثان في "))</f>
        <v/>
      </c>
      <c r="O56" s="570"/>
      <c r="Q56" s="62" t="s">
        <v>57</v>
      </c>
      <c r="R56" s="151"/>
      <c r="S56" s="46">
        <f t="shared" ref="S56:Y56" si="55">SUM(S48:S54)</f>
        <v>252</v>
      </c>
      <c r="T56" s="117">
        <f t="shared" si="55"/>
        <v>212</v>
      </c>
      <c r="U56" s="46">
        <f t="shared" si="55"/>
        <v>252</v>
      </c>
      <c r="V56" s="117">
        <f t="shared" si="55"/>
        <v>0</v>
      </c>
      <c r="W56" s="46">
        <f t="shared" si="55"/>
        <v>336</v>
      </c>
      <c r="X56" s="33">
        <f t="shared" si="55"/>
        <v>0</v>
      </c>
      <c r="Y56" s="46">
        <f t="shared" si="55"/>
        <v>840</v>
      </c>
      <c r="Z56" s="49"/>
      <c r="AA56" s="3">
        <f>IF(AND(AA48&gt;=Z48,AA49&gt;=Z49,AA51&gt;=Z51,AA53&gt;=Z53,AA54&gt;=Z54),SUM(AA48:AA54),0)</f>
        <v>0</v>
      </c>
      <c r="AB56" s="20"/>
      <c r="AC56" s="360" t="s">
        <v>157</v>
      </c>
      <c r="AD56" s="569" t="str">
        <f>IF(AA56=0,"",IF(AND(AA48&gt;=Y48*0.4,AA49&gt;=Y49*0.4,AA50&gt;=Y50*0.4,AA51&gt;=Y51*0.4,AA52&gt;=Y52*0.4,AA53&gt;=Y53*0.4,AA54&gt;=Y54*0.4),LOOKUP(AA56,$BO$10:$BP$15),"له دور ثان في "))</f>
        <v/>
      </c>
      <c r="AE56" s="570"/>
      <c r="AG56" s="62" t="s">
        <v>57</v>
      </c>
      <c r="AH56" s="151"/>
      <c r="AI56" s="46">
        <f t="shared" ref="AI56:AO56" si="56">SUM(AI48:AI54)</f>
        <v>252</v>
      </c>
      <c r="AJ56" s="117">
        <f t="shared" si="56"/>
        <v>222</v>
      </c>
      <c r="AK56" s="46">
        <f t="shared" si="56"/>
        <v>252</v>
      </c>
      <c r="AL56" s="117">
        <f t="shared" si="56"/>
        <v>0</v>
      </c>
      <c r="AM56" s="46">
        <f t="shared" si="56"/>
        <v>336</v>
      </c>
      <c r="AN56" s="33">
        <f t="shared" si="56"/>
        <v>0</v>
      </c>
      <c r="AO56" s="46">
        <f t="shared" si="56"/>
        <v>840</v>
      </c>
      <c r="AP56" s="49"/>
      <c r="AQ56" s="3">
        <f>IF(AND(AQ48&gt;=AP48,AQ49&gt;=AP49,AQ51&gt;=AP51,AQ53&gt;=AP53,AQ54&gt;=AP54),SUM(AQ48:AQ54),0)</f>
        <v>0</v>
      </c>
      <c r="AR56" s="20"/>
      <c r="AS56" s="360" t="s">
        <v>157</v>
      </c>
      <c r="AT56" s="569" t="str">
        <f>IF(AQ56=0,"",IF(AND(AQ48&gt;=AO48*0.4,AQ49&gt;=AO49*0.4,AQ50&gt;=AO50*0.4,AQ51&gt;=AO51*0.4,AQ52&gt;=AO52*0.4,AQ53&gt;=AO53*0.4,AQ54&gt;=AO54*0.4),LOOKUP(AQ56,$BO$10:$BP$15),"له دور ثان في "))</f>
        <v/>
      </c>
      <c r="AU56" s="570"/>
      <c r="AW56" s="62" t="s">
        <v>57</v>
      </c>
      <c r="AX56" s="151"/>
      <c r="AY56" s="46">
        <f t="shared" ref="AY56:BE56" si="57">SUM(AY48:AY54)</f>
        <v>252</v>
      </c>
      <c r="AZ56" s="117">
        <f t="shared" si="57"/>
        <v>248</v>
      </c>
      <c r="BA56" s="46">
        <f t="shared" si="57"/>
        <v>252</v>
      </c>
      <c r="BB56" s="117">
        <f t="shared" si="57"/>
        <v>0</v>
      </c>
      <c r="BC56" s="46">
        <f t="shared" si="57"/>
        <v>336</v>
      </c>
      <c r="BD56" s="33">
        <f t="shared" si="57"/>
        <v>0</v>
      </c>
      <c r="BE56" s="46">
        <f t="shared" si="57"/>
        <v>840</v>
      </c>
      <c r="BF56" s="49"/>
      <c r="BG56" s="3">
        <f>IF(AND(BG48&gt;=BF48,BG49&gt;=BF49,BG51&gt;=BF51,BG53&gt;=BF53,BG54&gt;=BF54),SUM(BG48:BG54),0)</f>
        <v>0</v>
      </c>
      <c r="BH56" s="20"/>
      <c r="BI56" s="360" t="s">
        <v>157</v>
      </c>
      <c r="BJ56" s="569" t="str">
        <f>IF(BG56=0,"",IF(AND(BG48&gt;=BE48*0.4,BG49&gt;=BE49*0.4,BG50&gt;=BE50*0.4,BG51&gt;=BE51*0.4,BG52&gt;=BE52*0.4,BG53&gt;=BE53*0.4,BG54&gt;=BE54*0.4),LOOKUP(BG56,$BO$10:$BP$15),"له دور ثان في "))</f>
        <v/>
      </c>
      <c r="BK56" s="570"/>
    </row>
    <row r="57" spans="1:64" ht="24.95" customHeight="1" thickBot="1" x14ac:dyDescent="0.3">
      <c r="A57" s="571" t="s">
        <v>120</v>
      </c>
      <c r="B57" s="572"/>
      <c r="C57" s="573"/>
      <c r="D57" s="573"/>
      <c r="E57" s="573"/>
      <c r="F57" s="573"/>
      <c r="G57" s="573"/>
      <c r="H57" s="358"/>
      <c r="I57" s="359"/>
      <c r="J57" s="574"/>
      <c r="K57" s="574"/>
      <c r="L57" s="34"/>
      <c r="M57" s="109" t="str">
        <f>IF(K48=0,"",IF(K48&lt;I48*0.4,A48,""))</f>
        <v>التربية الإسلامية</v>
      </c>
      <c r="N57" s="159" t="str">
        <f>IF(K49=0,"",IF(K49&lt;I49*0.4,A49,""))</f>
        <v>اللغة العربية</v>
      </c>
      <c r="O57" s="160" t="str">
        <f>IF(K50=0,"",IF(K50&lt;I50*0.4,A50,""))</f>
        <v>الكتابة</v>
      </c>
      <c r="Q57" s="571" t="s">
        <v>120</v>
      </c>
      <c r="R57" s="572"/>
      <c r="S57" s="573"/>
      <c r="T57" s="573"/>
      <c r="U57" s="573"/>
      <c r="V57" s="573"/>
      <c r="W57" s="573"/>
      <c r="X57" s="358"/>
      <c r="Y57" s="359"/>
      <c r="Z57" s="574"/>
      <c r="AA57" s="574"/>
      <c r="AB57" s="34"/>
      <c r="AC57" s="109" t="str">
        <f>IF(AA48=0,"",IF(AA48&lt;Y48*0.4,Q48,""))</f>
        <v>التربية الإسلامية</v>
      </c>
      <c r="AD57" s="159" t="str">
        <f>IF(AA49=0,"",IF(AA49&lt;Y49*0.4,Q49,""))</f>
        <v>اللغة العربية</v>
      </c>
      <c r="AE57" s="160" t="str">
        <f>IF(AA50=0,"",IF(AA50&lt;Y50*0.4,Q50,""))</f>
        <v>الكتابة</v>
      </c>
      <c r="AG57" s="571" t="s">
        <v>120</v>
      </c>
      <c r="AH57" s="572"/>
      <c r="AI57" s="573"/>
      <c r="AJ57" s="573"/>
      <c r="AK57" s="573"/>
      <c r="AL57" s="573"/>
      <c r="AM57" s="573"/>
      <c r="AN57" s="358"/>
      <c r="AO57" s="359"/>
      <c r="AP57" s="574"/>
      <c r="AQ57" s="574"/>
      <c r="AR57" s="34"/>
      <c r="AS57" s="109" t="str">
        <f>IF(AQ48=0,"",IF(AQ48&lt;AO48*0.4,AG48,""))</f>
        <v>التربية الإسلامية</v>
      </c>
      <c r="AT57" s="159" t="str">
        <f>IF(AQ49=0,"",IF(AQ49&lt;AO49*0.4,AG49,""))</f>
        <v>اللغة العربية</v>
      </c>
      <c r="AU57" s="160" t="str">
        <f>IF(AQ50=0,"",IF(AQ50&lt;AO50*0.4,AG50,""))</f>
        <v>الكتابة</v>
      </c>
      <c r="AW57" s="571" t="s">
        <v>120</v>
      </c>
      <c r="AX57" s="572"/>
      <c r="AY57" s="573"/>
      <c r="AZ57" s="573"/>
      <c r="BA57" s="573"/>
      <c r="BB57" s="573"/>
      <c r="BC57" s="573"/>
      <c r="BD57" s="358"/>
      <c r="BE57" s="359"/>
      <c r="BF57" s="574"/>
      <c r="BG57" s="574"/>
      <c r="BH57" s="34"/>
      <c r="BI57" s="109" t="str">
        <f>IF(BG48=0,"",IF(BG48&lt;BE48*0.4,AW48,""))</f>
        <v>التربية الإسلامية</v>
      </c>
      <c r="BJ57" s="159" t="str">
        <f>IF(BG49=0,"",IF(BG49&lt;BE49*0.4,AW49,""))</f>
        <v>اللغة العربية</v>
      </c>
      <c r="BK57" s="160" t="str">
        <f>IF(BG50=0,"",IF(BG50&lt;BE50*0.4,AW50,""))</f>
        <v>الكتابة</v>
      </c>
    </row>
    <row r="58" spans="1:64" ht="24.95" customHeight="1" x14ac:dyDescent="0.25">
      <c r="A58" s="137" t="str">
        <f>ادخال1!$O$8</f>
        <v>التربية الفنية</v>
      </c>
      <c r="B58" s="152">
        <f>ادخال1!$O$7</f>
        <v>1</v>
      </c>
      <c r="C58" s="433" t="str">
        <f>IFERROR(VLOOKUP(M62,اسماء,14,0),"")</f>
        <v>جيد جداً</v>
      </c>
      <c r="D58" s="433"/>
      <c r="E58" s="433">
        <f>IFERROR(VLOOKUP(M62,اسماء,27,0),"")</f>
        <v>0</v>
      </c>
      <c r="F58" s="433"/>
      <c r="G58" s="433">
        <f>IFERROR(VLOOKUP(M62,اسماء,40,0),"")</f>
        <v>0</v>
      </c>
      <c r="H58" s="433"/>
      <c r="I58" s="443"/>
      <c r="J58" s="575"/>
      <c r="K58" s="487"/>
      <c r="L58" s="36"/>
      <c r="M58" s="109" t="str">
        <f>IF(K51=0,"",IF(K51&lt;I51*0.4,A51,""))</f>
        <v>اللغة الإنجليزية</v>
      </c>
      <c r="N58" s="159" t="str">
        <f>IF(K52=0,"",IF(K52&lt;I52*0.4,A52,""))</f>
        <v>الحاسوب</v>
      </c>
      <c r="O58" s="160" t="str">
        <f>IF(K53=0,"",IF(K53&lt;I53*0.4,A53,""))</f>
        <v>الرياضيات</v>
      </c>
      <c r="Q58" s="137" t="str">
        <f>ادخال1!$O$8</f>
        <v>التربية الفنية</v>
      </c>
      <c r="R58" s="152">
        <f>ادخال1!$O$7</f>
        <v>1</v>
      </c>
      <c r="S58" s="433" t="str">
        <f>IFERROR(VLOOKUP(AC62,اسماء,14,0),"")</f>
        <v>جيد جداً</v>
      </c>
      <c r="T58" s="433"/>
      <c r="U58" s="433">
        <f>IFERROR(VLOOKUP(AC62,اسماء,27,0),"")</f>
        <v>0</v>
      </c>
      <c r="V58" s="433"/>
      <c r="W58" s="433">
        <f>IFERROR(VLOOKUP(AC62,اسماء,40,0),"")</f>
        <v>0</v>
      </c>
      <c r="X58" s="433"/>
      <c r="Y58" s="443"/>
      <c r="Z58" s="575"/>
      <c r="AA58" s="487"/>
      <c r="AB58" s="36"/>
      <c r="AC58" s="109" t="str">
        <f>IF(AA51=0,"",IF(AA51&lt;Y51*0.4,Q51,""))</f>
        <v>اللغة الإنجليزية</v>
      </c>
      <c r="AD58" s="159" t="str">
        <f>IF(AA52=0,"",IF(AA52&lt;Y52*0.4,Q52,""))</f>
        <v>الحاسوب</v>
      </c>
      <c r="AE58" s="160" t="str">
        <f>IF(AA53=0,"",IF(AA53&lt;Y53*0.4,Q53,""))</f>
        <v>الرياضيات</v>
      </c>
      <c r="AG58" s="137" t="str">
        <f>ادخال1!$O$8</f>
        <v>التربية الفنية</v>
      </c>
      <c r="AH58" s="152">
        <f>ادخال1!$O$7</f>
        <v>1</v>
      </c>
      <c r="AI58" s="433" t="str">
        <f>IFERROR(VLOOKUP(AS62,اسماء,14,0),"")</f>
        <v>جيد جداً</v>
      </c>
      <c r="AJ58" s="433"/>
      <c r="AK58" s="433">
        <f>IFERROR(VLOOKUP(AS62,اسماء,27,0),"")</f>
        <v>0</v>
      </c>
      <c r="AL58" s="433"/>
      <c r="AM58" s="433">
        <f>IFERROR(VLOOKUP(AS62,اسماء,40,0),"")</f>
        <v>0</v>
      </c>
      <c r="AN58" s="433"/>
      <c r="AO58" s="443"/>
      <c r="AP58" s="575"/>
      <c r="AQ58" s="487"/>
      <c r="AR58" s="36"/>
      <c r="AS58" s="109" t="str">
        <f>IF(AQ51=0,"",IF(AQ51&lt;AO51*0.4,AG51,""))</f>
        <v>اللغة الإنجليزية</v>
      </c>
      <c r="AT58" s="159" t="str">
        <f>IF(AQ52=0,"",IF(AQ52&lt;AO52*0.4,AG52,""))</f>
        <v>الحاسوب</v>
      </c>
      <c r="AU58" s="160" t="str">
        <f>IF(AQ53=0,"",IF(AQ53&lt;AO53*0.4,AG53,""))</f>
        <v>الرياضيات</v>
      </c>
      <c r="AW58" s="137" t="str">
        <f>ادخال1!$O$8</f>
        <v>التربية الفنية</v>
      </c>
      <c r="AX58" s="152">
        <f>ادخال1!$O$7</f>
        <v>1</v>
      </c>
      <c r="AY58" s="433" t="str">
        <f>IFERROR(VLOOKUP(BI62,اسماء,14,0),"")</f>
        <v>جيد جداً</v>
      </c>
      <c r="AZ58" s="433"/>
      <c r="BA58" s="433">
        <f>IFERROR(VLOOKUP(BI62,اسماء,27,0),"")</f>
        <v>0</v>
      </c>
      <c r="BB58" s="433"/>
      <c r="BC58" s="433">
        <f>IFERROR(VLOOKUP(BI62,اسماء,40,0),"")</f>
        <v>0</v>
      </c>
      <c r="BD58" s="433"/>
      <c r="BE58" s="443"/>
      <c r="BF58" s="575"/>
      <c r="BG58" s="487"/>
      <c r="BH58" s="36"/>
      <c r="BI58" s="109" t="str">
        <f>IF(BG51=0,"",IF(BG51&lt;BE51*0.4,AW51,""))</f>
        <v>اللغة الإنجليزية</v>
      </c>
      <c r="BJ58" s="159" t="str">
        <f>IF(BG52=0,"",IF(BG52&lt;BE52*0.4,AW52,""))</f>
        <v>الحاسوب</v>
      </c>
      <c r="BK58" s="160" t="str">
        <f>IF(BG53=0,"",IF(BG53&lt;BE53*0.4,AW53,""))</f>
        <v>الرياضيات</v>
      </c>
    </row>
    <row r="59" spans="1:64" ht="24.95" customHeight="1" thickBot="1" x14ac:dyDescent="0.3">
      <c r="A59" s="138" t="str">
        <f>ادخال1!$P$8</f>
        <v>التربية البدنية</v>
      </c>
      <c r="B59" s="153">
        <f>ادخال1!$P$7</f>
        <v>2</v>
      </c>
      <c r="C59" s="433" t="str">
        <f>IFERROR(VLOOKUP(M62,اسماء,15,0),"")</f>
        <v>جيد جداً</v>
      </c>
      <c r="D59" s="433"/>
      <c r="E59" s="433">
        <f>IFERROR(VLOOKUP(M62,اسماء,28,0),"")</f>
        <v>0</v>
      </c>
      <c r="F59" s="433"/>
      <c r="G59" s="433">
        <f>IFERROR(VLOOKUP(M62,اسماء,41,0),"")</f>
        <v>0</v>
      </c>
      <c r="H59" s="433"/>
      <c r="I59" s="507"/>
      <c r="J59" s="508"/>
      <c r="K59" s="509"/>
      <c r="L59" s="36"/>
      <c r="M59" s="109" t="str">
        <f>IF(K54=0,"",IF(K54&lt;I54*0.4,A54,""))</f>
        <v>العلوم</v>
      </c>
      <c r="N59" s="109" t="str">
        <f>IF(K55=0,"",IF(K55&lt;I55*0.4,A55,""))</f>
        <v>الاجتماعيات</v>
      </c>
      <c r="O59" s="357"/>
      <c r="Q59" s="138" t="str">
        <f>ادخال1!$P$8</f>
        <v>التربية البدنية</v>
      </c>
      <c r="R59" s="153">
        <f>ادخال1!$P$7</f>
        <v>2</v>
      </c>
      <c r="S59" s="433" t="str">
        <f>IFERROR(VLOOKUP(AC62,اسماء,15,0),"")</f>
        <v>جيد جداً</v>
      </c>
      <c r="T59" s="433"/>
      <c r="U59" s="433">
        <f>IFERROR(VLOOKUP(AC62,اسماء,28,0),"")</f>
        <v>0</v>
      </c>
      <c r="V59" s="433"/>
      <c r="W59" s="433">
        <f>IFERROR(VLOOKUP(AC62,اسماء,41,0),"")</f>
        <v>0</v>
      </c>
      <c r="X59" s="433"/>
      <c r="Y59" s="507"/>
      <c r="Z59" s="508"/>
      <c r="AA59" s="509"/>
      <c r="AB59" s="36"/>
      <c r="AC59" s="109" t="str">
        <f>IF(AA54=0,"",IF(AA54&lt;Y54*0.4,Q54,""))</f>
        <v>العلوم</v>
      </c>
      <c r="AD59" s="109" t="str">
        <f>IF(AA55=0,"",IF(AA55&lt;Y55*0.4,Q55,""))</f>
        <v>الاجتماعيات</v>
      </c>
      <c r="AE59" s="357"/>
      <c r="AG59" s="138" t="str">
        <f>ادخال1!$P$8</f>
        <v>التربية البدنية</v>
      </c>
      <c r="AH59" s="153">
        <f>ادخال1!$P$7</f>
        <v>2</v>
      </c>
      <c r="AI59" s="433" t="str">
        <f>IFERROR(VLOOKUP(AS62,اسماء,15,0),"")</f>
        <v>جيد جداً</v>
      </c>
      <c r="AJ59" s="433"/>
      <c r="AK59" s="433">
        <f>IFERROR(VLOOKUP(AS62,اسماء,28,0),"")</f>
        <v>0</v>
      </c>
      <c r="AL59" s="433"/>
      <c r="AM59" s="433">
        <f>IFERROR(VLOOKUP(AS62,اسماء,41,0),"")</f>
        <v>0</v>
      </c>
      <c r="AN59" s="433"/>
      <c r="AO59" s="507"/>
      <c r="AP59" s="508"/>
      <c r="AQ59" s="509"/>
      <c r="AR59" s="36"/>
      <c r="AS59" s="109" t="str">
        <f>IF(AQ54=0,"",IF(AQ54&lt;AO54*0.4,AG54,""))</f>
        <v>العلوم</v>
      </c>
      <c r="AT59" s="109" t="str">
        <f>IF(AQ55=0,"",IF(AQ55&lt;AO55*0.4,AG55,""))</f>
        <v>الاجتماعيات</v>
      </c>
      <c r="AU59" s="357"/>
      <c r="AW59" s="138" t="str">
        <f>ادخال1!$P$8</f>
        <v>التربية البدنية</v>
      </c>
      <c r="AX59" s="153">
        <f>ادخال1!$P$7</f>
        <v>2</v>
      </c>
      <c r="AY59" s="433" t="str">
        <f>IFERROR(VLOOKUP(BI62,اسماء,15,0),"")</f>
        <v>جيد جداً</v>
      </c>
      <c r="AZ59" s="433"/>
      <c r="BA59" s="433">
        <f>IFERROR(VLOOKUP(BI62,اسماء,28,0),"")</f>
        <v>0</v>
      </c>
      <c r="BB59" s="433"/>
      <c r="BC59" s="433">
        <f>IFERROR(VLOOKUP(BI62,اسماء,41,0),"")</f>
        <v>0</v>
      </c>
      <c r="BD59" s="433"/>
      <c r="BE59" s="507"/>
      <c r="BF59" s="508"/>
      <c r="BG59" s="509"/>
      <c r="BH59" s="36"/>
      <c r="BI59" s="109" t="str">
        <f>IF(BG54=0,"",IF(BG54&lt;BE54*0.4,AW54,""))</f>
        <v>العلوم</v>
      </c>
      <c r="BJ59" s="109" t="str">
        <f>IF(BG55=0,"",IF(BG55&lt;BE55*0.4,AW55,""))</f>
        <v>الاجتماعيات</v>
      </c>
      <c r="BK59" s="357"/>
    </row>
    <row r="60" spans="1:64" ht="22.15" customHeight="1" thickBot="1" x14ac:dyDescent="0.3">
      <c r="A60" s="138" t="str">
        <f>ادخال1!$Q$8</f>
        <v>التربية الموسيقية</v>
      </c>
      <c r="B60" s="153">
        <f>ادخال1!$Q$7</f>
        <v>1</v>
      </c>
      <c r="C60" s="433">
        <f>IFERROR(VLOOKUP(M62,اسماء,16,0),"")</f>
        <v>0</v>
      </c>
      <c r="D60" s="433"/>
      <c r="E60" s="433">
        <f>IFERROR(VLOOKUP(M62,اسماء,29,0),"")</f>
        <v>0</v>
      </c>
      <c r="F60" s="433"/>
      <c r="G60" s="433">
        <f>IFERROR(VLOOKUP(M62,اسماء,42,0),"")</f>
        <v>0</v>
      </c>
      <c r="H60" s="433"/>
      <c r="I60" s="507"/>
      <c r="J60" s="508"/>
      <c r="K60" s="509"/>
      <c r="L60" s="36"/>
      <c r="M60" s="291"/>
      <c r="N60" s="292"/>
      <c r="O60" s="292"/>
      <c r="Q60" s="138" t="str">
        <f>ادخال1!$Q$8</f>
        <v>التربية الموسيقية</v>
      </c>
      <c r="R60" s="153">
        <f>ادخال1!$Q$7</f>
        <v>1</v>
      </c>
      <c r="S60" s="433">
        <f>IFERROR(VLOOKUP(AC62,اسماء,16,0),"")</f>
        <v>0</v>
      </c>
      <c r="T60" s="433"/>
      <c r="U60" s="433">
        <f>IFERROR(VLOOKUP(AC62,اسماء,29,0),"")</f>
        <v>0</v>
      </c>
      <c r="V60" s="433"/>
      <c r="W60" s="433">
        <f>IFERROR(VLOOKUP(AC62,اسماء,42,0),"")</f>
        <v>0</v>
      </c>
      <c r="X60" s="433"/>
      <c r="Y60" s="507"/>
      <c r="Z60" s="508"/>
      <c r="AA60" s="509"/>
      <c r="AB60" s="36"/>
      <c r="AC60" s="291"/>
      <c r="AD60" s="292"/>
      <c r="AE60" s="292"/>
      <c r="AG60" s="138" t="str">
        <f>ادخال1!$Q$8</f>
        <v>التربية الموسيقية</v>
      </c>
      <c r="AH60" s="153">
        <f>ادخال1!$Q$7</f>
        <v>1</v>
      </c>
      <c r="AI60" s="433">
        <f>IFERROR(VLOOKUP(AS62,اسماء,16,0),"")</f>
        <v>0</v>
      </c>
      <c r="AJ60" s="433"/>
      <c r="AK60" s="433">
        <f>IFERROR(VLOOKUP(AS62,اسماء,29,0),"")</f>
        <v>0</v>
      </c>
      <c r="AL60" s="433"/>
      <c r="AM60" s="433">
        <f>IFERROR(VLOOKUP(AS62,اسماء,42,0),"")</f>
        <v>0</v>
      </c>
      <c r="AN60" s="433"/>
      <c r="AO60" s="507"/>
      <c r="AP60" s="508"/>
      <c r="AQ60" s="509"/>
      <c r="AR60" s="36"/>
      <c r="AS60" s="291"/>
      <c r="AT60" s="292"/>
      <c r="AU60" s="292"/>
      <c r="AW60" s="138" t="str">
        <f>ادخال1!$Q$8</f>
        <v>التربية الموسيقية</v>
      </c>
      <c r="AX60" s="153">
        <f>ادخال1!$Q$7</f>
        <v>1</v>
      </c>
      <c r="AY60" s="433">
        <f>IFERROR(VLOOKUP(BI62,اسماء,16,0),"")</f>
        <v>0</v>
      </c>
      <c r="AZ60" s="433"/>
      <c r="BA60" s="433">
        <f>IFERROR(VLOOKUP(BI62,اسماء,29,0),"")</f>
        <v>0</v>
      </c>
      <c r="BB60" s="433"/>
      <c r="BC60" s="433">
        <f>IFERROR(VLOOKUP(BI62,اسماء,42,0),"")</f>
        <v>0</v>
      </c>
      <c r="BD60" s="433"/>
      <c r="BE60" s="507"/>
      <c r="BF60" s="508"/>
      <c r="BG60" s="509"/>
      <c r="BH60" s="36"/>
      <c r="BI60" s="291"/>
      <c r="BJ60" s="292"/>
      <c r="BK60" s="292"/>
    </row>
    <row r="61" spans="1:64" ht="22.15" customHeight="1" thickBot="1" x14ac:dyDescent="0.3">
      <c r="A61" s="139"/>
      <c r="B61" s="154"/>
      <c r="C61" s="34"/>
      <c r="D61" s="34"/>
      <c r="E61" s="34"/>
      <c r="F61" s="34"/>
      <c r="G61" s="34"/>
      <c r="H61" s="34"/>
      <c r="I61" s="513" t="s">
        <v>33</v>
      </c>
      <c r="J61" s="514"/>
      <c r="K61" s="514"/>
      <c r="L61" s="34"/>
      <c r="M61" s="510" t="s">
        <v>58</v>
      </c>
      <c r="N61" s="511"/>
      <c r="O61" s="512"/>
      <c r="Q61" s="139"/>
      <c r="R61" s="154"/>
      <c r="S61" s="34"/>
      <c r="T61" s="34"/>
      <c r="U61" s="34"/>
      <c r="V61" s="34"/>
      <c r="W61" s="34"/>
      <c r="X61" s="34"/>
      <c r="Y61" s="513" t="s">
        <v>33</v>
      </c>
      <c r="Z61" s="514"/>
      <c r="AA61" s="514"/>
      <c r="AB61" s="34"/>
      <c r="AC61" s="510" t="s">
        <v>58</v>
      </c>
      <c r="AD61" s="511"/>
      <c r="AE61" s="512"/>
      <c r="AG61" s="139"/>
      <c r="AH61" s="154"/>
      <c r="AI61" s="34"/>
      <c r="AJ61" s="34"/>
      <c r="AK61" s="34"/>
      <c r="AL61" s="34"/>
      <c r="AM61" s="34"/>
      <c r="AN61" s="34"/>
      <c r="AO61" s="513" t="s">
        <v>33</v>
      </c>
      <c r="AP61" s="514"/>
      <c r="AQ61" s="514"/>
      <c r="AR61" s="34"/>
      <c r="AS61" s="510" t="s">
        <v>58</v>
      </c>
      <c r="AT61" s="511"/>
      <c r="AU61" s="512"/>
      <c r="AW61" s="139"/>
      <c r="AX61" s="154"/>
      <c r="AY61" s="34"/>
      <c r="AZ61" s="34"/>
      <c r="BA61" s="34"/>
      <c r="BB61" s="34"/>
      <c r="BC61" s="34"/>
      <c r="BD61" s="34"/>
      <c r="BE61" s="513" t="s">
        <v>33</v>
      </c>
      <c r="BF61" s="514"/>
      <c r="BG61" s="514"/>
      <c r="BH61" s="34"/>
      <c r="BI61" s="510" t="s">
        <v>58</v>
      </c>
      <c r="BJ61" s="511"/>
      <c r="BK61" s="512"/>
    </row>
    <row r="62" spans="1:64" ht="22.15" customHeight="1" x14ac:dyDescent="0.25">
      <c r="A62" s="433" t="s">
        <v>59</v>
      </c>
      <c r="B62" s="433"/>
      <c r="C62" s="433">
        <f>IFERROR(VLOOKUP(M62,اسماء,43,0),"")</f>
        <v>0</v>
      </c>
      <c r="D62" s="433"/>
      <c r="E62" s="433">
        <f>IFERROR(VLOOKUP(M62,اسماء,44,0),"")</f>
        <v>0</v>
      </c>
      <c r="F62" s="433"/>
      <c r="G62" s="433">
        <f>IFERROR(VLOOKUP(M62,اسماء,45,0),"")</f>
        <v>0</v>
      </c>
      <c r="H62" s="433"/>
      <c r="I62" s="536">
        <f>IFERROR(VLOOKUP(M62,اسماء,42,0),"")</f>
        <v>0</v>
      </c>
      <c r="J62" s="537"/>
      <c r="K62" s="538"/>
      <c r="L62" s="36"/>
      <c r="M62" s="539" t="str">
        <f>INDEX(عمود2,MATCH(O44,عمود1))</f>
        <v>أدم أحمد الفرجاني الترهوني</v>
      </c>
      <c r="N62" s="540"/>
      <c r="O62" s="541"/>
      <c r="P62" s="69"/>
      <c r="Q62" s="433" t="s">
        <v>59</v>
      </c>
      <c r="R62" s="433"/>
      <c r="S62" s="433">
        <f>IFERROR(VLOOKUP(AC62,اسماء,43,0),"")</f>
        <v>0</v>
      </c>
      <c r="T62" s="433"/>
      <c r="U62" s="433">
        <f>IFERROR(VLOOKUP(AC62,اسماء,44,0),"")</f>
        <v>0</v>
      </c>
      <c r="V62" s="433"/>
      <c r="W62" s="433">
        <f>IFERROR(VLOOKUP(AC62,اسماء,45,0),"")</f>
        <v>0</v>
      </c>
      <c r="X62" s="433"/>
      <c r="Y62" s="536">
        <f>IFERROR(VLOOKUP(AC62,اسماء,42,0),"")</f>
        <v>0</v>
      </c>
      <c r="Z62" s="537"/>
      <c r="AA62" s="538"/>
      <c r="AB62" s="36"/>
      <c r="AC62" s="539" t="str">
        <f>INDEX(عمود2,MATCH(AE44,عمود1))</f>
        <v xml:space="preserve">سالم عمر سالم التائب </v>
      </c>
      <c r="AD62" s="540"/>
      <c r="AE62" s="541"/>
      <c r="AF62" s="69"/>
      <c r="AG62" s="433" t="s">
        <v>59</v>
      </c>
      <c r="AH62" s="433"/>
      <c r="AI62" s="433">
        <f>IFERROR(VLOOKUP(AS62,اسماء,43,0),"")</f>
        <v>0</v>
      </c>
      <c r="AJ62" s="433"/>
      <c r="AK62" s="433">
        <f>IFERROR(VLOOKUP(AS62,اسماء,44,0),"")</f>
        <v>0</v>
      </c>
      <c r="AL62" s="433"/>
      <c r="AM62" s="433">
        <f>IFERROR(VLOOKUP(AS62,اسماء,45,0),"")</f>
        <v>0</v>
      </c>
      <c r="AN62" s="433"/>
      <c r="AO62" s="536">
        <f>IFERROR(VLOOKUP(AS62,اسماء,42,0),"")</f>
        <v>0</v>
      </c>
      <c r="AP62" s="537"/>
      <c r="AQ62" s="538"/>
      <c r="AR62" s="36"/>
      <c r="AS62" s="539" t="str">
        <f>INDEX(عمود2,MATCH(AU44,عمود1))</f>
        <v>عبد الوهاب علي عبد الوهاب بودجاجة</v>
      </c>
      <c r="AT62" s="540"/>
      <c r="AU62" s="541"/>
      <c r="AV62" s="69"/>
      <c r="AW62" s="433" t="s">
        <v>59</v>
      </c>
      <c r="AX62" s="433"/>
      <c r="AY62" s="433">
        <f>IFERROR(VLOOKUP(BI62,اسماء,43,0),"")</f>
        <v>0</v>
      </c>
      <c r="AZ62" s="433"/>
      <c r="BA62" s="433">
        <f>IFERROR(VLOOKUP(BI62,اسماء,44,0),"")</f>
        <v>0</v>
      </c>
      <c r="BB62" s="433"/>
      <c r="BC62" s="433">
        <f>IFERROR(VLOOKUP(BI62,اسماء,45,0),"")</f>
        <v>0</v>
      </c>
      <c r="BD62" s="433"/>
      <c r="BE62" s="536">
        <f>IFERROR(VLOOKUP(BI62,اسماء,42,0),"")</f>
        <v>0</v>
      </c>
      <c r="BF62" s="537"/>
      <c r="BG62" s="538"/>
      <c r="BH62" s="36"/>
      <c r="BI62" s="539" t="str">
        <f>INDEX(عمود2,MATCH(BK44,عمود1))</f>
        <v xml:space="preserve">ميّار صالح محمد ديماس </v>
      </c>
      <c r="BJ62" s="540"/>
      <c r="BK62" s="541"/>
    </row>
    <row r="63" spans="1:64" ht="24.95" customHeight="1" x14ac:dyDescent="0.25">
      <c r="A63" s="433" t="s">
        <v>60</v>
      </c>
      <c r="B63" s="433"/>
      <c r="C63" s="433">
        <f>IFERROR(VLOOKUP(M62,اسماء,46,0),"")</f>
        <v>0</v>
      </c>
      <c r="D63" s="433"/>
      <c r="E63" s="433">
        <f>IFERROR(VLOOKUP(M62,اسماء,48,0),"")</f>
        <v>0</v>
      </c>
      <c r="F63" s="433"/>
      <c r="G63" s="433">
        <f>IFERROR(VLOOKUP(M62,اسماء,50,0),"")</f>
        <v>0</v>
      </c>
      <c r="H63" s="433"/>
      <c r="I63" s="436"/>
      <c r="J63" s="433"/>
      <c r="K63" s="516"/>
      <c r="L63" s="36"/>
      <c r="M63" s="542" t="str">
        <f>IF(I62="غائب","يبقى سنة اخرى في الصف",IF(K56&gt;0,"ناجحاً ومنقولاً الى الصف ","له دور ثان"))</f>
        <v>له دور ثان</v>
      </c>
      <c r="N63" s="543"/>
      <c r="O63" s="544"/>
      <c r="Q63" s="433" t="s">
        <v>60</v>
      </c>
      <c r="R63" s="433"/>
      <c r="S63" s="433">
        <f>IFERROR(VLOOKUP(AC62,اسماء,46,0),"")</f>
        <v>0</v>
      </c>
      <c r="T63" s="433"/>
      <c r="U63" s="433">
        <f>IFERROR(VLOOKUP(AC62,اسماء,48,0),"")</f>
        <v>0</v>
      </c>
      <c r="V63" s="433"/>
      <c r="W63" s="433">
        <f>IFERROR(VLOOKUP(AC62,اسماء,50,0),"")</f>
        <v>0</v>
      </c>
      <c r="X63" s="433"/>
      <c r="Y63" s="436"/>
      <c r="Z63" s="433"/>
      <c r="AA63" s="516"/>
      <c r="AB63" s="36"/>
      <c r="AC63" s="542" t="str">
        <f>IF(Y62="غائب","يبقى سنة اخرى في الصف",IF(AA56&gt;0,"ناجحاً ومنقولاً الى الصف ","له دور ثان"))</f>
        <v>له دور ثان</v>
      </c>
      <c r="AD63" s="543"/>
      <c r="AE63" s="544"/>
      <c r="AG63" s="433" t="s">
        <v>60</v>
      </c>
      <c r="AH63" s="433"/>
      <c r="AI63" s="433">
        <f>IFERROR(VLOOKUP(AS62,اسماء,46,0),"")</f>
        <v>0</v>
      </c>
      <c r="AJ63" s="433"/>
      <c r="AK63" s="433">
        <f>IFERROR(VLOOKUP(AS62,اسماء,48,0),"")</f>
        <v>0</v>
      </c>
      <c r="AL63" s="433"/>
      <c r="AM63" s="433">
        <f>IFERROR(VLOOKUP(AS62,اسماء,50,0),"")</f>
        <v>0</v>
      </c>
      <c r="AN63" s="433"/>
      <c r="AO63" s="436"/>
      <c r="AP63" s="433"/>
      <c r="AQ63" s="516"/>
      <c r="AR63" s="36"/>
      <c r="AS63" s="542" t="str">
        <f>IF(AO62="غائب","يبقى سنة اخرى في الصف",IF(AQ56&gt;0,"ناجحاً ومنقولاً الى الصف ","له دور ثان"))</f>
        <v>له دور ثان</v>
      </c>
      <c r="AT63" s="543"/>
      <c r="AU63" s="544"/>
      <c r="AW63" s="433" t="s">
        <v>60</v>
      </c>
      <c r="AX63" s="433"/>
      <c r="AY63" s="433">
        <f>IFERROR(VLOOKUP(BI62,اسماء,46,0),"")</f>
        <v>0</v>
      </c>
      <c r="AZ63" s="433"/>
      <c r="BA63" s="433">
        <f>IFERROR(VLOOKUP(BI62,اسماء,48,0),"")</f>
        <v>0</v>
      </c>
      <c r="BB63" s="433"/>
      <c r="BC63" s="433">
        <f>IFERROR(VLOOKUP(BI62,اسماء,50,0),"")</f>
        <v>0</v>
      </c>
      <c r="BD63" s="433"/>
      <c r="BE63" s="436"/>
      <c r="BF63" s="433"/>
      <c r="BG63" s="516"/>
      <c r="BH63" s="36"/>
      <c r="BI63" s="542" t="str">
        <f>IF(BE62="غائب","يبقى سنة اخرى في الصف",IF(BG56&gt;0,"ناجحاً ومنقولاً الى الصف ","له دور ثان"))</f>
        <v>له دور ثان</v>
      </c>
      <c r="BJ63" s="543"/>
      <c r="BK63" s="544"/>
    </row>
    <row r="64" spans="1:64" ht="24.95" customHeight="1" thickBot="1" x14ac:dyDescent="0.3">
      <c r="A64" s="545" t="s">
        <v>61</v>
      </c>
      <c r="B64" s="545"/>
      <c r="C64" s="433">
        <f>IFERROR(VLOOKUP(M62,اسماء,47,0),"")</f>
        <v>0</v>
      </c>
      <c r="D64" s="433"/>
      <c r="E64" s="433">
        <f>IFERROR(VLOOKUP(M62,اسماء,49,0),"")</f>
        <v>0</v>
      </c>
      <c r="F64" s="433"/>
      <c r="G64" s="433">
        <f>IFERROR(VLOOKUP(M62,اسماء,51,0),"")</f>
        <v>0</v>
      </c>
      <c r="H64" s="433"/>
      <c r="I64" s="453"/>
      <c r="J64" s="518"/>
      <c r="K64" s="519"/>
      <c r="L64" s="36"/>
      <c r="M64" s="546" t="str">
        <f>IF(I62="غائب",D44,IF(M63="له دور ثان","",IF(M63="يبقى سنة أخرى بالصف",D44,IF(D44="الرابع","الخامس",IF(D44="الخامس","السادس")))))</f>
        <v/>
      </c>
      <c r="N64" s="546"/>
      <c r="O64" s="546"/>
      <c r="Q64" s="545" t="s">
        <v>61</v>
      </c>
      <c r="R64" s="545"/>
      <c r="S64" s="433">
        <f>IFERROR(VLOOKUP(AC62,اسماء,47,0),"")</f>
        <v>0</v>
      </c>
      <c r="T64" s="433"/>
      <c r="U64" s="433">
        <f>IFERROR(VLOOKUP(AC62,اسماء,49,0),"")</f>
        <v>0</v>
      </c>
      <c r="V64" s="433"/>
      <c r="W64" s="433">
        <f>IFERROR(VLOOKUP(AC62,اسماء,51,0),"")</f>
        <v>0</v>
      </c>
      <c r="X64" s="433"/>
      <c r="Y64" s="453"/>
      <c r="Z64" s="518"/>
      <c r="AA64" s="519"/>
      <c r="AB64" s="36"/>
      <c r="AC64" s="546" t="str">
        <f>IF(Y62="غائب",T44,IF(AC63="له دور ثان","",IF(AC63="يبقى سنة أخرى بالصف",T44,IF(T44="الرابع","الخامس",IF(T44="الخامس","السادس")))))</f>
        <v/>
      </c>
      <c r="AD64" s="546"/>
      <c r="AE64" s="546"/>
      <c r="AG64" s="545" t="s">
        <v>61</v>
      </c>
      <c r="AH64" s="545"/>
      <c r="AI64" s="433">
        <f>IFERROR(VLOOKUP(AS62,اسماء,47,0),"")</f>
        <v>0</v>
      </c>
      <c r="AJ64" s="433"/>
      <c r="AK64" s="433">
        <f>IFERROR(VLOOKUP(AS62,اسماء,49,0),"")</f>
        <v>0</v>
      </c>
      <c r="AL64" s="433"/>
      <c r="AM64" s="433">
        <f>IFERROR(VLOOKUP(AS62,اسماء,51,0),"")</f>
        <v>0</v>
      </c>
      <c r="AN64" s="433"/>
      <c r="AO64" s="453"/>
      <c r="AP64" s="518"/>
      <c r="AQ64" s="519"/>
      <c r="AR64" s="36"/>
      <c r="AS64" s="546" t="str">
        <f>IF(AO62="غائب",AJ44,IF(AS63="له دور ثان","",IF(AS63="يبقى سنة أخرى بالصف",AJ44,IF(AJ44="الرابع","الخامس",IF(AJ44="الخامس","السادس")))))</f>
        <v/>
      </c>
      <c r="AT64" s="546"/>
      <c r="AU64" s="546"/>
      <c r="AW64" s="545" t="s">
        <v>61</v>
      </c>
      <c r="AX64" s="545"/>
      <c r="AY64" s="433">
        <f>IFERROR(VLOOKUP(BI62,اسماء,47,0),"")</f>
        <v>0</v>
      </c>
      <c r="AZ64" s="433"/>
      <c r="BA64" s="433">
        <f>IFERROR(VLOOKUP(BI62,اسماء,49,0),"")</f>
        <v>0</v>
      </c>
      <c r="BB64" s="433"/>
      <c r="BC64" s="433">
        <f>IFERROR(VLOOKUP(BI62,اسماء,51,0),"")</f>
        <v>0</v>
      </c>
      <c r="BD64" s="433"/>
      <c r="BE64" s="453"/>
      <c r="BF64" s="518"/>
      <c r="BG64" s="519"/>
      <c r="BH64" s="36"/>
      <c r="BI64" s="546" t="str">
        <f>IF(BE62="غائب",AZ44,IF(BI63="له دور ثان","",IF(BI63="يبقى سنة أخرى بالصف",AZ44,IF(AZ44="الرابع","الخامس",IF(AZ44="الخامس","السادس")))))</f>
        <v/>
      </c>
      <c r="BJ64" s="546"/>
      <c r="BK64" s="546"/>
    </row>
    <row r="65" spans="1:63" ht="24.95" customHeight="1" x14ac:dyDescent="0.25">
      <c r="A65" s="137" t="s">
        <v>88</v>
      </c>
      <c r="B65" s="468"/>
      <c r="C65" s="468"/>
      <c r="D65" s="468"/>
      <c r="E65" s="468"/>
      <c r="F65" s="468"/>
      <c r="G65" s="468"/>
      <c r="H65" s="568"/>
      <c r="I65" s="517" t="s">
        <v>66</v>
      </c>
      <c r="J65" s="517"/>
      <c r="K65" s="515" t="str">
        <f>ادخال1!$BP$5</f>
        <v>د.عبدالرحمن خليفة العريبي</v>
      </c>
      <c r="L65" s="515"/>
      <c r="M65" s="515"/>
      <c r="N65" s="515"/>
      <c r="O65" s="515"/>
      <c r="Q65" s="137" t="s">
        <v>88</v>
      </c>
      <c r="R65" s="468"/>
      <c r="S65" s="468"/>
      <c r="T65" s="468"/>
      <c r="U65" s="468"/>
      <c r="V65" s="468"/>
      <c r="W65" s="468"/>
      <c r="X65" s="568"/>
      <c r="Y65" s="517" t="s">
        <v>66</v>
      </c>
      <c r="Z65" s="517"/>
      <c r="AA65" s="515" t="str">
        <f>ادخال1!$BP$5</f>
        <v>د.عبدالرحمن خليفة العريبي</v>
      </c>
      <c r="AB65" s="515"/>
      <c r="AC65" s="515"/>
      <c r="AD65" s="515"/>
      <c r="AE65" s="515"/>
      <c r="AG65" s="137" t="s">
        <v>88</v>
      </c>
      <c r="AH65" s="468"/>
      <c r="AI65" s="468"/>
      <c r="AJ65" s="468"/>
      <c r="AK65" s="468"/>
      <c r="AL65" s="468"/>
      <c r="AM65" s="468"/>
      <c r="AN65" s="568"/>
      <c r="AO65" s="517" t="s">
        <v>66</v>
      </c>
      <c r="AP65" s="517"/>
      <c r="AQ65" s="515" t="str">
        <f>ادخال1!$BP$5</f>
        <v>د.عبدالرحمن خليفة العريبي</v>
      </c>
      <c r="AR65" s="515"/>
      <c r="AS65" s="515"/>
      <c r="AT65" s="515"/>
      <c r="AU65" s="515"/>
      <c r="AW65" s="137" t="s">
        <v>88</v>
      </c>
      <c r="AX65" s="468"/>
      <c r="AY65" s="468"/>
      <c r="AZ65" s="468"/>
      <c r="BA65" s="468"/>
      <c r="BB65" s="468"/>
      <c r="BC65" s="468"/>
      <c r="BD65" s="568"/>
      <c r="BE65" s="517" t="s">
        <v>66</v>
      </c>
      <c r="BF65" s="517"/>
      <c r="BG65" s="515" t="str">
        <f>ادخال1!$BP$5</f>
        <v>د.عبدالرحمن خليفة العريبي</v>
      </c>
      <c r="BH65" s="515"/>
      <c r="BI65" s="515"/>
      <c r="BJ65" s="515"/>
      <c r="BK65" s="515"/>
    </row>
    <row r="66" spans="1:63" ht="24.95" customHeight="1" x14ac:dyDescent="0.25">
      <c r="A66" s="61" t="s">
        <v>15</v>
      </c>
      <c r="B66" s="433"/>
      <c r="C66" s="433"/>
      <c r="D66" s="433"/>
      <c r="E66" s="433"/>
      <c r="F66" s="433"/>
      <c r="G66" s="433"/>
      <c r="H66" s="516"/>
      <c r="I66" s="488" t="s">
        <v>68</v>
      </c>
      <c r="J66" s="488"/>
      <c r="K66" s="488"/>
      <c r="L66" s="68"/>
      <c r="M66" s="506">
        <f ca="1">TODAY()</f>
        <v>46035</v>
      </c>
      <c r="N66" s="506"/>
      <c r="O66" s="506"/>
      <c r="Q66" s="61" t="s">
        <v>15</v>
      </c>
      <c r="R66" s="433"/>
      <c r="S66" s="433"/>
      <c r="T66" s="433"/>
      <c r="U66" s="433"/>
      <c r="V66" s="433"/>
      <c r="W66" s="433"/>
      <c r="X66" s="516"/>
      <c r="Y66" s="488" t="s">
        <v>68</v>
      </c>
      <c r="Z66" s="488"/>
      <c r="AA66" s="488"/>
      <c r="AB66" s="68"/>
      <c r="AC66" s="506">
        <f ca="1">TODAY()</f>
        <v>46035</v>
      </c>
      <c r="AD66" s="506"/>
      <c r="AE66" s="506"/>
      <c r="AG66" s="61" t="s">
        <v>15</v>
      </c>
      <c r="AH66" s="433"/>
      <c r="AI66" s="433"/>
      <c r="AJ66" s="433"/>
      <c r="AK66" s="433"/>
      <c r="AL66" s="433"/>
      <c r="AM66" s="433"/>
      <c r="AN66" s="516"/>
      <c r="AO66" s="488" t="s">
        <v>68</v>
      </c>
      <c r="AP66" s="488"/>
      <c r="AQ66" s="488"/>
      <c r="AR66" s="68"/>
      <c r="AS66" s="506">
        <f ca="1">TODAY()</f>
        <v>46035</v>
      </c>
      <c r="AT66" s="506"/>
      <c r="AU66" s="506"/>
      <c r="AW66" s="61" t="s">
        <v>15</v>
      </c>
      <c r="AX66" s="433"/>
      <c r="AY66" s="433"/>
      <c r="AZ66" s="433"/>
      <c r="BA66" s="433"/>
      <c r="BB66" s="433"/>
      <c r="BC66" s="433"/>
      <c r="BD66" s="516"/>
      <c r="BE66" s="488" t="s">
        <v>68</v>
      </c>
      <c r="BF66" s="488"/>
      <c r="BG66" s="488"/>
      <c r="BH66" s="68"/>
      <c r="BI66" s="506">
        <f ca="1">TODAY()</f>
        <v>46035</v>
      </c>
      <c r="BJ66" s="506"/>
      <c r="BK66" s="506"/>
    </row>
    <row r="67" spans="1:63" ht="16.5" thickBot="1" x14ac:dyDescent="0.3">
      <c r="A67" s="138" t="s">
        <v>89</v>
      </c>
      <c r="B67" s="518"/>
      <c r="C67" s="518"/>
      <c r="D67" s="518"/>
      <c r="E67" s="518"/>
      <c r="F67" s="518"/>
      <c r="G67" s="518"/>
      <c r="H67" s="519"/>
      <c r="I67" s="520" t="s">
        <v>70</v>
      </c>
      <c r="J67" s="520"/>
      <c r="K67" s="520"/>
      <c r="L67" s="520"/>
      <c r="M67" s="520"/>
      <c r="N67" s="520"/>
      <c r="O67" s="521"/>
      <c r="Q67" s="138" t="s">
        <v>89</v>
      </c>
      <c r="R67" s="518"/>
      <c r="S67" s="518"/>
      <c r="T67" s="518"/>
      <c r="U67" s="518"/>
      <c r="V67" s="518"/>
      <c r="W67" s="518"/>
      <c r="X67" s="519"/>
      <c r="Y67" s="520" t="s">
        <v>70</v>
      </c>
      <c r="Z67" s="520"/>
      <c r="AA67" s="520"/>
      <c r="AB67" s="520"/>
      <c r="AC67" s="520"/>
      <c r="AD67" s="520"/>
      <c r="AE67" s="521"/>
      <c r="AG67" s="138" t="s">
        <v>89</v>
      </c>
      <c r="AH67" s="518"/>
      <c r="AI67" s="518"/>
      <c r="AJ67" s="518"/>
      <c r="AK67" s="518"/>
      <c r="AL67" s="518"/>
      <c r="AM67" s="518"/>
      <c r="AN67" s="519"/>
      <c r="AO67" s="520" t="s">
        <v>70</v>
      </c>
      <c r="AP67" s="520"/>
      <c r="AQ67" s="520"/>
      <c r="AR67" s="520"/>
      <c r="AS67" s="520"/>
      <c r="AT67" s="520"/>
      <c r="AU67" s="521"/>
      <c r="AW67" s="138" t="s">
        <v>89</v>
      </c>
      <c r="AX67" s="518"/>
      <c r="AY67" s="518"/>
      <c r="AZ67" s="518"/>
      <c r="BA67" s="518"/>
      <c r="BB67" s="518"/>
      <c r="BC67" s="518"/>
      <c r="BD67" s="519"/>
      <c r="BE67" s="520" t="s">
        <v>70</v>
      </c>
      <c r="BF67" s="520"/>
      <c r="BG67" s="520"/>
      <c r="BH67" s="520"/>
      <c r="BI67" s="520"/>
      <c r="BJ67" s="520"/>
      <c r="BK67" s="521"/>
    </row>
    <row r="68" spans="1:63" thickTop="1" x14ac:dyDescent="0.25">
      <c r="A68" s="522" t="s">
        <v>84</v>
      </c>
      <c r="B68" s="523"/>
      <c r="C68" s="523"/>
      <c r="D68" s="523"/>
      <c r="E68" s="39"/>
      <c r="F68" s="39"/>
      <c r="G68" s="40"/>
      <c r="H68" s="8"/>
      <c r="I68" s="524" t="s">
        <v>71</v>
      </c>
      <c r="J68" s="525"/>
      <c r="K68" s="525"/>
      <c r="L68" s="525"/>
      <c r="M68" s="525"/>
      <c r="N68" s="525"/>
      <c r="O68" s="526"/>
      <c r="Q68" s="522" t="s">
        <v>84</v>
      </c>
      <c r="R68" s="523"/>
      <c r="S68" s="523"/>
      <c r="T68" s="523"/>
      <c r="U68" s="39"/>
      <c r="V68" s="39"/>
      <c r="W68" s="40"/>
      <c r="X68" s="8"/>
      <c r="Y68" s="524" t="s">
        <v>71</v>
      </c>
      <c r="Z68" s="525"/>
      <c r="AA68" s="525"/>
      <c r="AB68" s="525"/>
      <c r="AC68" s="525"/>
      <c r="AD68" s="525"/>
      <c r="AE68" s="526"/>
      <c r="AG68" s="522" t="s">
        <v>84</v>
      </c>
      <c r="AH68" s="523"/>
      <c r="AI68" s="523"/>
      <c r="AJ68" s="523"/>
      <c r="AK68" s="39"/>
      <c r="AL68" s="39"/>
      <c r="AM68" s="40"/>
      <c r="AN68" s="8"/>
      <c r="AO68" s="524" t="s">
        <v>71</v>
      </c>
      <c r="AP68" s="525"/>
      <c r="AQ68" s="525"/>
      <c r="AR68" s="525"/>
      <c r="AS68" s="525"/>
      <c r="AT68" s="525"/>
      <c r="AU68" s="526"/>
      <c r="AW68" s="522" t="s">
        <v>84</v>
      </c>
      <c r="AX68" s="523"/>
      <c r="AY68" s="523"/>
      <c r="AZ68" s="523"/>
      <c r="BA68" s="39"/>
      <c r="BB68" s="39"/>
      <c r="BC68" s="40"/>
      <c r="BD68" s="8"/>
      <c r="BE68" s="524" t="s">
        <v>71</v>
      </c>
      <c r="BF68" s="525"/>
      <c r="BG68" s="525"/>
      <c r="BH68" s="525"/>
      <c r="BI68" s="525"/>
      <c r="BJ68" s="525"/>
      <c r="BK68" s="526"/>
    </row>
    <row r="69" spans="1:63" ht="14.25" customHeight="1" x14ac:dyDescent="0.25">
      <c r="A69" s="527" t="s">
        <v>72</v>
      </c>
      <c r="B69" s="528"/>
      <c r="C69" s="528"/>
      <c r="D69" s="528"/>
      <c r="E69" s="528"/>
      <c r="F69" s="528"/>
      <c r="G69" s="529"/>
      <c r="H69" s="8"/>
      <c r="I69" s="530" t="s">
        <v>85</v>
      </c>
      <c r="J69" s="531"/>
      <c r="K69" s="531"/>
      <c r="L69" s="531"/>
      <c r="M69" s="531"/>
      <c r="N69" s="531"/>
      <c r="O69" s="532"/>
      <c r="Q69" s="527" t="s">
        <v>72</v>
      </c>
      <c r="R69" s="528"/>
      <c r="S69" s="528"/>
      <c r="T69" s="528"/>
      <c r="U69" s="528"/>
      <c r="V69" s="528"/>
      <c r="W69" s="529"/>
      <c r="X69" s="8"/>
      <c r="Y69" s="530" t="s">
        <v>85</v>
      </c>
      <c r="Z69" s="531"/>
      <c r="AA69" s="531"/>
      <c r="AB69" s="531"/>
      <c r="AC69" s="531"/>
      <c r="AD69" s="531"/>
      <c r="AE69" s="532"/>
      <c r="AG69" s="527" t="s">
        <v>72</v>
      </c>
      <c r="AH69" s="528"/>
      <c r="AI69" s="528"/>
      <c r="AJ69" s="528"/>
      <c r="AK69" s="528"/>
      <c r="AL69" s="528"/>
      <c r="AM69" s="529"/>
      <c r="AN69" s="8"/>
      <c r="AO69" s="530" t="s">
        <v>85</v>
      </c>
      <c r="AP69" s="531"/>
      <c r="AQ69" s="531"/>
      <c r="AR69" s="531"/>
      <c r="AS69" s="531"/>
      <c r="AT69" s="531"/>
      <c r="AU69" s="532"/>
      <c r="AW69" s="527" t="s">
        <v>72</v>
      </c>
      <c r="AX69" s="528"/>
      <c r="AY69" s="528"/>
      <c r="AZ69" s="528"/>
      <c r="BA69" s="528"/>
      <c r="BB69" s="528"/>
      <c r="BC69" s="529"/>
      <c r="BD69" s="8"/>
      <c r="BE69" s="530" t="s">
        <v>85</v>
      </c>
      <c r="BF69" s="531"/>
      <c r="BG69" s="531"/>
      <c r="BH69" s="531"/>
      <c r="BI69" s="531"/>
      <c r="BJ69" s="531"/>
      <c r="BK69" s="532"/>
    </row>
    <row r="70" spans="1:63" ht="15" x14ac:dyDescent="0.25">
      <c r="A70" s="527"/>
      <c r="B70" s="528"/>
      <c r="C70" s="528"/>
      <c r="D70" s="528"/>
      <c r="E70" s="528"/>
      <c r="F70" s="528"/>
      <c r="G70" s="529"/>
      <c r="H70" s="8"/>
      <c r="I70" s="530"/>
      <c r="J70" s="531"/>
      <c r="K70" s="531"/>
      <c r="L70" s="531"/>
      <c r="M70" s="531"/>
      <c r="N70" s="531"/>
      <c r="O70" s="532"/>
      <c r="Q70" s="527"/>
      <c r="R70" s="528"/>
      <c r="S70" s="528"/>
      <c r="T70" s="528"/>
      <c r="U70" s="528"/>
      <c r="V70" s="528"/>
      <c r="W70" s="529"/>
      <c r="X70" s="8"/>
      <c r="Y70" s="530"/>
      <c r="Z70" s="531"/>
      <c r="AA70" s="531"/>
      <c r="AB70" s="531"/>
      <c r="AC70" s="531"/>
      <c r="AD70" s="531"/>
      <c r="AE70" s="532"/>
      <c r="AG70" s="527"/>
      <c r="AH70" s="528"/>
      <c r="AI70" s="528"/>
      <c r="AJ70" s="528"/>
      <c r="AK70" s="528"/>
      <c r="AL70" s="528"/>
      <c r="AM70" s="529"/>
      <c r="AN70" s="8"/>
      <c r="AO70" s="530"/>
      <c r="AP70" s="531"/>
      <c r="AQ70" s="531"/>
      <c r="AR70" s="531"/>
      <c r="AS70" s="531"/>
      <c r="AT70" s="531"/>
      <c r="AU70" s="532"/>
      <c r="AW70" s="527"/>
      <c r="AX70" s="528"/>
      <c r="AY70" s="528"/>
      <c r="AZ70" s="528"/>
      <c r="BA70" s="528"/>
      <c r="BB70" s="528"/>
      <c r="BC70" s="529"/>
      <c r="BD70" s="8"/>
      <c r="BE70" s="530"/>
      <c r="BF70" s="531"/>
      <c r="BG70" s="531"/>
      <c r="BH70" s="531"/>
      <c r="BI70" s="531"/>
      <c r="BJ70" s="531"/>
      <c r="BK70" s="532"/>
    </row>
    <row r="71" spans="1:63" ht="15" x14ac:dyDescent="0.25">
      <c r="A71" s="527"/>
      <c r="B71" s="528"/>
      <c r="C71" s="528"/>
      <c r="D71" s="528"/>
      <c r="E71" s="528"/>
      <c r="F71" s="528"/>
      <c r="G71" s="529"/>
      <c r="H71" s="8"/>
      <c r="I71" s="530"/>
      <c r="J71" s="531"/>
      <c r="K71" s="531"/>
      <c r="L71" s="531"/>
      <c r="M71" s="531"/>
      <c r="N71" s="531"/>
      <c r="O71" s="532"/>
      <c r="Q71" s="527"/>
      <c r="R71" s="528"/>
      <c r="S71" s="528"/>
      <c r="T71" s="528"/>
      <c r="U71" s="528"/>
      <c r="V71" s="528"/>
      <c r="W71" s="529"/>
      <c r="X71" s="8"/>
      <c r="Y71" s="530"/>
      <c r="Z71" s="531"/>
      <c r="AA71" s="531"/>
      <c r="AB71" s="531"/>
      <c r="AC71" s="531"/>
      <c r="AD71" s="531"/>
      <c r="AE71" s="532"/>
      <c r="AG71" s="527"/>
      <c r="AH71" s="528"/>
      <c r="AI71" s="528"/>
      <c r="AJ71" s="528"/>
      <c r="AK71" s="528"/>
      <c r="AL71" s="528"/>
      <c r="AM71" s="529"/>
      <c r="AN71" s="8"/>
      <c r="AO71" s="530"/>
      <c r="AP71" s="531"/>
      <c r="AQ71" s="531"/>
      <c r="AR71" s="531"/>
      <c r="AS71" s="531"/>
      <c r="AT71" s="531"/>
      <c r="AU71" s="532"/>
      <c r="AW71" s="527"/>
      <c r="AX71" s="528"/>
      <c r="AY71" s="528"/>
      <c r="AZ71" s="528"/>
      <c r="BA71" s="528"/>
      <c r="BB71" s="528"/>
      <c r="BC71" s="529"/>
      <c r="BD71" s="8"/>
      <c r="BE71" s="530"/>
      <c r="BF71" s="531"/>
      <c r="BG71" s="531"/>
      <c r="BH71" s="531"/>
      <c r="BI71" s="531"/>
      <c r="BJ71" s="531"/>
      <c r="BK71" s="532"/>
    </row>
    <row r="72" spans="1:63" ht="15" x14ac:dyDescent="0.25">
      <c r="A72" s="527"/>
      <c r="B72" s="528"/>
      <c r="C72" s="528"/>
      <c r="D72" s="528"/>
      <c r="E72" s="528"/>
      <c r="F72" s="528"/>
      <c r="G72" s="529"/>
      <c r="H72" s="8"/>
      <c r="I72" s="530"/>
      <c r="J72" s="531"/>
      <c r="K72" s="531"/>
      <c r="L72" s="531"/>
      <c r="M72" s="531"/>
      <c r="N72" s="531"/>
      <c r="O72" s="532"/>
      <c r="Q72" s="527"/>
      <c r="R72" s="528"/>
      <c r="S72" s="528"/>
      <c r="T72" s="528"/>
      <c r="U72" s="528"/>
      <c r="V72" s="528"/>
      <c r="W72" s="529"/>
      <c r="X72" s="8"/>
      <c r="Y72" s="530"/>
      <c r="Z72" s="531"/>
      <c r="AA72" s="531"/>
      <c r="AB72" s="531"/>
      <c r="AC72" s="531"/>
      <c r="AD72" s="531"/>
      <c r="AE72" s="532"/>
      <c r="AG72" s="527"/>
      <c r="AH72" s="528"/>
      <c r="AI72" s="528"/>
      <c r="AJ72" s="528"/>
      <c r="AK72" s="528"/>
      <c r="AL72" s="528"/>
      <c r="AM72" s="529"/>
      <c r="AN72" s="8"/>
      <c r="AO72" s="530"/>
      <c r="AP72" s="531"/>
      <c r="AQ72" s="531"/>
      <c r="AR72" s="531"/>
      <c r="AS72" s="531"/>
      <c r="AT72" s="531"/>
      <c r="AU72" s="532"/>
      <c r="AW72" s="527"/>
      <c r="AX72" s="528"/>
      <c r="AY72" s="528"/>
      <c r="AZ72" s="528"/>
      <c r="BA72" s="528"/>
      <c r="BB72" s="528"/>
      <c r="BC72" s="529"/>
      <c r="BD72" s="8"/>
      <c r="BE72" s="530"/>
      <c r="BF72" s="531"/>
      <c r="BG72" s="531"/>
      <c r="BH72" s="531"/>
      <c r="BI72" s="531"/>
      <c r="BJ72" s="531"/>
      <c r="BK72" s="532"/>
    </row>
    <row r="73" spans="1:63" ht="14.25" customHeight="1" x14ac:dyDescent="0.25">
      <c r="A73" s="527" t="s">
        <v>73</v>
      </c>
      <c r="B73" s="528"/>
      <c r="C73" s="528"/>
      <c r="D73" s="528"/>
      <c r="E73" s="528"/>
      <c r="F73" s="528"/>
      <c r="G73" s="529"/>
      <c r="H73" s="8"/>
      <c r="I73" s="530"/>
      <c r="J73" s="531"/>
      <c r="K73" s="531"/>
      <c r="L73" s="531"/>
      <c r="M73" s="531"/>
      <c r="N73" s="531"/>
      <c r="O73" s="532"/>
      <c r="Q73" s="527" t="s">
        <v>73</v>
      </c>
      <c r="R73" s="528"/>
      <c r="S73" s="528"/>
      <c r="T73" s="528"/>
      <c r="U73" s="528"/>
      <c r="V73" s="528"/>
      <c r="W73" s="529"/>
      <c r="X73" s="8"/>
      <c r="Y73" s="530"/>
      <c r="Z73" s="531"/>
      <c r="AA73" s="531"/>
      <c r="AB73" s="531"/>
      <c r="AC73" s="531"/>
      <c r="AD73" s="531"/>
      <c r="AE73" s="532"/>
      <c r="AG73" s="527" t="s">
        <v>73</v>
      </c>
      <c r="AH73" s="528"/>
      <c r="AI73" s="528"/>
      <c r="AJ73" s="528"/>
      <c r="AK73" s="528"/>
      <c r="AL73" s="528"/>
      <c r="AM73" s="529"/>
      <c r="AN73" s="8"/>
      <c r="AO73" s="530"/>
      <c r="AP73" s="531"/>
      <c r="AQ73" s="531"/>
      <c r="AR73" s="531"/>
      <c r="AS73" s="531"/>
      <c r="AT73" s="531"/>
      <c r="AU73" s="532"/>
      <c r="AW73" s="527" t="s">
        <v>73</v>
      </c>
      <c r="AX73" s="528"/>
      <c r="AY73" s="528"/>
      <c r="AZ73" s="528"/>
      <c r="BA73" s="528"/>
      <c r="BB73" s="528"/>
      <c r="BC73" s="529"/>
      <c r="BD73" s="8"/>
      <c r="BE73" s="530"/>
      <c r="BF73" s="531"/>
      <c r="BG73" s="531"/>
      <c r="BH73" s="531"/>
      <c r="BI73" s="531"/>
      <c r="BJ73" s="531"/>
      <c r="BK73" s="532"/>
    </row>
    <row r="74" spans="1:63" thickBot="1" x14ac:dyDescent="0.3">
      <c r="A74" s="533"/>
      <c r="B74" s="534"/>
      <c r="C74" s="534"/>
      <c r="D74" s="534"/>
      <c r="E74" s="534"/>
      <c r="F74" s="534"/>
      <c r="G74" s="535"/>
      <c r="H74" s="8"/>
      <c r="I74" s="547" t="s">
        <v>74</v>
      </c>
      <c r="J74" s="548"/>
      <c r="K74" s="548"/>
      <c r="L74" s="548"/>
      <c r="M74" s="548"/>
      <c r="N74" s="548"/>
      <c r="O74" s="549"/>
      <c r="Q74" s="533"/>
      <c r="R74" s="534"/>
      <c r="S74" s="534"/>
      <c r="T74" s="534"/>
      <c r="U74" s="534"/>
      <c r="V74" s="534"/>
      <c r="W74" s="535"/>
      <c r="X74" s="8"/>
      <c r="Y74" s="547" t="s">
        <v>74</v>
      </c>
      <c r="Z74" s="548"/>
      <c r="AA74" s="548"/>
      <c r="AB74" s="548"/>
      <c r="AC74" s="548"/>
      <c r="AD74" s="548"/>
      <c r="AE74" s="549"/>
      <c r="AG74" s="533"/>
      <c r="AH74" s="534"/>
      <c r="AI74" s="534"/>
      <c r="AJ74" s="534"/>
      <c r="AK74" s="534"/>
      <c r="AL74" s="534"/>
      <c r="AM74" s="535"/>
      <c r="AN74" s="8"/>
      <c r="AO74" s="547" t="s">
        <v>74</v>
      </c>
      <c r="AP74" s="548"/>
      <c r="AQ74" s="548"/>
      <c r="AR74" s="548"/>
      <c r="AS74" s="548"/>
      <c r="AT74" s="548"/>
      <c r="AU74" s="549"/>
      <c r="AW74" s="533"/>
      <c r="AX74" s="534"/>
      <c r="AY74" s="534"/>
      <c r="AZ74" s="534"/>
      <c r="BA74" s="534"/>
      <c r="BB74" s="534"/>
      <c r="BC74" s="535"/>
      <c r="BD74" s="8"/>
      <c r="BE74" s="547" t="s">
        <v>74</v>
      </c>
      <c r="BF74" s="548"/>
      <c r="BG74" s="548"/>
      <c r="BH74" s="548"/>
      <c r="BI74" s="548"/>
      <c r="BJ74" s="548"/>
      <c r="BK74" s="549"/>
    </row>
    <row r="75" spans="1:63" ht="15" customHeight="1" thickTop="1" x14ac:dyDescent="0.25">
      <c r="A75" s="142"/>
      <c r="B75" s="156"/>
      <c r="C75" s="8"/>
      <c r="D75" s="8"/>
      <c r="E75" s="8"/>
      <c r="F75" s="8"/>
      <c r="G75" s="8"/>
      <c r="H75" s="8"/>
      <c r="I75" s="553" t="s">
        <v>75</v>
      </c>
      <c r="J75" s="554"/>
      <c r="K75" s="554"/>
      <c r="L75" s="554"/>
      <c r="M75" s="554"/>
      <c r="N75" s="554"/>
      <c r="O75" s="555"/>
      <c r="Q75" s="142"/>
      <c r="R75" s="8"/>
      <c r="S75" s="8"/>
      <c r="T75" s="8"/>
      <c r="U75" s="8"/>
      <c r="V75" s="8"/>
      <c r="W75" s="8"/>
      <c r="X75" s="8"/>
      <c r="Y75" s="553" t="s">
        <v>75</v>
      </c>
      <c r="Z75" s="554"/>
      <c r="AA75" s="554"/>
      <c r="AB75" s="554"/>
      <c r="AC75" s="554"/>
      <c r="AD75" s="554"/>
      <c r="AE75" s="555"/>
      <c r="AG75" s="142"/>
      <c r="AH75" s="8"/>
      <c r="AI75" s="8"/>
      <c r="AJ75" s="8"/>
      <c r="AK75" s="8"/>
      <c r="AL75" s="8"/>
      <c r="AM75" s="8"/>
      <c r="AN75" s="8"/>
      <c r="AO75" s="553" t="s">
        <v>75</v>
      </c>
      <c r="AP75" s="554"/>
      <c r="AQ75" s="554"/>
      <c r="AR75" s="554"/>
      <c r="AS75" s="554"/>
      <c r="AT75" s="554"/>
      <c r="AU75" s="555"/>
      <c r="AW75" s="142"/>
      <c r="AX75" s="8"/>
      <c r="AY75" s="8"/>
      <c r="AZ75" s="8"/>
      <c r="BA75" s="8"/>
      <c r="BB75" s="8"/>
      <c r="BC75" s="8"/>
      <c r="BD75" s="8"/>
      <c r="BE75" s="553" t="s">
        <v>75</v>
      </c>
      <c r="BF75" s="554"/>
      <c r="BG75" s="554"/>
      <c r="BH75" s="554"/>
      <c r="BI75" s="554"/>
      <c r="BJ75" s="554"/>
      <c r="BK75" s="555"/>
    </row>
    <row r="76" spans="1:63" ht="15" customHeight="1" thickBot="1" x14ac:dyDescent="0.3">
      <c r="A76" s="142"/>
      <c r="B76" s="156"/>
      <c r="C76" s="8"/>
      <c r="D76" s="8"/>
      <c r="E76" s="8"/>
      <c r="F76" s="8"/>
      <c r="G76" s="8"/>
      <c r="H76" s="71"/>
      <c r="I76" s="553"/>
      <c r="J76" s="554"/>
      <c r="K76" s="554"/>
      <c r="L76" s="554"/>
      <c r="M76" s="554"/>
      <c r="N76" s="554"/>
      <c r="O76" s="555"/>
      <c r="Q76" s="142"/>
      <c r="R76" s="8"/>
      <c r="S76" s="8"/>
      <c r="T76" s="8"/>
      <c r="U76" s="8"/>
      <c r="V76" s="8"/>
      <c r="W76" s="8"/>
      <c r="X76" s="71"/>
      <c r="Y76" s="553"/>
      <c r="Z76" s="554"/>
      <c r="AA76" s="554"/>
      <c r="AB76" s="554"/>
      <c r="AC76" s="554"/>
      <c r="AD76" s="554"/>
      <c r="AE76" s="555"/>
      <c r="AG76" s="142"/>
      <c r="AH76" s="8"/>
      <c r="AI76" s="8"/>
      <c r="AJ76" s="8"/>
      <c r="AK76" s="8"/>
      <c r="AL76" s="8"/>
      <c r="AM76" s="8"/>
      <c r="AN76" s="71"/>
      <c r="AO76" s="553"/>
      <c r="AP76" s="554"/>
      <c r="AQ76" s="554"/>
      <c r="AR76" s="554"/>
      <c r="AS76" s="554"/>
      <c r="AT76" s="554"/>
      <c r="AU76" s="555"/>
      <c r="AW76" s="142"/>
      <c r="AX76" s="8"/>
      <c r="AY76" s="8"/>
      <c r="AZ76" s="8"/>
      <c r="BA76" s="8"/>
      <c r="BB76" s="8"/>
      <c r="BC76" s="8"/>
      <c r="BD76" s="71"/>
      <c r="BE76" s="553"/>
      <c r="BF76" s="554"/>
      <c r="BG76" s="554"/>
      <c r="BH76" s="554"/>
      <c r="BI76" s="554"/>
      <c r="BJ76" s="554"/>
      <c r="BK76" s="555"/>
    </row>
    <row r="77" spans="1:63" ht="18" customHeight="1" thickTop="1" x14ac:dyDescent="0.25">
      <c r="A77" s="142"/>
      <c r="B77" s="562" t="s">
        <v>76</v>
      </c>
      <c r="C77" s="563"/>
      <c r="D77" s="563"/>
      <c r="E77" s="563"/>
      <c r="F77" s="39"/>
      <c r="G77" s="39"/>
      <c r="H77" s="40"/>
      <c r="I77" s="547" t="s">
        <v>77</v>
      </c>
      <c r="J77" s="548"/>
      <c r="K77" s="548"/>
      <c r="L77" s="548"/>
      <c r="M77" s="548"/>
      <c r="N77" s="548"/>
      <c r="O77" s="549"/>
      <c r="Q77" s="142"/>
      <c r="R77" s="562" t="s">
        <v>76</v>
      </c>
      <c r="S77" s="563"/>
      <c r="T77" s="563"/>
      <c r="U77" s="563"/>
      <c r="V77" s="39"/>
      <c r="W77" s="39"/>
      <c r="X77" s="40"/>
      <c r="Y77" s="547" t="s">
        <v>77</v>
      </c>
      <c r="Z77" s="548"/>
      <c r="AA77" s="548"/>
      <c r="AB77" s="548"/>
      <c r="AC77" s="548"/>
      <c r="AD77" s="548"/>
      <c r="AE77" s="549"/>
      <c r="AG77" s="142"/>
      <c r="AH77" s="562" t="s">
        <v>76</v>
      </c>
      <c r="AI77" s="563"/>
      <c r="AJ77" s="563"/>
      <c r="AK77" s="563"/>
      <c r="AL77" s="39"/>
      <c r="AM77" s="39"/>
      <c r="AN77" s="40"/>
      <c r="AO77" s="547" t="s">
        <v>77</v>
      </c>
      <c r="AP77" s="548"/>
      <c r="AQ77" s="548"/>
      <c r="AR77" s="548"/>
      <c r="AS77" s="548"/>
      <c r="AT77" s="548"/>
      <c r="AU77" s="549"/>
      <c r="AW77" s="142"/>
      <c r="AX77" s="562" t="s">
        <v>76</v>
      </c>
      <c r="AY77" s="563"/>
      <c r="AZ77" s="563"/>
      <c r="BA77" s="563"/>
      <c r="BB77" s="39"/>
      <c r="BC77" s="39"/>
      <c r="BD77" s="40"/>
      <c r="BE77" s="547" t="s">
        <v>77</v>
      </c>
      <c r="BF77" s="548"/>
      <c r="BG77" s="548"/>
      <c r="BH77" s="548"/>
      <c r="BI77" s="548"/>
      <c r="BJ77" s="548"/>
      <c r="BK77" s="549"/>
    </row>
    <row r="78" spans="1:63" ht="15" customHeight="1" x14ac:dyDescent="0.25">
      <c r="A78" s="142"/>
      <c r="B78" s="550" t="s">
        <v>78</v>
      </c>
      <c r="C78" s="551"/>
      <c r="D78" s="551"/>
      <c r="E78" s="551"/>
      <c r="F78" s="551"/>
      <c r="G78" s="551"/>
      <c r="H78" s="552"/>
      <c r="I78" s="553" t="s">
        <v>79</v>
      </c>
      <c r="J78" s="554"/>
      <c r="K78" s="554"/>
      <c r="L78" s="554"/>
      <c r="M78" s="554"/>
      <c r="N78" s="554"/>
      <c r="O78" s="555"/>
      <c r="Q78" s="142"/>
      <c r="R78" s="550" t="s">
        <v>78</v>
      </c>
      <c r="S78" s="551"/>
      <c r="T78" s="551"/>
      <c r="U78" s="551"/>
      <c r="V78" s="551"/>
      <c r="W78" s="551"/>
      <c r="X78" s="552"/>
      <c r="Y78" s="553" t="s">
        <v>79</v>
      </c>
      <c r="Z78" s="554"/>
      <c r="AA78" s="554"/>
      <c r="AB78" s="554"/>
      <c r="AC78" s="554"/>
      <c r="AD78" s="554"/>
      <c r="AE78" s="555"/>
      <c r="AG78" s="142"/>
      <c r="AH78" s="550" t="s">
        <v>78</v>
      </c>
      <c r="AI78" s="551"/>
      <c r="AJ78" s="551"/>
      <c r="AK78" s="551"/>
      <c r="AL78" s="551"/>
      <c r="AM78" s="551"/>
      <c r="AN78" s="552"/>
      <c r="AO78" s="553" t="s">
        <v>79</v>
      </c>
      <c r="AP78" s="554"/>
      <c r="AQ78" s="554"/>
      <c r="AR78" s="554"/>
      <c r="AS78" s="554"/>
      <c r="AT78" s="554"/>
      <c r="AU78" s="555"/>
      <c r="AW78" s="142"/>
      <c r="AX78" s="550" t="s">
        <v>78</v>
      </c>
      <c r="AY78" s="551"/>
      <c r="AZ78" s="551"/>
      <c r="BA78" s="551"/>
      <c r="BB78" s="551"/>
      <c r="BC78" s="551"/>
      <c r="BD78" s="552"/>
      <c r="BE78" s="553" t="s">
        <v>79</v>
      </c>
      <c r="BF78" s="554"/>
      <c r="BG78" s="554"/>
      <c r="BH78" s="554"/>
      <c r="BI78" s="554"/>
      <c r="BJ78" s="554"/>
      <c r="BK78" s="555"/>
    </row>
    <row r="79" spans="1:63" ht="14.25" customHeight="1" x14ac:dyDescent="0.25">
      <c r="A79" s="142"/>
      <c r="B79" s="556" t="s">
        <v>91</v>
      </c>
      <c r="C79" s="454"/>
      <c r="D79" s="454"/>
      <c r="E79" s="454"/>
      <c r="F79" s="454"/>
      <c r="G79" s="454"/>
      <c r="H79" s="455"/>
      <c r="I79" s="553"/>
      <c r="J79" s="554"/>
      <c r="K79" s="554"/>
      <c r="L79" s="554"/>
      <c r="M79" s="554"/>
      <c r="N79" s="554"/>
      <c r="O79" s="555"/>
      <c r="Q79" s="142"/>
      <c r="R79" s="556" t="s">
        <v>91</v>
      </c>
      <c r="S79" s="454"/>
      <c r="T79" s="454"/>
      <c r="U79" s="454"/>
      <c r="V79" s="454"/>
      <c r="W79" s="454"/>
      <c r="X79" s="455"/>
      <c r="Y79" s="553"/>
      <c r="Z79" s="554"/>
      <c r="AA79" s="554"/>
      <c r="AB79" s="554"/>
      <c r="AC79" s="554"/>
      <c r="AD79" s="554"/>
      <c r="AE79" s="555"/>
      <c r="AG79" s="142"/>
      <c r="AH79" s="556" t="s">
        <v>91</v>
      </c>
      <c r="AI79" s="454"/>
      <c r="AJ79" s="454"/>
      <c r="AK79" s="454"/>
      <c r="AL79" s="454"/>
      <c r="AM79" s="454"/>
      <c r="AN79" s="455"/>
      <c r="AO79" s="553"/>
      <c r="AP79" s="554"/>
      <c r="AQ79" s="554"/>
      <c r="AR79" s="554"/>
      <c r="AS79" s="554"/>
      <c r="AT79" s="554"/>
      <c r="AU79" s="555"/>
      <c r="AW79" s="142"/>
      <c r="AX79" s="556" t="s">
        <v>91</v>
      </c>
      <c r="AY79" s="454"/>
      <c r="AZ79" s="454"/>
      <c r="BA79" s="454"/>
      <c r="BB79" s="454"/>
      <c r="BC79" s="454"/>
      <c r="BD79" s="455"/>
      <c r="BE79" s="553"/>
      <c r="BF79" s="554"/>
      <c r="BG79" s="554"/>
      <c r="BH79" s="554"/>
      <c r="BI79" s="554"/>
      <c r="BJ79" s="554"/>
      <c r="BK79" s="555"/>
    </row>
    <row r="80" spans="1:63" ht="14.25" customHeight="1" x14ac:dyDescent="0.25">
      <c r="A80" s="142"/>
      <c r="B80" s="556"/>
      <c r="C80" s="454"/>
      <c r="D80" s="454"/>
      <c r="E80" s="454"/>
      <c r="F80" s="454"/>
      <c r="G80" s="454"/>
      <c r="H80" s="455"/>
      <c r="I80" s="554" t="s">
        <v>80</v>
      </c>
      <c r="J80" s="554"/>
      <c r="K80" s="554"/>
      <c r="L80" s="554"/>
      <c r="M80" s="554"/>
      <c r="N80" s="554"/>
      <c r="O80" s="555"/>
      <c r="Q80" s="142"/>
      <c r="R80" s="556"/>
      <c r="S80" s="454"/>
      <c r="T80" s="454"/>
      <c r="U80" s="454"/>
      <c r="V80" s="454"/>
      <c r="W80" s="454"/>
      <c r="X80" s="455"/>
      <c r="Y80" s="554" t="s">
        <v>80</v>
      </c>
      <c r="Z80" s="554"/>
      <c r="AA80" s="554"/>
      <c r="AB80" s="554"/>
      <c r="AC80" s="554"/>
      <c r="AD80" s="554"/>
      <c r="AE80" s="555"/>
      <c r="AG80" s="142"/>
      <c r="AH80" s="556"/>
      <c r="AI80" s="454"/>
      <c r="AJ80" s="454"/>
      <c r="AK80" s="454"/>
      <c r="AL80" s="454"/>
      <c r="AM80" s="454"/>
      <c r="AN80" s="455"/>
      <c r="AO80" s="554" t="s">
        <v>80</v>
      </c>
      <c r="AP80" s="554"/>
      <c r="AQ80" s="554"/>
      <c r="AR80" s="554"/>
      <c r="AS80" s="554"/>
      <c r="AT80" s="554"/>
      <c r="AU80" s="555"/>
      <c r="AW80" s="142"/>
      <c r="AX80" s="556"/>
      <c r="AY80" s="454"/>
      <c r="AZ80" s="454"/>
      <c r="BA80" s="454"/>
      <c r="BB80" s="454"/>
      <c r="BC80" s="454"/>
      <c r="BD80" s="455"/>
      <c r="BE80" s="554" t="s">
        <v>80</v>
      </c>
      <c r="BF80" s="554"/>
      <c r="BG80" s="554"/>
      <c r="BH80" s="554"/>
      <c r="BI80" s="554"/>
      <c r="BJ80" s="554"/>
      <c r="BK80" s="555"/>
    </row>
    <row r="81" spans="1:64" ht="15" customHeight="1" thickBot="1" x14ac:dyDescent="0.3">
      <c r="A81" s="142"/>
      <c r="B81" s="557"/>
      <c r="C81" s="558"/>
      <c r="D81" s="558"/>
      <c r="E81" s="558"/>
      <c r="F81" s="558"/>
      <c r="G81" s="558"/>
      <c r="H81" s="559"/>
      <c r="I81" s="560"/>
      <c r="J81" s="560"/>
      <c r="K81" s="560"/>
      <c r="L81" s="560"/>
      <c r="M81" s="560"/>
      <c r="N81" s="560"/>
      <c r="O81" s="561"/>
      <c r="Q81" s="142"/>
      <c r="R81" s="557"/>
      <c r="S81" s="558"/>
      <c r="T81" s="558"/>
      <c r="U81" s="558"/>
      <c r="V81" s="558"/>
      <c r="W81" s="558"/>
      <c r="X81" s="559"/>
      <c r="Y81" s="560"/>
      <c r="Z81" s="560"/>
      <c r="AA81" s="560"/>
      <c r="AB81" s="560"/>
      <c r="AC81" s="560"/>
      <c r="AD81" s="560"/>
      <c r="AE81" s="561"/>
      <c r="AG81" s="142"/>
      <c r="AH81" s="557"/>
      <c r="AI81" s="558"/>
      <c r="AJ81" s="558"/>
      <c r="AK81" s="558"/>
      <c r="AL81" s="558"/>
      <c r="AM81" s="558"/>
      <c r="AN81" s="559"/>
      <c r="AO81" s="560"/>
      <c r="AP81" s="560"/>
      <c r="AQ81" s="560"/>
      <c r="AR81" s="560"/>
      <c r="AS81" s="560"/>
      <c r="AT81" s="560"/>
      <c r="AU81" s="561"/>
      <c r="AW81" s="142"/>
      <c r="AX81" s="557"/>
      <c r="AY81" s="558"/>
      <c r="AZ81" s="558"/>
      <c r="BA81" s="558"/>
      <c r="BB81" s="558"/>
      <c r="BC81" s="558"/>
      <c r="BD81" s="559"/>
      <c r="BE81" s="560"/>
      <c r="BF81" s="560"/>
      <c r="BG81" s="560"/>
      <c r="BH81" s="560"/>
      <c r="BI81" s="560"/>
      <c r="BJ81" s="560"/>
      <c r="BK81" s="561"/>
    </row>
    <row r="82" spans="1:64" ht="17.25" thickTop="1" thickBot="1" x14ac:dyDescent="0.3">
      <c r="A82" s="143"/>
      <c r="B82" s="157"/>
      <c r="C82" s="564"/>
      <c r="D82" s="564"/>
      <c r="E82" s="564"/>
      <c r="F82" s="564"/>
      <c r="G82" s="564"/>
      <c r="H82" s="41"/>
      <c r="I82" s="42"/>
      <c r="J82" s="42"/>
      <c r="K82" s="42"/>
      <c r="L82" s="42"/>
      <c r="M82" s="113"/>
      <c r="N82" s="163"/>
      <c r="O82" s="164"/>
      <c r="Q82" s="143"/>
      <c r="R82" s="41"/>
      <c r="S82" s="564"/>
      <c r="T82" s="564"/>
      <c r="U82" s="564"/>
      <c r="V82" s="564"/>
      <c r="W82" s="564"/>
      <c r="X82" s="41"/>
      <c r="Y82" s="42"/>
      <c r="Z82" s="42"/>
      <c r="AA82" s="42"/>
      <c r="AB82" s="42"/>
      <c r="AC82" s="113"/>
      <c r="AD82" s="113"/>
      <c r="AE82" s="114"/>
      <c r="AG82" s="143"/>
      <c r="AH82" s="41"/>
      <c r="AI82" s="564"/>
      <c r="AJ82" s="564"/>
      <c r="AK82" s="564"/>
      <c r="AL82" s="564"/>
      <c r="AM82" s="564"/>
      <c r="AN82" s="41"/>
      <c r="AO82" s="42"/>
      <c r="AP82" s="42"/>
      <c r="AQ82" s="42"/>
      <c r="AR82" s="42"/>
      <c r="AS82" s="113"/>
      <c r="AT82" s="113"/>
      <c r="AU82" s="114"/>
      <c r="AW82" s="143"/>
      <c r="AX82" s="41"/>
      <c r="AY82" s="564"/>
      <c r="AZ82" s="564"/>
      <c r="BA82" s="564"/>
      <c r="BB82" s="564"/>
      <c r="BC82" s="564"/>
      <c r="BD82" s="41"/>
      <c r="BE82" s="42"/>
      <c r="BF82" s="42"/>
      <c r="BG82" s="42"/>
      <c r="BH82" s="42"/>
      <c r="BI82" s="113"/>
      <c r="BJ82" s="113"/>
      <c r="BK82" s="114"/>
    </row>
    <row r="83" spans="1:64" ht="17.25" thickTop="1" thickBot="1" x14ac:dyDescent="0.3"/>
    <row r="84" spans="1:64" ht="24.95" customHeight="1" thickTop="1" x14ac:dyDescent="0.25">
      <c r="A84" s="565" t="s">
        <v>81</v>
      </c>
      <c r="B84" s="566"/>
      <c r="C84" s="566"/>
      <c r="D84" s="430" t="str">
        <f>ادخال1!$N$4</f>
        <v>الرابع</v>
      </c>
      <c r="E84" s="430"/>
      <c r="F84" s="567" t="s">
        <v>82</v>
      </c>
      <c r="G84" s="567"/>
      <c r="H84" s="567"/>
      <c r="I84" s="13"/>
      <c r="J84" s="13"/>
      <c r="K84" s="13"/>
      <c r="L84" s="13"/>
      <c r="M84" s="106"/>
      <c r="N84" s="106"/>
      <c r="O84" s="107">
        <f>O44+1</f>
        <v>3</v>
      </c>
      <c r="Q84" s="565" t="s">
        <v>81</v>
      </c>
      <c r="R84" s="566"/>
      <c r="S84" s="566"/>
      <c r="T84" s="430" t="str">
        <f>ادخال1!$N$4</f>
        <v>الرابع</v>
      </c>
      <c r="U84" s="430"/>
      <c r="V84" s="567" t="s">
        <v>82</v>
      </c>
      <c r="W84" s="567"/>
      <c r="X84" s="567"/>
      <c r="Y84" s="13"/>
      <c r="Z84" s="13"/>
      <c r="AA84" s="13"/>
      <c r="AB84" s="13"/>
      <c r="AC84" s="106"/>
      <c r="AD84" s="106"/>
      <c r="AE84" s="107">
        <f>AE44+1</f>
        <v>8</v>
      </c>
      <c r="AG84" s="565" t="s">
        <v>81</v>
      </c>
      <c r="AH84" s="566"/>
      <c r="AI84" s="566"/>
      <c r="AJ84" s="430" t="str">
        <f>ادخال1!$N$4</f>
        <v>الرابع</v>
      </c>
      <c r="AK84" s="430"/>
      <c r="AL84" s="567" t="s">
        <v>82</v>
      </c>
      <c r="AM84" s="567"/>
      <c r="AN84" s="567"/>
      <c r="AO84" s="13"/>
      <c r="AP84" s="13"/>
      <c r="AQ84" s="13"/>
      <c r="AR84" s="13"/>
      <c r="AS84" s="106"/>
      <c r="AT84" s="106"/>
      <c r="AU84" s="107">
        <f>AU44+1</f>
        <v>13</v>
      </c>
      <c r="AW84" s="565" t="s">
        <v>81</v>
      </c>
      <c r="AX84" s="566"/>
      <c r="AY84" s="566"/>
      <c r="AZ84" s="430" t="str">
        <f>ادخال1!$N$4</f>
        <v>الرابع</v>
      </c>
      <c r="BA84" s="430"/>
      <c r="BB84" s="567" t="s">
        <v>82</v>
      </c>
      <c r="BC84" s="567"/>
      <c r="BD84" s="567"/>
      <c r="BE84" s="13"/>
      <c r="BF84" s="13"/>
      <c r="BG84" s="13"/>
      <c r="BH84" s="13"/>
      <c r="BI84" s="106"/>
      <c r="BJ84" s="106"/>
      <c r="BK84" s="107">
        <f>BK44+1</f>
        <v>18</v>
      </c>
    </row>
    <row r="85" spans="1:64" ht="24.95" customHeight="1" thickBot="1" x14ac:dyDescent="0.3">
      <c r="A85" s="273" t="s">
        <v>153</v>
      </c>
      <c r="B85" s="576" t="str">
        <f>ادخال1!$B$5</f>
        <v xml:space="preserve">سهول العلم للتعليم الخاص </v>
      </c>
      <c r="C85" s="576"/>
      <c r="D85" s="576"/>
      <c r="E85" s="576"/>
      <c r="F85" s="576"/>
      <c r="G85" s="576"/>
      <c r="H85" s="491" t="s">
        <v>9</v>
      </c>
      <c r="I85" s="491"/>
      <c r="J85" s="492">
        <f>M100</f>
        <v>0</v>
      </c>
      <c r="K85" s="492"/>
      <c r="L85" s="492"/>
      <c r="M85" s="492"/>
      <c r="N85" s="492"/>
      <c r="O85" s="158"/>
      <c r="Q85" s="273" t="s">
        <v>153</v>
      </c>
      <c r="R85" s="576" t="str">
        <f>ادخال1!$B$5</f>
        <v xml:space="preserve">سهول العلم للتعليم الخاص </v>
      </c>
      <c r="S85" s="576"/>
      <c r="T85" s="576"/>
      <c r="U85" s="576"/>
      <c r="V85" s="576"/>
      <c r="W85" s="576"/>
      <c r="X85" s="491" t="s">
        <v>9</v>
      </c>
      <c r="Y85" s="491"/>
      <c r="Z85" s="492">
        <f>AC100</f>
        <v>0</v>
      </c>
      <c r="AA85" s="492"/>
      <c r="AB85" s="492"/>
      <c r="AC85" s="492"/>
      <c r="AD85" s="492"/>
      <c r="AE85" s="158"/>
      <c r="AG85" s="273" t="s">
        <v>153</v>
      </c>
      <c r="AH85" s="576" t="str">
        <f>ادخال1!$B$5</f>
        <v xml:space="preserve">سهول العلم للتعليم الخاص </v>
      </c>
      <c r="AI85" s="576"/>
      <c r="AJ85" s="576"/>
      <c r="AK85" s="576"/>
      <c r="AL85" s="576"/>
      <c r="AM85" s="576"/>
      <c r="AN85" s="491" t="s">
        <v>9</v>
      </c>
      <c r="AO85" s="491"/>
      <c r="AP85" s="492">
        <f>AS100</f>
        <v>0</v>
      </c>
      <c r="AQ85" s="492"/>
      <c r="AR85" s="492"/>
      <c r="AS85" s="492"/>
      <c r="AT85" s="492"/>
      <c r="AU85" s="158"/>
      <c r="AW85" s="273" t="s">
        <v>153</v>
      </c>
      <c r="AX85" s="576" t="str">
        <f>ادخال1!$B$5</f>
        <v xml:space="preserve">سهول العلم للتعليم الخاص </v>
      </c>
      <c r="AY85" s="576"/>
      <c r="AZ85" s="576"/>
      <c r="BA85" s="576"/>
      <c r="BB85" s="576"/>
      <c r="BC85" s="576"/>
      <c r="BD85" s="491" t="s">
        <v>9</v>
      </c>
      <c r="BE85" s="491"/>
      <c r="BF85" s="492">
        <f>BI100</f>
        <v>0</v>
      </c>
      <c r="BG85" s="492"/>
      <c r="BH85" s="492"/>
      <c r="BI85" s="492"/>
      <c r="BJ85" s="492"/>
      <c r="BK85" s="158"/>
    </row>
    <row r="86" spans="1:64" ht="15.6" customHeight="1" thickTop="1" thickBot="1" x14ac:dyDescent="0.3">
      <c r="A86" s="135" t="s">
        <v>46</v>
      </c>
      <c r="B86" s="493" t="s">
        <v>12</v>
      </c>
      <c r="C86" s="495" t="s">
        <v>47</v>
      </c>
      <c r="D86" s="496"/>
      <c r="E86" s="497" t="s">
        <v>48</v>
      </c>
      <c r="F86" s="497"/>
      <c r="G86" s="498" t="s">
        <v>49</v>
      </c>
      <c r="H86" s="499"/>
      <c r="I86" s="500" t="s">
        <v>50</v>
      </c>
      <c r="J86" s="501"/>
      <c r="K86" s="502"/>
      <c r="L86" s="28"/>
      <c r="M86" s="503" t="s">
        <v>51</v>
      </c>
      <c r="N86" s="504"/>
      <c r="O86" s="505"/>
      <c r="Q86" s="135" t="s">
        <v>46</v>
      </c>
      <c r="R86" s="493" t="s">
        <v>12</v>
      </c>
      <c r="S86" s="495" t="s">
        <v>47</v>
      </c>
      <c r="T86" s="496"/>
      <c r="U86" s="497" t="s">
        <v>48</v>
      </c>
      <c r="V86" s="497"/>
      <c r="W86" s="498" t="s">
        <v>49</v>
      </c>
      <c r="X86" s="499"/>
      <c r="Y86" s="500" t="s">
        <v>50</v>
      </c>
      <c r="Z86" s="501"/>
      <c r="AA86" s="502"/>
      <c r="AB86" s="28"/>
      <c r="AC86" s="503" t="s">
        <v>51</v>
      </c>
      <c r="AD86" s="504"/>
      <c r="AE86" s="505"/>
      <c r="AG86" s="135" t="s">
        <v>46</v>
      </c>
      <c r="AH86" s="493" t="s">
        <v>12</v>
      </c>
      <c r="AI86" s="495" t="s">
        <v>47</v>
      </c>
      <c r="AJ86" s="496"/>
      <c r="AK86" s="497" t="s">
        <v>48</v>
      </c>
      <c r="AL86" s="497"/>
      <c r="AM86" s="498" t="s">
        <v>49</v>
      </c>
      <c r="AN86" s="499"/>
      <c r="AO86" s="500" t="s">
        <v>50</v>
      </c>
      <c r="AP86" s="501"/>
      <c r="AQ86" s="502"/>
      <c r="AR86" s="28"/>
      <c r="AS86" s="503" t="s">
        <v>51</v>
      </c>
      <c r="AT86" s="504"/>
      <c r="AU86" s="505"/>
      <c r="AV86" s="124"/>
      <c r="AW86" s="135" t="s">
        <v>46</v>
      </c>
      <c r="AX86" s="493" t="s">
        <v>12</v>
      </c>
      <c r="AY86" s="495" t="s">
        <v>47</v>
      </c>
      <c r="AZ86" s="496"/>
      <c r="BA86" s="497" t="s">
        <v>48</v>
      </c>
      <c r="BB86" s="497"/>
      <c r="BC86" s="498" t="s">
        <v>49</v>
      </c>
      <c r="BD86" s="499"/>
      <c r="BE86" s="500" t="s">
        <v>50</v>
      </c>
      <c r="BF86" s="501"/>
      <c r="BG86" s="502"/>
      <c r="BH86" s="28"/>
      <c r="BI86" s="503" t="s">
        <v>51</v>
      </c>
      <c r="BJ86" s="504"/>
      <c r="BK86" s="505"/>
    </row>
    <row r="87" spans="1:64" ht="24.95" customHeight="1" x14ac:dyDescent="0.25">
      <c r="A87" s="60" t="s">
        <v>2</v>
      </c>
      <c r="B87" s="494"/>
      <c r="C87" s="55" t="s">
        <v>52</v>
      </c>
      <c r="D87" s="56" t="s">
        <v>53</v>
      </c>
      <c r="E87" s="57" t="s">
        <v>52</v>
      </c>
      <c r="F87" s="58" t="s">
        <v>53</v>
      </c>
      <c r="G87" s="55" t="s">
        <v>52</v>
      </c>
      <c r="H87" s="56" t="s">
        <v>53</v>
      </c>
      <c r="I87" s="55" t="s">
        <v>54</v>
      </c>
      <c r="J87" s="59" t="s">
        <v>55</v>
      </c>
      <c r="K87" s="56" t="s">
        <v>53</v>
      </c>
      <c r="L87" s="12"/>
      <c r="M87" s="122" t="s">
        <v>110</v>
      </c>
      <c r="N87" s="489" t="str">
        <f>IF(D96=0,"",IF(AND(D88&gt;=C88*0.4,D89&gt;=C89*0.4,D91&gt;=C91*0.4,D93&gt;=C93*0.4,D94&gt;=C94*0.4),LOOKUP(D96,$BO$18:$BP$22),"ضعيف ويحتاج الى اهتمام في المواد"))</f>
        <v>ممتاز</v>
      </c>
      <c r="O87" s="490"/>
      <c r="P87" s="69"/>
      <c r="Q87" s="60" t="s">
        <v>2</v>
      </c>
      <c r="R87" s="494"/>
      <c r="S87" s="55" t="s">
        <v>52</v>
      </c>
      <c r="T87" s="56" t="s">
        <v>53</v>
      </c>
      <c r="U87" s="57" t="s">
        <v>52</v>
      </c>
      <c r="V87" s="58" t="s">
        <v>53</v>
      </c>
      <c r="W87" s="55" t="s">
        <v>52</v>
      </c>
      <c r="X87" s="56" t="s">
        <v>53</v>
      </c>
      <c r="Y87" s="55" t="s">
        <v>54</v>
      </c>
      <c r="Z87" s="59" t="s">
        <v>55</v>
      </c>
      <c r="AA87" s="56" t="s">
        <v>53</v>
      </c>
      <c r="AB87" s="12"/>
      <c r="AC87" s="122" t="s">
        <v>110</v>
      </c>
      <c r="AD87" s="489" t="str">
        <f>IF(T96=0,"",IF(AND(T88&gt;=S88*0.4,T89&gt;=S89*0.4,T91&gt;=S91*0.4,T93&gt;=S93*0.4,T94&gt;=S94*0.4),LOOKUP(T96,$BO$18:$BP$22),"ضعيف ويحتاج الى اهتمام في المواد"))</f>
        <v>ممتاز</v>
      </c>
      <c r="AE87" s="490"/>
      <c r="AG87" s="60" t="s">
        <v>2</v>
      </c>
      <c r="AH87" s="494"/>
      <c r="AI87" s="55" t="s">
        <v>52</v>
      </c>
      <c r="AJ87" s="56" t="s">
        <v>53</v>
      </c>
      <c r="AK87" s="57" t="s">
        <v>52</v>
      </c>
      <c r="AL87" s="58" t="s">
        <v>53</v>
      </c>
      <c r="AM87" s="55" t="s">
        <v>52</v>
      </c>
      <c r="AN87" s="56" t="s">
        <v>53</v>
      </c>
      <c r="AO87" s="55" t="s">
        <v>54</v>
      </c>
      <c r="AP87" s="59" t="s">
        <v>55</v>
      </c>
      <c r="AQ87" s="56" t="s">
        <v>53</v>
      </c>
      <c r="AR87" s="12"/>
      <c r="AS87" s="122" t="s">
        <v>110</v>
      </c>
      <c r="AT87" s="489" t="str">
        <f>IF(AJ96=0,"",IF(AND(AJ88&gt;=AI88*0.4,AJ89&gt;=AI89*0.4,AJ91&gt;=AI91*0.4,AJ93&gt;=AI93*0.4,AJ94&gt;=AI94*0.4),LOOKUP(AJ96,$BO$18:$BP$22),"ضعيف ويحتاج الى اهتمام في المواد"))</f>
        <v>ممتاز</v>
      </c>
      <c r="AU87" s="490"/>
      <c r="AV87" s="123"/>
      <c r="AW87" s="60" t="s">
        <v>2</v>
      </c>
      <c r="AX87" s="494"/>
      <c r="AY87" s="55" t="s">
        <v>52</v>
      </c>
      <c r="AZ87" s="56" t="s">
        <v>53</v>
      </c>
      <c r="BA87" s="57" t="s">
        <v>52</v>
      </c>
      <c r="BB87" s="58" t="s">
        <v>53</v>
      </c>
      <c r="BC87" s="55" t="s">
        <v>52</v>
      </c>
      <c r="BD87" s="56" t="s">
        <v>53</v>
      </c>
      <c r="BE87" s="55" t="s">
        <v>54</v>
      </c>
      <c r="BF87" s="59" t="s">
        <v>55</v>
      </c>
      <c r="BG87" s="56" t="s">
        <v>53</v>
      </c>
      <c r="BH87" s="12"/>
      <c r="BI87" s="122" t="s">
        <v>110</v>
      </c>
      <c r="BJ87" s="489" t="str">
        <f>IF(AZ96=0,"",IF(AND(AZ88&gt;=AY88*0.4,AZ89&gt;=AY89*0.4,AZ91&gt;=AY91*0.4,AZ93&gt;=AY93*0.4,AZ94&gt;=AY94*0.4),LOOKUP(AZ96,$BO$18:$BP$22),"ضعيف ويحتاج الى اهتمام في المواد"))</f>
        <v/>
      </c>
      <c r="BK87" s="490"/>
      <c r="BL87" s="27"/>
    </row>
    <row r="88" spans="1:64" ht="24.95" customHeight="1" x14ac:dyDescent="0.25">
      <c r="A88" s="118" t="str">
        <f>ادخال1!$F$9</f>
        <v>التربية الإسلامية</v>
      </c>
      <c r="B88" s="148">
        <f>ادخال1!$F$7</f>
        <v>3</v>
      </c>
      <c r="C88" s="45">
        <f t="shared" ref="C88:C90" si="58">40*B88*0.3</f>
        <v>36</v>
      </c>
      <c r="D88" s="2">
        <f xml:space="preserve"> IFERROR(VLOOKUP(M102,اسماء,5,0),"")</f>
        <v>36</v>
      </c>
      <c r="E88" s="47">
        <f t="shared" ref="E88:E90" si="59">40*B88*0.3</f>
        <v>36</v>
      </c>
      <c r="F88" s="2">
        <f>IFERROR(VLOOKUP(M102,اسماء,18,0),"")</f>
        <v>0</v>
      </c>
      <c r="G88" s="45">
        <f t="shared" ref="G88:G90" si="60">40*B88*0.4</f>
        <v>48</v>
      </c>
      <c r="H88" s="2">
        <f>IFERROR(VLOOKUP(M102,اسماء,31,0),"")</f>
        <v>0</v>
      </c>
      <c r="I88" s="45">
        <f t="shared" ref="I88:I90" si="61">SUM(C88,E88,G88)</f>
        <v>120</v>
      </c>
      <c r="J88" s="48">
        <f t="shared" ref="J88:J90" si="62">0.4*I88</f>
        <v>48</v>
      </c>
      <c r="K88" s="2">
        <f t="shared" ref="K88:K90" si="63">SUM(D88,F88,H88)</f>
        <v>36</v>
      </c>
      <c r="L88" s="20"/>
      <c r="M88" s="109" t="str">
        <f>IF(D88=0,"",IF(D88&lt;C88*0.4,A88,""))</f>
        <v/>
      </c>
      <c r="N88" s="159" t="str">
        <f>IF(D89=0,"",IF(D89&lt;C89*0.4,A89,""))</f>
        <v/>
      </c>
      <c r="O88" s="160" t="str">
        <f>IF(D90=0,"",IF(D90&lt;C90*0.4,A90,""))</f>
        <v/>
      </c>
      <c r="P88" s="69"/>
      <c r="Q88" s="118" t="str">
        <f>ادخال1!$F$9</f>
        <v>التربية الإسلامية</v>
      </c>
      <c r="R88" s="148">
        <f>ادخال1!$F$7</f>
        <v>3</v>
      </c>
      <c r="S88" s="45">
        <f t="shared" ref="S88:S90" si="64">40*R88*0.3</f>
        <v>36</v>
      </c>
      <c r="T88" s="2">
        <f xml:space="preserve"> IFERROR(VLOOKUP(AC102,اسماء,5,0),"")</f>
        <v>36</v>
      </c>
      <c r="U88" s="47">
        <f t="shared" ref="U88:U90" si="65">40*R88*0.3</f>
        <v>36</v>
      </c>
      <c r="V88" s="2">
        <f>IFERROR(VLOOKUP(AC102,اسماء,18,0),"")</f>
        <v>0</v>
      </c>
      <c r="W88" s="45">
        <f t="shared" ref="W88:W90" si="66">40*R88*0.4</f>
        <v>48</v>
      </c>
      <c r="X88" s="2">
        <f>IFERROR(VLOOKUP(AC102,اسماء,31,0),"")</f>
        <v>0</v>
      </c>
      <c r="Y88" s="45">
        <f t="shared" ref="Y88:Y90" si="67">SUM(S88,U88,W88)</f>
        <v>120</v>
      </c>
      <c r="Z88" s="48">
        <f t="shared" ref="Z88:Z90" si="68">0.4*Y88</f>
        <v>48</v>
      </c>
      <c r="AA88" s="2">
        <f t="shared" ref="AA88:AA90" si="69">SUM(T88,V88,X88)</f>
        <v>36</v>
      </c>
      <c r="AB88" s="20"/>
      <c r="AC88" s="109" t="str">
        <f>IF(T88=0,"",IF(T88&lt;S88*0.4,Q88,""))</f>
        <v/>
      </c>
      <c r="AD88" s="159" t="str">
        <f>IF(T89=0,"",IF(T89&lt;S89*0.4,Q89,""))</f>
        <v/>
      </c>
      <c r="AE88" s="160" t="str">
        <f>IF(T90=0,"",IF(T90&lt;S90*0.4,Q90,""))</f>
        <v/>
      </c>
      <c r="AG88" s="118" t="str">
        <f>ادخال1!$F$9</f>
        <v>التربية الإسلامية</v>
      </c>
      <c r="AH88" s="148">
        <f>ادخال1!$F$7</f>
        <v>3</v>
      </c>
      <c r="AI88" s="45">
        <f t="shared" ref="AI88:AI90" si="70">40*AH88*0.3</f>
        <v>36</v>
      </c>
      <c r="AJ88" s="2">
        <f xml:space="preserve"> IFERROR(VLOOKUP(AS102,اسماء,5,0),"")</f>
        <v>36</v>
      </c>
      <c r="AK88" s="47">
        <f t="shared" ref="AK88:AK90" si="71">40*AH88*0.3</f>
        <v>36</v>
      </c>
      <c r="AL88" s="2">
        <f>IFERROR(VLOOKUP(AS102,اسماء,18,0),"")</f>
        <v>0</v>
      </c>
      <c r="AM88" s="45">
        <f t="shared" ref="AM88:AM90" si="72">40*AH88*0.4</f>
        <v>48</v>
      </c>
      <c r="AN88" s="2">
        <f>IFERROR(VLOOKUP(AS102,اسماء,31,0),"")</f>
        <v>0</v>
      </c>
      <c r="AO88" s="45">
        <f t="shared" ref="AO88:AO90" si="73">SUM(AI88,AK88,AM88)</f>
        <v>120</v>
      </c>
      <c r="AP88" s="48">
        <f t="shared" ref="AP88:AP90" si="74">0.4*AO88</f>
        <v>48</v>
      </c>
      <c r="AQ88" s="2">
        <f t="shared" ref="AQ88:AQ90" si="75">SUM(AJ88,AL88,AN88)</f>
        <v>36</v>
      </c>
      <c r="AR88" s="20"/>
      <c r="AS88" s="109" t="str">
        <f>IF(AJ88=0,"",IF(AJ88&lt;AI88*0.4,AG88,""))</f>
        <v/>
      </c>
      <c r="AT88" s="159" t="str">
        <f>IF(AJ89=0,"",IF(AJ89&lt;AI89*0.4,AG89,""))</f>
        <v/>
      </c>
      <c r="AU88" s="160" t="str">
        <f>IF(AJ90=0,"",IF(AJ90&lt;AI90*0.4,AG90,""))</f>
        <v/>
      </c>
      <c r="AV88" s="123"/>
      <c r="AW88" s="118" t="str">
        <f>ادخال1!$F$9</f>
        <v>التربية الإسلامية</v>
      </c>
      <c r="AX88" s="148">
        <f>ادخال1!$F$7</f>
        <v>3</v>
      </c>
      <c r="AY88" s="45">
        <f t="shared" ref="AY88:AY90" si="76">40*AX88*0.3</f>
        <v>36</v>
      </c>
      <c r="AZ88" s="2" t="str">
        <f xml:space="preserve"> IFERROR(VLOOKUP(BI102,اسماء,5,0),"")</f>
        <v/>
      </c>
      <c r="BA88" s="47">
        <f t="shared" ref="BA88:BA90" si="77">40*AX88*0.3</f>
        <v>36</v>
      </c>
      <c r="BB88" s="2" t="str">
        <f>IFERROR(VLOOKUP(BI102,اسماء,18,0),"")</f>
        <v/>
      </c>
      <c r="BC88" s="45">
        <f t="shared" ref="BC88:BC90" si="78">40*AX88*0.4</f>
        <v>48</v>
      </c>
      <c r="BD88" s="2" t="str">
        <f>IFERROR(VLOOKUP(BI102,اسماء,31,0),"")</f>
        <v/>
      </c>
      <c r="BE88" s="45">
        <f t="shared" ref="BE88:BE90" si="79">SUM(AY88,BA88,BC88)</f>
        <v>120</v>
      </c>
      <c r="BF88" s="48">
        <f t="shared" ref="BF88:BF90" si="80">0.4*BE88</f>
        <v>48</v>
      </c>
      <c r="BG88" s="2">
        <f t="shared" ref="BG88:BG90" si="81">SUM(AZ88,BB88,BD88)</f>
        <v>0</v>
      </c>
      <c r="BH88" s="20"/>
      <c r="BI88" s="109" t="str">
        <f>IF(AZ88=0,"",IF(AZ88&lt;AY88*0.4,AW88,""))</f>
        <v/>
      </c>
      <c r="BJ88" s="159" t="str">
        <f>IF(AZ89=0,"",IF(AZ89&lt;AY89*0.4,AW89,""))</f>
        <v/>
      </c>
      <c r="BK88" s="160" t="str">
        <f>IF(AZ90=0,"",IF(AZ90&lt;AY90*0.4,AW90,""))</f>
        <v/>
      </c>
      <c r="BL88" s="27"/>
    </row>
    <row r="89" spans="1:64" ht="24.95" customHeight="1" x14ac:dyDescent="0.25">
      <c r="A89" s="136" t="str">
        <f>ادخال1!$G$9</f>
        <v>اللغة العربية</v>
      </c>
      <c r="B89" s="149">
        <f>ادخال1!$G$7</f>
        <v>4</v>
      </c>
      <c r="C89" s="45">
        <f t="shared" si="58"/>
        <v>48</v>
      </c>
      <c r="D89" s="2">
        <f>IFERROR(VLOOKUP(M102,اسماء,6,0),"")</f>
        <v>39</v>
      </c>
      <c r="E89" s="47">
        <f t="shared" si="59"/>
        <v>48</v>
      </c>
      <c r="F89" s="2">
        <f>IFERROR(VLOOKUP(M102,اسماء,19,0),"")</f>
        <v>0</v>
      </c>
      <c r="G89" s="45">
        <f t="shared" si="60"/>
        <v>64</v>
      </c>
      <c r="H89" s="2">
        <f>IFERROR(VLOOKUP(M102,اسماء,32,0),"")</f>
        <v>0</v>
      </c>
      <c r="I89" s="45">
        <f t="shared" si="61"/>
        <v>160</v>
      </c>
      <c r="J89" s="48">
        <f t="shared" si="62"/>
        <v>64</v>
      </c>
      <c r="K89" s="2">
        <f t="shared" si="63"/>
        <v>39</v>
      </c>
      <c r="L89" s="20"/>
      <c r="M89" s="109" t="str">
        <f>IF(D91=0,"",IF(D91&lt;C91*0.4,A91,""))</f>
        <v/>
      </c>
      <c r="N89" s="159" t="str">
        <f>IF(D92=0,"",IF(D92&lt;C92*0.4,A92,""))</f>
        <v/>
      </c>
      <c r="O89" s="160" t="str">
        <f>IF(D93=0,"",IF(D93&lt;C93*0.4,A93,""))</f>
        <v/>
      </c>
      <c r="Q89" s="136" t="str">
        <f>ادخال1!$G$9</f>
        <v>اللغة العربية</v>
      </c>
      <c r="R89" s="149">
        <f>ادخال1!$G$7</f>
        <v>4</v>
      </c>
      <c r="S89" s="45">
        <f t="shared" si="64"/>
        <v>48</v>
      </c>
      <c r="T89" s="2">
        <f>IFERROR(VLOOKUP(AC102,اسماء,6,0),"")</f>
        <v>48</v>
      </c>
      <c r="U89" s="47">
        <f t="shared" si="65"/>
        <v>48</v>
      </c>
      <c r="V89" s="2">
        <f>IFERROR(VLOOKUP(AC102,اسماء,19,0),"")</f>
        <v>0</v>
      </c>
      <c r="W89" s="45">
        <f t="shared" si="66"/>
        <v>64</v>
      </c>
      <c r="X89" s="2">
        <f>IFERROR(VLOOKUP(AC102,اسماء,32,0),"")</f>
        <v>0</v>
      </c>
      <c r="Y89" s="45">
        <f t="shared" si="67"/>
        <v>160</v>
      </c>
      <c r="Z89" s="48">
        <f t="shared" si="68"/>
        <v>64</v>
      </c>
      <c r="AA89" s="2">
        <f t="shared" si="69"/>
        <v>48</v>
      </c>
      <c r="AB89" s="20"/>
      <c r="AC89" s="109" t="str">
        <f>IF(T91=0,"",IF(T91&lt;S91*0.4,Q91,""))</f>
        <v/>
      </c>
      <c r="AD89" s="159" t="str">
        <f>IF(T92=0,"",IF(T92&lt;S92*0.4,Q92,""))</f>
        <v/>
      </c>
      <c r="AE89" s="160" t="str">
        <f>IF(T93=0,"",IF(T93&lt;S93*0.4,Q93,""))</f>
        <v/>
      </c>
      <c r="AG89" s="136" t="str">
        <f>ادخال1!$G$9</f>
        <v>اللغة العربية</v>
      </c>
      <c r="AH89" s="149">
        <f>ادخال1!$G$7</f>
        <v>4</v>
      </c>
      <c r="AI89" s="45">
        <f t="shared" si="70"/>
        <v>48</v>
      </c>
      <c r="AJ89" s="2">
        <f>IFERROR(VLOOKUP(AS102,اسماء,6,0),"")</f>
        <v>44</v>
      </c>
      <c r="AK89" s="47">
        <f t="shared" si="71"/>
        <v>48</v>
      </c>
      <c r="AL89" s="2">
        <f>IFERROR(VLOOKUP(AS102,اسماء,19,0),"")</f>
        <v>0</v>
      </c>
      <c r="AM89" s="45">
        <f t="shared" si="72"/>
        <v>64</v>
      </c>
      <c r="AN89" s="2">
        <f>IFERROR(VLOOKUP(AS102,اسماء,32,0),"")</f>
        <v>0</v>
      </c>
      <c r="AO89" s="45">
        <f t="shared" si="73"/>
        <v>160</v>
      </c>
      <c r="AP89" s="48">
        <f t="shared" si="74"/>
        <v>64</v>
      </c>
      <c r="AQ89" s="2">
        <f t="shared" si="75"/>
        <v>44</v>
      </c>
      <c r="AR89" s="20"/>
      <c r="AS89" s="109" t="str">
        <f>IF(AJ91=0,"",IF(AJ91&lt;AI91*0.4,AG91,""))</f>
        <v/>
      </c>
      <c r="AT89" s="159" t="str">
        <f>IF(AJ92=0,"",IF(AJ92&lt;AI92*0.4,AG92,""))</f>
        <v/>
      </c>
      <c r="AU89" s="160" t="str">
        <f>IF(AJ93=0,"",IF(AJ93&lt;AI93*0.4,AG93,""))</f>
        <v/>
      </c>
      <c r="AV89" s="123"/>
      <c r="AW89" s="136" t="str">
        <f>ادخال1!$G$9</f>
        <v>اللغة العربية</v>
      </c>
      <c r="AX89" s="149">
        <f>ادخال1!$G$7</f>
        <v>4</v>
      </c>
      <c r="AY89" s="45">
        <f t="shared" si="76"/>
        <v>48</v>
      </c>
      <c r="AZ89" s="2" t="str">
        <f>IFERROR(VLOOKUP(BI102,اسماء,6,0),"")</f>
        <v/>
      </c>
      <c r="BA89" s="47">
        <f t="shared" si="77"/>
        <v>48</v>
      </c>
      <c r="BB89" s="2" t="str">
        <f>IFERROR(VLOOKUP(BI102,اسماء,19,0),"")</f>
        <v/>
      </c>
      <c r="BC89" s="45">
        <f t="shared" si="78"/>
        <v>64</v>
      </c>
      <c r="BD89" s="2" t="str">
        <f>IFERROR(VLOOKUP(BI102,اسماء,32,0),"")</f>
        <v/>
      </c>
      <c r="BE89" s="45">
        <f t="shared" si="79"/>
        <v>160</v>
      </c>
      <c r="BF89" s="48">
        <f t="shared" si="80"/>
        <v>64</v>
      </c>
      <c r="BG89" s="2">
        <f t="shared" si="81"/>
        <v>0</v>
      </c>
      <c r="BH89" s="20"/>
      <c r="BI89" s="109" t="str">
        <f>IF(AZ91=0,"",IF(AZ91&lt;AY91*0.4,AW91,""))</f>
        <v/>
      </c>
      <c r="BJ89" s="159" t="str">
        <f>IF(AZ92=0,"",IF(AZ92&lt;AY92*0.4,AW92,""))</f>
        <v/>
      </c>
      <c r="BK89" s="160" t="str">
        <f>IF(AZ93=0,"",IF(AZ93&lt;AY93*0.4,AW93,""))</f>
        <v/>
      </c>
      <c r="BL89" s="27"/>
    </row>
    <row r="90" spans="1:64" ht="24.95" customHeight="1" thickBot="1" x14ac:dyDescent="0.3">
      <c r="A90" s="136" t="str">
        <f>ادخال1!$H$9</f>
        <v>الكتابة</v>
      </c>
      <c r="B90" s="149">
        <f>ادخال1!$H$7</f>
        <v>2</v>
      </c>
      <c r="C90" s="45">
        <f t="shared" si="58"/>
        <v>24</v>
      </c>
      <c r="D90" s="2">
        <f>IFERROR(VLOOKUP(M102,اسماء,7,0),"")</f>
        <v>17</v>
      </c>
      <c r="E90" s="47">
        <f t="shared" si="59"/>
        <v>24</v>
      </c>
      <c r="F90" s="2">
        <f>IFERROR(VLOOKUP(M102,اسماء,20,0),"")</f>
        <v>0</v>
      </c>
      <c r="G90" s="45">
        <f t="shared" si="60"/>
        <v>32</v>
      </c>
      <c r="H90" s="2">
        <f>IFERROR(VLOOKUP(M102,اسماء,33,0),"")</f>
        <v>0</v>
      </c>
      <c r="I90" s="45">
        <f t="shared" si="61"/>
        <v>80</v>
      </c>
      <c r="J90" s="48">
        <f t="shared" si="62"/>
        <v>32</v>
      </c>
      <c r="K90" s="2">
        <f t="shared" si="63"/>
        <v>17</v>
      </c>
      <c r="L90" s="20"/>
      <c r="M90" s="109" t="str">
        <f>IF(D94=0,"",IF(D94&lt;C94*0.4,A94,""))</f>
        <v/>
      </c>
      <c r="N90" s="109" t="str">
        <f>IF(D95=0,"",IF(D95&lt;C95*0.4,A95,""))</f>
        <v/>
      </c>
      <c r="O90" s="357"/>
      <c r="Q90" s="136" t="str">
        <f>ادخال1!$H$9</f>
        <v>الكتابة</v>
      </c>
      <c r="R90" s="149">
        <f>ادخال1!$H$7</f>
        <v>2</v>
      </c>
      <c r="S90" s="45">
        <f t="shared" si="64"/>
        <v>24</v>
      </c>
      <c r="T90" s="2">
        <f>IFERROR(VLOOKUP(AC102,اسماء,7,0),"")</f>
        <v>23</v>
      </c>
      <c r="U90" s="47">
        <f t="shared" si="65"/>
        <v>24</v>
      </c>
      <c r="V90" s="2">
        <f>IFERROR(VLOOKUP(AC102,اسماء,20,0),"")</f>
        <v>0</v>
      </c>
      <c r="W90" s="45">
        <f t="shared" si="66"/>
        <v>32</v>
      </c>
      <c r="X90" s="2">
        <f>IFERROR(VLOOKUP(AC102,اسماء,33,0),"")</f>
        <v>0</v>
      </c>
      <c r="Y90" s="45">
        <f t="shared" si="67"/>
        <v>80</v>
      </c>
      <c r="Z90" s="48">
        <f t="shared" si="68"/>
        <v>32</v>
      </c>
      <c r="AA90" s="2">
        <f t="shared" si="69"/>
        <v>23</v>
      </c>
      <c r="AB90" s="20"/>
      <c r="AC90" s="109" t="str">
        <f>IF(T94=0,"",IF(T94&lt;S94*0.4,Q94,""))</f>
        <v/>
      </c>
      <c r="AD90" s="109" t="str">
        <f>IF(T95=0,"",IF(T95&lt;S95*0.4,Q95,""))</f>
        <v/>
      </c>
      <c r="AE90" s="357"/>
      <c r="AG90" s="136" t="str">
        <f>ادخال1!$H$9</f>
        <v>الكتابة</v>
      </c>
      <c r="AH90" s="149">
        <f>ادخال1!$H$7</f>
        <v>2</v>
      </c>
      <c r="AI90" s="45">
        <f t="shared" si="70"/>
        <v>24</v>
      </c>
      <c r="AJ90" s="2">
        <f>IFERROR(VLOOKUP(AS102,اسماء,7,0),"")</f>
        <v>21</v>
      </c>
      <c r="AK90" s="47">
        <f t="shared" si="71"/>
        <v>24</v>
      </c>
      <c r="AL90" s="2">
        <f>IFERROR(VLOOKUP(AS102,اسماء,20,0),"")</f>
        <v>0</v>
      </c>
      <c r="AM90" s="45">
        <f t="shared" si="72"/>
        <v>32</v>
      </c>
      <c r="AN90" s="2">
        <f>IFERROR(VLOOKUP(AS102,اسماء,33,0),"")</f>
        <v>0</v>
      </c>
      <c r="AO90" s="45">
        <f t="shared" si="73"/>
        <v>80</v>
      </c>
      <c r="AP90" s="48">
        <f t="shared" si="74"/>
        <v>32</v>
      </c>
      <c r="AQ90" s="2">
        <f t="shared" si="75"/>
        <v>21</v>
      </c>
      <c r="AR90" s="20"/>
      <c r="AS90" s="109" t="str">
        <f>IF(AJ94=0,"",IF(AJ94&lt;AI94*0.4,AG94,""))</f>
        <v/>
      </c>
      <c r="AT90" s="109" t="str">
        <f>IF(AJ95=0,"",IF(AJ95&lt;AI95*0.4,AG95,""))</f>
        <v/>
      </c>
      <c r="AU90" s="357"/>
      <c r="AV90" s="123"/>
      <c r="AW90" s="136" t="str">
        <f>ادخال1!$H$9</f>
        <v>الكتابة</v>
      </c>
      <c r="AX90" s="149">
        <f>ادخال1!$H$7</f>
        <v>2</v>
      </c>
      <c r="AY90" s="45">
        <f t="shared" si="76"/>
        <v>24</v>
      </c>
      <c r="AZ90" s="2" t="str">
        <f>IFERROR(VLOOKUP(BI102,اسماء,7,0),"")</f>
        <v/>
      </c>
      <c r="BA90" s="47">
        <f t="shared" si="77"/>
        <v>24</v>
      </c>
      <c r="BB90" s="2" t="str">
        <f>IFERROR(VLOOKUP(BI102,اسماء,20,0),"")</f>
        <v/>
      </c>
      <c r="BC90" s="45">
        <f t="shared" si="78"/>
        <v>32</v>
      </c>
      <c r="BD90" s="2" t="str">
        <f>IFERROR(VLOOKUP(BI102,اسماء,33,0),"")</f>
        <v/>
      </c>
      <c r="BE90" s="45">
        <f t="shared" si="79"/>
        <v>80</v>
      </c>
      <c r="BF90" s="48">
        <f t="shared" si="80"/>
        <v>32</v>
      </c>
      <c r="BG90" s="2">
        <f t="shared" si="81"/>
        <v>0</v>
      </c>
      <c r="BH90" s="20"/>
      <c r="BI90" s="109" t="str">
        <f>IF(AZ94=0,"",IF(AZ94&lt;AY94*0.4,AW94,""))</f>
        <v/>
      </c>
      <c r="BJ90" s="109" t="str">
        <f>IF(AZ95=0,"",IF(AZ95&lt;AY95*0.4,AW95,""))</f>
        <v/>
      </c>
      <c r="BK90" s="357"/>
      <c r="BL90" s="27"/>
    </row>
    <row r="91" spans="1:64" ht="24.95" customHeight="1" x14ac:dyDescent="0.25">
      <c r="A91" s="136" t="str">
        <f>ادخال1!$I$9</f>
        <v>اللغة الإنجليزية</v>
      </c>
      <c r="B91" s="149">
        <f>ادخال1!$I$7</f>
        <v>3</v>
      </c>
      <c r="C91" s="45">
        <f>40*B91*0.3</f>
        <v>36</v>
      </c>
      <c r="D91" s="2">
        <f>IFERROR(VLOOKUP(M102,اسماء,8,0),"")</f>
        <v>32</v>
      </c>
      <c r="E91" s="47">
        <f>40*B91*0.3</f>
        <v>36</v>
      </c>
      <c r="F91" s="2">
        <f>IFERROR(VLOOKUP(M102,اسماء,21,0),"")</f>
        <v>0</v>
      </c>
      <c r="G91" s="45">
        <f>40*B91*0.4</f>
        <v>48</v>
      </c>
      <c r="H91" s="2">
        <f>IFERROR(VLOOKUP(M102,اسماء,34,0),"")</f>
        <v>0</v>
      </c>
      <c r="I91" s="45">
        <f>SUM(C91,E91,G91)</f>
        <v>120</v>
      </c>
      <c r="J91" s="48">
        <f>0.4*I91</f>
        <v>48</v>
      </c>
      <c r="K91" s="2">
        <f>SUM(D91,F91,H91)</f>
        <v>32</v>
      </c>
      <c r="L91" s="20"/>
      <c r="M91" s="108" t="s">
        <v>83</v>
      </c>
      <c r="N91" s="489" t="str">
        <f>IF(F96=0,"",IF(AND(F88&gt;=E88*0.4,F89&gt;=E89*0.4,F91&gt;=E91*0.4,F93&gt;=E93*0.4,F94&gt;=E94*0.4),LOOKUP(F96,'الصحيفة النهائية'!$BO$18:$BP$22),"ضعيف ويحتاج الى اهتمام في المواد"))</f>
        <v/>
      </c>
      <c r="O91" s="490"/>
      <c r="Q91" s="136" t="str">
        <f>ادخال1!$I$9</f>
        <v>اللغة الإنجليزية</v>
      </c>
      <c r="R91" s="149">
        <f>ادخال1!$I$7</f>
        <v>3</v>
      </c>
      <c r="S91" s="45">
        <f>40*R91*0.3</f>
        <v>36</v>
      </c>
      <c r="T91" s="2">
        <f>IFERROR(VLOOKUP(AC102,اسماء,8,0),"")</f>
        <v>36</v>
      </c>
      <c r="U91" s="47">
        <f>40*R91*0.3</f>
        <v>36</v>
      </c>
      <c r="V91" s="2">
        <f>IFERROR(VLOOKUP(AC102,اسماء,21,0),"")</f>
        <v>0</v>
      </c>
      <c r="W91" s="45">
        <f>40*R91*0.4</f>
        <v>48</v>
      </c>
      <c r="X91" s="2">
        <f>IFERROR(VLOOKUP(AC102,اسماء,34,0),"")</f>
        <v>0</v>
      </c>
      <c r="Y91" s="45">
        <f>SUM(S91,U91,W91)</f>
        <v>120</v>
      </c>
      <c r="Z91" s="48">
        <f>0.4*Y91</f>
        <v>48</v>
      </c>
      <c r="AA91" s="2">
        <f>SUM(T91,V91,X91)</f>
        <v>36</v>
      </c>
      <c r="AB91" s="20"/>
      <c r="AC91" s="108" t="s">
        <v>83</v>
      </c>
      <c r="AD91" s="489" t="str">
        <f>IF(V96=0,"",IF(AND(V88&gt;=U88*0.4,V89&gt;=U89*0.4,V91&gt;=U91*0.4,V93&gt;=U93*0.4,V94&gt;=U94*0.4),LOOKUP(V96,'الصحيفة النهائية'!$BO$18:$BP$22),"ضعيف ويحتاج الى اهتمام في المواد"))</f>
        <v/>
      </c>
      <c r="AE91" s="490"/>
      <c r="AG91" s="136" t="str">
        <f>ادخال1!$I$9</f>
        <v>اللغة الإنجليزية</v>
      </c>
      <c r="AH91" s="149">
        <f>ادخال1!$I$7</f>
        <v>3</v>
      </c>
      <c r="AI91" s="45">
        <f>40*AH91*0.3</f>
        <v>36</v>
      </c>
      <c r="AJ91" s="2">
        <f>IFERROR(VLOOKUP(AS102,اسماء,8,0),"")</f>
        <v>30</v>
      </c>
      <c r="AK91" s="47">
        <f>40*AH91*0.3</f>
        <v>36</v>
      </c>
      <c r="AL91" s="2">
        <f>IFERROR(VLOOKUP(AS102,اسماء,21,0),"")</f>
        <v>0</v>
      </c>
      <c r="AM91" s="45">
        <f>40*AH91*0.4</f>
        <v>48</v>
      </c>
      <c r="AN91" s="2">
        <f>IFERROR(VLOOKUP(AS102,اسماء,34,0),"")</f>
        <v>0</v>
      </c>
      <c r="AO91" s="45">
        <f>SUM(AI91,AK91,AM91)</f>
        <v>120</v>
      </c>
      <c r="AP91" s="48">
        <f>0.4*AO91</f>
        <v>48</v>
      </c>
      <c r="AQ91" s="2">
        <f>SUM(AJ91,AL91,AN91)</f>
        <v>30</v>
      </c>
      <c r="AR91" s="20"/>
      <c r="AS91" s="108" t="s">
        <v>83</v>
      </c>
      <c r="AT91" s="489" t="str">
        <f>IF(AL96=0,"",IF(AND(AL88&gt;=AK88*0.4,AL89&gt;=AK89*0.4,AL91&gt;=AK91*0.4,AL93&gt;=AK93*0.4,AL94&gt;=AK94*0.4),LOOKUP(AL96,'الصحيفة النهائية'!$BO$18:$BP$22),"ضعيف ويحتاج الى اهتمام في المواد"))</f>
        <v/>
      </c>
      <c r="AU91" s="490"/>
      <c r="AV91" s="123"/>
      <c r="AW91" s="136" t="str">
        <f>ادخال1!$I$9</f>
        <v>اللغة الإنجليزية</v>
      </c>
      <c r="AX91" s="149">
        <f>ادخال1!$I$7</f>
        <v>3</v>
      </c>
      <c r="AY91" s="45">
        <f>40*AX91*0.3</f>
        <v>36</v>
      </c>
      <c r="AZ91" s="2" t="str">
        <f>IFERROR(VLOOKUP(BI102,اسماء,8,0),"")</f>
        <v/>
      </c>
      <c r="BA91" s="47">
        <f>40*AX91*0.3</f>
        <v>36</v>
      </c>
      <c r="BB91" s="2" t="str">
        <f>IFERROR(VLOOKUP(BI102,اسماء,21,0),"")</f>
        <v/>
      </c>
      <c r="BC91" s="45">
        <f>40*AX91*0.4</f>
        <v>48</v>
      </c>
      <c r="BD91" s="2" t="str">
        <f>IFERROR(VLOOKUP(BI102,اسماء,34,0),"")</f>
        <v/>
      </c>
      <c r="BE91" s="45">
        <f>SUM(AY91,BA91,BC91)</f>
        <v>120</v>
      </c>
      <c r="BF91" s="48">
        <f>0.4*BE91</f>
        <v>48</v>
      </c>
      <c r="BG91" s="2">
        <f>SUM(AZ91,BB91,BD91)</f>
        <v>0</v>
      </c>
      <c r="BH91" s="20"/>
      <c r="BI91" s="108" t="s">
        <v>83</v>
      </c>
      <c r="BJ91" s="489" t="str">
        <f>IF(BB96=0,"",IF(AND(BB88&gt;=BA88*0.4,BB89&gt;=BA89*0.4,BB91&gt;=BA91*0.4,BB93&gt;=BA93*0.4,BB94&gt;=BA94*0.4),LOOKUP(BB96,'الصحيفة النهائية'!$BO$18:$BP$22),"ضعيف ويحتاج الى اهتمام في المواد"))</f>
        <v/>
      </c>
      <c r="BK91" s="490"/>
      <c r="BL91" s="27"/>
    </row>
    <row r="92" spans="1:64" ht="24.95" customHeight="1" x14ac:dyDescent="0.25">
      <c r="A92" s="136" t="str">
        <f>ادخال1!$J$9</f>
        <v>الحاسوب</v>
      </c>
      <c r="B92" s="149">
        <f>ادخال1!$J$7</f>
        <v>1</v>
      </c>
      <c r="C92" s="45">
        <f>40*B92*0.3</f>
        <v>12</v>
      </c>
      <c r="D92" s="2">
        <f>IFERROR(VLOOKUP(M102,اسماء,9,0),"")</f>
        <v>12</v>
      </c>
      <c r="E92" s="47">
        <f>40*B92*0.3</f>
        <v>12</v>
      </c>
      <c r="F92" s="2">
        <f>IFERROR(VLOOKUP(M102,اسماء,22,0),"")</f>
        <v>0</v>
      </c>
      <c r="G92" s="45">
        <f>40*B92*0.4</f>
        <v>16</v>
      </c>
      <c r="H92" s="2">
        <f>IFERROR(VLOOKUP(M102,اسماء,35,0),"")</f>
        <v>0</v>
      </c>
      <c r="I92" s="45">
        <f>SUM(C92,E92,G92)</f>
        <v>40</v>
      </c>
      <c r="J92" s="48">
        <f>0.4*I92</f>
        <v>16</v>
      </c>
      <c r="K92" s="2">
        <f>SUM(D92,F92,H92)</f>
        <v>12</v>
      </c>
      <c r="L92" s="20"/>
      <c r="M92" s="109" t="str">
        <f>IF(F88=0,"",IF(F88&lt;E88*0.4,A88,""))</f>
        <v/>
      </c>
      <c r="N92" s="159" t="str">
        <f>IF(F89=0,"",IF(F89&lt;E89*0.4,A89,""))</f>
        <v/>
      </c>
      <c r="O92" s="160" t="str">
        <f>IF(F90=0,"",IF(F90&lt;E90*0.4,A90,""))</f>
        <v/>
      </c>
      <c r="Q92" s="136" t="str">
        <f>ادخال1!$J$9</f>
        <v>الحاسوب</v>
      </c>
      <c r="R92" s="149">
        <f>ادخال1!$J$7</f>
        <v>1</v>
      </c>
      <c r="S92" s="45">
        <f>40*R92*0.3</f>
        <v>12</v>
      </c>
      <c r="T92" s="2">
        <f>IFERROR(VLOOKUP(AC102,اسماء,9,0),"")</f>
        <v>12</v>
      </c>
      <c r="U92" s="47">
        <f>40*R92*0.3</f>
        <v>12</v>
      </c>
      <c r="V92" s="2">
        <f>IFERROR(VLOOKUP(AC102,اسماء,22,0),"")</f>
        <v>0</v>
      </c>
      <c r="W92" s="45">
        <f>40*R92*0.4</f>
        <v>16</v>
      </c>
      <c r="X92" s="2">
        <f>IFERROR(VLOOKUP(AC102,اسماء,35,0),"")</f>
        <v>0</v>
      </c>
      <c r="Y92" s="45">
        <f>SUM(S92,U92,W92)</f>
        <v>40</v>
      </c>
      <c r="Z92" s="48">
        <f>0.4*Y92</f>
        <v>16</v>
      </c>
      <c r="AA92" s="2">
        <f>SUM(T92,V92,X92)</f>
        <v>12</v>
      </c>
      <c r="AB92" s="20"/>
      <c r="AC92" s="109" t="str">
        <f>IF(V88=0,"",IF(V88&lt;U88*0.4,Q88,""))</f>
        <v/>
      </c>
      <c r="AD92" s="159" t="str">
        <f>IF(V89=0,"",IF(V89&lt;U89*0.4,Q89,""))</f>
        <v/>
      </c>
      <c r="AE92" s="160" t="str">
        <f>IF(V90=0,"",IF(V90&lt;U90*0.4,Q90,""))</f>
        <v/>
      </c>
      <c r="AG92" s="136" t="str">
        <f>ادخال1!$J$9</f>
        <v>الحاسوب</v>
      </c>
      <c r="AH92" s="149">
        <f>ادخال1!$J$7</f>
        <v>1</v>
      </c>
      <c r="AI92" s="45">
        <f>40*AH92*0.3</f>
        <v>12</v>
      </c>
      <c r="AJ92" s="2">
        <f>IFERROR(VLOOKUP(AS102,اسماء,9,0),"")</f>
        <v>12</v>
      </c>
      <c r="AK92" s="47">
        <f>40*AH92*0.3</f>
        <v>12</v>
      </c>
      <c r="AL92" s="2">
        <f>IFERROR(VLOOKUP(AS102,اسماء,22,0),"")</f>
        <v>0</v>
      </c>
      <c r="AM92" s="45">
        <f>40*AH92*0.4</f>
        <v>16</v>
      </c>
      <c r="AN92" s="2">
        <f>IFERROR(VLOOKUP(AS102,اسماء,35,0),"")</f>
        <v>0</v>
      </c>
      <c r="AO92" s="45">
        <f>SUM(AI92,AK92,AM92)</f>
        <v>40</v>
      </c>
      <c r="AP92" s="48">
        <f>0.4*AO92</f>
        <v>16</v>
      </c>
      <c r="AQ92" s="2">
        <f>SUM(AJ92,AL92,AN92)</f>
        <v>12</v>
      </c>
      <c r="AR92" s="20"/>
      <c r="AS92" s="109" t="str">
        <f>IF(AL88=0,"",IF(AL88&lt;AK88*0.4,AG88,""))</f>
        <v/>
      </c>
      <c r="AT92" s="159" t="str">
        <f>IF(AL89=0,"",IF(AL89&lt;AK89*0.4,AG89,""))</f>
        <v/>
      </c>
      <c r="AU92" s="160" t="str">
        <f>IF(AL90=0,"",IF(AL90&lt;AK90*0.4,AG90,""))</f>
        <v/>
      </c>
      <c r="AV92" s="123"/>
      <c r="AW92" s="136" t="str">
        <f>ادخال1!$J$9</f>
        <v>الحاسوب</v>
      </c>
      <c r="AX92" s="149">
        <f>ادخال1!$J$7</f>
        <v>1</v>
      </c>
      <c r="AY92" s="45">
        <f>40*AX92*0.3</f>
        <v>12</v>
      </c>
      <c r="AZ92" s="2" t="str">
        <f>IFERROR(VLOOKUP(BI102,اسماء,9,0),"")</f>
        <v/>
      </c>
      <c r="BA92" s="47">
        <f>40*AX92*0.3</f>
        <v>12</v>
      </c>
      <c r="BB92" s="2" t="str">
        <f>IFERROR(VLOOKUP(BI102,اسماء,22,0),"")</f>
        <v/>
      </c>
      <c r="BC92" s="45">
        <f>40*AX92*0.4</f>
        <v>16</v>
      </c>
      <c r="BD92" s="2" t="str">
        <f>IFERROR(VLOOKUP(BI102,اسماء,35,0),"")</f>
        <v/>
      </c>
      <c r="BE92" s="45">
        <f>SUM(AY92,BA92,BC92)</f>
        <v>40</v>
      </c>
      <c r="BF92" s="48">
        <f>0.4*BE92</f>
        <v>16</v>
      </c>
      <c r="BG92" s="2">
        <f>SUM(AZ92,BB92,BD92)</f>
        <v>0</v>
      </c>
      <c r="BH92" s="20"/>
      <c r="BI92" s="109" t="str">
        <f>IF(BB88=0,"",IF(BB88&lt;BA88*0.4,AW88,""))</f>
        <v/>
      </c>
      <c r="BJ92" s="159" t="str">
        <f>IF(BB89=0,"",IF(BB89&lt;BA89*0.4,AW89,""))</f>
        <v/>
      </c>
      <c r="BK92" s="160" t="str">
        <f>IF(BB90=0,"",IF(BB90&lt;BA90*0.4,AW90,""))</f>
        <v/>
      </c>
      <c r="BL92" s="27"/>
    </row>
    <row r="93" spans="1:64" ht="24.95" customHeight="1" x14ac:dyDescent="0.25">
      <c r="A93" s="136" t="str">
        <f>ادخال1!$K$9</f>
        <v>الرياضيات</v>
      </c>
      <c r="B93" s="149">
        <f>ادخال1!$K$7</f>
        <v>5</v>
      </c>
      <c r="C93" s="45">
        <f>40*B93*0.3</f>
        <v>60</v>
      </c>
      <c r="D93" s="2">
        <f>IFERROR(VLOOKUP(M102,اسماء,10,0),"")</f>
        <v>50</v>
      </c>
      <c r="E93" s="47">
        <f>40*B93*0.3</f>
        <v>60</v>
      </c>
      <c r="F93" s="2">
        <f>IFERROR(VLOOKUP(M102,اسماء,23,0),"")</f>
        <v>0</v>
      </c>
      <c r="G93" s="45">
        <f>40*B93*0.4</f>
        <v>80</v>
      </c>
      <c r="H93" s="2">
        <f>IFERROR(VLOOKUP(M102,اسماء,36,0),"")</f>
        <v>0</v>
      </c>
      <c r="I93" s="45">
        <f>SUM(C93,E93,G93)</f>
        <v>200</v>
      </c>
      <c r="J93" s="48">
        <f>0.4*I93</f>
        <v>80</v>
      </c>
      <c r="K93" s="2">
        <f>SUM(D93,F93,H93)</f>
        <v>50</v>
      </c>
      <c r="L93" s="20"/>
      <c r="M93" s="109" t="str">
        <f>IF(F91=0,"",IF(F91&lt;E91*0.4,A91,""))</f>
        <v/>
      </c>
      <c r="N93" s="159" t="str">
        <f>IF(F92=0,"",IF(F92&lt;E92*0.4,A92,""))</f>
        <v/>
      </c>
      <c r="O93" s="160" t="str">
        <f>IF(F93=0,"",IF(F93&lt;E93*0.4,A93,""))</f>
        <v/>
      </c>
      <c r="Q93" s="136" t="str">
        <f>ادخال1!$K$9</f>
        <v>الرياضيات</v>
      </c>
      <c r="R93" s="149">
        <f>ادخال1!$K$7</f>
        <v>5</v>
      </c>
      <c r="S93" s="45">
        <f>40*R93*0.3</f>
        <v>60</v>
      </c>
      <c r="T93" s="2">
        <f>IFERROR(VLOOKUP(AC102,اسماء,10,0),"")</f>
        <v>56</v>
      </c>
      <c r="U93" s="47">
        <f>40*R93*0.3</f>
        <v>60</v>
      </c>
      <c r="V93" s="2">
        <f>IFERROR(VLOOKUP(AC102,اسماء,23,0),"")</f>
        <v>0</v>
      </c>
      <c r="W93" s="45">
        <f>40*R93*0.4</f>
        <v>80</v>
      </c>
      <c r="X93" s="2">
        <f>IFERROR(VLOOKUP(AC102,اسماء,36,0),"")</f>
        <v>0</v>
      </c>
      <c r="Y93" s="45">
        <f>SUM(S93,U93,W93)</f>
        <v>200</v>
      </c>
      <c r="Z93" s="48">
        <f>0.4*Y93</f>
        <v>80</v>
      </c>
      <c r="AA93" s="2">
        <f>SUM(T93,V93,X93)</f>
        <v>56</v>
      </c>
      <c r="AB93" s="20"/>
      <c r="AC93" s="109" t="str">
        <f>IF(V91=0,"",IF(V91&lt;U91*0.4,Q91,""))</f>
        <v/>
      </c>
      <c r="AD93" s="159" t="str">
        <f>IF(V92=0,"",IF(V92&lt;U92*0.4,Q92,""))</f>
        <v/>
      </c>
      <c r="AE93" s="160" t="str">
        <f>IF(V93=0,"",IF(V93&lt;U93*0.4,Q93,""))</f>
        <v/>
      </c>
      <c r="AG93" s="136" t="str">
        <f>ادخال1!$K$9</f>
        <v>الرياضيات</v>
      </c>
      <c r="AH93" s="149">
        <f>ادخال1!$K$7</f>
        <v>5</v>
      </c>
      <c r="AI93" s="45">
        <f>40*AH93*0.3</f>
        <v>60</v>
      </c>
      <c r="AJ93" s="2">
        <f>IFERROR(VLOOKUP(AS102,اسماء,10,0),"")</f>
        <v>45</v>
      </c>
      <c r="AK93" s="47">
        <f>40*AH93*0.3</f>
        <v>60</v>
      </c>
      <c r="AL93" s="2">
        <f>IFERROR(VLOOKUP(AS102,اسماء,23,0),"")</f>
        <v>0</v>
      </c>
      <c r="AM93" s="45">
        <f>40*AH93*0.4</f>
        <v>80</v>
      </c>
      <c r="AN93" s="2">
        <f>IFERROR(VLOOKUP(AS102,اسماء,36,0),"")</f>
        <v>0</v>
      </c>
      <c r="AO93" s="45">
        <f>SUM(AI93,AK93,AM93)</f>
        <v>200</v>
      </c>
      <c r="AP93" s="48">
        <f>0.4*AO93</f>
        <v>80</v>
      </c>
      <c r="AQ93" s="2">
        <f>SUM(AJ93,AL93,AN93)</f>
        <v>45</v>
      </c>
      <c r="AR93" s="20"/>
      <c r="AS93" s="109" t="str">
        <f>IF(AL91=0,"",IF(AL91&lt;AK91*0.4,AG91,""))</f>
        <v/>
      </c>
      <c r="AT93" s="159" t="str">
        <f>IF(AL92=0,"",IF(AL92&lt;AK92*0.4,AG92,""))</f>
        <v/>
      </c>
      <c r="AU93" s="160" t="str">
        <f>IF(AL93=0,"",IF(AL93&lt;AK93*0.4,AG93,""))</f>
        <v/>
      </c>
      <c r="AV93" s="123"/>
      <c r="AW93" s="136" t="str">
        <f>ادخال1!$K$9</f>
        <v>الرياضيات</v>
      </c>
      <c r="AX93" s="149">
        <f>ادخال1!$K$7</f>
        <v>5</v>
      </c>
      <c r="AY93" s="45">
        <f>40*AX93*0.3</f>
        <v>60</v>
      </c>
      <c r="AZ93" s="2" t="str">
        <f>IFERROR(VLOOKUP(BI102,اسماء,10,0),"")</f>
        <v/>
      </c>
      <c r="BA93" s="47">
        <f>40*AX93*0.3</f>
        <v>60</v>
      </c>
      <c r="BB93" s="2" t="str">
        <f>IFERROR(VLOOKUP(BI102,اسماء,23,0),"")</f>
        <v/>
      </c>
      <c r="BC93" s="45">
        <f>40*AX93*0.4</f>
        <v>80</v>
      </c>
      <c r="BD93" s="2" t="str">
        <f>IFERROR(VLOOKUP(BI102,اسماء,36,0),"")</f>
        <v/>
      </c>
      <c r="BE93" s="45">
        <f>SUM(AY93,BA93,BC93)</f>
        <v>200</v>
      </c>
      <c r="BF93" s="48">
        <f>0.4*BE93</f>
        <v>80</v>
      </c>
      <c r="BG93" s="2">
        <f>SUM(AZ93,BB93,BD93)</f>
        <v>0</v>
      </c>
      <c r="BH93" s="20"/>
      <c r="BI93" s="109" t="str">
        <f>IF(BB91=0,"",IF(BB91&lt;BA91*0.4,AW91,""))</f>
        <v/>
      </c>
      <c r="BJ93" s="159" t="str">
        <f>IF(BB92=0,"",IF(BB92&lt;BA92*0.4,AW92,""))</f>
        <v/>
      </c>
      <c r="BK93" s="160" t="str">
        <f>IF(BB93=0,"",IF(BB93&lt;BA93*0.4,AW93,""))</f>
        <v/>
      </c>
      <c r="BL93" s="27"/>
    </row>
    <row r="94" spans="1:64" ht="30" customHeight="1" x14ac:dyDescent="0.25">
      <c r="A94" s="116" t="str">
        <f>ادخال1!$L$9</f>
        <v>العلوم</v>
      </c>
      <c r="B94" s="150">
        <f>ادخال1!$L$7</f>
        <v>3</v>
      </c>
      <c r="C94" s="45">
        <f>40*B94*0.3</f>
        <v>36</v>
      </c>
      <c r="D94" s="2">
        <f>IFERROR(VLOOKUP(M102,اسماء,11,0),"")</f>
        <v>31</v>
      </c>
      <c r="E94" s="47">
        <f>40*B94*0.3</f>
        <v>36</v>
      </c>
      <c r="F94" s="2">
        <f>IFERROR(VLOOKUP(M102,اسماء,24,0),"")</f>
        <v>0</v>
      </c>
      <c r="G94" s="45">
        <f>40*B94*0.4</f>
        <v>48</v>
      </c>
      <c r="H94" s="2">
        <f>IFERROR(VLOOKUP(M102,اسماء,37,0),"")</f>
        <v>0</v>
      </c>
      <c r="I94" s="45">
        <f>SUM(C94,E94,G94)</f>
        <v>120</v>
      </c>
      <c r="J94" s="48">
        <f>0.4*I94</f>
        <v>48</v>
      </c>
      <c r="K94" s="2">
        <f>SUM(D94,F94,H94)</f>
        <v>31</v>
      </c>
      <c r="L94" s="20"/>
      <c r="M94" s="109" t="str">
        <f>IF(F94=0,"",IF(F94&lt;E94*0.4,A94,""))</f>
        <v/>
      </c>
      <c r="N94" s="109" t="str">
        <f>IF(F95=0,"",IF(F95&lt;E95*0.4,A95,""))</f>
        <v/>
      </c>
      <c r="O94" s="357"/>
      <c r="Q94" s="116" t="str">
        <f>ادخال1!$L$9</f>
        <v>العلوم</v>
      </c>
      <c r="R94" s="150">
        <f>ادخال1!$L$7</f>
        <v>3</v>
      </c>
      <c r="S94" s="45">
        <f>40*R94*0.3</f>
        <v>36</v>
      </c>
      <c r="T94" s="2">
        <f>IFERROR(VLOOKUP(AC102,اسماء,11,0),"")</f>
        <v>36</v>
      </c>
      <c r="U94" s="47">
        <f>40*R94*0.3</f>
        <v>36</v>
      </c>
      <c r="V94" s="2">
        <f>IFERROR(VLOOKUP(AC102,اسماء,24,0),"")</f>
        <v>0</v>
      </c>
      <c r="W94" s="45">
        <f>40*R94*0.4</f>
        <v>48</v>
      </c>
      <c r="X94" s="2">
        <f>IFERROR(VLOOKUP(AC102,اسماء,37,0),"")</f>
        <v>0</v>
      </c>
      <c r="Y94" s="45">
        <f>SUM(S94,U94,W94)</f>
        <v>120</v>
      </c>
      <c r="Z94" s="48">
        <f>0.4*Y94</f>
        <v>48</v>
      </c>
      <c r="AA94" s="2">
        <f>SUM(T94,V94,X94)</f>
        <v>36</v>
      </c>
      <c r="AB94" s="20"/>
      <c r="AC94" s="109" t="str">
        <f>IF(V94=0,"",IF(V94&lt;U94*0.4,Q94,""))</f>
        <v/>
      </c>
      <c r="AD94" s="109" t="str">
        <f>IF(V95=0,"",IF(V95&lt;U95*0.4,Q95,""))</f>
        <v/>
      </c>
      <c r="AE94" s="357"/>
      <c r="AG94" s="116" t="str">
        <f>ادخال1!$L$9</f>
        <v>العلوم</v>
      </c>
      <c r="AH94" s="150">
        <f>ادخال1!$L$7</f>
        <v>3</v>
      </c>
      <c r="AI94" s="45">
        <f>40*AH94*0.3</f>
        <v>36</v>
      </c>
      <c r="AJ94" s="2">
        <f>IFERROR(VLOOKUP(AS102,اسماء,11,0),"")</f>
        <v>36</v>
      </c>
      <c r="AK94" s="47">
        <f>40*AH94*0.3</f>
        <v>36</v>
      </c>
      <c r="AL94" s="2">
        <f>IFERROR(VLOOKUP(AS102,اسماء,24,0),"")</f>
        <v>0</v>
      </c>
      <c r="AM94" s="45">
        <f>40*AH94*0.4</f>
        <v>48</v>
      </c>
      <c r="AN94" s="2">
        <f>IFERROR(VLOOKUP(AS102,اسماء,37,0),"")</f>
        <v>0</v>
      </c>
      <c r="AO94" s="45">
        <f>SUM(AI94,AK94,AM94)</f>
        <v>120</v>
      </c>
      <c r="AP94" s="48">
        <f>0.4*AO94</f>
        <v>48</v>
      </c>
      <c r="AQ94" s="2">
        <f>SUM(AJ94,AL94,AN94)</f>
        <v>36</v>
      </c>
      <c r="AR94" s="20"/>
      <c r="AS94" s="109" t="str">
        <f>IF(AL94=0,"",IF(AL94&lt;AK94*0.4,AG94,""))</f>
        <v/>
      </c>
      <c r="AT94" s="109" t="str">
        <f>IF(AL95=0,"",IF(AL95&lt;AK95*0.4,AG95,""))</f>
        <v/>
      </c>
      <c r="AU94" s="357"/>
      <c r="AV94" s="123"/>
      <c r="AW94" s="116" t="str">
        <f>ادخال1!$L$9</f>
        <v>العلوم</v>
      </c>
      <c r="AX94" s="150">
        <f>ادخال1!$L$7</f>
        <v>3</v>
      </c>
      <c r="AY94" s="45">
        <f>40*AX94*0.3</f>
        <v>36</v>
      </c>
      <c r="AZ94" s="2" t="str">
        <f>IFERROR(VLOOKUP(BI102,اسماء,11,0),"")</f>
        <v/>
      </c>
      <c r="BA94" s="47">
        <f>40*AX94*0.3</f>
        <v>36</v>
      </c>
      <c r="BB94" s="2" t="str">
        <f>IFERROR(VLOOKUP(BI102,اسماء,24,0),"")</f>
        <v/>
      </c>
      <c r="BC94" s="45">
        <f>40*AX94*0.4</f>
        <v>48</v>
      </c>
      <c r="BD94" s="2" t="str">
        <f>IFERROR(VLOOKUP(BI102,اسماء,37,0),"")</f>
        <v/>
      </c>
      <c r="BE94" s="45">
        <f>SUM(AY94,BA94,BC94)</f>
        <v>120</v>
      </c>
      <c r="BF94" s="48">
        <f>0.4*BE94</f>
        <v>48</v>
      </c>
      <c r="BG94" s="2">
        <f>SUM(AZ94,BB94,BD94)</f>
        <v>0</v>
      </c>
      <c r="BH94" s="20"/>
      <c r="BI94" s="109" t="str">
        <f>IF(BB94=0,"",IF(BB94&lt;BA94*0.4,AW94,""))</f>
        <v/>
      </c>
      <c r="BJ94" s="109" t="str">
        <f>IF(BB95=0,"",IF(BB95&lt;BA95*0.4,AW95,""))</f>
        <v/>
      </c>
      <c r="BK94" s="357"/>
      <c r="BL94" s="27"/>
    </row>
    <row r="95" spans="1:64" ht="30" customHeight="1" thickBot="1" x14ac:dyDescent="0.3">
      <c r="A95" s="116" t="str">
        <f>ادخال1!$M$9</f>
        <v>الاجتماعيات</v>
      </c>
      <c r="B95" s="150">
        <f>ادخال1!$M$7</f>
        <v>2</v>
      </c>
      <c r="C95" s="45">
        <f>40*B95*0.3</f>
        <v>24</v>
      </c>
      <c r="D95" s="2">
        <f>IFERROR(VLOOKUP(M102,اسماء,12,0),"")</f>
        <v>20</v>
      </c>
      <c r="E95" s="47">
        <f>40*B95*0.3</f>
        <v>24</v>
      </c>
      <c r="F95" s="2">
        <f>IFERROR(VLOOKUP(M102,اسماء,25,0),"")</f>
        <v>0</v>
      </c>
      <c r="G95" s="45">
        <f>40*B95*0.4</f>
        <v>32</v>
      </c>
      <c r="H95" s="2">
        <f>IFERROR(VLOOKUP(M102,اسماء,38,0),"")</f>
        <v>0</v>
      </c>
      <c r="I95" s="45">
        <f>SUM(C95,E95,G95)</f>
        <v>80</v>
      </c>
      <c r="J95" s="48">
        <f>0.4*I95</f>
        <v>32</v>
      </c>
      <c r="K95" s="2">
        <f>SUM(D95,F95,H95)</f>
        <v>20</v>
      </c>
      <c r="L95" s="20"/>
      <c r="M95" s="291"/>
      <c r="N95" s="364"/>
      <c r="O95" s="365"/>
      <c r="Q95" s="116" t="str">
        <f>ادخال1!$M$9</f>
        <v>الاجتماعيات</v>
      </c>
      <c r="R95" s="150">
        <f>ادخال1!$M$7</f>
        <v>2</v>
      </c>
      <c r="S95" s="45">
        <f>40*R95*0.3</f>
        <v>24</v>
      </c>
      <c r="T95" s="2">
        <f>IFERROR(VLOOKUP(AC102,اسماء,12,0),"")</f>
        <v>15</v>
      </c>
      <c r="U95" s="47">
        <f>40*R95*0.3</f>
        <v>24</v>
      </c>
      <c r="V95" s="2">
        <f>IFERROR(VLOOKUP(AC102,اسماء,25,0),"")</f>
        <v>0</v>
      </c>
      <c r="W95" s="45">
        <f>40*R95*0.4</f>
        <v>32</v>
      </c>
      <c r="X95" s="2">
        <f>IFERROR(VLOOKUP(AC102,اسماء,38,0),"")</f>
        <v>0</v>
      </c>
      <c r="Y95" s="45">
        <f>SUM(S95,U95,W95)</f>
        <v>80</v>
      </c>
      <c r="Z95" s="48">
        <f>0.4*Y95</f>
        <v>32</v>
      </c>
      <c r="AA95" s="2">
        <f>SUM(T95,V95,X95)</f>
        <v>15</v>
      </c>
      <c r="AB95" s="20"/>
      <c r="AC95" s="291"/>
      <c r="AD95" s="364"/>
      <c r="AE95" s="365"/>
      <c r="AG95" s="116" t="str">
        <f>ادخال1!$M$9</f>
        <v>الاجتماعيات</v>
      </c>
      <c r="AH95" s="150">
        <f>ادخال1!$M$7</f>
        <v>2</v>
      </c>
      <c r="AI95" s="45">
        <f>40*AH95*0.3</f>
        <v>24</v>
      </c>
      <c r="AJ95" s="2">
        <f>IFERROR(VLOOKUP(AS102,اسماء,12,0),"")</f>
        <v>18</v>
      </c>
      <c r="AK95" s="47">
        <f>40*AH95*0.3</f>
        <v>24</v>
      </c>
      <c r="AL95" s="2">
        <f>IFERROR(VLOOKUP(AS102,اسماء,25,0),"")</f>
        <v>0</v>
      </c>
      <c r="AM95" s="45">
        <f>40*AH95*0.4</f>
        <v>32</v>
      </c>
      <c r="AN95" s="2">
        <f>IFERROR(VLOOKUP(AS102,اسماء,38,0),"")</f>
        <v>0</v>
      </c>
      <c r="AO95" s="45">
        <f>SUM(AI95,AK95,AM95)</f>
        <v>80</v>
      </c>
      <c r="AP95" s="48">
        <f>0.4*AO95</f>
        <v>32</v>
      </c>
      <c r="AQ95" s="2">
        <f>SUM(AJ95,AL95,AN95)</f>
        <v>18</v>
      </c>
      <c r="AR95" s="20"/>
      <c r="AS95" s="291"/>
      <c r="AT95" s="364"/>
      <c r="AU95" s="365"/>
      <c r="AV95" s="123"/>
      <c r="AW95" s="116" t="str">
        <f>ادخال1!$M$9</f>
        <v>الاجتماعيات</v>
      </c>
      <c r="AX95" s="150">
        <f>ادخال1!$M$7</f>
        <v>2</v>
      </c>
      <c r="AY95" s="45">
        <f>40*AX95*0.3</f>
        <v>24</v>
      </c>
      <c r="AZ95" s="2" t="str">
        <f>IFERROR(VLOOKUP(BI102,اسماء,12,0),"")</f>
        <v/>
      </c>
      <c r="BA95" s="47">
        <f>40*AX95*0.3</f>
        <v>24</v>
      </c>
      <c r="BB95" s="2" t="str">
        <f>IFERROR(VLOOKUP(BI102,اسماء,25,0),"")</f>
        <v/>
      </c>
      <c r="BC95" s="45">
        <f>40*AX95*0.4</f>
        <v>32</v>
      </c>
      <c r="BD95" s="2" t="str">
        <f>IFERROR(VLOOKUP(BI102,اسماء,38,0),"")</f>
        <v/>
      </c>
      <c r="BE95" s="45">
        <f>SUM(AY95,BA95,BC95)</f>
        <v>80</v>
      </c>
      <c r="BF95" s="48">
        <f>0.4*BE95</f>
        <v>32</v>
      </c>
      <c r="BG95" s="2">
        <f>SUM(AZ95,BB95,BD95)</f>
        <v>0</v>
      </c>
      <c r="BH95" s="20"/>
      <c r="BI95" s="291"/>
      <c r="BJ95" s="364"/>
      <c r="BK95" s="365"/>
      <c r="BL95" s="27"/>
    </row>
    <row r="96" spans="1:64" ht="24.95" customHeight="1" thickBot="1" x14ac:dyDescent="0.3">
      <c r="A96" s="62" t="s">
        <v>57</v>
      </c>
      <c r="B96" s="151"/>
      <c r="C96" s="46">
        <f t="shared" ref="C96:I96" si="82">SUM(C88:C94)</f>
        <v>252</v>
      </c>
      <c r="D96" s="117">
        <f t="shared" si="82"/>
        <v>217</v>
      </c>
      <c r="E96" s="46">
        <f t="shared" si="82"/>
        <v>252</v>
      </c>
      <c r="F96" s="117">
        <f t="shared" si="82"/>
        <v>0</v>
      </c>
      <c r="G96" s="46">
        <f t="shared" si="82"/>
        <v>336</v>
      </c>
      <c r="H96" s="33">
        <f t="shared" si="82"/>
        <v>0</v>
      </c>
      <c r="I96" s="46">
        <f t="shared" si="82"/>
        <v>840</v>
      </c>
      <c r="J96" s="49"/>
      <c r="K96" s="3">
        <f>IF(AND(K88&gt;=J88,K89&gt;=J89,K91&gt;=J91,K93&gt;=J93,K94&gt;=J94),SUM(K88:K94),0)</f>
        <v>0</v>
      </c>
      <c r="L96" s="20"/>
      <c r="M96" s="360" t="s">
        <v>157</v>
      </c>
      <c r="N96" s="569" t="str">
        <f>IF(K96=0,"",IF(AND(K88&gt;=I88*0.4,K89&gt;=I89*0.4,K90&gt;=I90*0.4,K91&gt;=I91*0.4,K92&gt;=I92*0.4,K93&gt;=I93*0.4,K94&gt;=I94*0.4),LOOKUP(K96,$BO$10:$BP$15),"له دور ثان في "))</f>
        <v/>
      </c>
      <c r="O96" s="570"/>
      <c r="Q96" s="62" t="s">
        <v>57</v>
      </c>
      <c r="R96" s="151"/>
      <c r="S96" s="46">
        <f t="shared" ref="S96:Y96" si="83">SUM(S88:S94)</f>
        <v>252</v>
      </c>
      <c r="T96" s="117">
        <f t="shared" si="83"/>
        <v>247</v>
      </c>
      <c r="U96" s="46">
        <f t="shared" si="83"/>
        <v>252</v>
      </c>
      <c r="V96" s="117">
        <f t="shared" si="83"/>
        <v>0</v>
      </c>
      <c r="W96" s="46">
        <f t="shared" si="83"/>
        <v>336</v>
      </c>
      <c r="X96" s="33">
        <f t="shared" si="83"/>
        <v>0</v>
      </c>
      <c r="Y96" s="46">
        <f t="shared" si="83"/>
        <v>840</v>
      </c>
      <c r="Z96" s="49"/>
      <c r="AA96" s="3">
        <f>IF(AND(AA88&gt;=Z88,AA89&gt;=Z89,AA91&gt;=Z91,AA93&gt;=Z93,AA94&gt;=Z94),SUM(AA88:AA94),0)</f>
        <v>0</v>
      </c>
      <c r="AB96" s="20"/>
      <c r="AC96" s="360" t="s">
        <v>157</v>
      </c>
      <c r="AD96" s="569" t="str">
        <f>IF(AA96=0,"",IF(AND(AA88&gt;=Y88*0.4,AA89&gt;=Y89*0.4,AA90&gt;=Y90*0.4,AA91&gt;=Y91*0.4,AA92&gt;=Y92*0.4,AA93&gt;=Y93*0.4,AA94&gt;=Y94*0.4),LOOKUP(AA96,$BO$10:$BP$15),"له دور ثان في "))</f>
        <v/>
      </c>
      <c r="AE96" s="570"/>
      <c r="AF96" s="69"/>
      <c r="AG96" s="62" t="s">
        <v>57</v>
      </c>
      <c r="AH96" s="151"/>
      <c r="AI96" s="46">
        <f t="shared" ref="AI96:AO96" si="84">SUM(AI88:AI94)</f>
        <v>252</v>
      </c>
      <c r="AJ96" s="117">
        <f t="shared" si="84"/>
        <v>224</v>
      </c>
      <c r="AK96" s="46">
        <f t="shared" si="84"/>
        <v>252</v>
      </c>
      <c r="AL96" s="117">
        <f t="shared" si="84"/>
        <v>0</v>
      </c>
      <c r="AM96" s="46">
        <f t="shared" si="84"/>
        <v>336</v>
      </c>
      <c r="AN96" s="33">
        <f t="shared" si="84"/>
        <v>0</v>
      </c>
      <c r="AO96" s="46">
        <f t="shared" si="84"/>
        <v>840</v>
      </c>
      <c r="AP96" s="49"/>
      <c r="AQ96" s="3">
        <f>IF(AND(AQ88&gt;=AP88,AQ89&gt;=AP89,AQ91&gt;=AP91,AQ93&gt;=AP93,AQ94&gt;=AP94),SUM(AQ88:AQ94),0)</f>
        <v>0</v>
      </c>
      <c r="AR96" s="20"/>
      <c r="AS96" s="360" t="s">
        <v>157</v>
      </c>
      <c r="AT96" s="569" t="str">
        <f>IF(AQ96=0,"",IF(AND(AQ88&gt;=AO88*0.4,AQ89&gt;=AO89*0.4,AQ90&gt;=AO90*0.4,AQ91&gt;=AO91*0.4,AQ92&gt;=AO92*0.4,AQ93&gt;=AO93*0.4,AQ94&gt;=AO94*0.4),LOOKUP(AQ96,$BO$10:$BP$15),"له دور ثان في "))</f>
        <v/>
      </c>
      <c r="AU96" s="570"/>
      <c r="AV96" s="69"/>
      <c r="AW96" s="62" t="s">
        <v>57</v>
      </c>
      <c r="AX96" s="151"/>
      <c r="AY96" s="46">
        <f t="shared" ref="AY96:BE96" si="85">SUM(AY88:AY94)</f>
        <v>252</v>
      </c>
      <c r="AZ96" s="117">
        <f t="shared" si="85"/>
        <v>0</v>
      </c>
      <c r="BA96" s="46">
        <f t="shared" si="85"/>
        <v>252</v>
      </c>
      <c r="BB96" s="117">
        <f t="shared" si="85"/>
        <v>0</v>
      </c>
      <c r="BC96" s="46">
        <f t="shared" si="85"/>
        <v>336</v>
      </c>
      <c r="BD96" s="33">
        <f t="shared" si="85"/>
        <v>0</v>
      </c>
      <c r="BE96" s="46">
        <f t="shared" si="85"/>
        <v>840</v>
      </c>
      <c r="BF96" s="49"/>
      <c r="BG96" s="3">
        <f>IF(AND(BG88&gt;=BF88,BG89&gt;=BF89,BG91&gt;=BF91,BG93&gt;=BF93,BG94&gt;=BF94),SUM(BG88:BG94),0)</f>
        <v>0</v>
      </c>
      <c r="BH96" s="20"/>
      <c r="BI96" s="360" t="s">
        <v>157</v>
      </c>
      <c r="BJ96" s="569" t="str">
        <f>IF(BG96=0,"",IF(AND(BG88&gt;=BE88*0.4,BG89&gt;=BE89*0.4,BG90&gt;=BE90*0.4,BG91&gt;=BE91*0.4,BG92&gt;=BE92*0.4,BG93&gt;=BE93*0.4,BG94&gt;=BE94*0.4),LOOKUP(BG96,$BO$10:$BP$15),"له دور ثان في "))</f>
        <v/>
      </c>
      <c r="BK96" s="570"/>
      <c r="BL96" s="27"/>
    </row>
    <row r="97" spans="1:64" ht="24.95" customHeight="1" thickBot="1" x14ac:dyDescent="0.3">
      <c r="A97" s="571" t="s">
        <v>120</v>
      </c>
      <c r="B97" s="572"/>
      <c r="C97" s="573"/>
      <c r="D97" s="573"/>
      <c r="E97" s="573"/>
      <c r="F97" s="573"/>
      <c r="G97" s="573"/>
      <c r="H97" s="358"/>
      <c r="I97" s="359"/>
      <c r="J97" s="574"/>
      <c r="K97" s="574"/>
      <c r="L97" s="34"/>
      <c r="M97" s="109" t="str">
        <f>IF(K88=0,"",IF(K88&lt;I88*0.4,A88,""))</f>
        <v>التربية الإسلامية</v>
      </c>
      <c r="N97" s="159" t="str">
        <f>IF(K89=0,"",IF(K89&lt;I89*0.4,A89,""))</f>
        <v>اللغة العربية</v>
      </c>
      <c r="O97" s="160" t="str">
        <f>IF(K90=0,"",IF(K90&lt;I90*0.4,A90,""))</f>
        <v>الكتابة</v>
      </c>
      <c r="Q97" s="571" t="s">
        <v>120</v>
      </c>
      <c r="R97" s="572"/>
      <c r="S97" s="573"/>
      <c r="T97" s="573"/>
      <c r="U97" s="573"/>
      <c r="V97" s="573"/>
      <c r="W97" s="573"/>
      <c r="X97" s="358"/>
      <c r="Y97" s="359"/>
      <c r="Z97" s="574"/>
      <c r="AA97" s="574"/>
      <c r="AB97" s="34"/>
      <c r="AC97" s="109" t="str">
        <f>IF(AA88=0,"",IF(AA88&lt;Y88*0.4,Q88,""))</f>
        <v>التربية الإسلامية</v>
      </c>
      <c r="AD97" s="159" t="str">
        <f>IF(AA89=0,"",IF(AA89&lt;Y89*0.4,Q89,""))</f>
        <v>اللغة العربية</v>
      </c>
      <c r="AE97" s="160" t="str">
        <f>IF(AA90=0,"",IF(AA90&lt;Y90*0.4,Q90,""))</f>
        <v>الكتابة</v>
      </c>
      <c r="AG97" s="571" t="s">
        <v>120</v>
      </c>
      <c r="AH97" s="572"/>
      <c r="AI97" s="573"/>
      <c r="AJ97" s="573"/>
      <c r="AK97" s="573"/>
      <c r="AL97" s="573"/>
      <c r="AM97" s="573"/>
      <c r="AN97" s="358"/>
      <c r="AO97" s="359"/>
      <c r="AP97" s="574"/>
      <c r="AQ97" s="574"/>
      <c r="AR97" s="34"/>
      <c r="AS97" s="109" t="str">
        <f>IF(AQ88=0,"",IF(AQ88&lt;AO88*0.4,AG88,""))</f>
        <v>التربية الإسلامية</v>
      </c>
      <c r="AT97" s="159" t="str">
        <f>IF(AQ89=0,"",IF(AQ89&lt;AO89*0.4,AG89,""))</f>
        <v>اللغة العربية</v>
      </c>
      <c r="AU97" s="160" t="str">
        <f>IF(AQ90=0,"",IF(AQ90&lt;AO90*0.4,AG90,""))</f>
        <v>الكتابة</v>
      </c>
      <c r="AV97" s="123"/>
      <c r="AW97" s="571" t="s">
        <v>120</v>
      </c>
      <c r="AX97" s="572"/>
      <c r="AY97" s="573"/>
      <c r="AZ97" s="573"/>
      <c r="BA97" s="573"/>
      <c r="BB97" s="573"/>
      <c r="BC97" s="573"/>
      <c r="BD97" s="358"/>
      <c r="BE97" s="359"/>
      <c r="BF97" s="574"/>
      <c r="BG97" s="574"/>
      <c r="BH97" s="34"/>
      <c r="BI97" s="109" t="str">
        <f>IF(BG88=0,"",IF(BG88&lt;BE88*0.4,AW88,""))</f>
        <v/>
      </c>
      <c r="BJ97" s="159" t="str">
        <f>IF(BG89=0,"",IF(BG89&lt;BE89*0.4,AW89,""))</f>
        <v/>
      </c>
      <c r="BK97" s="160" t="str">
        <f>IF(BG90=0,"",IF(BG90&lt;BE90*0.4,AW90,""))</f>
        <v/>
      </c>
      <c r="BL97" s="27"/>
    </row>
    <row r="98" spans="1:64" ht="24.95" customHeight="1" x14ac:dyDescent="0.25">
      <c r="A98" s="137" t="str">
        <f>ادخال1!$O$8</f>
        <v>التربية الفنية</v>
      </c>
      <c r="B98" s="152">
        <f>ادخال1!$O$7</f>
        <v>1</v>
      </c>
      <c r="C98" s="433" t="str">
        <f>IFERROR(VLOOKUP(M102,اسماء,14,0),"")</f>
        <v>جيد جداً</v>
      </c>
      <c r="D98" s="433"/>
      <c r="E98" s="433">
        <f>IFERROR(VLOOKUP(M102,اسماء,27,0),"")</f>
        <v>0</v>
      </c>
      <c r="F98" s="433"/>
      <c r="G98" s="433">
        <f>IFERROR(VLOOKUP(M102,اسماء,40,0),"")</f>
        <v>0</v>
      </c>
      <c r="H98" s="433"/>
      <c r="I98" s="443"/>
      <c r="J98" s="575"/>
      <c r="K98" s="487"/>
      <c r="L98" s="36"/>
      <c r="M98" s="109" t="str">
        <f>IF(K91=0,"",IF(K91&lt;I91*0.4,A91,""))</f>
        <v>اللغة الإنجليزية</v>
      </c>
      <c r="N98" s="159" t="str">
        <f>IF(K92=0,"",IF(K92&lt;I92*0.4,A92,""))</f>
        <v>الحاسوب</v>
      </c>
      <c r="O98" s="160" t="str">
        <f>IF(K93=0,"",IF(K93&lt;I93*0.4,A93,""))</f>
        <v>الرياضيات</v>
      </c>
      <c r="Q98" s="137" t="str">
        <f>ادخال1!$O$8</f>
        <v>التربية الفنية</v>
      </c>
      <c r="R98" s="152">
        <f>ادخال1!$O$7</f>
        <v>1</v>
      </c>
      <c r="S98" s="433" t="str">
        <f>IFERROR(VLOOKUP(AC102,اسماء,14,0),"")</f>
        <v>جيد جداً</v>
      </c>
      <c r="T98" s="433"/>
      <c r="U98" s="433">
        <f>IFERROR(VLOOKUP(AC102,اسماء,27,0),"")</f>
        <v>0</v>
      </c>
      <c r="V98" s="433"/>
      <c r="W98" s="433">
        <f>IFERROR(VLOOKUP(AC102,اسماء,40,0),"")</f>
        <v>0</v>
      </c>
      <c r="X98" s="433"/>
      <c r="Y98" s="443"/>
      <c r="Z98" s="575"/>
      <c r="AA98" s="487"/>
      <c r="AB98" s="36"/>
      <c r="AC98" s="109" t="str">
        <f>IF(AA91=0,"",IF(AA91&lt;Y91*0.4,Q91,""))</f>
        <v>اللغة الإنجليزية</v>
      </c>
      <c r="AD98" s="159" t="str">
        <f>IF(AA92=0,"",IF(AA92&lt;Y92*0.4,Q92,""))</f>
        <v>الحاسوب</v>
      </c>
      <c r="AE98" s="160" t="str">
        <f>IF(AA93=0,"",IF(AA93&lt;Y93*0.4,Q93,""))</f>
        <v>الرياضيات</v>
      </c>
      <c r="AG98" s="137" t="str">
        <f>ادخال1!$O$8</f>
        <v>التربية الفنية</v>
      </c>
      <c r="AH98" s="152">
        <f>ادخال1!$O$7</f>
        <v>1</v>
      </c>
      <c r="AI98" s="433" t="str">
        <f>IFERROR(VLOOKUP(AS102,اسماء,14,0),"")</f>
        <v>جيد جداً</v>
      </c>
      <c r="AJ98" s="433"/>
      <c r="AK98" s="433">
        <f>IFERROR(VLOOKUP(AS102,اسماء,27,0),"")</f>
        <v>0</v>
      </c>
      <c r="AL98" s="433"/>
      <c r="AM98" s="433">
        <f>IFERROR(VLOOKUP(AS102,اسماء,40,0),"")</f>
        <v>0</v>
      </c>
      <c r="AN98" s="433"/>
      <c r="AO98" s="443"/>
      <c r="AP98" s="575"/>
      <c r="AQ98" s="487"/>
      <c r="AR98" s="36"/>
      <c r="AS98" s="109" t="str">
        <f>IF(AQ91=0,"",IF(AQ91&lt;AO91*0.4,AG91,""))</f>
        <v>اللغة الإنجليزية</v>
      </c>
      <c r="AT98" s="159" t="str">
        <f>IF(AQ92=0,"",IF(AQ92&lt;AO92*0.4,AG92,""))</f>
        <v>الحاسوب</v>
      </c>
      <c r="AU98" s="160" t="str">
        <f>IF(AQ93=0,"",IF(AQ93&lt;AO93*0.4,AG93,""))</f>
        <v>الرياضيات</v>
      </c>
      <c r="AV98" s="123"/>
      <c r="AW98" s="137" t="str">
        <f>ادخال1!$O$8</f>
        <v>التربية الفنية</v>
      </c>
      <c r="AX98" s="152">
        <f>ادخال1!$O$7</f>
        <v>1</v>
      </c>
      <c r="AY98" s="433" t="str">
        <f>IFERROR(VLOOKUP(BI102,اسماء,14,0),"")</f>
        <v/>
      </c>
      <c r="AZ98" s="433"/>
      <c r="BA98" s="433" t="str">
        <f>IFERROR(VLOOKUP(BI102,اسماء,27,0),"")</f>
        <v/>
      </c>
      <c r="BB98" s="433"/>
      <c r="BC98" s="433" t="str">
        <f>IFERROR(VLOOKUP(BI102,اسماء,40,0),"")</f>
        <v/>
      </c>
      <c r="BD98" s="433"/>
      <c r="BE98" s="443"/>
      <c r="BF98" s="575"/>
      <c r="BG98" s="487"/>
      <c r="BH98" s="36"/>
      <c r="BI98" s="109" t="str">
        <f>IF(BG91=0,"",IF(BG91&lt;BE91*0.4,AW91,""))</f>
        <v/>
      </c>
      <c r="BJ98" s="159" t="str">
        <f>IF(BG92=0,"",IF(BG92&lt;BE92*0.4,AW92,""))</f>
        <v/>
      </c>
      <c r="BK98" s="160" t="str">
        <f>IF(BG93=0,"",IF(BG93&lt;BE93*0.4,AW93,""))</f>
        <v/>
      </c>
      <c r="BL98" s="27"/>
    </row>
    <row r="99" spans="1:64" ht="24.95" customHeight="1" thickBot="1" x14ac:dyDescent="0.3">
      <c r="A99" s="138" t="str">
        <f>ادخال1!$P$8</f>
        <v>التربية البدنية</v>
      </c>
      <c r="B99" s="153">
        <f>ادخال1!$P$7</f>
        <v>2</v>
      </c>
      <c r="C99" s="433" t="str">
        <f>IFERROR(VLOOKUP(M102,اسماء,15,0),"")</f>
        <v>جيد جداً</v>
      </c>
      <c r="D99" s="433"/>
      <c r="E99" s="433">
        <f>IFERROR(VLOOKUP(M102,اسماء,28,0),"")</f>
        <v>0</v>
      </c>
      <c r="F99" s="433"/>
      <c r="G99" s="433">
        <f>IFERROR(VLOOKUP(M102,اسماء,41,0),"")</f>
        <v>0</v>
      </c>
      <c r="H99" s="433"/>
      <c r="I99" s="507"/>
      <c r="J99" s="508"/>
      <c r="K99" s="509"/>
      <c r="L99" s="36"/>
      <c r="M99" s="109" t="str">
        <f>IF(K94=0,"",IF(K94&lt;I94*0.4,A94,""))</f>
        <v>العلوم</v>
      </c>
      <c r="N99" s="109" t="str">
        <f>IF(K95=0,"",IF(K95&lt;I95*0.4,A95,""))</f>
        <v>الاجتماعيات</v>
      </c>
      <c r="O99" s="357"/>
      <c r="Q99" s="138" t="str">
        <f>ادخال1!$P$8</f>
        <v>التربية البدنية</v>
      </c>
      <c r="R99" s="153">
        <f>ادخال1!$P$7</f>
        <v>2</v>
      </c>
      <c r="S99" s="433" t="str">
        <f>IFERROR(VLOOKUP(AC102,اسماء,15,0),"")</f>
        <v>جيد جداً</v>
      </c>
      <c r="T99" s="433"/>
      <c r="U99" s="433">
        <f>IFERROR(VLOOKUP(AC102,اسماء,28,0),"")</f>
        <v>0</v>
      </c>
      <c r="V99" s="433"/>
      <c r="W99" s="433">
        <f>IFERROR(VLOOKUP(AC102,اسماء,41,0),"")</f>
        <v>0</v>
      </c>
      <c r="X99" s="433"/>
      <c r="Y99" s="507"/>
      <c r="Z99" s="508"/>
      <c r="AA99" s="509"/>
      <c r="AB99" s="36"/>
      <c r="AC99" s="109" t="str">
        <f>IF(AA94=0,"",IF(AA94&lt;Y94*0.4,Q94,""))</f>
        <v>العلوم</v>
      </c>
      <c r="AD99" s="109" t="str">
        <f>IF(AA95=0,"",IF(AA95&lt;Y95*0.4,Q95,""))</f>
        <v>الاجتماعيات</v>
      </c>
      <c r="AE99" s="357"/>
      <c r="AG99" s="138" t="str">
        <f>ادخال1!$P$8</f>
        <v>التربية البدنية</v>
      </c>
      <c r="AH99" s="153">
        <f>ادخال1!$P$7</f>
        <v>2</v>
      </c>
      <c r="AI99" s="433" t="str">
        <f>IFERROR(VLOOKUP(AS102,اسماء,15,0),"")</f>
        <v>جيد جداً</v>
      </c>
      <c r="AJ99" s="433"/>
      <c r="AK99" s="433">
        <f>IFERROR(VLOOKUP(AS102,اسماء,28,0),"")</f>
        <v>0</v>
      </c>
      <c r="AL99" s="433"/>
      <c r="AM99" s="433">
        <f>IFERROR(VLOOKUP(AS102,اسماء,41,0),"")</f>
        <v>0</v>
      </c>
      <c r="AN99" s="433"/>
      <c r="AO99" s="507"/>
      <c r="AP99" s="508"/>
      <c r="AQ99" s="509"/>
      <c r="AR99" s="36"/>
      <c r="AS99" s="109" t="str">
        <f>IF(AQ94=0,"",IF(AQ94&lt;AO94*0.4,AG94,""))</f>
        <v>العلوم</v>
      </c>
      <c r="AT99" s="109" t="str">
        <f>IF(AQ95=0,"",IF(AQ95&lt;AO95*0.4,AG95,""))</f>
        <v>الاجتماعيات</v>
      </c>
      <c r="AU99" s="357"/>
      <c r="AV99" s="123"/>
      <c r="AW99" s="138" t="str">
        <f>ادخال1!$P$8</f>
        <v>التربية البدنية</v>
      </c>
      <c r="AX99" s="153">
        <f>ادخال1!$P$7</f>
        <v>2</v>
      </c>
      <c r="AY99" s="433" t="str">
        <f>IFERROR(VLOOKUP(BI102,اسماء,15,0),"")</f>
        <v/>
      </c>
      <c r="AZ99" s="433"/>
      <c r="BA99" s="433" t="str">
        <f>IFERROR(VLOOKUP(BI102,اسماء,28,0),"")</f>
        <v/>
      </c>
      <c r="BB99" s="433"/>
      <c r="BC99" s="433" t="str">
        <f>IFERROR(VLOOKUP(BI102,اسماء,41,0),"")</f>
        <v/>
      </c>
      <c r="BD99" s="433"/>
      <c r="BE99" s="507"/>
      <c r="BF99" s="508"/>
      <c r="BG99" s="509"/>
      <c r="BH99" s="36"/>
      <c r="BI99" s="109" t="str">
        <f>IF(BG94=0,"",IF(BG94&lt;BE94*0.4,AW94,""))</f>
        <v/>
      </c>
      <c r="BJ99" s="109" t="str">
        <f>IF(BG95=0,"",IF(BG95&lt;BE95*0.4,AW95,""))</f>
        <v/>
      </c>
      <c r="BK99" s="357"/>
      <c r="BL99" s="27"/>
    </row>
    <row r="100" spans="1:64" ht="24.95" customHeight="1" thickBot="1" x14ac:dyDescent="0.3">
      <c r="A100" s="138" t="str">
        <f>ادخال1!$Q$8</f>
        <v>التربية الموسيقية</v>
      </c>
      <c r="B100" s="153">
        <f>ادخال1!$Q$7</f>
        <v>1</v>
      </c>
      <c r="C100" s="433">
        <f>IFERROR(VLOOKUP(M102,اسماء,16,0),"")</f>
        <v>0</v>
      </c>
      <c r="D100" s="433"/>
      <c r="E100" s="433">
        <f>IFERROR(VLOOKUP(M102,اسماء,29,0),"")</f>
        <v>0</v>
      </c>
      <c r="F100" s="433"/>
      <c r="G100" s="433">
        <f>IFERROR(VLOOKUP(M102,اسماء,42,0),"")</f>
        <v>0</v>
      </c>
      <c r="H100" s="433"/>
      <c r="I100" s="507"/>
      <c r="J100" s="508"/>
      <c r="K100" s="509"/>
      <c r="L100" s="36"/>
      <c r="M100" s="291"/>
      <c r="N100" s="292"/>
      <c r="O100" s="292"/>
      <c r="Q100" s="138" t="str">
        <f>ادخال1!$Q$8</f>
        <v>التربية الموسيقية</v>
      </c>
      <c r="R100" s="153">
        <f>ادخال1!$Q$7</f>
        <v>1</v>
      </c>
      <c r="S100" s="433">
        <f>IFERROR(VLOOKUP(AC102,اسماء,16,0),"")</f>
        <v>0</v>
      </c>
      <c r="T100" s="433"/>
      <c r="U100" s="433">
        <f>IFERROR(VLOOKUP(AC102,اسماء,29,0),"")</f>
        <v>0</v>
      </c>
      <c r="V100" s="433"/>
      <c r="W100" s="433">
        <f>IFERROR(VLOOKUP(AC102,اسماء,42,0),"")</f>
        <v>0</v>
      </c>
      <c r="X100" s="433"/>
      <c r="Y100" s="507"/>
      <c r="Z100" s="508"/>
      <c r="AA100" s="509"/>
      <c r="AB100" s="36"/>
      <c r="AC100" s="291"/>
      <c r="AD100" s="292"/>
      <c r="AE100" s="292"/>
      <c r="AG100" s="138" t="str">
        <f>ادخال1!$Q$8</f>
        <v>التربية الموسيقية</v>
      </c>
      <c r="AH100" s="153">
        <f>ادخال1!$Q$7</f>
        <v>1</v>
      </c>
      <c r="AI100" s="433">
        <f>IFERROR(VLOOKUP(AS102,اسماء,16,0),"")</f>
        <v>0</v>
      </c>
      <c r="AJ100" s="433"/>
      <c r="AK100" s="433">
        <f>IFERROR(VLOOKUP(AS102,اسماء,29,0),"")</f>
        <v>0</v>
      </c>
      <c r="AL100" s="433"/>
      <c r="AM100" s="433">
        <f>IFERROR(VLOOKUP(AS102,اسماء,42,0),"")</f>
        <v>0</v>
      </c>
      <c r="AN100" s="433"/>
      <c r="AO100" s="507"/>
      <c r="AP100" s="508"/>
      <c r="AQ100" s="509"/>
      <c r="AR100" s="36"/>
      <c r="AS100" s="291"/>
      <c r="AT100" s="292"/>
      <c r="AU100" s="292"/>
      <c r="AV100" s="123"/>
      <c r="AW100" s="138" t="str">
        <f>ادخال1!$Q$8</f>
        <v>التربية الموسيقية</v>
      </c>
      <c r="AX100" s="153">
        <f>ادخال1!$Q$7</f>
        <v>1</v>
      </c>
      <c r="AY100" s="433" t="str">
        <f>IFERROR(VLOOKUP(BI102,اسماء,16,0),"")</f>
        <v/>
      </c>
      <c r="AZ100" s="433"/>
      <c r="BA100" s="433" t="str">
        <f>IFERROR(VLOOKUP(BI102,اسماء,29,0),"")</f>
        <v/>
      </c>
      <c r="BB100" s="433"/>
      <c r="BC100" s="433" t="str">
        <f>IFERROR(VLOOKUP(BI102,اسماء,42,0),"")</f>
        <v/>
      </c>
      <c r="BD100" s="433"/>
      <c r="BE100" s="507"/>
      <c r="BF100" s="508"/>
      <c r="BG100" s="509"/>
      <c r="BH100" s="36"/>
      <c r="BI100" s="291"/>
      <c r="BJ100" s="292"/>
      <c r="BK100" s="292"/>
      <c r="BL100" s="27"/>
    </row>
    <row r="101" spans="1:64" ht="24.95" customHeight="1" thickBot="1" x14ac:dyDescent="0.3">
      <c r="A101" s="139"/>
      <c r="B101" s="154"/>
      <c r="C101" s="34"/>
      <c r="D101" s="34"/>
      <c r="E101" s="34"/>
      <c r="F101" s="34"/>
      <c r="G101" s="34"/>
      <c r="H101" s="34"/>
      <c r="I101" s="513" t="s">
        <v>33</v>
      </c>
      <c r="J101" s="514"/>
      <c r="K101" s="514"/>
      <c r="L101" s="34"/>
      <c r="M101" s="510" t="s">
        <v>58</v>
      </c>
      <c r="N101" s="511"/>
      <c r="O101" s="512"/>
      <c r="Q101" s="139"/>
      <c r="R101" s="154"/>
      <c r="S101" s="34"/>
      <c r="T101" s="34"/>
      <c r="U101" s="34"/>
      <c r="V101" s="34"/>
      <c r="W101" s="34"/>
      <c r="X101" s="34"/>
      <c r="Y101" s="513" t="s">
        <v>33</v>
      </c>
      <c r="Z101" s="514"/>
      <c r="AA101" s="514"/>
      <c r="AB101" s="34"/>
      <c r="AC101" s="510" t="s">
        <v>58</v>
      </c>
      <c r="AD101" s="511"/>
      <c r="AE101" s="512"/>
      <c r="AG101" s="139"/>
      <c r="AH101" s="154"/>
      <c r="AI101" s="34"/>
      <c r="AJ101" s="34"/>
      <c r="AK101" s="34"/>
      <c r="AL101" s="34"/>
      <c r="AM101" s="34"/>
      <c r="AN101" s="34"/>
      <c r="AO101" s="513" t="s">
        <v>33</v>
      </c>
      <c r="AP101" s="514"/>
      <c r="AQ101" s="514"/>
      <c r="AR101" s="34"/>
      <c r="AS101" s="510" t="s">
        <v>58</v>
      </c>
      <c r="AT101" s="511"/>
      <c r="AU101" s="512"/>
      <c r="AV101" s="123"/>
      <c r="AW101" s="139"/>
      <c r="AX101" s="154"/>
      <c r="AY101" s="34"/>
      <c r="AZ101" s="34"/>
      <c r="BA101" s="34"/>
      <c r="BB101" s="34"/>
      <c r="BC101" s="34"/>
      <c r="BD101" s="34"/>
      <c r="BE101" s="513" t="s">
        <v>33</v>
      </c>
      <c r="BF101" s="514"/>
      <c r="BG101" s="514"/>
      <c r="BH101" s="34"/>
      <c r="BI101" s="510" t="s">
        <v>58</v>
      </c>
      <c r="BJ101" s="511"/>
      <c r="BK101" s="512"/>
      <c r="BL101" s="27"/>
    </row>
    <row r="102" spans="1:64" ht="24.95" customHeight="1" x14ac:dyDescent="0.25">
      <c r="A102" s="433" t="s">
        <v>59</v>
      </c>
      <c r="B102" s="433"/>
      <c r="C102" s="433">
        <f>IFERROR(VLOOKUP(M102,اسماء,43,0),"")</f>
        <v>0</v>
      </c>
      <c r="D102" s="433"/>
      <c r="E102" s="433">
        <f>IFERROR(VLOOKUP(M102,اسماء,44,0),"")</f>
        <v>0</v>
      </c>
      <c r="F102" s="433"/>
      <c r="G102" s="433">
        <f>IFERROR(VLOOKUP(M102,اسماء,45,0),"")</f>
        <v>0</v>
      </c>
      <c r="H102" s="433"/>
      <c r="I102" s="536">
        <f>IFERROR(VLOOKUP(M102,اسماء,42,0),"")</f>
        <v>0</v>
      </c>
      <c r="J102" s="537"/>
      <c r="K102" s="538"/>
      <c r="L102" s="36"/>
      <c r="M102" s="539" t="str">
        <f>INDEX(عمود2,MATCH(O84,عمود1))</f>
        <v>إلين محمد النفاتي الهليب</v>
      </c>
      <c r="N102" s="540"/>
      <c r="O102" s="541"/>
      <c r="Q102" s="433" t="s">
        <v>59</v>
      </c>
      <c r="R102" s="433"/>
      <c r="S102" s="433">
        <f>IFERROR(VLOOKUP(AC102,اسماء,43,0),"")</f>
        <v>0</v>
      </c>
      <c r="T102" s="433"/>
      <c r="U102" s="433">
        <f>IFERROR(VLOOKUP(AC102,اسماء,44,0),"")</f>
        <v>0</v>
      </c>
      <c r="V102" s="433"/>
      <c r="W102" s="433">
        <f>IFERROR(VLOOKUP(AC102,اسماء,45,0),"")</f>
        <v>0</v>
      </c>
      <c r="X102" s="433"/>
      <c r="Y102" s="536">
        <f>IFERROR(VLOOKUP(AC102,اسماء,42,0),"")</f>
        <v>0</v>
      </c>
      <c r="Z102" s="537"/>
      <c r="AA102" s="538"/>
      <c r="AB102" s="36"/>
      <c r="AC102" s="539" t="str">
        <f>INDEX(عمود2,MATCH(AE84,عمود1))</f>
        <v>سفيان عبدالباسط اللافي محمد</v>
      </c>
      <c r="AD102" s="540"/>
      <c r="AE102" s="541"/>
      <c r="AG102" s="433" t="s">
        <v>59</v>
      </c>
      <c r="AH102" s="433"/>
      <c r="AI102" s="433">
        <f>IFERROR(VLOOKUP(AS102,اسماء,43,0),"")</f>
        <v>0</v>
      </c>
      <c r="AJ102" s="433"/>
      <c r="AK102" s="433">
        <f>IFERROR(VLOOKUP(AS102,اسماء,44,0),"")</f>
        <v>0</v>
      </c>
      <c r="AL102" s="433"/>
      <c r="AM102" s="433">
        <f>IFERROR(VLOOKUP(AS102,اسماء,45,0),"")</f>
        <v>0</v>
      </c>
      <c r="AN102" s="433"/>
      <c r="AO102" s="536">
        <f>IFERROR(VLOOKUP(AS102,اسماء,42,0),"")</f>
        <v>0</v>
      </c>
      <c r="AP102" s="537"/>
      <c r="AQ102" s="538"/>
      <c r="AR102" s="36"/>
      <c r="AS102" s="539" t="str">
        <f>INDEX(عمود2,MATCH(AU84,عمود1))</f>
        <v>كنان حسني محمد محمد سمالوس</v>
      </c>
      <c r="AT102" s="540"/>
      <c r="AU102" s="541"/>
      <c r="AV102" s="123"/>
      <c r="AW102" s="433" t="s">
        <v>59</v>
      </c>
      <c r="AX102" s="433"/>
      <c r="AY102" s="433" t="str">
        <f>IFERROR(VLOOKUP(BI102,اسماء,43,0),"")</f>
        <v/>
      </c>
      <c r="AZ102" s="433"/>
      <c r="BA102" s="433" t="str">
        <f>IFERROR(VLOOKUP(BI102,اسماء,44,0),"")</f>
        <v/>
      </c>
      <c r="BB102" s="433"/>
      <c r="BC102" s="433" t="str">
        <f>IFERROR(VLOOKUP(BI102,اسماء,45,0),"")</f>
        <v/>
      </c>
      <c r="BD102" s="433"/>
      <c r="BE102" s="536" t="str">
        <f>IFERROR(VLOOKUP(BI102,اسماء,42,0),"")</f>
        <v/>
      </c>
      <c r="BF102" s="537"/>
      <c r="BG102" s="538"/>
      <c r="BH102" s="36"/>
      <c r="BI102" s="539">
        <f>INDEX(عمود2,MATCH(BK84,عمود1))</f>
        <v>0</v>
      </c>
      <c r="BJ102" s="540"/>
      <c r="BK102" s="541"/>
      <c r="BL102" s="27"/>
    </row>
    <row r="103" spans="1:64" ht="12.6" customHeight="1" x14ac:dyDescent="0.25">
      <c r="A103" s="433" t="s">
        <v>60</v>
      </c>
      <c r="B103" s="433"/>
      <c r="C103" s="433">
        <f>IFERROR(VLOOKUP(M102,اسماء,46,0),"")</f>
        <v>0</v>
      </c>
      <c r="D103" s="433"/>
      <c r="E103" s="433">
        <f>IFERROR(VLOOKUP(M102,اسماء,48,0),"")</f>
        <v>0</v>
      </c>
      <c r="F103" s="433"/>
      <c r="G103" s="433">
        <f>IFERROR(VLOOKUP(M102,اسماء,50,0),"")</f>
        <v>0</v>
      </c>
      <c r="H103" s="433"/>
      <c r="I103" s="436"/>
      <c r="J103" s="433"/>
      <c r="K103" s="516"/>
      <c r="L103" s="36"/>
      <c r="M103" s="542" t="str">
        <f>IF(I102="غائب","يبقى سنة اخرى في الصف",IF(K96&gt;0,"ناجحاً ومنقولاً الى الصف ","له دور ثان"))</f>
        <v>له دور ثان</v>
      </c>
      <c r="N103" s="543"/>
      <c r="O103" s="544"/>
      <c r="Q103" s="433" t="s">
        <v>60</v>
      </c>
      <c r="R103" s="433"/>
      <c r="S103" s="433">
        <f>IFERROR(VLOOKUP(AC102,اسماء,46,0),"")</f>
        <v>0</v>
      </c>
      <c r="T103" s="433"/>
      <c r="U103" s="433">
        <f>IFERROR(VLOOKUP(AC102,اسماء,48,0),"")</f>
        <v>0</v>
      </c>
      <c r="V103" s="433"/>
      <c r="W103" s="433">
        <f>IFERROR(VLOOKUP(AC102,اسماء,50,0),"")</f>
        <v>0</v>
      </c>
      <c r="X103" s="433"/>
      <c r="Y103" s="436"/>
      <c r="Z103" s="433"/>
      <c r="AA103" s="516"/>
      <c r="AB103" s="36"/>
      <c r="AC103" s="542" t="str">
        <f>IF(Y102="غائب","يبقى سنة اخرى في الصف",IF(AA96&gt;0,"ناجحاً ومنقولاً الى الصف ","له دور ثان"))</f>
        <v>له دور ثان</v>
      </c>
      <c r="AD103" s="543"/>
      <c r="AE103" s="544"/>
      <c r="AG103" s="433" t="s">
        <v>60</v>
      </c>
      <c r="AH103" s="433"/>
      <c r="AI103" s="433">
        <f>IFERROR(VLOOKUP(AS102,اسماء,46,0),"")</f>
        <v>0</v>
      </c>
      <c r="AJ103" s="433"/>
      <c r="AK103" s="433">
        <f>IFERROR(VLOOKUP(AS102,اسماء,48,0),"")</f>
        <v>0</v>
      </c>
      <c r="AL103" s="433"/>
      <c r="AM103" s="433">
        <f>IFERROR(VLOOKUP(AS102,اسماء,50,0),"")</f>
        <v>0</v>
      </c>
      <c r="AN103" s="433"/>
      <c r="AO103" s="436"/>
      <c r="AP103" s="433"/>
      <c r="AQ103" s="516"/>
      <c r="AR103" s="36"/>
      <c r="AS103" s="542" t="str">
        <f>IF(AO102="غائب","يبقى سنة اخرى في الصف",IF(AQ96&gt;0,"ناجحاً ومنقولاً الى الصف ","له دور ثان"))</f>
        <v>له دور ثان</v>
      </c>
      <c r="AT103" s="543"/>
      <c r="AU103" s="544"/>
      <c r="AV103" s="123"/>
      <c r="AW103" s="433" t="s">
        <v>60</v>
      </c>
      <c r="AX103" s="433"/>
      <c r="AY103" s="433" t="str">
        <f>IFERROR(VLOOKUP(BI102,اسماء,46,0),"")</f>
        <v/>
      </c>
      <c r="AZ103" s="433"/>
      <c r="BA103" s="433" t="str">
        <f>IFERROR(VLOOKUP(BI102,اسماء,48,0),"")</f>
        <v/>
      </c>
      <c r="BB103" s="433"/>
      <c r="BC103" s="433" t="str">
        <f>IFERROR(VLOOKUP(BI102,اسماء,50,0),"")</f>
        <v/>
      </c>
      <c r="BD103" s="433"/>
      <c r="BE103" s="436"/>
      <c r="BF103" s="433"/>
      <c r="BG103" s="516"/>
      <c r="BH103" s="36"/>
      <c r="BI103" s="542" t="str">
        <f>IF(BE102="غائب","يبقى سنة اخرى في الصف",IF(BG96&gt;0,"ناجحاً ومنقولاً الى الصف ","له دور ثان"))</f>
        <v>له دور ثان</v>
      </c>
      <c r="BJ103" s="543"/>
      <c r="BK103" s="544"/>
      <c r="BL103" s="27"/>
    </row>
    <row r="104" spans="1:64" ht="24.95" customHeight="1" thickBot="1" x14ac:dyDescent="0.3">
      <c r="A104" s="545" t="s">
        <v>61</v>
      </c>
      <c r="B104" s="545"/>
      <c r="C104" s="433">
        <f>IFERROR(VLOOKUP(M102,اسماء,47,0),"")</f>
        <v>0</v>
      </c>
      <c r="D104" s="433"/>
      <c r="E104" s="433">
        <f>IFERROR(VLOOKUP(M102,اسماء,49,0),"")</f>
        <v>0</v>
      </c>
      <c r="F104" s="433"/>
      <c r="G104" s="433">
        <f>IFERROR(VLOOKUP(M102,اسماء,51,0),"")</f>
        <v>0</v>
      </c>
      <c r="H104" s="433"/>
      <c r="I104" s="453"/>
      <c r="J104" s="518"/>
      <c r="K104" s="519"/>
      <c r="L104" s="36"/>
      <c r="M104" s="546" t="str">
        <f>IF(I102="غائب",D84,IF(M103="له دور ثان","",IF(M103="يبقى سنة أخرى بالصف",D84,IF(D84="الرابع","الخامس",IF(D84="الخامس","السادس")))))</f>
        <v/>
      </c>
      <c r="N104" s="546"/>
      <c r="O104" s="546"/>
      <c r="Q104" s="545" t="s">
        <v>61</v>
      </c>
      <c r="R104" s="545"/>
      <c r="S104" s="433">
        <f>IFERROR(VLOOKUP(AC102,اسماء,47,0),"")</f>
        <v>0</v>
      </c>
      <c r="T104" s="433"/>
      <c r="U104" s="433">
        <f>IFERROR(VLOOKUP(AC102,اسماء,49,0),"")</f>
        <v>0</v>
      </c>
      <c r="V104" s="433"/>
      <c r="W104" s="433">
        <f>IFERROR(VLOOKUP(AC102,اسماء,51,0),"")</f>
        <v>0</v>
      </c>
      <c r="X104" s="433"/>
      <c r="Y104" s="453"/>
      <c r="Z104" s="518"/>
      <c r="AA104" s="519"/>
      <c r="AB104" s="36"/>
      <c r="AC104" s="546" t="str">
        <f>IF(Y102="غائب",T84,IF(AC103="له دور ثان","",IF(AC103="يبقى سنة أخرى بالصف",T84,IF(T84="الرابع","الخامس",IF(T84="الخامس","السادس")))))</f>
        <v/>
      </c>
      <c r="AD104" s="546"/>
      <c r="AE104" s="546"/>
      <c r="AG104" s="545" t="s">
        <v>61</v>
      </c>
      <c r="AH104" s="545"/>
      <c r="AI104" s="433">
        <f>IFERROR(VLOOKUP(AS102,اسماء,47,0),"")</f>
        <v>0</v>
      </c>
      <c r="AJ104" s="433"/>
      <c r="AK104" s="433">
        <f>IFERROR(VLOOKUP(AS102,اسماء,49,0),"")</f>
        <v>0</v>
      </c>
      <c r="AL104" s="433"/>
      <c r="AM104" s="433">
        <f>IFERROR(VLOOKUP(AS102,اسماء,51,0),"")</f>
        <v>0</v>
      </c>
      <c r="AN104" s="433"/>
      <c r="AO104" s="453"/>
      <c r="AP104" s="518"/>
      <c r="AQ104" s="519"/>
      <c r="AR104" s="36"/>
      <c r="AS104" s="546" t="str">
        <f>IF(AO102="غائب",AJ84,IF(AS103="له دور ثان","",IF(AS103="يبقى سنة أخرى بالصف",AJ84,IF(AJ84="الرابع","الخامس",IF(AJ84="الخامس","السادس")))))</f>
        <v/>
      </c>
      <c r="AT104" s="546"/>
      <c r="AU104" s="546"/>
      <c r="AV104" s="123"/>
      <c r="AW104" s="545" t="s">
        <v>61</v>
      </c>
      <c r="AX104" s="545"/>
      <c r="AY104" s="433" t="str">
        <f>IFERROR(VLOOKUP(BI102,اسماء,47,0),"")</f>
        <v/>
      </c>
      <c r="AZ104" s="433"/>
      <c r="BA104" s="433" t="str">
        <f>IFERROR(VLOOKUP(BI102,اسماء,49,0),"")</f>
        <v/>
      </c>
      <c r="BB104" s="433"/>
      <c r="BC104" s="433" t="str">
        <f>IFERROR(VLOOKUP(BI102,اسماء,51,0),"")</f>
        <v/>
      </c>
      <c r="BD104" s="433"/>
      <c r="BE104" s="453"/>
      <c r="BF104" s="518"/>
      <c r="BG104" s="519"/>
      <c r="BH104" s="36"/>
      <c r="BI104" s="546" t="str">
        <f>IF(BE102="غائب",AZ84,IF(BI103="له دور ثان","",IF(BI103="يبقى سنة أخرى بالصف",AZ84,IF(AZ84="الرابع","الخامس",IF(AZ84="الخامس","السادس")))))</f>
        <v/>
      </c>
      <c r="BJ104" s="546"/>
      <c r="BK104" s="546"/>
      <c r="BL104" s="27"/>
    </row>
    <row r="105" spans="1:64" ht="24.95" customHeight="1" x14ac:dyDescent="0.25">
      <c r="A105" s="137" t="s">
        <v>88</v>
      </c>
      <c r="B105" s="468"/>
      <c r="C105" s="468"/>
      <c r="D105" s="468"/>
      <c r="E105" s="468"/>
      <c r="F105" s="468"/>
      <c r="G105" s="468"/>
      <c r="H105" s="568"/>
      <c r="I105" s="517" t="s">
        <v>66</v>
      </c>
      <c r="J105" s="517"/>
      <c r="K105" s="515" t="str">
        <f>ادخال1!$BP$5</f>
        <v>د.عبدالرحمن خليفة العريبي</v>
      </c>
      <c r="L105" s="515"/>
      <c r="M105" s="515"/>
      <c r="N105" s="515"/>
      <c r="O105" s="515"/>
      <c r="Q105" s="137" t="s">
        <v>88</v>
      </c>
      <c r="R105" s="468"/>
      <c r="S105" s="468"/>
      <c r="T105" s="468"/>
      <c r="U105" s="468"/>
      <c r="V105" s="468"/>
      <c r="W105" s="468"/>
      <c r="X105" s="568"/>
      <c r="Y105" s="517" t="s">
        <v>66</v>
      </c>
      <c r="Z105" s="517"/>
      <c r="AA105" s="515" t="str">
        <f>ادخال1!$BP$5</f>
        <v>د.عبدالرحمن خليفة العريبي</v>
      </c>
      <c r="AB105" s="515"/>
      <c r="AC105" s="515"/>
      <c r="AD105" s="515"/>
      <c r="AE105" s="515"/>
      <c r="AG105" s="137" t="s">
        <v>88</v>
      </c>
      <c r="AH105" s="468"/>
      <c r="AI105" s="468"/>
      <c r="AJ105" s="468"/>
      <c r="AK105" s="468"/>
      <c r="AL105" s="468"/>
      <c r="AM105" s="468"/>
      <c r="AN105" s="568"/>
      <c r="AO105" s="517" t="s">
        <v>66</v>
      </c>
      <c r="AP105" s="517"/>
      <c r="AQ105" s="515" t="str">
        <f>ادخال1!$BP$5</f>
        <v>د.عبدالرحمن خليفة العريبي</v>
      </c>
      <c r="AR105" s="515"/>
      <c r="AS105" s="515"/>
      <c r="AT105" s="515"/>
      <c r="AU105" s="515"/>
      <c r="AV105" s="134"/>
      <c r="AW105" s="137" t="s">
        <v>88</v>
      </c>
      <c r="AX105" s="468"/>
      <c r="AY105" s="468"/>
      <c r="AZ105" s="468"/>
      <c r="BA105" s="468"/>
      <c r="BB105" s="468"/>
      <c r="BC105" s="468"/>
      <c r="BD105" s="568"/>
      <c r="BE105" s="517" t="s">
        <v>66</v>
      </c>
      <c r="BF105" s="517"/>
      <c r="BG105" s="515" t="str">
        <f>ادخال1!$BP$5</f>
        <v>د.عبدالرحمن خليفة العريبي</v>
      </c>
      <c r="BH105" s="515"/>
      <c r="BI105" s="515"/>
      <c r="BJ105" s="515"/>
      <c r="BK105" s="515"/>
    </row>
    <row r="106" spans="1:64" ht="24.95" customHeight="1" x14ac:dyDescent="0.25">
      <c r="A106" s="61" t="s">
        <v>15</v>
      </c>
      <c r="B106" s="433"/>
      <c r="C106" s="433"/>
      <c r="D106" s="433"/>
      <c r="E106" s="433"/>
      <c r="F106" s="433"/>
      <c r="G106" s="433"/>
      <c r="H106" s="516"/>
      <c r="I106" s="488" t="s">
        <v>68</v>
      </c>
      <c r="J106" s="488"/>
      <c r="K106" s="488"/>
      <c r="L106" s="68"/>
      <c r="M106" s="506">
        <f ca="1">TODAY()</f>
        <v>46035</v>
      </c>
      <c r="N106" s="506"/>
      <c r="O106" s="506"/>
      <c r="Q106" s="61" t="s">
        <v>15</v>
      </c>
      <c r="R106" s="433"/>
      <c r="S106" s="433"/>
      <c r="T106" s="433"/>
      <c r="U106" s="433"/>
      <c r="V106" s="433"/>
      <c r="W106" s="433"/>
      <c r="X106" s="516"/>
      <c r="Y106" s="488" t="s">
        <v>68</v>
      </c>
      <c r="Z106" s="488"/>
      <c r="AA106" s="488"/>
      <c r="AB106" s="68"/>
      <c r="AC106" s="506">
        <f ca="1">TODAY()</f>
        <v>46035</v>
      </c>
      <c r="AD106" s="506"/>
      <c r="AE106" s="506"/>
      <c r="AG106" s="61" t="s">
        <v>15</v>
      </c>
      <c r="AH106" s="433"/>
      <c r="AI106" s="433"/>
      <c r="AJ106" s="433"/>
      <c r="AK106" s="433"/>
      <c r="AL106" s="433"/>
      <c r="AM106" s="433"/>
      <c r="AN106" s="516"/>
      <c r="AO106" s="488" t="s">
        <v>68</v>
      </c>
      <c r="AP106" s="488"/>
      <c r="AQ106" s="488"/>
      <c r="AR106" s="68"/>
      <c r="AS106" s="506">
        <f ca="1">TODAY()</f>
        <v>46035</v>
      </c>
      <c r="AT106" s="506"/>
      <c r="AU106" s="506"/>
      <c r="AW106" s="61" t="s">
        <v>15</v>
      </c>
      <c r="AX106" s="433"/>
      <c r="AY106" s="433"/>
      <c r="AZ106" s="433"/>
      <c r="BA106" s="433"/>
      <c r="BB106" s="433"/>
      <c r="BC106" s="433"/>
      <c r="BD106" s="516"/>
      <c r="BE106" s="488" t="s">
        <v>68</v>
      </c>
      <c r="BF106" s="488"/>
      <c r="BG106" s="488"/>
      <c r="BH106" s="68"/>
      <c r="BI106" s="506">
        <f ca="1">TODAY()</f>
        <v>46035</v>
      </c>
      <c r="BJ106" s="506"/>
      <c r="BK106" s="506"/>
    </row>
    <row r="107" spans="1:64" ht="24.95" customHeight="1" thickBot="1" x14ac:dyDescent="0.3">
      <c r="A107" s="138" t="s">
        <v>89</v>
      </c>
      <c r="B107" s="518"/>
      <c r="C107" s="518"/>
      <c r="D107" s="518"/>
      <c r="E107" s="518"/>
      <c r="F107" s="518"/>
      <c r="G107" s="518"/>
      <c r="H107" s="519"/>
      <c r="I107" s="520" t="s">
        <v>70</v>
      </c>
      <c r="J107" s="520"/>
      <c r="K107" s="520"/>
      <c r="L107" s="520"/>
      <c r="M107" s="520"/>
      <c r="N107" s="520"/>
      <c r="O107" s="521"/>
      <c r="Q107" s="138" t="s">
        <v>89</v>
      </c>
      <c r="R107" s="518"/>
      <c r="S107" s="518"/>
      <c r="T107" s="518"/>
      <c r="U107" s="518"/>
      <c r="V107" s="518"/>
      <c r="W107" s="518"/>
      <c r="X107" s="519"/>
      <c r="Y107" s="520" t="s">
        <v>70</v>
      </c>
      <c r="Z107" s="520"/>
      <c r="AA107" s="520"/>
      <c r="AB107" s="520"/>
      <c r="AC107" s="520"/>
      <c r="AD107" s="520"/>
      <c r="AE107" s="521"/>
      <c r="AG107" s="138" t="s">
        <v>89</v>
      </c>
      <c r="AH107" s="518"/>
      <c r="AI107" s="518"/>
      <c r="AJ107" s="518"/>
      <c r="AK107" s="518"/>
      <c r="AL107" s="518"/>
      <c r="AM107" s="518"/>
      <c r="AN107" s="519"/>
      <c r="AO107" s="520" t="s">
        <v>70</v>
      </c>
      <c r="AP107" s="520"/>
      <c r="AQ107" s="520"/>
      <c r="AR107" s="520"/>
      <c r="AS107" s="520"/>
      <c r="AT107" s="520"/>
      <c r="AU107" s="521"/>
      <c r="AW107" s="138" t="s">
        <v>89</v>
      </c>
      <c r="AX107" s="518"/>
      <c r="AY107" s="518"/>
      <c r="AZ107" s="518"/>
      <c r="BA107" s="518"/>
      <c r="BB107" s="518"/>
      <c r="BC107" s="518"/>
      <c r="BD107" s="519"/>
      <c r="BE107" s="520" t="s">
        <v>70</v>
      </c>
      <c r="BF107" s="520"/>
      <c r="BG107" s="520"/>
      <c r="BH107" s="520"/>
      <c r="BI107" s="520"/>
      <c r="BJ107" s="520"/>
      <c r="BK107" s="521"/>
    </row>
    <row r="108" spans="1:64" ht="16.5" thickBot="1" x14ac:dyDescent="0.3">
      <c r="A108" s="141"/>
      <c r="I108" s="38"/>
      <c r="J108" s="38"/>
      <c r="K108" s="38"/>
      <c r="L108" s="38"/>
      <c r="M108" s="111"/>
      <c r="N108" s="161"/>
      <c r="O108" s="162"/>
      <c r="Q108" s="141"/>
      <c r="Y108" s="38"/>
      <c r="Z108" s="38"/>
      <c r="AA108" s="38"/>
      <c r="AB108" s="38"/>
      <c r="AC108" s="111"/>
      <c r="AD108" s="111"/>
      <c r="AE108" s="112"/>
      <c r="AG108" s="141"/>
      <c r="AO108" s="38"/>
      <c r="AP108" s="38"/>
      <c r="AQ108" s="38"/>
      <c r="AR108" s="38"/>
      <c r="AS108" s="111"/>
      <c r="AT108" s="111"/>
      <c r="AU108" s="112"/>
      <c r="AW108" s="141"/>
      <c r="BE108" s="38"/>
      <c r="BF108" s="38"/>
      <c r="BG108" s="38"/>
      <c r="BH108" s="38"/>
      <c r="BI108" s="111"/>
      <c r="BJ108" s="111"/>
      <c r="BK108" s="112"/>
    </row>
    <row r="109" spans="1:64" thickTop="1" x14ac:dyDescent="0.25">
      <c r="A109" s="522" t="s">
        <v>84</v>
      </c>
      <c r="B109" s="523"/>
      <c r="C109" s="523"/>
      <c r="D109" s="523"/>
      <c r="E109" s="39"/>
      <c r="F109" s="39"/>
      <c r="G109" s="40"/>
      <c r="H109" s="8"/>
      <c r="I109" s="524" t="s">
        <v>71</v>
      </c>
      <c r="J109" s="525"/>
      <c r="K109" s="525"/>
      <c r="L109" s="525"/>
      <c r="M109" s="525"/>
      <c r="N109" s="525"/>
      <c r="O109" s="526"/>
      <c r="Q109" s="522" t="s">
        <v>84</v>
      </c>
      <c r="R109" s="523"/>
      <c r="S109" s="523"/>
      <c r="T109" s="523"/>
      <c r="U109" s="39"/>
      <c r="V109" s="39"/>
      <c r="W109" s="40"/>
      <c r="X109" s="8"/>
      <c r="Y109" s="524" t="s">
        <v>71</v>
      </c>
      <c r="Z109" s="525"/>
      <c r="AA109" s="525"/>
      <c r="AB109" s="525"/>
      <c r="AC109" s="525"/>
      <c r="AD109" s="525"/>
      <c r="AE109" s="526"/>
      <c r="AG109" s="522" t="s">
        <v>84</v>
      </c>
      <c r="AH109" s="523"/>
      <c r="AI109" s="523"/>
      <c r="AJ109" s="523"/>
      <c r="AK109" s="39"/>
      <c r="AL109" s="39"/>
      <c r="AM109" s="40"/>
      <c r="AN109" s="8"/>
      <c r="AO109" s="524" t="s">
        <v>71</v>
      </c>
      <c r="AP109" s="525"/>
      <c r="AQ109" s="525"/>
      <c r="AR109" s="525"/>
      <c r="AS109" s="525"/>
      <c r="AT109" s="525"/>
      <c r="AU109" s="526"/>
      <c r="AW109" s="522" t="s">
        <v>84</v>
      </c>
      <c r="AX109" s="523"/>
      <c r="AY109" s="523"/>
      <c r="AZ109" s="523"/>
      <c r="BA109" s="39"/>
      <c r="BB109" s="39"/>
      <c r="BC109" s="40"/>
      <c r="BD109" s="8"/>
      <c r="BE109" s="524" t="s">
        <v>71</v>
      </c>
      <c r="BF109" s="525"/>
      <c r="BG109" s="525"/>
      <c r="BH109" s="525"/>
      <c r="BI109" s="525"/>
      <c r="BJ109" s="525"/>
      <c r="BK109" s="526"/>
    </row>
    <row r="110" spans="1:64" ht="14.25" customHeight="1" x14ac:dyDescent="0.25">
      <c r="A110" s="527" t="s">
        <v>72</v>
      </c>
      <c r="B110" s="528"/>
      <c r="C110" s="528"/>
      <c r="D110" s="528"/>
      <c r="E110" s="528"/>
      <c r="F110" s="528"/>
      <c r="G110" s="529"/>
      <c r="H110" s="8"/>
      <c r="I110" s="530" t="s">
        <v>85</v>
      </c>
      <c r="J110" s="531"/>
      <c r="K110" s="531"/>
      <c r="L110" s="531"/>
      <c r="M110" s="531"/>
      <c r="N110" s="531"/>
      <c r="O110" s="532"/>
      <c r="Q110" s="527" t="s">
        <v>72</v>
      </c>
      <c r="R110" s="528"/>
      <c r="S110" s="528"/>
      <c r="T110" s="528"/>
      <c r="U110" s="528"/>
      <c r="V110" s="528"/>
      <c r="W110" s="529"/>
      <c r="X110" s="8"/>
      <c r="Y110" s="530" t="s">
        <v>85</v>
      </c>
      <c r="Z110" s="531"/>
      <c r="AA110" s="531"/>
      <c r="AB110" s="531"/>
      <c r="AC110" s="531"/>
      <c r="AD110" s="531"/>
      <c r="AE110" s="532"/>
      <c r="AG110" s="527" t="s">
        <v>72</v>
      </c>
      <c r="AH110" s="528"/>
      <c r="AI110" s="528"/>
      <c r="AJ110" s="528"/>
      <c r="AK110" s="528"/>
      <c r="AL110" s="528"/>
      <c r="AM110" s="529"/>
      <c r="AN110" s="8"/>
      <c r="AO110" s="530" t="s">
        <v>85</v>
      </c>
      <c r="AP110" s="531"/>
      <c r="AQ110" s="531"/>
      <c r="AR110" s="531"/>
      <c r="AS110" s="531"/>
      <c r="AT110" s="531"/>
      <c r="AU110" s="532"/>
      <c r="AW110" s="527" t="s">
        <v>72</v>
      </c>
      <c r="AX110" s="528"/>
      <c r="AY110" s="528"/>
      <c r="AZ110" s="528"/>
      <c r="BA110" s="528"/>
      <c r="BB110" s="528"/>
      <c r="BC110" s="529"/>
      <c r="BD110" s="8"/>
      <c r="BE110" s="530" t="s">
        <v>85</v>
      </c>
      <c r="BF110" s="531"/>
      <c r="BG110" s="531"/>
      <c r="BH110" s="531"/>
      <c r="BI110" s="531"/>
      <c r="BJ110" s="531"/>
      <c r="BK110" s="532"/>
    </row>
    <row r="111" spans="1:64" ht="15" x14ac:dyDescent="0.25">
      <c r="A111" s="527"/>
      <c r="B111" s="528"/>
      <c r="C111" s="528"/>
      <c r="D111" s="528"/>
      <c r="E111" s="528"/>
      <c r="F111" s="528"/>
      <c r="G111" s="529"/>
      <c r="H111" s="8"/>
      <c r="I111" s="530"/>
      <c r="J111" s="531"/>
      <c r="K111" s="531"/>
      <c r="L111" s="531"/>
      <c r="M111" s="531"/>
      <c r="N111" s="531"/>
      <c r="O111" s="532"/>
      <c r="Q111" s="527"/>
      <c r="R111" s="528"/>
      <c r="S111" s="528"/>
      <c r="T111" s="528"/>
      <c r="U111" s="528"/>
      <c r="V111" s="528"/>
      <c r="W111" s="529"/>
      <c r="X111" s="8"/>
      <c r="Y111" s="530"/>
      <c r="Z111" s="531"/>
      <c r="AA111" s="531"/>
      <c r="AB111" s="531"/>
      <c r="AC111" s="531"/>
      <c r="AD111" s="531"/>
      <c r="AE111" s="532"/>
      <c r="AG111" s="527"/>
      <c r="AH111" s="528"/>
      <c r="AI111" s="528"/>
      <c r="AJ111" s="528"/>
      <c r="AK111" s="528"/>
      <c r="AL111" s="528"/>
      <c r="AM111" s="529"/>
      <c r="AN111" s="8"/>
      <c r="AO111" s="530"/>
      <c r="AP111" s="531"/>
      <c r="AQ111" s="531"/>
      <c r="AR111" s="531"/>
      <c r="AS111" s="531"/>
      <c r="AT111" s="531"/>
      <c r="AU111" s="532"/>
      <c r="AW111" s="527"/>
      <c r="AX111" s="528"/>
      <c r="AY111" s="528"/>
      <c r="AZ111" s="528"/>
      <c r="BA111" s="528"/>
      <c r="BB111" s="528"/>
      <c r="BC111" s="529"/>
      <c r="BD111" s="8"/>
      <c r="BE111" s="530"/>
      <c r="BF111" s="531"/>
      <c r="BG111" s="531"/>
      <c r="BH111" s="531"/>
      <c r="BI111" s="531"/>
      <c r="BJ111" s="531"/>
      <c r="BK111" s="532"/>
    </row>
    <row r="112" spans="1:64" ht="15" x14ac:dyDescent="0.25">
      <c r="A112" s="527"/>
      <c r="B112" s="528"/>
      <c r="C112" s="528"/>
      <c r="D112" s="528"/>
      <c r="E112" s="528"/>
      <c r="F112" s="528"/>
      <c r="G112" s="529"/>
      <c r="H112" s="8"/>
      <c r="I112" s="530"/>
      <c r="J112" s="531"/>
      <c r="K112" s="531"/>
      <c r="L112" s="531"/>
      <c r="M112" s="531"/>
      <c r="N112" s="531"/>
      <c r="O112" s="532"/>
      <c r="Q112" s="527"/>
      <c r="R112" s="528"/>
      <c r="S112" s="528"/>
      <c r="T112" s="528"/>
      <c r="U112" s="528"/>
      <c r="V112" s="528"/>
      <c r="W112" s="529"/>
      <c r="X112" s="8"/>
      <c r="Y112" s="530"/>
      <c r="Z112" s="531"/>
      <c r="AA112" s="531"/>
      <c r="AB112" s="531"/>
      <c r="AC112" s="531"/>
      <c r="AD112" s="531"/>
      <c r="AE112" s="532"/>
      <c r="AG112" s="527"/>
      <c r="AH112" s="528"/>
      <c r="AI112" s="528"/>
      <c r="AJ112" s="528"/>
      <c r="AK112" s="528"/>
      <c r="AL112" s="528"/>
      <c r="AM112" s="529"/>
      <c r="AN112" s="8"/>
      <c r="AO112" s="530"/>
      <c r="AP112" s="531"/>
      <c r="AQ112" s="531"/>
      <c r="AR112" s="531"/>
      <c r="AS112" s="531"/>
      <c r="AT112" s="531"/>
      <c r="AU112" s="532"/>
      <c r="AW112" s="527"/>
      <c r="AX112" s="528"/>
      <c r="AY112" s="528"/>
      <c r="AZ112" s="528"/>
      <c r="BA112" s="528"/>
      <c r="BB112" s="528"/>
      <c r="BC112" s="529"/>
      <c r="BD112" s="8"/>
      <c r="BE112" s="530"/>
      <c r="BF112" s="531"/>
      <c r="BG112" s="531"/>
      <c r="BH112" s="531"/>
      <c r="BI112" s="531"/>
      <c r="BJ112" s="531"/>
      <c r="BK112" s="532"/>
    </row>
    <row r="113" spans="1:63" ht="15" x14ac:dyDescent="0.25">
      <c r="A113" s="527"/>
      <c r="B113" s="528"/>
      <c r="C113" s="528"/>
      <c r="D113" s="528"/>
      <c r="E113" s="528"/>
      <c r="F113" s="528"/>
      <c r="G113" s="529"/>
      <c r="H113" s="8"/>
      <c r="I113" s="530"/>
      <c r="J113" s="531"/>
      <c r="K113" s="531"/>
      <c r="L113" s="531"/>
      <c r="M113" s="531"/>
      <c r="N113" s="531"/>
      <c r="O113" s="532"/>
      <c r="Q113" s="527"/>
      <c r="R113" s="528"/>
      <c r="S113" s="528"/>
      <c r="T113" s="528"/>
      <c r="U113" s="528"/>
      <c r="V113" s="528"/>
      <c r="W113" s="529"/>
      <c r="X113" s="8"/>
      <c r="Y113" s="530"/>
      <c r="Z113" s="531"/>
      <c r="AA113" s="531"/>
      <c r="AB113" s="531"/>
      <c r="AC113" s="531"/>
      <c r="AD113" s="531"/>
      <c r="AE113" s="532"/>
      <c r="AG113" s="527"/>
      <c r="AH113" s="528"/>
      <c r="AI113" s="528"/>
      <c r="AJ113" s="528"/>
      <c r="AK113" s="528"/>
      <c r="AL113" s="528"/>
      <c r="AM113" s="529"/>
      <c r="AN113" s="8"/>
      <c r="AO113" s="530"/>
      <c r="AP113" s="531"/>
      <c r="AQ113" s="531"/>
      <c r="AR113" s="531"/>
      <c r="AS113" s="531"/>
      <c r="AT113" s="531"/>
      <c r="AU113" s="532"/>
      <c r="AW113" s="527"/>
      <c r="AX113" s="528"/>
      <c r="AY113" s="528"/>
      <c r="AZ113" s="528"/>
      <c r="BA113" s="528"/>
      <c r="BB113" s="528"/>
      <c r="BC113" s="529"/>
      <c r="BD113" s="8"/>
      <c r="BE113" s="530"/>
      <c r="BF113" s="531"/>
      <c r="BG113" s="531"/>
      <c r="BH113" s="531"/>
      <c r="BI113" s="531"/>
      <c r="BJ113" s="531"/>
      <c r="BK113" s="532"/>
    </row>
    <row r="114" spans="1:63" ht="14.25" customHeight="1" x14ac:dyDescent="0.25">
      <c r="A114" s="527" t="s">
        <v>73</v>
      </c>
      <c r="B114" s="528"/>
      <c r="C114" s="528"/>
      <c r="D114" s="528"/>
      <c r="E114" s="528"/>
      <c r="F114" s="528"/>
      <c r="G114" s="529"/>
      <c r="H114" s="8"/>
      <c r="I114" s="530"/>
      <c r="J114" s="531"/>
      <c r="K114" s="531"/>
      <c r="L114" s="531"/>
      <c r="M114" s="531"/>
      <c r="N114" s="531"/>
      <c r="O114" s="532"/>
      <c r="Q114" s="527" t="s">
        <v>73</v>
      </c>
      <c r="R114" s="528"/>
      <c r="S114" s="528"/>
      <c r="T114" s="528"/>
      <c r="U114" s="528"/>
      <c r="V114" s="528"/>
      <c r="W114" s="529"/>
      <c r="X114" s="8"/>
      <c r="Y114" s="530"/>
      <c r="Z114" s="531"/>
      <c r="AA114" s="531"/>
      <c r="AB114" s="531"/>
      <c r="AC114" s="531"/>
      <c r="AD114" s="531"/>
      <c r="AE114" s="532"/>
      <c r="AG114" s="527" t="s">
        <v>73</v>
      </c>
      <c r="AH114" s="528"/>
      <c r="AI114" s="528"/>
      <c r="AJ114" s="528"/>
      <c r="AK114" s="528"/>
      <c r="AL114" s="528"/>
      <c r="AM114" s="529"/>
      <c r="AN114" s="8"/>
      <c r="AO114" s="530"/>
      <c r="AP114" s="531"/>
      <c r="AQ114" s="531"/>
      <c r="AR114" s="531"/>
      <c r="AS114" s="531"/>
      <c r="AT114" s="531"/>
      <c r="AU114" s="532"/>
      <c r="AW114" s="527" t="s">
        <v>73</v>
      </c>
      <c r="AX114" s="528"/>
      <c r="AY114" s="528"/>
      <c r="AZ114" s="528"/>
      <c r="BA114" s="528"/>
      <c r="BB114" s="528"/>
      <c r="BC114" s="529"/>
      <c r="BD114" s="8"/>
      <c r="BE114" s="530"/>
      <c r="BF114" s="531"/>
      <c r="BG114" s="531"/>
      <c r="BH114" s="531"/>
      <c r="BI114" s="531"/>
      <c r="BJ114" s="531"/>
      <c r="BK114" s="532"/>
    </row>
    <row r="115" spans="1:63" thickBot="1" x14ac:dyDescent="0.3">
      <c r="A115" s="533"/>
      <c r="B115" s="534"/>
      <c r="C115" s="534"/>
      <c r="D115" s="534"/>
      <c r="E115" s="534"/>
      <c r="F115" s="534"/>
      <c r="G115" s="535"/>
      <c r="H115" s="8"/>
      <c r="I115" s="547" t="s">
        <v>74</v>
      </c>
      <c r="J115" s="548"/>
      <c r="K115" s="548"/>
      <c r="L115" s="548"/>
      <c r="M115" s="548"/>
      <c r="N115" s="548"/>
      <c r="O115" s="549"/>
      <c r="Q115" s="533"/>
      <c r="R115" s="534"/>
      <c r="S115" s="534"/>
      <c r="T115" s="534"/>
      <c r="U115" s="534"/>
      <c r="V115" s="534"/>
      <c r="W115" s="535"/>
      <c r="X115" s="8"/>
      <c r="Y115" s="547" t="s">
        <v>74</v>
      </c>
      <c r="Z115" s="548"/>
      <c r="AA115" s="548"/>
      <c r="AB115" s="548"/>
      <c r="AC115" s="548"/>
      <c r="AD115" s="548"/>
      <c r="AE115" s="549"/>
      <c r="AG115" s="533"/>
      <c r="AH115" s="534"/>
      <c r="AI115" s="534"/>
      <c r="AJ115" s="534"/>
      <c r="AK115" s="534"/>
      <c r="AL115" s="534"/>
      <c r="AM115" s="535"/>
      <c r="AN115" s="8"/>
      <c r="AO115" s="547" t="s">
        <v>74</v>
      </c>
      <c r="AP115" s="548"/>
      <c r="AQ115" s="548"/>
      <c r="AR115" s="548"/>
      <c r="AS115" s="548"/>
      <c r="AT115" s="548"/>
      <c r="AU115" s="549"/>
      <c r="AW115" s="533"/>
      <c r="AX115" s="534"/>
      <c r="AY115" s="534"/>
      <c r="AZ115" s="534"/>
      <c r="BA115" s="534"/>
      <c r="BB115" s="534"/>
      <c r="BC115" s="535"/>
      <c r="BD115" s="8"/>
      <c r="BE115" s="547" t="s">
        <v>74</v>
      </c>
      <c r="BF115" s="548"/>
      <c r="BG115" s="548"/>
      <c r="BH115" s="548"/>
      <c r="BI115" s="548"/>
      <c r="BJ115" s="548"/>
      <c r="BK115" s="549"/>
    </row>
    <row r="116" spans="1:63" ht="15" customHeight="1" thickTop="1" x14ac:dyDescent="0.25">
      <c r="A116" s="142"/>
      <c r="B116" s="156"/>
      <c r="C116" s="8"/>
      <c r="D116" s="8"/>
      <c r="E116" s="8"/>
      <c r="F116" s="8"/>
      <c r="G116" s="8"/>
      <c r="H116" s="8"/>
      <c r="I116" s="553" t="s">
        <v>75</v>
      </c>
      <c r="J116" s="554"/>
      <c r="K116" s="554"/>
      <c r="L116" s="554"/>
      <c r="M116" s="554"/>
      <c r="N116" s="554"/>
      <c r="O116" s="555"/>
      <c r="Q116" s="142"/>
      <c r="R116" s="8"/>
      <c r="S116" s="8"/>
      <c r="T116" s="8"/>
      <c r="U116" s="8"/>
      <c r="V116" s="8"/>
      <c r="W116" s="8"/>
      <c r="X116" s="8"/>
      <c r="Y116" s="553" t="s">
        <v>75</v>
      </c>
      <c r="Z116" s="554"/>
      <c r="AA116" s="554"/>
      <c r="AB116" s="554"/>
      <c r="AC116" s="554"/>
      <c r="AD116" s="554"/>
      <c r="AE116" s="555"/>
      <c r="AG116" s="142"/>
      <c r="AH116" s="8"/>
      <c r="AI116" s="8"/>
      <c r="AJ116" s="8"/>
      <c r="AK116" s="8"/>
      <c r="AL116" s="8"/>
      <c r="AM116" s="8"/>
      <c r="AN116" s="8"/>
      <c r="AO116" s="553" t="s">
        <v>75</v>
      </c>
      <c r="AP116" s="554"/>
      <c r="AQ116" s="554"/>
      <c r="AR116" s="554"/>
      <c r="AS116" s="554"/>
      <c r="AT116" s="554"/>
      <c r="AU116" s="555"/>
      <c r="AW116" s="142"/>
      <c r="AX116" s="8"/>
      <c r="AY116" s="8"/>
      <c r="AZ116" s="8"/>
      <c r="BA116" s="8"/>
      <c r="BB116" s="8"/>
      <c r="BC116" s="8"/>
      <c r="BD116" s="8"/>
      <c r="BE116" s="553" t="s">
        <v>75</v>
      </c>
      <c r="BF116" s="554"/>
      <c r="BG116" s="554"/>
      <c r="BH116" s="554"/>
      <c r="BI116" s="554"/>
      <c r="BJ116" s="554"/>
      <c r="BK116" s="555"/>
    </row>
    <row r="117" spans="1:63" ht="15" customHeight="1" thickBot="1" x14ac:dyDescent="0.3">
      <c r="A117" s="142"/>
      <c r="B117" s="156"/>
      <c r="C117" s="8"/>
      <c r="D117" s="8"/>
      <c r="E117" s="8"/>
      <c r="F117" s="8"/>
      <c r="G117" s="8"/>
      <c r="H117" s="71"/>
      <c r="I117" s="553"/>
      <c r="J117" s="554"/>
      <c r="K117" s="554"/>
      <c r="L117" s="554"/>
      <c r="M117" s="554"/>
      <c r="N117" s="554"/>
      <c r="O117" s="555"/>
      <c r="Q117" s="142"/>
      <c r="R117" s="8"/>
      <c r="S117" s="8"/>
      <c r="T117" s="8"/>
      <c r="U117" s="8"/>
      <c r="V117" s="8"/>
      <c r="W117" s="8"/>
      <c r="X117" s="71"/>
      <c r="Y117" s="553"/>
      <c r="Z117" s="554"/>
      <c r="AA117" s="554"/>
      <c r="AB117" s="554"/>
      <c r="AC117" s="554"/>
      <c r="AD117" s="554"/>
      <c r="AE117" s="555"/>
      <c r="AG117" s="142"/>
      <c r="AH117" s="8"/>
      <c r="AI117" s="8"/>
      <c r="AJ117" s="8"/>
      <c r="AK117" s="8"/>
      <c r="AL117" s="8"/>
      <c r="AM117" s="8"/>
      <c r="AN117" s="71"/>
      <c r="AO117" s="553"/>
      <c r="AP117" s="554"/>
      <c r="AQ117" s="554"/>
      <c r="AR117" s="554"/>
      <c r="AS117" s="554"/>
      <c r="AT117" s="554"/>
      <c r="AU117" s="555"/>
      <c r="AW117" s="142"/>
      <c r="AX117" s="8"/>
      <c r="AY117" s="8"/>
      <c r="AZ117" s="8"/>
      <c r="BA117" s="8"/>
      <c r="BB117" s="8"/>
      <c r="BC117" s="8"/>
      <c r="BD117" s="71"/>
      <c r="BE117" s="553"/>
      <c r="BF117" s="554"/>
      <c r="BG117" s="554"/>
      <c r="BH117" s="554"/>
      <c r="BI117" s="554"/>
      <c r="BJ117" s="554"/>
      <c r="BK117" s="555"/>
    </row>
    <row r="118" spans="1:63" ht="18" customHeight="1" thickTop="1" x14ac:dyDescent="0.25">
      <c r="A118" s="142"/>
      <c r="B118" s="562" t="s">
        <v>76</v>
      </c>
      <c r="C118" s="563"/>
      <c r="D118" s="563"/>
      <c r="E118" s="563"/>
      <c r="F118" s="39"/>
      <c r="G118" s="39"/>
      <c r="H118" s="40"/>
      <c r="I118" s="547" t="s">
        <v>77</v>
      </c>
      <c r="J118" s="548"/>
      <c r="K118" s="548"/>
      <c r="L118" s="548"/>
      <c r="M118" s="548"/>
      <c r="N118" s="548"/>
      <c r="O118" s="549"/>
      <c r="Q118" s="142"/>
      <c r="R118" s="562" t="s">
        <v>76</v>
      </c>
      <c r="S118" s="563"/>
      <c r="T118" s="563"/>
      <c r="U118" s="563"/>
      <c r="V118" s="39"/>
      <c r="W118" s="39"/>
      <c r="X118" s="40"/>
      <c r="Y118" s="547" t="s">
        <v>77</v>
      </c>
      <c r="Z118" s="548"/>
      <c r="AA118" s="548"/>
      <c r="AB118" s="548"/>
      <c r="AC118" s="548"/>
      <c r="AD118" s="548"/>
      <c r="AE118" s="549"/>
      <c r="AG118" s="142"/>
      <c r="AH118" s="562" t="s">
        <v>76</v>
      </c>
      <c r="AI118" s="563"/>
      <c r="AJ118" s="563"/>
      <c r="AK118" s="563"/>
      <c r="AL118" s="39"/>
      <c r="AM118" s="39"/>
      <c r="AN118" s="40"/>
      <c r="AO118" s="547" t="s">
        <v>77</v>
      </c>
      <c r="AP118" s="548"/>
      <c r="AQ118" s="548"/>
      <c r="AR118" s="548"/>
      <c r="AS118" s="548"/>
      <c r="AT118" s="548"/>
      <c r="AU118" s="549"/>
      <c r="AW118" s="142"/>
      <c r="AX118" s="562" t="s">
        <v>76</v>
      </c>
      <c r="AY118" s="563"/>
      <c r="AZ118" s="563"/>
      <c r="BA118" s="563"/>
      <c r="BB118" s="39"/>
      <c r="BC118" s="39"/>
      <c r="BD118" s="40"/>
      <c r="BE118" s="547" t="s">
        <v>77</v>
      </c>
      <c r="BF118" s="548"/>
      <c r="BG118" s="548"/>
      <c r="BH118" s="548"/>
      <c r="BI118" s="548"/>
      <c r="BJ118" s="548"/>
      <c r="BK118" s="549"/>
    </row>
    <row r="119" spans="1:63" ht="15" customHeight="1" x14ac:dyDescent="0.25">
      <c r="A119" s="142"/>
      <c r="B119" s="550" t="s">
        <v>78</v>
      </c>
      <c r="C119" s="551"/>
      <c r="D119" s="551"/>
      <c r="E119" s="551"/>
      <c r="F119" s="551"/>
      <c r="G119" s="551"/>
      <c r="H119" s="552"/>
      <c r="I119" s="553" t="s">
        <v>79</v>
      </c>
      <c r="J119" s="554"/>
      <c r="K119" s="554"/>
      <c r="L119" s="554"/>
      <c r="M119" s="554"/>
      <c r="N119" s="554"/>
      <c r="O119" s="555"/>
      <c r="Q119" s="142"/>
      <c r="R119" s="550" t="s">
        <v>78</v>
      </c>
      <c r="S119" s="551"/>
      <c r="T119" s="551"/>
      <c r="U119" s="551"/>
      <c r="V119" s="551"/>
      <c r="W119" s="551"/>
      <c r="X119" s="552"/>
      <c r="Y119" s="553" t="s">
        <v>79</v>
      </c>
      <c r="Z119" s="554"/>
      <c r="AA119" s="554"/>
      <c r="AB119" s="554"/>
      <c r="AC119" s="554"/>
      <c r="AD119" s="554"/>
      <c r="AE119" s="555"/>
      <c r="AG119" s="142"/>
      <c r="AH119" s="550" t="s">
        <v>78</v>
      </c>
      <c r="AI119" s="551"/>
      <c r="AJ119" s="551"/>
      <c r="AK119" s="551"/>
      <c r="AL119" s="551"/>
      <c r="AM119" s="551"/>
      <c r="AN119" s="552"/>
      <c r="AO119" s="553" t="s">
        <v>79</v>
      </c>
      <c r="AP119" s="554"/>
      <c r="AQ119" s="554"/>
      <c r="AR119" s="554"/>
      <c r="AS119" s="554"/>
      <c r="AT119" s="554"/>
      <c r="AU119" s="555"/>
      <c r="AW119" s="142"/>
      <c r="AX119" s="550" t="s">
        <v>78</v>
      </c>
      <c r="AY119" s="551"/>
      <c r="AZ119" s="551"/>
      <c r="BA119" s="551"/>
      <c r="BB119" s="551"/>
      <c r="BC119" s="551"/>
      <c r="BD119" s="552"/>
      <c r="BE119" s="553" t="s">
        <v>79</v>
      </c>
      <c r="BF119" s="554"/>
      <c r="BG119" s="554"/>
      <c r="BH119" s="554"/>
      <c r="BI119" s="554"/>
      <c r="BJ119" s="554"/>
      <c r="BK119" s="555"/>
    </row>
    <row r="120" spans="1:63" ht="14.25" customHeight="1" x14ac:dyDescent="0.25">
      <c r="A120" s="142"/>
      <c r="B120" s="556" t="s">
        <v>91</v>
      </c>
      <c r="C120" s="454"/>
      <c r="D120" s="454"/>
      <c r="E120" s="454"/>
      <c r="F120" s="454"/>
      <c r="G120" s="454"/>
      <c r="H120" s="455"/>
      <c r="I120" s="553"/>
      <c r="J120" s="554"/>
      <c r="K120" s="554"/>
      <c r="L120" s="554"/>
      <c r="M120" s="554"/>
      <c r="N120" s="554"/>
      <c r="O120" s="555"/>
      <c r="Q120" s="142"/>
      <c r="R120" s="556" t="s">
        <v>91</v>
      </c>
      <c r="S120" s="454"/>
      <c r="T120" s="454"/>
      <c r="U120" s="454"/>
      <c r="V120" s="454"/>
      <c r="W120" s="454"/>
      <c r="X120" s="455"/>
      <c r="Y120" s="553"/>
      <c r="Z120" s="554"/>
      <c r="AA120" s="554"/>
      <c r="AB120" s="554"/>
      <c r="AC120" s="554"/>
      <c r="AD120" s="554"/>
      <c r="AE120" s="555"/>
      <c r="AG120" s="142"/>
      <c r="AH120" s="556" t="s">
        <v>91</v>
      </c>
      <c r="AI120" s="454"/>
      <c r="AJ120" s="454"/>
      <c r="AK120" s="454"/>
      <c r="AL120" s="454"/>
      <c r="AM120" s="454"/>
      <c r="AN120" s="455"/>
      <c r="AO120" s="553"/>
      <c r="AP120" s="554"/>
      <c r="AQ120" s="554"/>
      <c r="AR120" s="554"/>
      <c r="AS120" s="554"/>
      <c r="AT120" s="554"/>
      <c r="AU120" s="555"/>
      <c r="AW120" s="142"/>
      <c r="AX120" s="556" t="s">
        <v>91</v>
      </c>
      <c r="AY120" s="454"/>
      <c r="AZ120" s="454"/>
      <c r="BA120" s="454"/>
      <c r="BB120" s="454"/>
      <c r="BC120" s="454"/>
      <c r="BD120" s="455"/>
      <c r="BE120" s="553"/>
      <c r="BF120" s="554"/>
      <c r="BG120" s="554"/>
      <c r="BH120" s="554"/>
      <c r="BI120" s="554"/>
      <c r="BJ120" s="554"/>
      <c r="BK120" s="555"/>
    </row>
    <row r="121" spans="1:63" ht="14.25" customHeight="1" x14ac:dyDescent="0.25">
      <c r="A121" s="142"/>
      <c r="B121" s="556"/>
      <c r="C121" s="454"/>
      <c r="D121" s="454"/>
      <c r="E121" s="454"/>
      <c r="F121" s="454"/>
      <c r="G121" s="454"/>
      <c r="H121" s="455"/>
      <c r="I121" s="554" t="s">
        <v>80</v>
      </c>
      <c r="J121" s="554"/>
      <c r="K121" s="554"/>
      <c r="L121" s="554"/>
      <c r="M121" s="554"/>
      <c r="N121" s="554"/>
      <c r="O121" s="555"/>
      <c r="Q121" s="142"/>
      <c r="R121" s="556"/>
      <c r="S121" s="454"/>
      <c r="T121" s="454"/>
      <c r="U121" s="454"/>
      <c r="V121" s="454"/>
      <c r="W121" s="454"/>
      <c r="X121" s="455"/>
      <c r="Y121" s="554" t="s">
        <v>80</v>
      </c>
      <c r="Z121" s="554"/>
      <c r="AA121" s="554"/>
      <c r="AB121" s="554"/>
      <c r="AC121" s="554"/>
      <c r="AD121" s="554"/>
      <c r="AE121" s="555"/>
      <c r="AG121" s="142"/>
      <c r="AH121" s="556"/>
      <c r="AI121" s="454"/>
      <c r="AJ121" s="454"/>
      <c r="AK121" s="454"/>
      <c r="AL121" s="454"/>
      <c r="AM121" s="454"/>
      <c r="AN121" s="455"/>
      <c r="AO121" s="554" t="s">
        <v>80</v>
      </c>
      <c r="AP121" s="554"/>
      <c r="AQ121" s="554"/>
      <c r="AR121" s="554"/>
      <c r="AS121" s="554"/>
      <c r="AT121" s="554"/>
      <c r="AU121" s="555"/>
      <c r="AW121" s="142"/>
      <c r="AX121" s="556"/>
      <c r="AY121" s="454"/>
      <c r="AZ121" s="454"/>
      <c r="BA121" s="454"/>
      <c r="BB121" s="454"/>
      <c r="BC121" s="454"/>
      <c r="BD121" s="455"/>
      <c r="BE121" s="554" t="s">
        <v>80</v>
      </c>
      <c r="BF121" s="554"/>
      <c r="BG121" s="554"/>
      <c r="BH121" s="554"/>
      <c r="BI121" s="554"/>
      <c r="BJ121" s="554"/>
      <c r="BK121" s="555"/>
    </row>
    <row r="122" spans="1:63" ht="15" customHeight="1" thickBot="1" x14ac:dyDescent="0.3">
      <c r="A122" s="142"/>
      <c r="B122" s="557"/>
      <c r="C122" s="558"/>
      <c r="D122" s="558"/>
      <c r="E122" s="558"/>
      <c r="F122" s="558"/>
      <c r="G122" s="558"/>
      <c r="H122" s="559"/>
      <c r="I122" s="560"/>
      <c r="J122" s="560"/>
      <c r="K122" s="560"/>
      <c r="L122" s="560"/>
      <c r="M122" s="560"/>
      <c r="N122" s="560"/>
      <c r="O122" s="561"/>
      <c r="Q122" s="142"/>
      <c r="R122" s="557"/>
      <c r="S122" s="558"/>
      <c r="T122" s="558"/>
      <c r="U122" s="558"/>
      <c r="V122" s="558"/>
      <c r="W122" s="558"/>
      <c r="X122" s="559"/>
      <c r="Y122" s="560"/>
      <c r="Z122" s="560"/>
      <c r="AA122" s="560"/>
      <c r="AB122" s="560"/>
      <c r="AC122" s="560"/>
      <c r="AD122" s="560"/>
      <c r="AE122" s="561"/>
      <c r="AG122" s="142"/>
      <c r="AH122" s="557"/>
      <c r="AI122" s="558"/>
      <c r="AJ122" s="558"/>
      <c r="AK122" s="558"/>
      <c r="AL122" s="558"/>
      <c r="AM122" s="558"/>
      <c r="AN122" s="559"/>
      <c r="AO122" s="560"/>
      <c r="AP122" s="560"/>
      <c r="AQ122" s="560"/>
      <c r="AR122" s="560"/>
      <c r="AS122" s="560"/>
      <c r="AT122" s="560"/>
      <c r="AU122" s="561"/>
      <c r="AW122" s="142"/>
      <c r="AX122" s="557"/>
      <c r="AY122" s="558"/>
      <c r="AZ122" s="558"/>
      <c r="BA122" s="558"/>
      <c r="BB122" s="558"/>
      <c r="BC122" s="558"/>
      <c r="BD122" s="559"/>
      <c r="BE122" s="560"/>
      <c r="BF122" s="560"/>
      <c r="BG122" s="560"/>
      <c r="BH122" s="560"/>
      <c r="BI122" s="560"/>
      <c r="BJ122" s="560"/>
      <c r="BK122" s="561"/>
    </row>
    <row r="123" spans="1:63" ht="17.25" thickTop="1" thickBot="1" x14ac:dyDescent="0.3">
      <c r="A123" s="143"/>
      <c r="B123" s="157"/>
      <c r="C123" s="564"/>
      <c r="D123" s="564"/>
      <c r="E123" s="564"/>
      <c r="F123" s="564"/>
      <c r="G123" s="564"/>
      <c r="H123" s="41"/>
      <c r="I123" s="42"/>
      <c r="J123" s="42"/>
      <c r="K123" s="42"/>
      <c r="L123" s="42"/>
      <c r="M123" s="113"/>
      <c r="N123" s="163"/>
      <c r="O123" s="163"/>
      <c r="P123" s="69"/>
      <c r="Q123" s="143"/>
      <c r="R123" s="41"/>
      <c r="S123" s="564"/>
      <c r="T123" s="564"/>
      <c r="U123" s="564"/>
      <c r="V123" s="564"/>
      <c r="W123" s="564"/>
      <c r="X123" s="41"/>
      <c r="Y123" s="42"/>
      <c r="Z123" s="42"/>
      <c r="AA123" s="42"/>
      <c r="AB123" s="42"/>
      <c r="AC123" s="113"/>
      <c r="AD123" s="113"/>
      <c r="AE123" s="114"/>
      <c r="AG123" s="143"/>
      <c r="AH123" s="41"/>
      <c r="AI123" s="564"/>
      <c r="AJ123" s="564"/>
      <c r="AK123" s="564"/>
      <c r="AL123" s="564"/>
      <c r="AM123" s="564"/>
      <c r="AN123" s="41"/>
      <c r="AO123" s="42"/>
      <c r="AP123" s="42"/>
      <c r="AQ123" s="42"/>
      <c r="AR123" s="42"/>
      <c r="AS123" s="113"/>
      <c r="AT123" s="113"/>
      <c r="AU123" s="114"/>
      <c r="AW123" s="143"/>
      <c r="AX123" s="41"/>
      <c r="AY123" s="564"/>
      <c r="AZ123" s="564"/>
      <c r="BA123" s="564"/>
      <c r="BB123" s="564"/>
      <c r="BC123" s="564"/>
      <c r="BD123" s="41"/>
      <c r="BE123" s="42"/>
      <c r="BF123" s="42"/>
      <c r="BG123" s="42"/>
      <c r="BH123" s="42"/>
      <c r="BI123" s="113"/>
      <c r="BJ123" s="113"/>
      <c r="BK123" s="114"/>
    </row>
    <row r="124" spans="1:63" ht="17.25" thickTop="1" thickBot="1" x14ac:dyDescent="0.3">
      <c r="E124" s="66"/>
      <c r="U124" s="66"/>
      <c r="AK124" s="66"/>
      <c r="BA124" s="66"/>
    </row>
    <row r="125" spans="1:63" ht="24.95" customHeight="1" thickTop="1" x14ac:dyDescent="0.25">
      <c r="A125" s="565" t="s">
        <v>81</v>
      </c>
      <c r="B125" s="566"/>
      <c r="C125" s="566"/>
      <c r="D125" s="430" t="str">
        <f>ادخال1!$N$4</f>
        <v>الرابع</v>
      </c>
      <c r="E125" s="430"/>
      <c r="F125" s="567" t="s">
        <v>82</v>
      </c>
      <c r="G125" s="567"/>
      <c r="H125" s="567"/>
      <c r="I125" s="13"/>
      <c r="J125" s="13"/>
      <c r="K125" s="13"/>
      <c r="L125" s="13"/>
      <c r="M125" s="106"/>
      <c r="N125" s="106"/>
      <c r="O125" s="107">
        <f>O84+1</f>
        <v>4</v>
      </c>
      <c r="Q125" s="565" t="s">
        <v>81</v>
      </c>
      <c r="R125" s="566"/>
      <c r="S125" s="566"/>
      <c r="T125" s="430" t="str">
        <f>ادخال1!$N$4</f>
        <v>الرابع</v>
      </c>
      <c r="U125" s="430"/>
      <c r="V125" s="567" t="s">
        <v>82</v>
      </c>
      <c r="W125" s="567"/>
      <c r="X125" s="567"/>
      <c r="Y125" s="13"/>
      <c r="Z125" s="13"/>
      <c r="AA125" s="13"/>
      <c r="AB125" s="13"/>
      <c r="AC125" s="106"/>
      <c r="AD125" s="106"/>
      <c r="AE125" s="107">
        <f>AE84+1</f>
        <v>9</v>
      </c>
      <c r="AG125" s="565" t="s">
        <v>81</v>
      </c>
      <c r="AH125" s="566"/>
      <c r="AI125" s="566"/>
      <c r="AJ125" s="430" t="str">
        <f>ادخال1!$N$4</f>
        <v>الرابع</v>
      </c>
      <c r="AK125" s="430"/>
      <c r="AL125" s="567" t="s">
        <v>82</v>
      </c>
      <c r="AM125" s="567"/>
      <c r="AN125" s="567"/>
      <c r="AO125" s="13"/>
      <c r="AP125" s="13"/>
      <c r="AQ125" s="13"/>
      <c r="AR125" s="13"/>
      <c r="AS125" s="106"/>
      <c r="AT125" s="106"/>
      <c r="AU125" s="107">
        <f>AU84+1</f>
        <v>14</v>
      </c>
      <c r="AW125" s="565" t="s">
        <v>81</v>
      </c>
      <c r="AX125" s="566"/>
      <c r="AY125" s="566"/>
      <c r="AZ125" s="430" t="str">
        <f>ادخال1!$N$4</f>
        <v>الرابع</v>
      </c>
      <c r="BA125" s="430"/>
      <c r="BB125" s="567" t="s">
        <v>82</v>
      </c>
      <c r="BC125" s="567"/>
      <c r="BD125" s="567"/>
      <c r="BE125" s="13"/>
      <c r="BF125" s="13"/>
      <c r="BG125" s="13"/>
      <c r="BH125" s="13"/>
      <c r="BI125" s="106"/>
      <c r="BJ125" s="106"/>
      <c r="BK125" s="107">
        <f>BK84+1</f>
        <v>19</v>
      </c>
    </row>
    <row r="126" spans="1:63" ht="24.95" customHeight="1" thickBot="1" x14ac:dyDescent="0.3">
      <c r="A126" s="273" t="s">
        <v>153</v>
      </c>
      <c r="B126" s="576" t="str">
        <f>ادخال1!$B$5</f>
        <v xml:space="preserve">سهول العلم للتعليم الخاص </v>
      </c>
      <c r="C126" s="576"/>
      <c r="D126" s="576"/>
      <c r="E126" s="576"/>
      <c r="F126" s="576"/>
      <c r="G126" s="576"/>
      <c r="H126" s="491" t="s">
        <v>9</v>
      </c>
      <c r="I126" s="491"/>
      <c r="J126" s="492">
        <f>M141</f>
        <v>0</v>
      </c>
      <c r="K126" s="492"/>
      <c r="L126" s="492"/>
      <c r="M126" s="492"/>
      <c r="N126" s="492"/>
      <c r="O126" s="158"/>
      <c r="Q126" s="273" t="s">
        <v>153</v>
      </c>
      <c r="R126" s="576" t="str">
        <f>ادخال1!$B$5</f>
        <v xml:space="preserve">سهول العلم للتعليم الخاص </v>
      </c>
      <c r="S126" s="576"/>
      <c r="T126" s="576"/>
      <c r="U126" s="576"/>
      <c r="V126" s="576"/>
      <c r="W126" s="576"/>
      <c r="X126" s="491" t="s">
        <v>9</v>
      </c>
      <c r="Y126" s="491"/>
      <c r="Z126" s="492">
        <f>AC141</f>
        <v>0</v>
      </c>
      <c r="AA126" s="492"/>
      <c r="AB126" s="492"/>
      <c r="AC126" s="492"/>
      <c r="AD126" s="492"/>
      <c r="AE126" s="158"/>
      <c r="AG126" s="273" t="s">
        <v>153</v>
      </c>
      <c r="AH126" s="576" t="str">
        <f>ادخال1!$B$5</f>
        <v xml:space="preserve">سهول العلم للتعليم الخاص </v>
      </c>
      <c r="AI126" s="576"/>
      <c r="AJ126" s="576"/>
      <c r="AK126" s="576"/>
      <c r="AL126" s="576"/>
      <c r="AM126" s="576"/>
      <c r="AN126" s="491" t="s">
        <v>9</v>
      </c>
      <c r="AO126" s="491"/>
      <c r="AP126" s="492">
        <f>AS141</f>
        <v>0</v>
      </c>
      <c r="AQ126" s="492"/>
      <c r="AR126" s="492"/>
      <c r="AS126" s="492"/>
      <c r="AT126" s="492"/>
      <c r="AU126" s="158"/>
      <c r="AW126" s="273" t="s">
        <v>153</v>
      </c>
      <c r="AX126" s="576" t="str">
        <f>ادخال1!$B$5</f>
        <v xml:space="preserve">سهول العلم للتعليم الخاص </v>
      </c>
      <c r="AY126" s="576"/>
      <c r="AZ126" s="576"/>
      <c r="BA126" s="576"/>
      <c r="BB126" s="576"/>
      <c r="BC126" s="576"/>
      <c r="BD126" s="491" t="s">
        <v>9</v>
      </c>
      <c r="BE126" s="491"/>
      <c r="BF126" s="492">
        <f>BI141</f>
        <v>0</v>
      </c>
      <c r="BG126" s="492"/>
      <c r="BH126" s="492"/>
      <c r="BI126" s="492"/>
      <c r="BJ126" s="492"/>
      <c r="BK126" s="158"/>
    </row>
    <row r="127" spans="1:63" ht="15.6" customHeight="1" thickBot="1" x14ac:dyDescent="0.3">
      <c r="A127" s="135" t="s">
        <v>46</v>
      </c>
      <c r="B127" s="493" t="s">
        <v>12</v>
      </c>
      <c r="C127" s="495" t="s">
        <v>47</v>
      </c>
      <c r="D127" s="496"/>
      <c r="E127" s="497" t="s">
        <v>48</v>
      </c>
      <c r="F127" s="497"/>
      <c r="G127" s="498" t="s">
        <v>49</v>
      </c>
      <c r="H127" s="499"/>
      <c r="I127" s="500" t="s">
        <v>50</v>
      </c>
      <c r="J127" s="501"/>
      <c r="K127" s="502"/>
      <c r="L127" s="28"/>
      <c r="M127" s="503" t="s">
        <v>51</v>
      </c>
      <c r="N127" s="504"/>
      <c r="O127" s="505"/>
      <c r="Q127" s="135" t="s">
        <v>46</v>
      </c>
      <c r="R127" s="493" t="s">
        <v>12</v>
      </c>
      <c r="S127" s="495" t="s">
        <v>47</v>
      </c>
      <c r="T127" s="496"/>
      <c r="U127" s="497" t="s">
        <v>48</v>
      </c>
      <c r="V127" s="497"/>
      <c r="W127" s="498" t="s">
        <v>49</v>
      </c>
      <c r="X127" s="499"/>
      <c r="Y127" s="500" t="s">
        <v>50</v>
      </c>
      <c r="Z127" s="501"/>
      <c r="AA127" s="502"/>
      <c r="AB127" s="28"/>
      <c r="AC127" s="503" t="s">
        <v>51</v>
      </c>
      <c r="AD127" s="504"/>
      <c r="AE127" s="505"/>
      <c r="AG127" s="135" t="s">
        <v>46</v>
      </c>
      <c r="AH127" s="493" t="s">
        <v>12</v>
      </c>
      <c r="AI127" s="495" t="s">
        <v>47</v>
      </c>
      <c r="AJ127" s="496"/>
      <c r="AK127" s="497" t="s">
        <v>48</v>
      </c>
      <c r="AL127" s="497"/>
      <c r="AM127" s="498" t="s">
        <v>49</v>
      </c>
      <c r="AN127" s="499"/>
      <c r="AO127" s="500" t="s">
        <v>50</v>
      </c>
      <c r="AP127" s="501"/>
      <c r="AQ127" s="502"/>
      <c r="AR127" s="28"/>
      <c r="AS127" s="503" t="s">
        <v>51</v>
      </c>
      <c r="AT127" s="504"/>
      <c r="AU127" s="505"/>
      <c r="AW127" s="135" t="s">
        <v>46</v>
      </c>
      <c r="AX127" s="493" t="s">
        <v>12</v>
      </c>
      <c r="AY127" s="495" t="s">
        <v>47</v>
      </c>
      <c r="AZ127" s="496"/>
      <c r="BA127" s="497" t="s">
        <v>48</v>
      </c>
      <c r="BB127" s="497"/>
      <c r="BC127" s="498" t="s">
        <v>49</v>
      </c>
      <c r="BD127" s="499"/>
      <c r="BE127" s="500" t="s">
        <v>50</v>
      </c>
      <c r="BF127" s="501"/>
      <c r="BG127" s="502"/>
      <c r="BH127" s="28"/>
      <c r="BI127" s="503" t="s">
        <v>51</v>
      </c>
      <c r="BJ127" s="504"/>
      <c r="BK127" s="505"/>
    </row>
    <row r="128" spans="1:63" ht="24.95" customHeight="1" x14ac:dyDescent="0.25">
      <c r="A128" s="60" t="s">
        <v>2</v>
      </c>
      <c r="B128" s="494"/>
      <c r="C128" s="55" t="s">
        <v>52</v>
      </c>
      <c r="D128" s="56" t="s">
        <v>53</v>
      </c>
      <c r="E128" s="57" t="s">
        <v>52</v>
      </c>
      <c r="F128" s="58" t="s">
        <v>53</v>
      </c>
      <c r="G128" s="55" t="s">
        <v>52</v>
      </c>
      <c r="H128" s="56" t="s">
        <v>53</v>
      </c>
      <c r="I128" s="55" t="s">
        <v>54</v>
      </c>
      <c r="J128" s="59" t="s">
        <v>55</v>
      </c>
      <c r="K128" s="56" t="s">
        <v>53</v>
      </c>
      <c r="L128" s="12"/>
      <c r="M128" s="122" t="s">
        <v>110</v>
      </c>
      <c r="N128" s="489" t="str">
        <f>IF(D137=0,"",IF(AND(D129&gt;=C129*0.4,D130&gt;=C130*0.4,D132&gt;=C132*0.4,D134&gt;=C134*0.4,D135&gt;=C135*0.4),LOOKUP(D137,$BO$18:$BP$22),"ضعيف ويحتاج الى اهتمام في المواد"))</f>
        <v>جيد</v>
      </c>
      <c r="O128" s="490"/>
      <c r="Q128" s="60" t="s">
        <v>2</v>
      </c>
      <c r="R128" s="494"/>
      <c r="S128" s="55" t="s">
        <v>52</v>
      </c>
      <c r="T128" s="56" t="s">
        <v>53</v>
      </c>
      <c r="U128" s="57" t="s">
        <v>52</v>
      </c>
      <c r="V128" s="58" t="s">
        <v>53</v>
      </c>
      <c r="W128" s="55" t="s">
        <v>52</v>
      </c>
      <c r="X128" s="56" t="s">
        <v>53</v>
      </c>
      <c r="Y128" s="55" t="s">
        <v>54</v>
      </c>
      <c r="Z128" s="59" t="s">
        <v>55</v>
      </c>
      <c r="AA128" s="56" t="s">
        <v>53</v>
      </c>
      <c r="AB128" s="12"/>
      <c r="AC128" s="122" t="s">
        <v>110</v>
      </c>
      <c r="AD128" s="489" t="str">
        <f>IF(T137=0,"",IF(AND(T129&gt;=S129*0.4,T130&gt;=S130*0.4,T132&gt;=S132*0.4,T134&gt;=S134*0.4,T135&gt;=S135*0.4),LOOKUP(T137,$BO$18:$BP$22),"ضعيف ويحتاج الى اهتمام في المواد"))</f>
        <v>جيدجداً</v>
      </c>
      <c r="AE128" s="490"/>
      <c r="AG128" s="60" t="s">
        <v>2</v>
      </c>
      <c r="AH128" s="494"/>
      <c r="AI128" s="55" t="s">
        <v>52</v>
      </c>
      <c r="AJ128" s="56" t="s">
        <v>53</v>
      </c>
      <c r="AK128" s="57" t="s">
        <v>52</v>
      </c>
      <c r="AL128" s="58" t="s">
        <v>53</v>
      </c>
      <c r="AM128" s="55" t="s">
        <v>52</v>
      </c>
      <c r="AN128" s="56" t="s">
        <v>53</v>
      </c>
      <c r="AO128" s="55" t="s">
        <v>54</v>
      </c>
      <c r="AP128" s="59" t="s">
        <v>55</v>
      </c>
      <c r="AQ128" s="56" t="s">
        <v>53</v>
      </c>
      <c r="AR128" s="12"/>
      <c r="AS128" s="122" t="s">
        <v>110</v>
      </c>
      <c r="AT128" s="489" t="str">
        <f>IF(AJ137=0,"",IF(AND(AJ129&gt;=AI129*0.4,AJ130&gt;=AI130*0.4,AJ132&gt;=AI132*0.4,AJ134&gt;=AI134*0.4,AJ135&gt;=AI135*0.4),LOOKUP(AJ137,$BO$18:$BP$22),"ضعيف ويحتاج الى اهتمام في المواد"))</f>
        <v>جيدجداً</v>
      </c>
      <c r="AU128" s="490"/>
      <c r="AW128" s="60" t="s">
        <v>2</v>
      </c>
      <c r="AX128" s="494"/>
      <c r="AY128" s="55" t="s">
        <v>52</v>
      </c>
      <c r="AZ128" s="56" t="s">
        <v>53</v>
      </c>
      <c r="BA128" s="57" t="s">
        <v>52</v>
      </c>
      <c r="BB128" s="58" t="s">
        <v>53</v>
      </c>
      <c r="BC128" s="55" t="s">
        <v>52</v>
      </c>
      <c r="BD128" s="56" t="s">
        <v>53</v>
      </c>
      <c r="BE128" s="55" t="s">
        <v>54</v>
      </c>
      <c r="BF128" s="59" t="s">
        <v>55</v>
      </c>
      <c r="BG128" s="56" t="s">
        <v>53</v>
      </c>
      <c r="BH128" s="12"/>
      <c r="BI128" s="122" t="s">
        <v>110</v>
      </c>
      <c r="BJ128" s="489" t="str">
        <f>IF(AZ137=0,"",IF(AND(AZ129&gt;=AY129*0.4,AZ130&gt;=AY130*0.4,AZ132&gt;=AY132*0.4,AZ134&gt;=AY134*0.4,AZ135&gt;=AY135*0.4),LOOKUP(AZ137,$BO$18:$BP$22),"ضعيف ويحتاج الى اهتمام في المواد"))</f>
        <v/>
      </c>
      <c r="BK128" s="490"/>
    </row>
    <row r="129" spans="1:63" ht="22.9" customHeight="1" x14ac:dyDescent="0.25">
      <c r="A129" s="118" t="str">
        <f>ادخال1!$F$9</f>
        <v>التربية الإسلامية</v>
      </c>
      <c r="B129" s="148">
        <f>ادخال1!$F$7</f>
        <v>3</v>
      </c>
      <c r="C129" s="45">
        <f t="shared" ref="C129:C131" si="86">40*B129*0.3</f>
        <v>36</v>
      </c>
      <c r="D129" s="2">
        <f xml:space="preserve"> IFERROR(VLOOKUP(M143,اسماء,5,0),"")</f>
        <v>27</v>
      </c>
      <c r="E129" s="47">
        <f t="shared" ref="E129:E131" si="87">40*B129*0.3</f>
        <v>36</v>
      </c>
      <c r="F129" s="2">
        <f>IFERROR(VLOOKUP(M143,اسماء,18,0),"")</f>
        <v>0</v>
      </c>
      <c r="G129" s="45">
        <f t="shared" ref="G129:G131" si="88">40*B129*0.4</f>
        <v>48</v>
      </c>
      <c r="H129" s="2">
        <f>IFERROR(VLOOKUP(M143,اسماء,31,0),"")</f>
        <v>0</v>
      </c>
      <c r="I129" s="45">
        <f t="shared" ref="I129:I131" si="89">SUM(C129,E129,G129)</f>
        <v>120</v>
      </c>
      <c r="J129" s="48">
        <f t="shared" ref="J129:J131" si="90">0.4*I129</f>
        <v>48</v>
      </c>
      <c r="K129" s="2">
        <f t="shared" ref="K129:K131" si="91">SUM(D129,F129,H129)</f>
        <v>27</v>
      </c>
      <c r="L129" s="20"/>
      <c r="M129" s="109" t="str">
        <f>IF(D129=0,"",IF(D129&lt;C129*0.4,A129,""))</f>
        <v/>
      </c>
      <c r="N129" s="159" t="str">
        <f>IF(D130=0,"",IF(D130&lt;C130*0.4,A130,""))</f>
        <v/>
      </c>
      <c r="O129" s="160" t="str">
        <f>IF(D131=0,"",IF(D131&lt;C131*0.4,A131,""))</f>
        <v/>
      </c>
      <c r="Q129" s="118" t="str">
        <f>ادخال1!$F$9</f>
        <v>التربية الإسلامية</v>
      </c>
      <c r="R129" s="148">
        <f>ادخال1!$F$7</f>
        <v>3</v>
      </c>
      <c r="S129" s="45">
        <f t="shared" ref="S129:S131" si="92">40*R129*0.3</f>
        <v>36</v>
      </c>
      <c r="T129" s="2">
        <f xml:space="preserve"> IFERROR(VLOOKUP(AC143,اسماء,5,0),"")</f>
        <v>31</v>
      </c>
      <c r="U129" s="47">
        <f t="shared" ref="U129:U131" si="93">40*R129*0.3</f>
        <v>36</v>
      </c>
      <c r="V129" s="2">
        <f>IFERROR(VLOOKUP(AC143,اسماء,18,0),"")</f>
        <v>0</v>
      </c>
      <c r="W129" s="45">
        <f t="shared" ref="W129:W131" si="94">40*R129*0.4</f>
        <v>48</v>
      </c>
      <c r="X129" s="2">
        <f>IFERROR(VLOOKUP(AC143,اسماء,31,0),"")</f>
        <v>0</v>
      </c>
      <c r="Y129" s="45">
        <f t="shared" ref="Y129:Y131" si="95">SUM(S129,U129,W129)</f>
        <v>120</v>
      </c>
      <c r="Z129" s="48">
        <f t="shared" ref="Z129:Z131" si="96">0.4*Y129</f>
        <v>48</v>
      </c>
      <c r="AA129" s="2">
        <f t="shared" ref="AA129:AA131" si="97">SUM(T129,V129,X129)</f>
        <v>31</v>
      </c>
      <c r="AB129" s="20"/>
      <c r="AC129" s="109" t="str">
        <f>IF(T129=0,"",IF(T129&lt;S129*0.4,Q129,""))</f>
        <v/>
      </c>
      <c r="AD129" s="159" t="str">
        <f>IF(T130=0,"",IF(T130&lt;S130*0.4,Q130,""))</f>
        <v/>
      </c>
      <c r="AE129" s="160" t="str">
        <f>IF(T131=0,"",IF(T131&lt;S131*0.4,Q131,""))</f>
        <v/>
      </c>
      <c r="AG129" s="118" t="str">
        <f>ادخال1!$F$9</f>
        <v>التربية الإسلامية</v>
      </c>
      <c r="AH129" s="148">
        <f>ادخال1!$F$7</f>
        <v>3</v>
      </c>
      <c r="AI129" s="45">
        <f t="shared" ref="AI129:AI131" si="98">40*AH129*0.3</f>
        <v>36</v>
      </c>
      <c r="AJ129" s="2">
        <f xml:space="preserve"> IFERROR(VLOOKUP(AS143,اسماء,5,0),"")</f>
        <v>27</v>
      </c>
      <c r="AK129" s="47">
        <f t="shared" ref="AK129:AK131" si="99">40*AH129*0.3</f>
        <v>36</v>
      </c>
      <c r="AL129" s="2">
        <f>IFERROR(VLOOKUP(AS143,اسماء,18,0),"")</f>
        <v>0</v>
      </c>
      <c r="AM129" s="45">
        <f t="shared" ref="AM129:AM131" si="100">40*AH129*0.4</f>
        <v>48</v>
      </c>
      <c r="AN129" s="2">
        <f>IFERROR(VLOOKUP(AS143,اسماء,31,0),"")</f>
        <v>0</v>
      </c>
      <c r="AO129" s="45">
        <f t="shared" ref="AO129:AO131" si="101">SUM(AI129,AK129,AM129)</f>
        <v>120</v>
      </c>
      <c r="AP129" s="48">
        <f t="shared" ref="AP129:AP131" si="102">0.4*AO129</f>
        <v>48</v>
      </c>
      <c r="AQ129" s="2">
        <f t="shared" ref="AQ129:AQ131" si="103">SUM(AJ129,AL129,AN129)</f>
        <v>27</v>
      </c>
      <c r="AR129" s="20"/>
      <c r="AS129" s="109" t="str">
        <f>IF(AJ129=0,"",IF(AJ129&lt;AI129*0.4,AG129,""))</f>
        <v/>
      </c>
      <c r="AT129" s="159" t="str">
        <f>IF(AJ130=0,"",IF(AJ130&lt;AI130*0.4,AG130,""))</f>
        <v/>
      </c>
      <c r="AU129" s="160" t="str">
        <f>IF(AJ131=0,"",IF(AJ131&lt;AI131*0.4,AG131,""))</f>
        <v/>
      </c>
      <c r="AW129" s="118" t="str">
        <f>ادخال1!$F$9</f>
        <v>التربية الإسلامية</v>
      </c>
      <c r="AX129" s="148">
        <f>ادخال1!$F$7</f>
        <v>3</v>
      </c>
      <c r="AY129" s="45">
        <f t="shared" ref="AY129:AY131" si="104">40*AX129*0.3</f>
        <v>36</v>
      </c>
      <c r="AZ129" s="2" t="str">
        <f xml:space="preserve"> IFERROR(VLOOKUP(BI143,اسماء,5,0),"")</f>
        <v/>
      </c>
      <c r="BA129" s="47">
        <f t="shared" ref="BA129:BA131" si="105">40*AX129*0.3</f>
        <v>36</v>
      </c>
      <c r="BB129" s="2" t="str">
        <f>IFERROR(VLOOKUP(BI143,اسماء,18,0),"")</f>
        <v/>
      </c>
      <c r="BC129" s="45">
        <f t="shared" ref="BC129:BC131" si="106">40*AX129*0.4</f>
        <v>48</v>
      </c>
      <c r="BD129" s="2" t="str">
        <f>IFERROR(VLOOKUP(BI143,اسماء,31,0),"")</f>
        <v/>
      </c>
      <c r="BE129" s="45">
        <f t="shared" ref="BE129:BE131" si="107">SUM(AY129,BA129,BC129)</f>
        <v>120</v>
      </c>
      <c r="BF129" s="48">
        <f t="shared" ref="BF129:BF131" si="108">0.4*BE129</f>
        <v>48</v>
      </c>
      <c r="BG129" s="2">
        <f t="shared" ref="BG129:BG131" si="109">SUM(AZ129,BB129,BD129)</f>
        <v>0</v>
      </c>
      <c r="BH129" s="20"/>
      <c r="BI129" s="109" t="str">
        <f>IF(AZ129=0,"",IF(AZ129&lt;AY129*0.4,AW129,""))</f>
        <v/>
      </c>
      <c r="BJ129" s="159" t="str">
        <f>IF(AZ130=0,"",IF(AZ130&lt;AY130*0.4,AW130,""))</f>
        <v/>
      </c>
      <c r="BK129" s="160" t="str">
        <f>IF(AZ131=0,"",IF(AZ131&lt;AY131*0.4,AW131,""))</f>
        <v/>
      </c>
    </row>
    <row r="130" spans="1:63" ht="22.9" customHeight="1" x14ac:dyDescent="0.25">
      <c r="A130" s="136" t="str">
        <f>ادخال1!$G$9</f>
        <v>اللغة العربية</v>
      </c>
      <c r="B130" s="149">
        <f>ادخال1!$G$7</f>
        <v>4</v>
      </c>
      <c r="C130" s="45">
        <f t="shared" si="86"/>
        <v>48</v>
      </c>
      <c r="D130" s="2">
        <f>IFERROR(VLOOKUP(M143,اسماء,6,0),"")</f>
        <v>24</v>
      </c>
      <c r="E130" s="47">
        <f t="shared" si="87"/>
        <v>48</v>
      </c>
      <c r="F130" s="2">
        <f>IFERROR(VLOOKUP(M143,اسماء,19,0),"")</f>
        <v>0</v>
      </c>
      <c r="G130" s="45">
        <f t="shared" si="88"/>
        <v>64</v>
      </c>
      <c r="H130" s="2">
        <f>IFERROR(VLOOKUP(M143,اسماء,32,0),"")</f>
        <v>0</v>
      </c>
      <c r="I130" s="45">
        <f t="shared" si="89"/>
        <v>160</v>
      </c>
      <c r="J130" s="48">
        <f t="shared" si="90"/>
        <v>64</v>
      </c>
      <c r="K130" s="2">
        <f t="shared" si="91"/>
        <v>24</v>
      </c>
      <c r="L130" s="20"/>
      <c r="M130" s="109" t="str">
        <f>IF(D132=0,"",IF(D132&lt;C132*0.4,A132,""))</f>
        <v/>
      </c>
      <c r="N130" s="159" t="str">
        <f>IF(D133=0,"",IF(D133&lt;C133*0.4,A133,""))</f>
        <v/>
      </c>
      <c r="O130" s="160" t="str">
        <f>IF(D134=0,"",IF(D134&lt;C134*0.4,A134,""))</f>
        <v/>
      </c>
      <c r="Q130" s="136" t="str">
        <f>ادخال1!$G$9</f>
        <v>اللغة العربية</v>
      </c>
      <c r="R130" s="149">
        <f>ادخال1!$G$7</f>
        <v>4</v>
      </c>
      <c r="S130" s="45">
        <f t="shared" si="92"/>
        <v>48</v>
      </c>
      <c r="T130" s="2">
        <f>IFERROR(VLOOKUP(AC143,اسماء,6,0),"")</f>
        <v>43</v>
      </c>
      <c r="U130" s="47">
        <f t="shared" si="93"/>
        <v>48</v>
      </c>
      <c r="V130" s="2">
        <f>IFERROR(VLOOKUP(AC143,اسماء,19,0),"")</f>
        <v>0</v>
      </c>
      <c r="W130" s="45">
        <f t="shared" si="94"/>
        <v>64</v>
      </c>
      <c r="X130" s="2">
        <f>IFERROR(VLOOKUP(AC143,اسماء,32,0),"")</f>
        <v>0</v>
      </c>
      <c r="Y130" s="45">
        <f t="shared" si="95"/>
        <v>160</v>
      </c>
      <c r="Z130" s="48">
        <f t="shared" si="96"/>
        <v>64</v>
      </c>
      <c r="AA130" s="2">
        <f t="shared" si="97"/>
        <v>43</v>
      </c>
      <c r="AB130" s="20"/>
      <c r="AC130" s="109" t="str">
        <f>IF(T132=0,"",IF(T132&lt;S132*0.4,Q132,""))</f>
        <v/>
      </c>
      <c r="AD130" s="159" t="str">
        <f>IF(T133=0,"",IF(T133&lt;S133*0.4,Q133,""))</f>
        <v/>
      </c>
      <c r="AE130" s="160" t="str">
        <f>IF(T134=0,"",IF(T134&lt;S134*0.4,Q134,""))</f>
        <v/>
      </c>
      <c r="AG130" s="136" t="str">
        <f>ادخال1!$G$9</f>
        <v>اللغة العربية</v>
      </c>
      <c r="AH130" s="149">
        <f>ادخال1!$G$7</f>
        <v>4</v>
      </c>
      <c r="AI130" s="45">
        <f t="shared" si="98"/>
        <v>48</v>
      </c>
      <c r="AJ130" s="2">
        <f>IFERROR(VLOOKUP(AS143,اسماء,6,0),"")</f>
        <v>35</v>
      </c>
      <c r="AK130" s="47">
        <f t="shared" si="99"/>
        <v>48</v>
      </c>
      <c r="AL130" s="2">
        <f>IFERROR(VLOOKUP(AS143,اسماء,19,0),"")</f>
        <v>0</v>
      </c>
      <c r="AM130" s="45">
        <f t="shared" si="100"/>
        <v>64</v>
      </c>
      <c r="AN130" s="2">
        <f>IFERROR(VLOOKUP(AS143,اسماء,32,0),"")</f>
        <v>0</v>
      </c>
      <c r="AO130" s="45">
        <f t="shared" si="101"/>
        <v>160</v>
      </c>
      <c r="AP130" s="48">
        <f t="shared" si="102"/>
        <v>64</v>
      </c>
      <c r="AQ130" s="2">
        <f t="shared" si="103"/>
        <v>35</v>
      </c>
      <c r="AR130" s="20"/>
      <c r="AS130" s="109" t="str">
        <f>IF(AJ132=0,"",IF(AJ132&lt;AI132*0.4,AG132,""))</f>
        <v/>
      </c>
      <c r="AT130" s="159" t="str">
        <f>IF(AJ133=0,"",IF(AJ133&lt;AI133*0.4,AG133,""))</f>
        <v/>
      </c>
      <c r="AU130" s="160" t="str">
        <f>IF(AJ134=0,"",IF(AJ134&lt;AI134*0.4,AG134,""))</f>
        <v/>
      </c>
      <c r="AW130" s="136" t="str">
        <f>ادخال1!$G$9</f>
        <v>اللغة العربية</v>
      </c>
      <c r="AX130" s="149">
        <f>ادخال1!$G$7</f>
        <v>4</v>
      </c>
      <c r="AY130" s="45">
        <f t="shared" si="104"/>
        <v>48</v>
      </c>
      <c r="AZ130" s="2" t="str">
        <f>IFERROR(VLOOKUP(BI143,اسماء,6,0),"")</f>
        <v/>
      </c>
      <c r="BA130" s="47">
        <f t="shared" si="105"/>
        <v>48</v>
      </c>
      <c r="BB130" s="2" t="str">
        <f>IFERROR(VLOOKUP(BI143,اسماء,19,0),"")</f>
        <v/>
      </c>
      <c r="BC130" s="45">
        <f t="shared" si="106"/>
        <v>64</v>
      </c>
      <c r="BD130" s="2" t="str">
        <f>IFERROR(VLOOKUP(BI143,اسماء,32,0),"")</f>
        <v/>
      </c>
      <c r="BE130" s="45">
        <f t="shared" si="107"/>
        <v>160</v>
      </c>
      <c r="BF130" s="48">
        <f t="shared" si="108"/>
        <v>64</v>
      </c>
      <c r="BG130" s="2">
        <f t="shared" si="109"/>
        <v>0</v>
      </c>
      <c r="BH130" s="20"/>
      <c r="BI130" s="109" t="str">
        <f>IF(AZ132=0,"",IF(AZ132&lt;AY132*0.4,AW132,""))</f>
        <v/>
      </c>
      <c r="BJ130" s="159" t="str">
        <f>IF(AZ133=0,"",IF(AZ133&lt;AY133*0.4,AW133,""))</f>
        <v/>
      </c>
      <c r="BK130" s="160" t="str">
        <f>IF(AZ134=0,"",IF(AZ134&lt;AY134*0.4,AW134,""))</f>
        <v/>
      </c>
    </row>
    <row r="131" spans="1:63" ht="22.9" customHeight="1" thickBot="1" x14ac:dyDescent="0.3">
      <c r="A131" s="136" t="str">
        <f>ادخال1!$H$9</f>
        <v>الكتابة</v>
      </c>
      <c r="B131" s="149">
        <f>ادخال1!$H$7</f>
        <v>2</v>
      </c>
      <c r="C131" s="45">
        <f t="shared" si="86"/>
        <v>24</v>
      </c>
      <c r="D131" s="2">
        <f>IFERROR(VLOOKUP(M143,اسماء,7,0),"")</f>
        <v>14</v>
      </c>
      <c r="E131" s="47">
        <f t="shared" si="87"/>
        <v>24</v>
      </c>
      <c r="F131" s="2">
        <f>IFERROR(VLOOKUP(M143,اسماء,20,0),"")</f>
        <v>0</v>
      </c>
      <c r="G131" s="45">
        <f t="shared" si="88"/>
        <v>32</v>
      </c>
      <c r="H131" s="2">
        <f>IFERROR(VLOOKUP(M143,اسماء,33,0),"")</f>
        <v>0</v>
      </c>
      <c r="I131" s="45">
        <f t="shared" si="89"/>
        <v>80</v>
      </c>
      <c r="J131" s="48">
        <f t="shared" si="90"/>
        <v>32</v>
      </c>
      <c r="K131" s="2">
        <f t="shared" si="91"/>
        <v>14</v>
      </c>
      <c r="L131" s="20"/>
      <c r="M131" s="109" t="str">
        <f>IF(D135=0,"",IF(D135&lt;C135*0.4,A135,""))</f>
        <v/>
      </c>
      <c r="N131" s="109" t="str">
        <f>IF(D136=0,"",IF(D136&lt;C136*0.4,A136,""))</f>
        <v/>
      </c>
      <c r="O131" s="357"/>
      <c r="Q131" s="136" t="str">
        <f>ادخال1!$H$9</f>
        <v>الكتابة</v>
      </c>
      <c r="R131" s="149">
        <f>ادخال1!$H$7</f>
        <v>2</v>
      </c>
      <c r="S131" s="45">
        <f t="shared" si="92"/>
        <v>24</v>
      </c>
      <c r="T131" s="2">
        <f>IFERROR(VLOOKUP(AC143,اسماء,7,0),"")</f>
        <v>19</v>
      </c>
      <c r="U131" s="47">
        <f t="shared" si="93"/>
        <v>24</v>
      </c>
      <c r="V131" s="2">
        <f>IFERROR(VLOOKUP(AC143,اسماء,20,0),"")</f>
        <v>0</v>
      </c>
      <c r="W131" s="45">
        <f t="shared" si="94"/>
        <v>32</v>
      </c>
      <c r="X131" s="2">
        <f>IFERROR(VLOOKUP(AC143,اسماء,33,0),"")</f>
        <v>0</v>
      </c>
      <c r="Y131" s="45">
        <f t="shared" si="95"/>
        <v>80</v>
      </c>
      <c r="Z131" s="48">
        <f t="shared" si="96"/>
        <v>32</v>
      </c>
      <c r="AA131" s="2">
        <f t="shared" si="97"/>
        <v>19</v>
      </c>
      <c r="AB131" s="20"/>
      <c r="AC131" s="109" t="str">
        <f>IF(T135=0,"",IF(T135&lt;S135*0.4,Q135,""))</f>
        <v/>
      </c>
      <c r="AD131" s="109" t="str">
        <f>IF(T136=0,"",IF(T136&lt;S136*0.4,Q136,""))</f>
        <v/>
      </c>
      <c r="AE131" s="357"/>
      <c r="AG131" s="136" t="str">
        <f>ادخال1!$H$9</f>
        <v>الكتابة</v>
      </c>
      <c r="AH131" s="149">
        <f>ادخال1!$H$7</f>
        <v>2</v>
      </c>
      <c r="AI131" s="45">
        <f t="shared" si="98"/>
        <v>24</v>
      </c>
      <c r="AJ131" s="2">
        <f>IFERROR(VLOOKUP(AS143,اسماء,7,0),"")</f>
        <v>15</v>
      </c>
      <c r="AK131" s="47">
        <f t="shared" si="99"/>
        <v>24</v>
      </c>
      <c r="AL131" s="2">
        <f>IFERROR(VLOOKUP(AS143,اسماء,20,0),"")</f>
        <v>0</v>
      </c>
      <c r="AM131" s="45">
        <f t="shared" si="100"/>
        <v>32</v>
      </c>
      <c r="AN131" s="2">
        <f>IFERROR(VLOOKUP(AS143,اسماء,33,0),"")</f>
        <v>0</v>
      </c>
      <c r="AO131" s="45">
        <f t="shared" si="101"/>
        <v>80</v>
      </c>
      <c r="AP131" s="48">
        <f t="shared" si="102"/>
        <v>32</v>
      </c>
      <c r="AQ131" s="2">
        <f t="shared" si="103"/>
        <v>15</v>
      </c>
      <c r="AR131" s="20"/>
      <c r="AS131" s="109" t="str">
        <f>IF(AJ135=0,"",IF(AJ135&lt;AI135*0.4,AG135,""))</f>
        <v/>
      </c>
      <c r="AT131" s="109" t="str">
        <f>IF(AJ136=0,"",IF(AJ136&lt;AI136*0.4,AG136,""))</f>
        <v/>
      </c>
      <c r="AU131" s="357"/>
      <c r="AW131" s="136" t="str">
        <f>ادخال1!$H$9</f>
        <v>الكتابة</v>
      </c>
      <c r="AX131" s="149">
        <f>ادخال1!$H$7</f>
        <v>2</v>
      </c>
      <c r="AY131" s="45">
        <f t="shared" si="104"/>
        <v>24</v>
      </c>
      <c r="AZ131" s="2" t="str">
        <f>IFERROR(VLOOKUP(BI143,اسماء,7,0),"")</f>
        <v/>
      </c>
      <c r="BA131" s="47">
        <f t="shared" si="105"/>
        <v>24</v>
      </c>
      <c r="BB131" s="2" t="str">
        <f>IFERROR(VLOOKUP(BI143,اسماء,20,0),"")</f>
        <v/>
      </c>
      <c r="BC131" s="45">
        <f t="shared" si="106"/>
        <v>32</v>
      </c>
      <c r="BD131" s="2" t="str">
        <f>IFERROR(VLOOKUP(BI143,اسماء,33,0),"")</f>
        <v/>
      </c>
      <c r="BE131" s="45">
        <f t="shared" si="107"/>
        <v>80</v>
      </c>
      <c r="BF131" s="48">
        <f t="shared" si="108"/>
        <v>32</v>
      </c>
      <c r="BG131" s="2">
        <f t="shared" si="109"/>
        <v>0</v>
      </c>
      <c r="BH131" s="20"/>
      <c r="BI131" s="109" t="str">
        <f>IF(AZ135=0,"",IF(AZ135&lt;AY135*0.4,AW135,""))</f>
        <v/>
      </c>
      <c r="BJ131" s="109" t="str">
        <f>IF(AZ136=0,"",IF(AZ136&lt;AY136*0.4,AW136,""))</f>
        <v/>
      </c>
      <c r="BK131" s="357"/>
    </row>
    <row r="132" spans="1:63" ht="22.9" customHeight="1" x14ac:dyDescent="0.25">
      <c r="A132" s="136" t="str">
        <f>ادخال1!$I$9</f>
        <v>اللغة الإنجليزية</v>
      </c>
      <c r="B132" s="149">
        <f>ادخال1!$I$7</f>
        <v>3</v>
      </c>
      <c r="C132" s="45">
        <f>40*B132*0.3</f>
        <v>36</v>
      </c>
      <c r="D132" s="2">
        <f>IFERROR(VLOOKUP(M143,اسماء,8,0),"")</f>
        <v>24</v>
      </c>
      <c r="E132" s="47">
        <f>40*B132*0.3</f>
        <v>36</v>
      </c>
      <c r="F132" s="2">
        <f>IFERROR(VLOOKUP(M143,اسماء,21,0),"")</f>
        <v>0</v>
      </c>
      <c r="G132" s="45">
        <f>40*B132*0.4</f>
        <v>48</v>
      </c>
      <c r="H132" s="2">
        <f>IFERROR(VLOOKUP(M143,اسماء,34,0),"")</f>
        <v>0</v>
      </c>
      <c r="I132" s="45">
        <f>SUM(C132,E132,G132)</f>
        <v>120</v>
      </c>
      <c r="J132" s="48">
        <f>0.4*I132</f>
        <v>48</v>
      </c>
      <c r="K132" s="2">
        <f>SUM(D132,F132,H132)</f>
        <v>24</v>
      </c>
      <c r="L132" s="20"/>
      <c r="M132" s="108" t="s">
        <v>83</v>
      </c>
      <c r="N132" s="489" t="str">
        <f>IF(F137=0,"",IF(AND(F129&gt;=E129*0.4,F130&gt;=E130*0.4,F132&gt;=E132*0.4,F134&gt;=E134*0.4,F135&gt;=E135*0.4),LOOKUP(F137,'الصحيفة النهائية'!$BO$18:$BP$22),"ضعيف ويحتاج الى اهتمام في المواد"))</f>
        <v/>
      </c>
      <c r="O132" s="490"/>
      <c r="Q132" s="136" t="str">
        <f>ادخال1!$I$9</f>
        <v>اللغة الإنجليزية</v>
      </c>
      <c r="R132" s="149">
        <f>ادخال1!$I$7</f>
        <v>3</v>
      </c>
      <c r="S132" s="45">
        <f>40*R132*0.3</f>
        <v>36</v>
      </c>
      <c r="T132" s="2">
        <f>IFERROR(VLOOKUP(AC143,اسماء,8,0),"")</f>
        <v>31</v>
      </c>
      <c r="U132" s="47">
        <f>40*R132*0.3</f>
        <v>36</v>
      </c>
      <c r="V132" s="2">
        <f>IFERROR(VLOOKUP(AC143,اسماء,21,0),"")</f>
        <v>0</v>
      </c>
      <c r="W132" s="45">
        <f>40*R132*0.4</f>
        <v>48</v>
      </c>
      <c r="X132" s="2">
        <f>IFERROR(VLOOKUP(AC143,اسماء,34,0),"")</f>
        <v>0</v>
      </c>
      <c r="Y132" s="45">
        <f>SUM(S132,U132,W132)</f>
        <v>120</v>
      </c>
      <c r="Z132" s="48">
        <f>0.4*Y132</f>
        <v>48</v>
      </c>
      <c r="AA132" s="2">
        <f>SUM(T132,V132,X132)</f>
        <v>31</v>
      </c>
      <c r="AB132" s="20"/>
      <c r="AC132" s="108" t="s">
        <v>83</v>
      </c>
      <c r="AD132" s="489" t="str">
        <f>IF(V137=0,"",IF(AND(V129&gt;=U129*0.4,V130&gt;=U130*0.4,V132&gt;=U132*0.4,V134&gt;=U134*0.4,V135&gt;=U135*0.4),LOOKUP(V137,'الصحيفة النهائية'!$BO$18:$BP$22),"ضعيف ويحتاج الى اهتمام في المواد"))</f>
        <v/>
      </c>
      <c r="AE132" s="490"/>
      <c r="AG132" s="136" t="str">
        <f>ادخال1!$I$9</f>
        <v>اللغة الإنجليزية</v>
      </c>
      <c r="AH132" s="149">
        <f>ادخال1!$I$7</f>
        <v>3</v>
      </c>
      <c r="AI132" s="45">
        <f>40*AH132*0.3</f>
        <v>36</v>
      </c>
      <c r="AJ132" s="2">
        <f>IFERROR(VLOOKUP(AS143,اسماء,8,0),"")</f>
        <v>31</v>
      </c>
      <c r="AK132" s="47">
        <f>40*AH132*0.3</f>
        <v>36</v>
      </c>
      <c r="AL132" s="2">
        <f>IFERROR(VLOOKUP(AS143,اسماء,21,0),"")</f>
        <v>0</v>
      </c>
      <c r="AM132" s="45">
        <f>40*AH132*0.4</f>
        <v>48</v>
      </c>
      <c r="AN132" s="2">
        <f>IFERROR(VLOOKUP(AS143,اسماء,34,0),"")</f>
        <v>0</v>
      </c>
      <c r="AO132" s="45">
        <f>SUM(AI132,AK132,AM132)</f>
        <v>120</v>
      </c>
      <c r="AP132" s="48">
        <f>0.4*AO132</f>
        <v>48</v>
      </c>
      <c r="AQ132" s="2">
        <f>SUM(AJ132,AL132,AN132)</f>
        <v>31</v>
      </c>
      <c r="AR132" s="20"/>
      <c r="AS132" s="108" t="s">
        <v>83</v>
      </c>
      <c r="AT132" s="489" t="str">
        <f>IF(AL137=0,"",IF(AND(AL129&gt;=AK129*0.4,AL130&gt;=AK130*0.4,AL132&gt;=AK132*0.4,AL134&gt;=AK134*0.4,AL135&gt;=AK135*0.4),LOOKUP(AL137,'الصحيفة النهائية'!$BO$18:$BP$22),"ضعيف ويحتاج الى اهتمام في المواد"))</f>
        <v/>
      </c>
      <c r="AU132" s="490"/>
      <c r="AW132" s="136" t="str">
        <f>ادخال1!$I$9</f>
        <v>اللغة الإنجليزية</v>
      </c>
      <c r="AX132" s="149">
        <f>ادخال1!$I$7</f>
        <v>3</v>
      </c>
      <c r="AY132" s="45">
        <f>40*AX132*0.3</f>
        <v>36</v>
      </c>
      <c r="AZ132" s="2" t="str">
        <f>IFERROR(VLOOKUP(BI143,اسماء,8,0),"")</f>
        <v/>
      </c>
      <c r="BA132" s="47">
        <f>40*AX132*0.3</f>
        <v>36</v>
      </c>
      <c r="BB132" s="2" t="str">
        <f>IFERROR(VLOOKUP(BI143,اسماء,21,0),"")</f>
        <v/>
      </c>
      <c r="BC132" s="45">
        <f>40*AX132*0.4</f>
        <v>48</v>
      </c>
      <c r="BD132" s="2" t="str">
        <f>IFERROR(VLOOKUP(BI143,اسماء,34,0),"")</f>
        <v/>
      </c>
      <c r="BE132" s="45">
        <f>SUM(AY132,BA132,BC132)</f>
        <v>120</v>
      </c>
      <c r="BF132" s="48">
        <f>0.4*BE132</f>
        <v>48</v>
      </c>
      <c r="BG132" s="2">
        <f>SUM(AZ132,BB132,BD132)</f>
        <v>0</v>
      </c>
      <c r="BH132" s="20"/>
      <c r="BI132" s="108" t="s">
        <v>83</v>
      </c>
      <c r="BJ132" s="489" t="str">
        <f>IF(BB137=0,"",IF(AND(BB129&gt;=BA129*0.4,BB130&gt;=BA130*0.4,BB132&gt;=BA132*0.4,BB134&gt;=BA134*0.4,BB135&gt;=BA135*0.4),LOOKUP(BB137,'الصحيفة النهائية'!$BO$18:$BP$22),"ضعيف ويحتاج الى اهتمام في المواد"))</f>
        <v/>
      </c>
      <c r="BK132" s="490"/>
    </row>
    <row r="133" spans="1:63" ht="22.9" customHeight="1" x14ac:dyDescent="0.25">
      <c r="A133" s="136" t="str">
        <f>ادخال1!$J$9</f>
        <v>الحاسوب</v>
      </c>
      <c r="B133" s="149">
        <f>ادخال1!$J$7</f>
        <v>1</v>
      </c>
      <c r="C133" s="45">
        <f>40*B133*0.3</f>
        <v>12</v>
      </c>
      <c r="D133" s="2">
        <f>IFERROR(VLOOKUP(M143,اسماء,9,0),"")</f>
        <v>9</v>
      </c>
      <c r="E133" s="47">
        <f>40*B133*0.3</f>
        <v>12</v>
      </c>
      <c r="F133" s="2">
        <f>IFERROR(VLOOKUP(M143,اسماء,22,0),"")</f>
        <v>0</v>
      </c>
      <c r="G133" s="45">
        <f>40*B133*0.4</f>
        <v>16</v>
      </c>
      <c r="H133" s="2">
        <f>IFERROR(VLOOKUP(M143,اسماء,35,0),"")</f>
        <v>0</v>
      </c>
      <c r="I133" s="45">
        <f>SUM(C133,E133,G133)</f>
        <v>40</v>
      </c>
      <c r="J133" s="48">
        <f>0.4*I133</f>
        <v>16</v>
      </c>
      <c r="K133" s="2">
        <f>SUM(D133,F133,H133)</f>
        <v>9</v>
      </c>
      <c r="L133" s="20"/>
      <c r="M133" s="109" t="str">
        <f>IF(F129=0,"",IF(F129&lt;E129*0.4,A129,""))</f>
        <v/>
      </c>
      <c r="N133" s="159" t="str">
        <f>IF(F130=0,"",IF(F130&lt;E130*0.4,A130,""))</f>
        <v/>
      </c>
      <c r="O133" s="160" t="str">
        <f>IF(F131=0,"",IF(F131&lt;E131*0.4,A131,""))</f>
        <v/>
      </c>
      <c r="Q133" s="136" t="str">
        <f>ادخال1!$J$9</f>
        <v>الحاسوب</v>
      </c>
      <c r="R133" s="149">
        <f>ادخال1!$J$7</f>
        <v>1</v>
      </c>
      <c r="S133" s="45">
        <f>40*R133*0.3</f>
        <v>12</v>
      </c>
      <c r="T133" s="2">
        <f>IFERROR(VLOOKUP(AC143,اسماء,9,0),"")</f>
        <v>10</v>
      </c>
      <c r="U133" s="47">
        <f>40*R133*0.3</f>
        <v>12</v>
      </c>
      <c r="V133" s="2">
        <f>IFERROR(VLOOKUP(AC143,اسماء,22,0),"")</f>
        <v>0</v>
      </c>
      <c r="W133" s="45">
        <f>40*R133*0.4</f>
        <v>16</v>
      </c>
      <c r="X133" s="2">
        <f>IFERROR(VLOOKUP(AC143,اسماء,35,0),"")</f>
        <v>0</v>
      </c>
      <c r="Y133" s="45">
        <f>SUM(S133,U133,W133)</f>
        <v>40</v>
      </c>
      <c r="Z133" s="48">
        <f>0.4*Y133</f>
        <v>16</v>
      </c>
      <c r="AA133" s="2">
        <f>SUM(T133,V133,X133)</f>
        <v>10</v>
      </c>
      <c r="AB133" s="20"/>
      <c r="AC133" s="109" t="str">
        <f>IF(V129=0,"",IF(V129&lt;U129*0.4,Q129,""))</f>
        <v/>
      </c>
      <c r="AD133" s="159" t="str">
        <f>IF(V130=0,"",IF(V130&lt;U130*0.4,Q130,""))</f>
        <v/>
      </c>
      <c r="AE133" s="160" t="str">
        <f>IF(V131=0,"",IF(V131&lt;U131*0.4,Q131,""))</f>
        <v/>
      </c>
      <c r="AG133" s="136" t="str">
        <f>ادخال1!$J$9</f>
        <v>الحاسوب</v>
      </c>
      <c r="AH133" s="149">
        <f>ادخال1!$J$7</f>
        <v>1</v>
      </c>
      <c r="AI133" s="45">
        <f>40*AH133*0.3</f>
        <v>12</v>
      </c>
      <c r="AJ133" s="2">
        <f>IFERROR(VLOOKUP(AS143,اسماء,9,0),"")</f>
        <v>10</v>
      </c>
      <c r="AK133" s="47">
        <f>40*AH133*0.3</f>
        <v>12</v>
      </c>
      <c r="AL133" s="2">
        <f>IFERROR(VLOOKUP(AS143,اسماء,22,0),"")</f>
        <v>0</v>
      </c>
      <c r="AM133" s="45">
        <f>40*AH133*0.4</f>
        <v>16</v>
      </c>
      <c r="AN133" s="2">
        <f>IFERROR(VLOOKUP(AS143,اسماء,35,0),"")</f>
        <v>0</v>
      </c>
      <c r="AO133" s="45">
        <f>SUM(AI133,AK133,AM133)</f>
        <v>40</v>
      </c>
      <c r="AP133" s="48">
        <f>0.4*AO133</f>
        <v>16</v>
      </c>
      <c r="AQ133" s="2">
        <f>SUM(AJ133,AL133,AN133)</f>
        <v>10</v>
      </c>
      <c r="AR133" s="20"/>
      <c r="AS133" s="109" t="str">
        <f>IF(AL129=0,"",IF(AL129&lt;AK129*0.4,AG129,""))</f>
        <v/>
      </c>
      <c r="AT133" s="159" t="str">
        <f>IF(AL130=0,"",IF(AL130&lt;AK130*0.4,AG130,""))</f>
        <v/>
      </c>
      <c r="AU133" s="160" t="str">
        <f>IF(AL131=0,"",IF(AL131&lt;AK131*0.4,AG131,""))</f>
        <v/>
      </c>
      <c r="AW133" s="136" t="str">
        <f>ادخال1!$J$9</f>
        <v>الحاسوب</v>
      </c>
      <c r="AX133" s="149">
        <f>ادخال1!$J$7</f>
        <v>1</v>
      </c>
      <c r="AY133" s="45">
        <f>40*AX133*0.3</f>
        <v>12</v>
      </c>
      <c r="AZ133" s="2" t="str">
        <f>IFERROR(VLOOKUP(BI143,اسماء,9,0),"")</f>
        <v/>
      </c>
      <c r="BA133" s="47">
        <f>40*AX133*0.3</f>
        <v>12</v>
      </c>
      <c r="BB133" s="2" t="str">
        <f>IFERROR(VLOOKUP(BI143,اسماء,22,0),"")</f>
        <v/>
      </c>
      <c r="BC133" s="45">
        <f>40*AX133*0.4</f>
        <v>16</v>
      </c>
      <c r="BD133" s="2" t="str">
        <f>IFERROR(VLOOKUP(BI143,اسماء,35,0),"")</f>
        <v/>
      </c>
      <c r="BE133" s="45">
        <f>SUM(AY133,BA133,BC133)</f>
        <v>40</v>
      </c>
      <c r="BF133" s="48">
        <f>0.4*BE133</f>
        <v>16</v>
      </c>
      <c r="BG133" s="2">
        <f>SUM(AZ133,BB133,BD133)</f>
        <v>0</v>
      </c>
      <c r="BH133" s="20"/>
      <c r="BI133" s="109" t="str">
        <f>IF(BB129=0,"",IF(BB129&lt;BA129*0.4,AW129,""))</f>
        <v/>
      </c>
      <c r="BJ133" s="159" t="str">
        <f>IF(BB130=0,"",IF(BB130&lt;BA130*0.4,AW130,""))</f>
        <v/>
      </c>
      <c r="BK133" s="160" t="str">
        <f>IF(BB131=0,"",IF(BB131&lt;BA131*0.4,AW131,""))</f>
        <v/>
      </c>
    </row>
    <row r="134" spans="1:63" ht="22.9" customHeight="1" x14ac:dyDescent="0.25">
      <c r="A134" s="136" t="str">
        <f>ادخال1!$K$9</f>
        <v>الرياضيات</v>
      </c>
      <c r="B134" s="149">
        <f>ادخال1!$K$7</f>
        <v>5</v>
      </c>
      <c r="C134" s="45">
        <f>40*B134*0.3</f>
        <v>60</v>
      </c>
      <c r="D134" s="2">
        <f>IFERROR(VLOOKUP(M143,اسماء,10,0),"")</f>
        <v>40</v>
      </c>
      <c r="E134" s="47">
        <f>40*B134*0.3</f>
        <v>60</v>
      </c>
      <c r="F134" s="2">
        <f>IFERROR(VLOOKUP(M143,اسماء,23,0),"")</f>
        <v>0</v>
      </c>
      <c r="G134" s="45">
        <f>40*B134*0.4</f>
        <v>80</v>
      </c>
      <c r="H134" s="2">
        <f>IFERROR(VLOOKUP(M143,اسماء,36,0),"")</f>
        <v>0</v>
      </c>
      <c r="I134" s="45">
        <f>SUM(C134,E134,G134)</f>
        <v>200</v>
      </c>
      <c r="J134" s="48">
        <f>0.4*I134</f>
        <v>80</v>
      </c>
      <c r="K134" s="2">
        <f>SUM(D134,F134,H134)</f>
        <v>40</v>
      </c>
      <c r="L134" s="20"/>
      <c r="M134" s="109" t="str">
        <f>IF(F132=0,"",IF(F132&lt;E132*0.4,A132,""))</f>
        <v/>
      </c>
      <c r="N134" s="159" t="str">
        <f>IF(F133=0,"",IF(F133&lt;E133*0.4,A133,""))</f>
        <v/>
      </c>
      <c r="O134" s="160" t="str">
        <f>IF(F134=0,"",IF(F134&lt;E134*0.4,A134,""))</f>
        <v/>
      </c>
      <c r="Q134" s="136" t="str">
        <f>ادخال1!$K$9</f>
        <v>الرياضيات</v>
      </c>
      <c r="R134" s="149">
        <f>ادخال1!$K$7</f>
        <v>5</v>
      </c>
      <c r="S134" s="45">
        <f>40*R134*0.3</f>
        <v>60</v>
      </c>
      <c r="T134" s="2">
        <f>IFERROR(VLOOKUP(AC143,اسماء,10,0),"")</f>
        <v>45</v>
      </c>
      <c r="U134" s="47">
        <f>40*R134*0.3</f>
        <v>60</v>
      </c>
      <c r="V134" s="2">
        <f>IFERROR(VLOOKUP(AC143,اسماء,23,0),"")</f>
        <v>0</v>
      </c>
      <c r="W134" s="45">
        <f>40*R134*0.4</f>
        <v>80</v>
      </c>
      <c r="X134" s="2">
        <f>IFERROR(VLOOKUP(AC143,اسماء,36,0),"")</f>
        <v>0</v>
      </c>
      <c r="Y134" s="45">
        <f>SUM(S134,U134,W134)</f>
        <v>200</v>
      </c>
      <c r="Z134" s="48">
        <f>0.4*Y134</f>
        <v>80</v>
      </c>
      <c r="AA134" s="2">
        <f>SUM(T134,V134,X134)</f>
        <v>45</v>
      </c>
      <c r="AB134" s="20"/>
      <c r="AC134" s="109" t="str">
        <f>IF(V132=0,"",IF(V132&lt;U132*0.4,Q132,""))</f>
        <v/>
      </c>
      <c r="AD134" s="159" t="str">
        <f>IF(V133=0,"",IF(V133&lt;U133*0.4,Q133,""))</f>
        <v/>
      </c>
      <c r="AE134" s="160" t="str">
        <f>IF(V134=0,"",IF(V134&lt;U134*0.4,Q134,""))</f>
        <v/>
      </c>
      <c r="AG134" s="136" t="str">
        <f>ادخال1!$K$9</f>
        <v>الرياضيات</v>
      </c>
      <c r="AH134" s="149">
        <f>ادخال1!$K$7</f>
        <v>5</v>
      </c>
      <c r="AI134" s="45">
        <f>40*AH134*0.3</f>
        <v>60</v>
      </c>
      <c r="AJ134" s="2">
        <f>IFERROR(VLOOKUP(AS143,اسماء,10,0),"")</f>
        <v>58</v>
      </c>
      <c r="AK134" s="47">
        <f>40*AH134*0.3</f>
        <v>60</v>
      </c>
      <c r="AL134" s="2">
        <f>IFERROR(VLOOKUP(AS143,اسماء,23,0),"")</f>
        <v>0</v>
      </c>
      <c r="AM134" s="45">
        <f>40*AH134*0.4</f>
        <v>80</v>
      </c>
      <c r="AN134" s="2">
        <f>IFERROR(VLOOKUP(AS143,اسماء,36,0),"")</f>
        <v>0</v>
      </c>
      <c r="AO134" s="45">
        <f>SUM(AI134,AK134,AM134)</f>
        <v>200</v>
      </c>
      <c r="AP134" s="48">
        <f>0.4*AO134</f>
        <v>80</v>
      </c>
      <c r="AQ134" s="2">
        <f>SUM(AJ134,AL134,AN134)</f>
        <v>58</v>
      </c>
      <c r="AR134" s="20"/>
      <c r="AS134" s="109" t="str">
        <f>IF(AL132=0,"",IF(AL132&lt;AK132*0.4,AG132,""))</f>
        <v/>
      </c>
      <c r="AT134" s="159" t="str">
        <f>IF(AL133=0,"",IF(AL133&lt;AK133*0.4,AG133,""))</f>
        <v/>
      </c>
      <c r="AU134" s="160" t="str">
        <f>IF(AL134=0,"",IF(AL134&lt;AK134*0.4,AG134,""))</f>
        <v/>
      </c>
      <c r="AW134" s="136" t="str">
        <f>ادخال1!$K$9</f>
        <v>الرياضيات</v>
      </c>
      <c r="AX134" s="149">
        <f>ادخال1!$K$7</f>
        <v>5</v>
      </c>
      <c r="AY134" s="45">
        <f>40*AX134*0.3</f>
        <v>60</v>
      </c>
      <c r="AZ134" s="2" t="str">
        <f>IFERROR(VLOOKUP(BI143,اسماء,10,0),"")</f>
        <v/>
      </c>
      <c r="BA134" s="47">
        <f>40*AX134*0.3</f>
        <v>60</v>
      </c>
      <c r="BB134" s="2" t="str">
        <f>IFERROR(VLOOKUP(BI143,اسماء,23,0),"")</f>
        <v/>
      </c>
      <c r="BC134" s="45">
        <f>40*AX134*0.4</f>
        <v>80</v>
      </c>
      <c r="BD134" s="2" t="str">
        <f>IFERROR(VLOOKUP(BI143,اسماء,36,0),"")</f>
        <v/>
      </c>
      <c r="BE134" s="45">
        <f>SUM(AY134,BA134,BC134)</f>
        <v>200</v>
      </c>
      <c r="BF134" s="48">
        <f>0.4*BE134</f>
        <v>80</v>
      </c>
      <c r="BG134" s="2">
        <f>SUM(AZ134,BB134,BD134)</f>
        <v>0</v>
      </c>
      <c r="BH134" s="20"/>
      <c r="BI134" s="109" t="str">
        <f>IF(BB132=0,"",IF(BB132&lt;BA132*0.4,AW132,""))</f>
        <v/>
      </c>
      <c r="BJ134" s="159" t="str">
        <f>IF(BB133=0,"",IF(BB133&lt;BA133*0.4,AW133,""))</f>
        <v/>
      </c>
      <c r="BK134" s="160" t="str">
        <f>IF(BB134=0,"",IF(BB134&lt;BA134*0.4,AW134,""))</f>
        <v/>
      </c>
    </row>
    <row r="135" spans="1:63" ht="30" customHeight="1" x14ac:dyDescent="0.25">
      <c r="A135" s="116" t="str">
        <f>ادخال1!$L$9</f>
        <v>العلوم</v>
      </c>
      <c r="B135" s="150">
        <f>ادخال1!$L$7</f>
        <v>3</v>
      </c>
      <c r="C135" s="45">
        <f>40*B135*0.3</f>
        <v>36</v>
      </c>
      <c r="D135" s="2">
        <f>IFERROR(VLOOKUP(M143,اسماء,11,0),"")</f>
        <v>33</v>
      </c>
      <c r="E135" s="47">
        <f>40*B135*0.3</f>
        <v>36</v>
      </c>
      <c r="F135" s="2">
        <f>IFERROR(VLOOKUP(M143,اسماء,24,0),"")</f>
        <v>0</v>
      </c>
      <c r="G135" s="45">
        <f>40*B135*0.4</f>
        <v>48</v>
      </c>
      <c r="H135" s="2">
        <f>IFERROR(VLOOKUP(M143,اسماء,37,0),"")</f>
        <v>0</v>
      </c>
      <c r="I135" s="45">
        <f>SUM(C135,E135,G135)</f>
        <v>120</v>
      </c>
      <c r="J135" s="48">
        <f>0.4*I135</f>
        <v>48</v>
      </c>
      <c r="K135" s="2">
        <f>SUM(D135,F135,H135)</f>
        <v>33</v>
      </c>
      <c r="L135" s="20"/>
      <c r="M135" s="109" t="str">
        <f>IF(F135=0,"",IF(F135&lt;E135*0.4,A135,""))</f>
        <v/>
      </c>
      <c r="N135" s="109" t="str">
        <f>IF(F136=0,"",IF(F136&lt;E136*0.4,A136,""))</f>
        <v/>
      </c>
      <c r="O135" s="357"/>
      <c r="Q135" s="116" t="str">
        <f>ادخال1!$L$9</f>
        <v>العلوم</v>
      </c>
      <c r="R135" s="150">
        <f>ادخال1!$L$7</f>
        <v>3</v>
      </c>
      <c r="S135" s="45">
        <f>40*R135*0.3</f>
        <v>36</v>
      </c>
      <c r="T135" s="2">
        <f>IFERROR(VLOOKUP(AC143,اسماء,11,0),"")</f>
        <v>35</v>
      </c>
      <c r="U135" s="47">
        <f>40*R135*0.3</f>
        <v>36</v>
      </c>
      <c r="V135" s="2">
        <f>IFERROR(VLOOKUP(AC143,اسماء,24,0),"")</f>
        <v>0</v>
      </c>
      <c r="W135" s="45">
        <f>40*R135*0.4</f>
        <v>48</v>
      </c>
      <c r="X135" s="2">
        <f>IFERROR(VLOOKUP(AC143,اسماء,37,0),"")</f>
        <v>0</v>
      </c>
      <c r="Y135" s="45">
        <f>SUM(S135,U135,W135)</f>
        <v>120</v>
      </c>
      <c r="Z135" s="48">
        <f>0.4*Y135</f>
        <v>48</v>
      </c>
      <c r="AA135" s="2">
        <f>SUM(T135,V135,X135)</f>
        <v>35</v>
      </c>
      <c r="AB135" s="20"/>
      <c r="AC135" s="109" t="str">
        <f>IF(V135=0,"",IF(V135&lt;U135*0.4,Q135,""))</f>
        <v/>
      </c>
      <c r="AD135" s="109" t="str">
        <f>IF(V136=0,"",IF(V136&lt;U136*0.4,Q136,""))</f>
        <v/>
      </c>
      <c r="AE135" s="357"/>
      <c r="AF135" s="69"/>
      <c r="AG135" s="116" t="str">
        <f>ادخال1!$L$9</f>
        <v>العلوم</v>
      </c>
      <c r="AH135" s="150">
        <f>ادخال1!$L$7</f>
        <v>3</v>
      </c>
      <c r="AI135" s="45">
        <f>40*AH135*0.3</f>
        <v>36</v>
      </c>
      <c r="AJ135" s="2">
        <f>IFERROR(VLOOKUP(AS143,اسماء,11,0),"")</f>
        <v>36</v>
      </c>
      <c r="AK135" s="47">
        <f>40*AH135*0.3</f>
        <v>36</v>
      </c>
      <c r="AL135" s="2">
        <f>IFERROR(VLOOKUP(AS143,اسماء,24,0),"")</f>
        <v>0</v>
      </c>
      <c r="AM135" s="45">
        <f>40*AH135*0.4</f>
        <v>48</v>
      </c>
      <c r="AN135" s="2">
        <f>IFERROR(VLOOKUP(AS143,اسماء,37,0),"")</f>
        <v>0</v>
      </c>
      <c r="AO135" s="45">
        <f>SUM(AI135,AK135,AM135)</f>
        <v>120</v>
      </c>
      <c r="AP135" s="48">
        <f>0.4*AO135</f>
        <v>48</v>
      </c>
      <c r="AQ135" s="2">
        <f>SUM(AJ135,AL135,AN135)</f>
        <v>36</v>
      </c>
      <c r="AR135" s="20"/>
      <c r="AS135" s="109" t="str">
        <f>IF(AL135=0,"",IF(AL135&lt;AK135*0.4,AG135,""))</f>
        <v/>
      </c>
      <c r="AT135" s="109" t="str">
        <f>IF(AL136=0,"",IF(AL136&lt;AK136*0.4,AG136,""))</f>
        <v/>
      </c>
      <c r="AU135" s="357"/>
      <c r="AW135" s="116" t="str">
        <f>ادخال1!$L$9</f>
        <v>العلوم</v>
      </c>
      <c r="AX135" s="150">
        <f>ادخال1!$L$7</f>
        <v>3</v>
      </c>
      <c r="AY135" s="45">
        <f>40*AX135*0.3</f>
        <v>36</v>
      </c>
      <c r="AZ135" s="2" t="str">
        <f>IFERROR(VLOOKUP(BI143,اسماء,11,0),"")</f>
        <v/>
      </c>
      <c r="BA135" s="47">
        <f>40*AX135*0.3</f>
        <v>36</v>
      </c>
      <c r="BB135" s="2" t="str">
        <f>IFERROR(VLOOKUP(BI143,اسماء,24,0),"")</f>
        <v/>
      </c>
      <c r="BC135" s="45">
        <f>40*AX135*0.4</f>
        <v>48</v>
      </c>
      <c r="BD135" s="2" t="str">
        <f>IFERROR(VLOOKUP(BI143,اسماء,37,0),"")</f>
        <v/>
      </c>
      <c r="BE135" s="45">
        <f>SUM(AY135,BA135,BC135)</f>
        <v>120</v>
      </c>
      <c r="BF135" s="48">
        <f>0.4*BE135</f>
        <v>48</v>
      </c>
      <c r="BG135" s="2">
        <f>SUM(AZ135,BB135,BD135)</f>
        <v>0</v>
      </c>
      <c r="BH135" s="20"/>
      <c r="BI135" s="109" t="str">
        <f>IF(BB135=0,"",IF(BB135&lt;BA135*0.4,AW135,""))</f>
        <v/>
      </c>
      <c r="BJ135" s="109" t="str">
        <f>IF(BB136=0,"",IF(BB136&lt;BA136*0.4,AW136,""))</f>
        <v/>
      </c>
      <c r="BK135" s="357"/>
    </row>
    <row r="136" spans="1:63" ht="30" customHeight="1" thickBot="1" x14ac:dyDescent="0.3">
      <c r="A136" s="116" t="str">
        <f>ادخال1!$M$9</f>
        <v>الاجتماعيات</v>
      </c>
      <c r="B136" s="150">
        <f>ادخال1!$M$7</f>
        <v>2</v>
      </c>
      <c r="C136" s="45">
        <f>40*B136*0.3</f>
        <v>24</v>
      </c>
      <c r="D136" s="2">
        <f>IFERROR(VLOOKUP(M143,اسماء,12,0),"")</f>
        <v>15</v>
      </c>
      <c r="E136" s="47">
        <f>40*B136*0.3</f>
        <v>24</v>
      </c>
      <c r="F136" s="2">
        <f>IFERROR(VLOOKUP(M143,اسماء,25,0),"")</f>
        <v>0</v>
      </c>
      <c r="G136" s="45">
        <f>40*B136*0.4</f>
        <v>32</v>
      </c>
      <c r="H136" s="2">
        <f>IFERROR(VLOOKUP(M143,اسماء,38,0),"")</f>
        <v>0</v>
      </c>
      <c r="I136" s="45">
        <f>SUM(C136,E136,G136)</f>
        <v>80</v>
      </c>
      <c r="J136" s="48">
        <f>0.4*I136</f>
        <v>32</v>
      </c>
      <c r="K136" s="2">
        <f>SUM(D136,F136,H136)</f>
        <v>15</v>
      </c>
      <c r="L136" s="20"/>
      <c r="M136" s="291"/>
      <c r="N136" s="364"/>
      <c r="O136" s="365"/>
      <c r="Q136" s="116" t="str">
        <f>ادخال1!$M$9</f>
        <v>الاجتماعيات</v>
      </c>
      <c r="R136" s="150">
        <f>ادخال1!$M$7</f>
        <v>2</v>
      </c>
      <c r="S136" s="45">
        <f>40*R136*0.3</f>
        <v>24</v>
      </c>
      <c r="T136" s="2">
        <f>IFERROR(VLOOKUP(AC143,اسماء,12,0),"")</f>
        <v>24</v>
      </c>
      <c r="U136" s="47">
        <f>40*R136*0.3</f>
        <v>24</v>
      </c>
      <c r="V136" s="2">
        <f>IFERROR(VLOOKUP(AC143,اسماء,25,0),"")</f>
        <v>0</v>
      </c>
      <c r="W136" s="45">
        <f>40*R136*0.4</f>
        <v>32</v>
      </c>
      <c r="X136" s="2">
        <f>IFERROR(VLOOKUP(AC143,اسماء,38,0),"")</f>
        <v>0</v>
      </c>
      <c r="Y136" s="45">
        <f>SUM(S136,U136,W136)</f>
        <v>80</v>
      </c>
      <c r="Z136" s="48">
        <f>0.4*Y136</f>
        <v>32</v>
      </c>
      <c r="AA136" s="2">
        <f>SUM(T136,V136,X136)</f>
        <v>24</v>
      </c>
      <c r="AB136" s="20"/>
      <c r="AC136" s="291"/>
      <c r="AD136" s="364"/>
      <c r="AE136" s="365"/>
      <c r="AF136" s="69"/>
      <c r="AG136" s="116" t="str">
        <f>ادخال1!$M$9</f>
        <v>الاجتماعيات</v>
      </c>
      <c r="AH136" s="150">
        <f>ادخال1!$M$7</f>
        <v>2</v>
      </c>
      <c r="AI136" s="45">
        <f>40*AH136*0.3</f>
        <v>24</v>
      </c>
      <c r="AJ136" s="2">
        <f>IFERROR(VLOOKUP(AS143,اسماء,12,0),"")</f>
        <v>20</v>
      </c>
      <c r="AK136" s="47">
        <f>40*AH136*0.3</f>
        <v>24</v>
      </c>
      <c r="AL136" s="2">
        <f>IFERROR(VLOOKUP(AS143,اسماء,25,0),"")</f>
        <v>0</v>
      </c>
      <c r="AM136" s="45">
        <f>40*AH136*0.4</f>
        <v>32</v>
      </c>
      <c r="AN136" s="2">
        <f>IFERROR(VLOOKUP(AS143,اسماء,38,0),"")</f>
        <v>0</v>
      </c>
      <c r="AO136" s="45">
        <f>SUM(AI136,AK136,AM136)</f>
        <v>80</v>
      </c>
      <c r="AP136" s="48">
        <f>0.4*AO136</f>
        <v>32</v>
      </c>
      <c r="AQ136" s="2">
        <f>SUM(AJ136,AL136,AN136)</f>
        <v>20</v>
      </c>
      <c r="AR136" s="20"/>
      <c r="AS136" s="291"/>
      <c r="AT136" s="364"/>
      <c r="AU136" s="365"/>
      <c r="AW136" s="116" t="str">
        <f>ادخال1!$M$9</f>
        <v>الاجتماعيات</v>
      </c>
      <c r="AX136" s="150">
        <f>ادخال1!$M$7</f>
        <v>2</v>
      </c>
      <c r="AY136" s="45">
        <f>40*AX136*0.3</f>
        <v>24</v>
      </c>
      <c r="AZ136" s="2" t="str">
        <f>IFERROR(VLOOKUP(BI143,اسماء,12,0),"")</f>
        <v/>
      </c>
      <c r="BA136" s="47">
        <f>40*AX136*0.3</f>
        <v>24</v>
      </c>
      <c r="BB136" s="2" t="str">
        <f>IFERROR(VLOOKUP(BI143,اسماء,25,0),"")</f>
        <v/>
      </c>
      <c r="BC136" s="45">
        <f>40*AX136*0.4</f>
        <v>32</v>
      </c>
      <c r="BD136" s="2" t="str">
        <f>IFERROR(VLOOKUP(BI143,اسماء,38,0),"")</f>
        <v/>
      </c>
      <c r="BE136" s="45">
        <f>SUM(AY136,BA136,BC136)</f>
        <v>80</v>
      </c>
      <c r="BF136" s="48">
        <f>0.4*BE136</f>
        <v>32</v>
      </c>
      <c r="BG136" s="2">
        <f>SUM(AZ136,BB136,BD136)</f>
        <v>0</v>
      </c>
      <c r="BH136" s="20"/>
      <c r="BI136" s="291"/>
      <c r="BJ136" s="364"/>
      <c r="BK136" s="365"/>
    </row>
    <row r="137" spans="1:63" ht="24.95" customHeight="1" thickBot="1" x14ac:dyDescent="0.3">
      <c r="A137" s="62" t="s">
        <v>57</v>
      </c>
      <c r="B137" s="151"/>
      <c r="C137" s="46">
        <f t="shared" ref="C137:I137" si="110">SUM(C129:C135)</f>
        <v>252</v>
      </c>
      <c r="D137" s="117">
        <f t="shared" si="110"/>
        <v>171</v>
      </c>
      <c r="E137" s="46">
        <f t="shared" si="110"/>
        <v>252</v>
      </c>
      <c r="F137" s="117">
        <f t="shared" si="110"/>
        <v>0</v>
      </c>
      <c r="G137" s="46">
        <f t="shared" si="110"/>
        <v>336</v>
      </c>
      <c r="H137" s="33">
        <f t="shared" si="110"/>
        <v>0</v>
      </c>
      <c r="I137" s="46">
        <f t="shared" si="110"/>
        <v>840</v>
      </c>
      <c r="J137" s="49"/>
      <c r="K137" s="3">
        <f>IF(AND(K129&gt;=J129,K130&gt;=J130,K132&gt;=J132,K134&gt;=J134,K135&gt;=J135),SUM(K129:K135),0)</f>
        <v>0</v>
      </c>
      <c r="L137" s="20"/>
      <c r="M137" s="360" t="s">
        <v>157</v>
      </c>
      <c r="N137" s="569" t="str">
        <f>IF(K137=0,"",IF(AND(K129&gt;=I129*0.4,K130&gt;=I130*0.4,K131&gt;=I131*0.4,K132&gt;=I132*0.4,K133&gt;=I133*0.4,K134&gt;=I134*0.4,K135&gt;=I135*0.4),LOOKUP(K137,$BO$10:$BP$15),"له دور ثان في "))</f>
        <v/>
      </c>
      <c r="O137" s="570"/>
      <c r="Q137" s="62" t="s">
        <v>57</v>
      </c>
      <c r="R137" s="151"/>
      <c r="S137" s="46">
        <f t="shared" ref="S137:Y137" si="111">SUM(S129:S135)</f>
        <v>252</v>
      </c>
      <c r="T137" s="117">
        <f t="shared" si="111"/>
        <v>214</v>
      </c>
      <c r="U137" s="46">
        <f t="shared" si="111"/>
        <v>252</v>
      </c>
      <c r="V137" s="117">
        <f t="shared" si="111"/>
        <v>0</v>
      </c>
      <c r="W137" s="46">
        <f t="shared" si="111"/>
        <v>336</v>
      </c>
      <c r="X137" s="33">
        <f t="shared" si="111"/>
        <v>0</v>
      </c>
      <c r="Y137" s="46">
        <f t="shared" si="111"/>
        <v>840</v>
      </c>
      <c r="Z137" s="49"/>
      <c r="AA137" s="3">
        <f>IF(AND(AA129&gt;=Z129,AA130&gt;=Z130,AA132&gt;=Z132,AA134&gt;=Z134,AA135&gt;=Z135),SUM(AA129:AA135),0)</f>
        <v>0</v>
      </c>
      <c r="AB137" s="20"/>
      <c r="AC137" s="360" t="s">
        <v>157</v>
      </c>
      <c r="AD137" s="569" t="str">
        <f>IF(AA137=0,"",IF(AND(AA129&gt;=Y129*0.4,AA130&gt;=Y130*0.4,AA131&gt;=Y131*0.4,AA132&gt;=Y132*0.4,AA133&gt;=Y133*0.4,AA134&gt;=Y134*0.4,AA135&gt;=Y135*0.4),LOOKUP(AA137,$BO$10:$BP$15),"له دور ثان في "))</f>
        <v/>
      </c>
      <c r="AE137" s="570"/>
      <c r="AF137" s="69"/>
      <c r="AG137" s="62" t="s">
        <v>57</v>
      </c>
      <c r="AH137" s="151"/>
      <c r="AI137" s="46">
        <f t="shared" ref="AI137:AO137" si="112">SUM(AI129:AI135)</f>
        <v>252</v>
      </c>
      <c r="AJ137" s="117">
        <f t="shared" si="112"/>
        <v>212</v>
      </c>
      <c r="AK137" s="46">
        <f t="shared" si="112"/>
        <v>252</v>
      </c>
      <c r="AL137" s="117">
        <f t="shared" si="112"/>
        <v>0</v>
      </c>
      <c r="AM137" s="46">
        <f t="shared" si="112"/>
        <v>336</v>
      </c>
      <c r="AN137" s="33">
        <f t="shared" si="112"/>
        <v>0</v>
      </c>
      <c r="AO137" s="46">
        <f t="shared" si="112"/>
        <v>840</v>
      </c>
      <c r="AP137" s="49"/>
      <c r="AQ137" s="3">
        <f>IF(AND(AQ129&gt;=AP129,AQ130&gt;=AP130,AQ132&gt;=AP132,AQ134&gt;=AP134,AQ135&gt;=AP135),SUM(AQ129:AQ135),0)</f>
        <v>0</v>
      </c>
      <c r="AR137" s="20"/>
      <c r="AS137" s="360" t="s">
        <v>157</v>
      </c>
      <c r="AT137" s="569" t="str">
        <f>IF(AQ137=0,"",IF(AND(AQ129&gt;=AO129*0.4,AQ130&gt;=AO130*0.4,AQ131&gt;=AO131*0.4,AQ132&gt;=AO132*0.4,AQ133&gt;=AO133*0.4,AQ134&gt;=AO134*0.4,AQ135&gt;=AO135*0.4),LOOKUP(AQ137,$BO$10:$BP$15),"له دور ثان في "))</f>
        <v/>
      </c>
      <c r="AU137" s="570"/>
      <c r="AV137" s="69"/>
      <c r="AW137" s="62" t="s">
        <v>57</v>
      </c>
      <c r="AX137" s="151"/>
      <c r="AY137" s="46">
        <f t="shared" ref="AY137:BE137" si="113">SUM(AY129:AY135)</f>
        <v>252</v>
      </c>
      <c r="AZ137" s="117">
        <f t="shared" si="113"/>
        <v>0</v>
      </c>
      <c r="BA137" s="46">
        <f t="shared" si="113"/>
        <v>252</v>
      </c>
      <c r="BB137" s="117">
        <f t="shared" si="113"/>
        <v>0</v>
      </c>
      <c r="BC137" s="46">
        <f t="shared" si="113"/>
        <v>336</v>
      </c>
      <c r="BD137" s="33">
        <f t="shared" si="113"/>
        <v>0</v>
      </c>
      <c r="BE137" s="46">
        <f t="shared" si="113"/>
        <v>840</v>
      </c>
      <c r="BF137" s="49"/>
      <c r="BG137" s="3">
        <f>IF(AND(BG129&gt;=BF129,BG130&gt;=BF130,BG132&gt;=BF132,BG134&gt;=BF134,BG135&gt;=BF135),SUM(BG129:BG135),0)</f>
        <v>0</v>
      </c>
      <c r="BH137" s="20"/>
      <c r="BI137" s="360" t="s">
        <v>157</v>
      </c>
      <c r="BJ137" s="569" t="str">
        <f>IF(BG137=0,"",IF(AND(BG129&gt;=BE129*0.4,BG130&gt;=BE130*0.4,BG131&gt;=BE131*0.4,BG132&gt;=BE132*0.4,BG133&gt;=BE133*0.4,BG134&gt;=BE134*0.4,BG135&gt;=BE135*0.4),LOOKUP(BG137,$BO$10:$BP$15),"له دور ثان في "))</f>
        <v/>
      </c>
      <c r="BK137" s="570"/>
    </row>
    <row r="138" spans="1:63" ht="24.95" customHeight="1" thickBot="1" x14ac:dyDescent="0.3">
      <c r="A138" s="571" t="s">
        <v>120</v>
      </c>
      <c r="B138" s="572"/>
      <c r="C138" s="573"/>
      <c r="D138" s="573"/>
      <c r="E138" s="573"/>
      <c r="F138" s="573"/>
      <c r="G138" s="573"/>
      <c r="H138" s="358"/>
      <c r="I138" s="359"/>
      <c r="J138" s="574"/>
      <c r="K138" s="574"/>
      <c r="L138" s="34"/>
      <c r="M138" s="109" t="str">
        <f>IF(K129=0,"",IF(K129&lt;I129*0.4,A129,""))</f>
        <v>التربية الإسلامية</v>
      </c>
      <c r="N138" s="159" t="str">
        <f>IF(K130=0,"",IF(K130&lt;I130*0.4,A130,""))</f>
        <v>اللغة العربية</v>
      </c>
      <c r="O138" s="160" t="str">
        <f>IF(K131=0,"",IF(K131&lt;I131*0.4,A131,""))</f>
        <v>الكتابة</v>
      </c>
      <c r="P138" s="69"/>
      <c r="Q138" s="571" t="s">
        <v>120</v>
      </c>
      <c r="R138" s="572"/>
      <c r="S138" s="573"/>
      <c r="T138" s="573"/>
      <c r="U138" s="573"/>
      <c r="V138" s="573"/>
      <c r="W138" s="573"/>
      <c r="X138" s="358"/>
      <c r="Y138" s="359"/>
      <c r="Z138" s="574"/>
      <c r="AA138" s="574"/>
      <c r="AB138" s="34"/>
      <c r="AC138" s="109" t="str">
        <f>IF(AA129=0,"",IF(AA129&lt;Y129*0.4,Q129,""))</f>
        <v>التربية الإسلامية</v>
      </c>
      <c r="AD138" s="159" t="str">
        <f>IF(AA130=0,"",IF(AA130&lt;Y130*0.4,Q130,""))</f>
        <v>اللغة العربية</v>
      </c>
      <c r="AE138" s="160" t="str">
        <f>IF(AA131=0,"",IF(AA131&lt;Y131*0.4,Q131,""))</f>
        <v>الكتابة</v>
      </c>
      <c r="AG138" s="571" t="s">
        <v>120</v>
      </c>
      <c r="AH138" s="572"/>
      <c r="AI138" s="573"/>
      <c r="AJ138" s="573"/>
      <c r="AK138" s="573"/>
      <c r="AL138" s="573"/>
      <c r="AM138" s="573"/>
      <c r="AN138" s="358"/>
      <c r="AO138" s="359"/>
      <c r="AP138" s="574"/>
      <c r="AQ138" s="574"/>
      <c r="AR138" s="34"/>
      <c r="AS138" s="109" t="str">
        <f>IF(AQ129=0,"",IF(AQ129&lt;AO129*0.4,AG129,""))</f>
        <v>التربية الإسلامية</v>
      </c>
      <c r="AT138" s="159" t="str">
        <f>IF(AQ130=0,"",IF(AQ130&lt;AO130*0.4,AG130,""))</f>
        <v>اللغة العربية</v>
      </c>
      <c r="AU138" s="160" t="str">
        <f>IF(AQ131=0,"",IF(AQ131&lt;AO131*0.4,AG131,""))</f>
        <v>الكتابة</v>
      </c>
      <c r="AW138" s="571" t="s">
        <v>120</v>
      </c>
      <c r="AX138" s="572"/>
      <c r="AY138" s="573"/>
      <c r="AZ138" s="573"/>
      <c r="BA138" s="573"/>
      <c r="BB138" s="573"/>
      <c r="BC138" s="573"/>
      <c r="BD138" s="358"/>
      <c r="BE138" s="359"/>
      <c r="BF138" s="574"/>
      <c r="BG138" s="574"/>
      <c r="BH138" s="34"/>
      <c r="BI138" s="109" t="str">
        <f>IF(BG129=0,"",IF(BG129&lt;BE129*0.4,AW129,""))</f>
        <v/>
      </c>
      <c r="BJ138" s="159" t="str">
        <f>IF(BG130=0,"",IF(BG130&lt;BE130*0.4,AW130,""))</f>
        <v/>
      </c>
      <c r="BK138" s="160" t="str">
        <f>IF(BG131=0,"",IF(BG131&lt;BE131*0.4,AW131,""))</f>
        <v/>
      </c>
    </row>
    <row r="139" spans="1:63" ht="24.95" customHeight="1" x14ac:dyDescent="0.25">
      <c r="A139" s="137" t="str">
        <f>ادخال1!$O$8</f>
        <v>التربية الفنية</v>
      </c>
      <c r="B139" s="152">
        <f>ادخال1!$O$7</f>
        <v>1</v>
      </c>
      <c r="C139" s="433" t="str">
        <f>IFERROR(VLOOKUP(M143,اسماء,14,0),"")</f>
        <v>جيد جداً</v>
      </c>
      <c r="D139" s="433"/>
      <c r="E139" s="433">
        <f>IFERROR(VLOOKUP(M143,اسماء,27,0),"")</f>
        <v>0</v>
      </c>
      <c r="F139" s="433"/>
      <c r="G139" s="433">
        <f>IFERROR(VLOOKUP(M143,اسماء,40,0),"")</f>
        <v>0</v>
      </c>
      <c r="H139" s="433"/>
      <c r="I139" s="443"/>
      <c r="J139" s="575"/>
      <c r="K139" s="487"/>
      <c r="L139" s="36"/>
      <c r="M139" s="109"/>
      <c r="N139" s="159" t="str">
        <f>IF(K133=0,"",IF(K133&lt;I133*0.4,A133,""))</f>
        <v>الحاسوب</v>
      </c>
      <c r="O139" s="160" t="str">
        <f>IF(K134=0,"",IF(K134&lt;I134*0.4,A134,""))</f>
        <v>الرياضيات</v>
      </c>
      <c r="P139" s="69"/>
      <c r="Q139" s="137" t="str">
        <f>ادخال1!$O$8</f>
        <v>التربية الفنية</v>
      </c>
      <c r="R139" s="152">
        <f>ادخال1!$O$7</f>
        <v>1</v>
      </c>
      <c r="S139" s="433" t="str">
        <f>IFERROR(VLOOKUP(AC143,اسماء,14,0),"")</f>
        <v>جيد جداً</v>
      </c>
      <c r="T139" s="433"/>
      <c r="U139" s="433">
        <f>IFERROR(VLOOKUP(AC143,اسماء,27,0),"")</f>
        <v>0</v>
      </c>
      <c r="V139" s="433"/>
      <c r="W139" s="433">
        <f>IFERROR(VLOOKUP(AC143,اسماء,40,0),"")</f>
        <v>0</v>
      </c>
      <c r="X139" s="433"/>
      <c r="Y139" s="443"/>
      <c r="Z139" s="575"/>
      <c r="AA139" s="487"/>
      <c r="AB139" s="36"/>
      <c r="AC139" s="109" t="str">
        <f>IF(AA132=0,"",IF(AA132&lt;Y132*0.4,Q132,""))</f>
        <v>اللغة الإنجليزية</v>
      </c>
      <c r="AD139" s="159" t="str">
        <f>IF(AA133=0,"",IF(AA133&lt;Y133*0.4,Q133,""))</f>
        <v>الحاسوب</v>
      </c>
      <c r="AE139" s="160" t="str">
        <f>IF(AA134=0,"",IF(AA134&lt;Y134*0.4,Q134,""))</f>
        <v>الرياضيات</v>
      </c>
      <c r="AG139" s="137" t="str">
        <f>ادخال1!$O$8</f>
        <v>التربية الفنية</v>
      </c>
      <c r="AH139" s="152">
        <f>ادخال1!$O$7</f>
        <v>1</v>
      </c>
      <c r="AI139" s="433" t="str">
        <f>IFERROR(VLOOKUP(AS143,اسماء,14,0),"")</f>
        <v>جيد جداً</v>
      </c>
      <c r="AJ139" s="433"/>
      <c r="AK139" s="433">
        <f>IFERROR(VLOOKUP(AS143,اسماء,27,0),"")</f>
        <v>0</v>
      </c>
      <c r="AL139" s="433"/>
      <c r="AM139" s="433">
        <f>IFERROR(VLOOKUP(AS143,اسماء,40,0),"")</f>
        <v>0</v>
      </c>
      <c r="AN139" s="433"/>
      <c r="AO139" s="443"/>
      <c r="AP139" s="575"/>
      <c r="AQ139" s="487"/>
      <c r="AR139" s="36"/>
      <c r="AS139" s="109" t="str">
        <f>IF(AQ132=0,"",IF(AQ132&lt;AO132*0.4,AG132,""))</f>
        <v>اللغة الإنجليزية</v>
      </c>
      <c r="AT139" s="159" t="str">
        <f>IF(AQ133=0,"",IF(AQ133&lt;AO133*0.4,AG133,""))</f>
        <v>الحاسوب</v>
      </c>
      <c r="AU139" s="160" t="str">
        <f>IF(AQ134=0,"",IF(AQ134&lt;AO134*0.4,AG134,""))</f>
        <v>الرياضيات</v>
      </c>
      <c r="AW139" s="137" t="str">
        <f>ادخال1!$O$8</f>
        <v>التربية الفنية</v>
      </c>
      <c r="AX139" s="152">
        <f>ادخال1!$O$7</f>
        <v>1</v>
      </c>
      <c r="AY139" s="433" t="str">
        <f>IFERROR(VLOOKUP(BI143,اسماء,14,0),"")</f>
        <v/>
      </c>
      <c r="AZ139" s="433"/>
      <c r="BA139" s="433" t="str">
        <f>IFERROR(VLOOKUP(BI143,اسماء,27,0),"")</f>
        <v/>
      </c>
      <c r="BB139" s="433"/>
      <c r="BC139" s="433" t="str">
        <f>IFERROR(VLOOKUP(BI143,اسماء,40,0),"")</f>
        <v/>
      </c>
      <c r="BD139" s="433"/>
      <c r="BE139" s="443"/>
      <c r="BF139" s="575"/>
      <c r="BG139" s="487"/>
      <c r="BH139" s="36"/>
      <c r="BI139" s="109" t="str">
        <f>IF(BG132=0,"",IF(BG132&lt;BE132*0.4,AW132,""))</f>
        <v/>
      </c>
      <c r="BJ139" s="159" t="str">
        <f>IF(BG133=0,"",IF(BG133&lt;BE133*0.4,AW133,""))</f>
        <v/>
      </c>
      <c r="BK139" s="160" t="str">
        <f>IF(BG134=0,"",IF(BG134&lt;BE134*0.4,AW134,""))</f>
        <v/>
      </c>
    </row>
    <row r="140" spans="1:63" ht="24.95" customHeight="1" thickBot="1" x14ac:dyDescent="0.3">
      <c r="A140" s="138" t="str">
        <f>ادخال1!$P$8</f>
        <v>التربية البدنية</v>
      </c>
      <c r="B140" s="153">
        <f>ادخال1!$P$7</f>
        <v>2</v>
      </c>
      <c r="C140" s="433" t="str">
        <f>IFERROR(VLOOKUP(M143,اسماء,15,0),"")</f>
        <v>جيد جداً</v>
      </c>
      <c r="D140" s="433"/>
      <c r="E140" s="433">
        <f>IFERROR(VLOOKUP(M143,اسماء,28,0),"")</f>
        <v>0</v>
      </c>
      <c r="F140" s="433"/>
      <c r="G140" s="433">
        <f>IFERROR(VLOOKUP(M143,اسماء,41,0),"")</f>
        <v>0</v>
      </c>
      <c r="H140" s="433"/>
      <c r="I140" s="507"/>
      <c r="J140" s="508"/>
      <c r="K140" s="509"/>
      <c r="L140" s="36"/>
      <c r="M140" s="109" t="str">
        <f>IF(K135=0,"",IF(K135&lt;I135*0.4,A135,""))</f>
        <v>العلوم</v>
      </c>
      <c r="N140" s="109" t="str">
        <f>IF(K136=0,"",IF(K136&lt;I136*0.4,A136,""))</f>
        <v>الاجتماعيات</v>
      </c>
      <c r="O140" s="357"/>
      <c r="Q140" s="138" t="str">
        <f>ادخال1!$P$8</f>
        <v>التربية البدنية</v>
      </c>
      <c r="R140" s="153">
        <f>ادخال1!$P$7</f>
        <v>2</v>
      </c>
      <c r="S140" s="433" t="str">
        <f>IFERROR(VLOOKUP(AC143,اسماء,15,0),"")</f>
        <v>جيد جداً</v>
      </c>
      <c r="T140" s="433"/>
      <c r="U140" s="433">
        <f>IFERROR(VLOOKUP(AC143,اسماء,28,0),"")</f>
        <v>0</v>
      </c>
      <c r="V140" s="433"/>
      <c r="W140" s="433">
        <f>IFERROR(VLOOKUP(AC143,اسماء,41,0),"")</f>
        <v>0</v>
      </c>
      <c r="X140" s="433"/>
      <c r="Y140" s="507"/>
      <c r="Z140" s="508"/>
      <c r="AA140" s="509"/>
      <c r="AB140" s="36"/>
      <c r="AC140" s="109"/>
      <c r="AD140" s="109" t="str">
        <f>IF(AA136=0,"",IF(AA136&lt;Y136*0.4,Q136,""))</f>
        <v>الاجتماعيات</v>
      </c>
      <c r="AE140" s="357"/>
      <c r="AG140" s="138" t="str">
        <f>ادخال1!$P$8</f>
        <v>التربية البدنية</v>
      </c>
      <c r="AH140" s="153">
        <f>ادخال1!$P$7</f>
        <v>2</v>
      </c>
      <c r="AI140" s="433" t="str">
        <f>IFERROR(VLOOKUP(AS143,اسماء,15,0),"")</f>
        <v>جيد جداً</v>
      </c>
      <c r="AJ140" s="433"/>
      <c r="AK140" s="433">
        <f>IFERROR(VLOOKUP(AS143,اسماء,28,0),"")</f>
        <v>0</v>
      </c>
      <c r="AL140" s="433"/>
      <c r="AM140" s="433">
        <f>IFERROR(VLOOKUP(AS143,اسماء,41,0),"")</f>
        <v>0</v>
      </c>
      <c r="AN140" s="433"/>
      <c r="AO140" s="507"/>
      <c r="AP140" s="508"/>
      <c r="AQ140" s="509"/>
      <c r="AR140" s="36"/>
      <c r="AS140" s="109" t="str">
        <f>IF(AQ135=0,"",IF(AQ135&lt;AO135*0.4,AG135,""))</f>
        <v>العلوم</v>
      </c>
      <c r="AT140" s="109" t="str">
        <f>IF(AQ136=0,"",IF(AQ136&lt;AO136*0.4,AG136,""))</f>
        <v>الاجتماعيات</v>
      </c>
      <c r="AU140" s="357"/>
      <c r="AW140" s="138" t="str">
        <f>ادخال1!$P$8</f>
        <v>التربية البدنية</v>
      </c>
      <c r="AX140" s="153">
        <f>ادخال1!$P$7</f>
        <v>2</v>
      </c>
      <c r="AY140" s="433" t="str">
        <f>IFERROR(VLOOKUP(BI143,اسماء,15,0),"")</f>
        <v/>
      </c>
      <c r="AZ140" s="433"/>
      <c r="BA140" s="433" t="str">
        <f>IFERROR(VLOOKUP(BI143,اسماء,28,0),"")</f>
        <v/>
      </c>
      <c r="BB140" s="433"/>
      <c r="BC140" s="433" t="str">
        <f>IFERROR(VLOOKUP(BI143,اسماء,41,0),"")</f>
        <v/>
      </c>
      <c r="BD140" s="433"/>
      <c r="BE140" s="507"/>
      <c r="BF140" s="508"/>
      <c r="BG140" s="509"/>
      <c r="BH140" s="36"/>
      <c r="BI140" s="109" t="str">
        <f>IF(BG135=0,"",IF(BG135&lt;BE135*0.4,AW135,""))</f>
        <v/>
      </c>
      <c r="BJ140" s="109" t="str">
        <f>IF(BG136=0,"",IF(BG136&lt;BE136*0.4,AW136,""))</f>
        <v/>
      </c>
      <c r="BK140" s="357"/>
    </row>
    <row r="141" spans="1:63" ht="24.95" customHeight="1" thickBot="1" x14ac:dyDescent="0.3">
      <c r="A141" s="138" t="str">
        <f>ادخال1!$Q$8</f>
        <v>التربية الموسيقية</v>
      </c>
      <c r="B141" s="153">
        <f>ادخال1!$Q$7</f>
        <v>1</v>
      </c>
      <c r="C141" s="433">
        <f>IFERROR(VLOOKUP(M143,اسماء,16,0),"")</f>
        <v>0</v>
      </c>
      <c r="D141" s="433"/>
      <c r="E141" s="433">
        <f>IFERROR(VLOOKUP(M143,اسماء,29,0),"")</f>
        <v>0</v>
      </c>
      <c r="F141" s="433"/>
      <c r="G141" s="433">
        <f>IFERROR(VLOOKUP(M143,اسماء,42,0),"")</f>
        <v>0</v>
      </c>
      <c r="H141" s="433"/>
      <c r="I141" s="507"/>
      <c r="J141" s="508"/>
      <c r="K141" s="509"/>
      <c r="L141" s="36"/>
      <c r="M141" s="291"/>
      <c r="N141" s="292"/>
      <c r="O141" s="292"/>
      <c r="Q141" s="138" t="str">
        <f>ادخال1!$Q$8</f>
        <v>التربية الموسيقية</v>
      </c>
      <c r="R141" s="153">
        <f>ادخال1!$Q$7</f>
        <v>1</v>
      </c>
      <c r="S141" s="433">
        <f>IFERROR(VLOOKUP(AC143,اسماء,16,0),"")</f>
        <v>0</v>
      </c>
      <c r="T141" s="433"/>
      <c r="U141" s="433">
        <f>IFERROR(VLOOKUP(AC143,اسماء,29,0),"")</f>
        <v>0</v>
      </c>
      <c r="V141" s="433"/>
      <c r="W141" s="433">
        <f>IFERROR(VLOOKUP(AC143,اسماء,42,0),"")</f>
        <v>0</v>
      </c>
      <c r="X141" s="433"/>
      <c r="Y141" s="507"/>
      <c r="Z141" s="508"/>
      <c r="AA141" s="509"/>
      <c r="AB141" s="36"/>
      <c r="AC141" s="291"/>
      <c r="AD141" s="292"/>
      <c r="AE141" s="292"/>
      <c r="AG141" s="138" t="str">
        <f>ادخال1!$Q$8</f>
        <v>التربية الموسيقية</v>
      </c>
      <c r="AH141" s="153">
        <f>ادخال1!$Q$7</f>
        <v>1</v>
      </c>
      <c r="AI141" s="433">
        <f>IFERROR(VLOOKUP(AS143,اسماء,16,0),"")</f>
        <v>0</v>
      </c>
      <c r="AJ141" s="433"/>
      <c r="AK141" s="433">
        <f>IFERROR(VLOOKUP(AS143,اسماء,29,0),"")</f>
        <v>0</v>
      </c>
      <c r="AL141" s="433"/>
      <c r="AM141" s="433">
        <f>IFERROR(VLOOKUP(AS143,اسماء,42,0),"")</f>
        <v>0</v>
      </c>
      <c r="AN141" s="433"/>
      <c r="AO141" s="507"/>
      <c r="AP141" s="508"/>
      <c r="AQ141" s="509"/>
      <c r="AR141" s="36"/>
      <c r="AS141" s="291"/>
      <c r="AT141" s="292"/>
      <c r="AU141" s="292"/>
      <c r="AW141" s="138" t="str">
        <f>ادخال1!$Q$8</f>
        <v>التربية الموسيقية</v>
      </c>
      <c r="AX141" s="153">
        <f>ادخال1!$Q$7</f>
        <v>1</v>
      </c>
      <c r="AY141" s="433" t="str">
        <f>IFERROR(VLOOKUP(BI143,اسماء,16,0),"")</f>
        <v/>
      </c>
      <c r="AZ141" s="433"/>
      <c r="BA141" s="433" t="str">
        <f>IFERROR(VLOOKUP(BI143,اسماء,29,0),"")</f>
        <v/>
      </c>
      <c r="BB141" s="433"/>
      <c r="BC141" s="433" t="str">
        <f>IFERROR(VLOOKUP(BI143,اسماء,42,0),"")</f>
        <v/>
      </c>
      <c r="BD141" s="433"/>
      <c r="BE141" s="507"/>
      <c r="BF141" s="508"/>
      <c r="BG141" s="509"/>
      <c r="BH141" s="36"/>
      <c r="BI141" s="291"/>
      <c r="BJ141" s="292"/>
      <c r="BK141" s="292"/>
    </row>
    <row r="142" spans="1:63" ht="24.95" customHeight="1" thickBot="1" x14ac:dyDescent="0.3">
      <c r="A142" s="139"/>
      <c r="B142" s="154"/>
      <c r="C142" s="34"/>
      <c r="D142" s="34"/>
      <c r="E142" s="34"/>
      <c r="F142" s="34"/>
      <c r="G142" s="34"/>
      <c r="H142" s="34"/>
      <c r="I142" s="513" t="s">
        <v>33</v>
      </c>
      <c r="J142" s="514"/>
      <c r="K142" s="514"/>
      <c r="L142" s="34"/>
      <c r="M142" s="510" t="s">
        <v>58</v>
      </c>
      <c r="N142" s="511"/>
      <c r="O142" s="512"/>
      <c r="Q142" s="139"/>
      <c r="R142" s="154"/>
      <c r="S142" s="34"/>
      <c r="T142" s="34"/>
      <c r="U142" s="34"/>
      <c r="V142" s="34"/>
      <c r="W142" s="34"/>
      <c r="X142" s="34"/>
      <c r="Y142" s="513" t="s">
        <v>33</v>
      </c>
      <c r="Z142" s="514"/>
      <c r="AA142" s="514"/>
      <c r="AB142" s="34"/>
      <c r="AC142" s="510" t="s">
        <v>58</v>
      </c>
      <c r="AD142" s="511"/>
      <c r="AE142" s="512"/>
      <c r="AG142" s="139"/>
      <c r="AH142" s="154"/>
      <c r="AI142" s="34"/>
      <c r="AJ142" s="34"/>
      <c r="AK142" s="34"/>
      <c r="AL142" s="34"/>
      <c r="AM142" s="34"/>
      <c r="AN142" s="34"/>
      <c r="AO142" s="513" t="s">
        <v>33</v>
      </c>
      <c r="AP142" s="514"/>
      <c r="AQ142" s="514"/>
      <c r="AR142" s="34"/>
      <c r="AS142" s="510" t="s">
        <v>58</v>
      </c>
      <c r="AT142" s="511"/>
      <c r="AU142" s="512"/>
      <c r="AW142" s="139"/>
      <c r="AX142" s="154"/>
      <c r="AY142" s="34"/>
      <c r="AZ142" s="34"/>
      <c r="BA142" s="34"/>
      <c r="BB142" s="34"/>
      <c r="BC142" s="34"/>
      <c r="BD142" s="34"/>
      <c r="BE142" s="513" t="s">
        <v>33</v>
      </c>
      <c r="BF142" s="514"/>
      <c r="BG142" s="514"/>
      <c r="BH142" s="34"/>
      <c r="BI142" s="510" t="s">
        <v>58</v>
      </c>
      <c r="BJ142" s="511"/>
      <c r="BK142" s="512"/>
    </row>
    <row r="143" spans="1:63" ht="24.95" customHeight="1" x14ac:dyDescent="0.25">
      <c r="A143" s="433" t="s">
        <v>59</v>
      </c>
      <c r="B143" s="433"/>
      <c r="C143" s="433">
        <f>IFERROR(VLOOKUP(M143,اسماء,43,0),"")</f>
        <v>0</v>
      </c>
      <c r="D143" s="433"/>
      <c r="E143" s="433">
        <f>IFERROR(VLOOKUP(M143,اسماء,44,0),"")</f>
        <v>0</v>
      </c>
      <c r="F143" s="433"/>
      <c r="G143" s="433">
        <f>IFERROR(VLOOKUP(M143,اسماء,45,0),"")</f>
        <v>0</v>
      </c>
      <c r="H143" s="433"/>
      <c r="I143" s="536">
        <f>IFERROR(VLOOKUP(M143,اسماء,42,0),"")</f>
        <v>0</v>
      </c>
      <c r="J143" s="537"/>
      <c r="K143" s="538"/>
      <c r="L143" s="36"/>
      <c r="M143" s="539" t="str">
        <f>INDEX(عمود2,MATCH(O125,عمود1))</f>
        <v>جنان عبدالسلام محمد الجوادي</v>
      </c>
      <c r="N143" s="540"/>
      <c r="O143" s="541"/>
      <c r="Q143" s="433" t="s">
        <v>59</v>
      </c>
      <c r="R143" s="433"/>
      <c r="S143" s="433">
        <f>IFERROR(VLOOKUP(AC143,اسماء,43,0),"")</f>
        <v>0</v>
      </c>
      <c r="T143" s="433"/>
      <c r="U143" s="433">
        <f>IFERROR(VLOOKUP(AC143,اسماء,44,0),"")</f>
        <v>0</v>
      </c>
      <c r="V143" s="433"/>
      <c r="W143" s="433">
        <f>IFERROR(VLOOKUP(AC143,اسماء,45,0),"")</f>
        <v>0</v>
      </c>
      <c r="X143" s="433"/>
      <c r="Y143" s="536">
        <f>IFERROR(VLOOKUP(AC143,اسماء,42,0),"")</f>
        <v>0</v>
      </c>
      <c r="Z143" s="537"/>
      <c r="AA143" s="538"/>
      <c r="AB143" s="36"/>
      <c r="AC143" s="539" t="str">
        <f>INDEX(عمود2,MATCH(AE125,عمود1))</f>
        <v>سوار وليد مصطفي الورشفاني</v>
      </c>
      <c r="AD143" s="540"/>
      <c r="AE143" s="541"/>
      <c r="AF143" s="69"/>
      <c r="AG143" s="433" t="s">
        <v>59</v>
      </c>
      <c r="AH143" s="433"/>
      <c r="AI143" s="433">
        <f>IFERROR(VLOOKUP(AS143,اسماء,43,0),"")</f>
        <v>0</v>
      </c>
      <c r="AJ143" s="433"/>
      <c r="AK143" s="433">
        <f>IFERROR(VLOOKUP(AS143,اسماء,44,0),"")</f>
        <v>0</v>
      </c>
      <c r="AL143" s="433"/>
      <c r="AM143" s="433">
        <f>IFERROR(VLOOKUP(AS143,اسماء,45,0),"")</f>
        <v>0</v>
      </c>
      <c r="AN143" s="433"/>
      <c r="AO143" s="536">
        <f>IFERROR(VLOOKUP(AS143,اسماء,42,0),"")</f>
        <v>0</v>
      </c>
      <c r="AP143" s="537"/>
      <c r="AQ143" s="538"/>
      <c r="AR143" s="36"/>
      <c r="AS143" s="539" t="str">
        <f>INDEX(عمود2,MATCH(AU125,عمود1))</f>
        <v>محمد مجدي عبدالله سليمان</v>
      </c>
      <c r="AT143" s="540"/>
      <c r="AU143" s="541"/>
      <c r="AW143" s="433" t="s">
        <v>59</v>
      </c>
      <c r="AX143" s="433"/>
      <c r="AY143" s="433" t="str">
        <f>IFERROR(VLOOKUP(BI143,اسماء,43,0),"")</f>
        <v/>
      </c>
      <c r="AZ143" s="433"/>
      <c r="BA143" s="433" t="str">
        <f>IFERROR(VLOOKUP(BI143,اسماء,44,0),"")</f>
        <v/>
      </c>
      <c r="BB143" s="433"/>
      <c r="BC143" s="433" t="str">
        <f>IFERROR(VLOOKUP(BI143,اسماء,45,0),"")</f>
        <v/>
      </c>
      <c r="BD143" s="433"/>
      <c r="BE143" s="536" t="str">
        <f>IFERROR(VLOOKUP(BI143,اسماء,42,0),"")</f>
        <v/>
      </c>
      <c r="BF143" s="537"/>
      <c r="BG143" s="538"/>
      <c r="BH143" s="36"/>
      <c r="BI143" s="539">
        <f>INDEX(عمود2,MATCH(BK125,عمود1))</f>
        <v>0</v>
      </c>
      <c r="BJ143" s="540"/>
      <c r="BK143" s="541"/>
    </row>
    <row r="144" spans="1:63" ht="28.5" customHeight="1" x14ac:dyDescent="0.25">
      <c r="A144" s="433" t="s">
        <v>60</v>
      </c>
      <c r="B144" s="433"/>
      <c r="C144" s="433">
        <f>IFERROR(VLOOKUP(M143,اسماء,46,0),"")</f>
        <v>0</v>
      </c>
      <c r="D144" s="433"/>
      <c r="E144" s="433">
        <f>IFERROR(VLOOKUP(M143,اسماء,48,0),"")</f>
        <v>0</v>
      </c>
      <c r="F144" s="433"/>
      <c r="G144" s="433">
        <f>IFERROR(VLOOKUP(M143,اسماء,50,0),"")</f>
        <v>0</v>
      </c>
      <c r="H144" s="433"/>
      <c r="I144" s="436"/>
      <c r="J144" s="433"/>
      <c r="K144" s="516"/>
      <c r="L144" s="36"/>
      <c r="M144" s="542" t="str">
        <f>IF(I143="غائب","يبقى سنة اخرى في الصف",IF(K137&gt;0,"ناجحاً ومنقولاً الى الصف ","له دور ثان"))</f>
        <v>له دور ثان</v>
      </c>
      <c r="N144" s="543"/>
      <c r="O144" s="544"/>
      <c r="Q144" s="433" t="s">
        <v>60</v>
      </c>
      <c r="R144" s="433"/>
      <c r="S144" s="433">
        <f>IFERROR(VLOOKUP(AC143,اسماء,46,0),"")</f>
        <v>0</v>
      </c>
      <c r="T144" s="433"/>
      <c r="U144" s="433">
        <f>IFERROR(VLOOKUP(AC143,اسماء,48,0),"")</f>
        <v>0</v>
      </c>
      <c r="V144" s="433"/>
      <c r="W144" s="433">
        <f>IFERROR(VLOOKUP(AC143,اسماء,50,0),"")</f>
        <v>0</v>
      </c>
      <c r="X144" s="433"/>
      <c r="Y144" s="436"/>
      <c r="Z144" s="433"/>
      <c r="AA144" s="516"/>
      <c r="AB144" s="36"/>
      <c r="AC144" s="542" t="str">
        <f>IF(Y143="غائب","يبقى سنة اخرى في الصف",IF(AA137&gt;0,"ناجحاً ومنقولاً الى الصف ","له دور ثان"))</f>
        <v>له دور ثان</v>
      </c>
      <c r="AD144" s="543"/>
      <c r="AE144" s="544"/>
      <c r="AF144" s="69"/>
      <c r="AG144" s="433" t="s">
        <v>60</v>
      </c>
      <c r="AH144" s="433"/>
      <c r="AI144" s="433">
        <f>IFERROR(VLOOKUP(AS143,اسماء,46,0),"")</f>
        <v>0</v>
      </c>
      <c r="AJ144" s="433"/>
      <c r="AK144" s="433">
        <f>IFERROR(VLOOKUP(AS143,اسماء,48,0),"")</f>
        <v>0</v>
      </c>
      <c r="AL144" s="433"/>
      <c r="AM144" s="433">
        <f>IFERROR(VLOOKUP(AS143,اسماء,50,0),"")</f>
        <v>0</v>
      </c>
      <c r="AN144" s="433"/>
      <c r="AO144" s="436"/>
      <c r="AP144" s="433"/>
      <c r="AQ144" s="516"/>
      <c r="AR144" s="36"/>
      <c r="AS144" s="542" t="str">
        <f>IF(AO143="غائب","يبقى سنة اخرى في الصف",IF(AQ137&gt;0,"ناجحاً ومنقولاً الى الصف ","له دور ثان"))</f>
        <v>له دور ثان</v>
      </c>
      <c r="AT144" s="543"/>
      <c r="AU144" s="544"/>
      <c r="AW144" s="433" t="s">
        <v>60</v>
      </c>
      <c r="AX144" s="433"/>
      <c r="AY144" s="433" t="str">
        <f>IFERROR(VLOOKUP(BI143,اسماء,46,0),"")</f>
        <v/>
      </c>
      <c r="AZ144" s="433"/>
      <c r="BA144" s="433" t="str">
        <f>IFERROR(VLOOKUP(BI143,اسماء,48,0),"")</f>
        <v/>
      </c>
      <c r="BB144" s="433"/>
      <c r="BC144" s="433" t="str">
        <f>IFERROR(VLOOKUP(BI143,اسماء,50,0),"")</f>
        <v/>
      </c>
      <c r="BD144" s="433"/>
      <c r="BE144" s="436"/>
      <c r="BF144" s="433"/>
      <c r="BG144" s="516"/>
      <c r="BH144" s="36"/>
      <c r="BI144" s="542" t="str">
        <f>IF(BE143="غائب","يبقى سنة اخرى في الصف",IF(BG137&gt;0,"ناجحاً ومنقولاً الى الصف ","له دور ثان"))</f>
        <v>له دور ثان</v>
      </c>
      <c r="BJ144" s="543"/>
      <c r="BK144" s="544"/>
    </row>
    <row r="145" spans="1:63" ht="24.95" customHeight="1" thickBot="1" x14ac:dyDescent="0.3">
      <c r="A145" s="545" t="s">
        <v>61</v>
      </c>
      <c r="B145" s="545"/>
      <c r="C145" s="433">
        <f>IFERROR(VLOOKUP(M143,اسماء,47,0),"")</f>
        <v>0</v>
      </c>
      <c r="D145" s="433"/>
      <c r="E145" s="433">
        <f>IFERROR(VLOOKUP(M143,اسماء,49,0),"")</f>
        <v>0</v>
      </c>
      <c r="F145" s="433"/>
      <c r="G145" s="433">
        <f>IFERROR(VLOOKUP(M143,اسماء,51,0),"")</f>
        <v>0</v>
      </c>
      <c r="H145" s="433"/>
      <c r="I145" s="453"/>
      <c r="J145" s="518"/>
      <c r="K145" s="519"/>
      <c r="L145" s="36"/>
      <c r="M145" s="546" t="str">
        <f>IF(I143="غائب",D125,IF(M144="له دور ثان","",IF(M144="يبقى سنة أخرى بالصف",D125,IF(D125="الرابع","الخامس",IF(D125="الخامس","السادس")))))</f>
        <v/>
      </c>
      <c r="N145" s="546"/>
      <c r="O145" s="546"/>
      <c r="Q145" s="545" t="s">
        <v>61</v>
      </c>
      <c r="R145" s="545"/>
      <c r="S145" s="433">
        <f>IFERROR(VLOOKUP(AC143,اسماء,47,0),"")</f>
        <v>0</v>
      </c>
      <c r="T145" s="433"/>
      <c r="U145" s="433">
        <f>IFERROR(VLOOKUP(AC143,اسماء,49,0),"")</f>
        <v>0</v>
      </c>
      <c r="V145" s="433"/>
      <c r="W145" s="433">
        <f>IFERROR(VLOOKUP(AC143,اسماء,51,0),"")</f>
        <v>0</v>
      </c>
      <c r="X145" s="433"/>
      <c r="Y145" s="453"/>
      <c r="Z145" s="518"/>
      <c r="AA145" s="519"/>
      <c r="AB145" s="36"/>
      <c r="AC145" s="546" t="str">
        <f>IF(Y143="غائب",T125,IF(AC144="له دور ثان","",IF(AC144="يبقى سنة أخرى بالصف",T125,IF(T125="الرابع","الخامس",IF(T125="الخامس","السادس")))))</f>
        <v/>
      </c>
      <c r="AD145" s="546"/>
      <c r="AE145" s="546"/>
      <c r="AG145" s="545" t="s">
        <v>61</v>
      </c>
      <c r="AH145" s="545"/>
      <c r="AI145" s="433">
        <f>IFERROR(VLOOKUP(AS143,اسماء,47,0),"")</f>
        <v>0</v>
      </c>
      <c r="AJ145" s="433"/>
      <c r="AK145" s="433">
        <f>IFERROR(VLOOKUP(AS143,اسماء,49,0),"")</f>
        <v>0</v>
      </c>
      <c r="AL145" s="433"/>
      <c r="AM145" s="433">
        <f>IFERROR(VLOOKUP(AS143,اسماء,51,0),"")</f>
        <v>0</v>
      </c>
      <c r="AN145" s="433"/>
      <c r="AO145" s="453"/>
      <c r="AP145" s="518"/>
      <c r="AQ145" s="519"/>
      <c r="AR145" s="36"/>
      <c r="AS145" s="546" t="str">
        <f>IF(AO143="غائب",AJ125,IF(AS144="له دور ثان","",IF(AS144="يبقى سنة أخرى بالصف",AJ125,IF(AJ125="الرابع","الخامس",IF(AJ125="الخامس","السادس")))))</f>
        <v/>
      </c>
      <c r="AT145" s="546"/>
      <c r="AU145" s="546"/>
      <c r="AV145" s="69"/>
      <c r="AW145" s="545" t="s">
        <v>61</v>
      </c>
      <c r="AX145" s="545"/>
      <c r="AY145" s="433" t="str">
        <f>IFERROR(VLOOKUP(BI143,اسماء,47,0),"")</f>
        <v/>
      </c>
      <c r="AZ145" s="433"/>
      <c r="BA145" s="433" t="str">
        <f>IFERROR(VLOOKUP(BI143,اسماء,49,0),"")</f>
        <v/>
      </c>
      <c r="BB145" s="433"/>
      <c r="BC145" s="433" t="str">
        <f>IFERROR(VLOOKUP(BI143,اسماء,51,0),"")</f>
        <v/>
      </c>
      <c r="BD145" s="433"/>
      <c r="BE145" s="453"/>
      <c r="BF145" s="518"/>
      <c r="BG145" s="519"/>
      <c r="BH145" s="36"/>
      <c r="BI145" s="546" t="str">
        <f>IF(BE143="غائب",AZ125,IF(BI144="له دور ثان","",IF(BI144="يبقى سنة أخرى بالصف",AZ125,IF(AZ125="الرابع","الخامس",IF(AZ125="الخامس","السادس")))))</f>
        <v/>
      </c>
      <c r="BJ145" s="546"/>
      <c r="BK145" s="546"/>
    </row>
    <row r="146" spans="1:63" ht="24.95" customHeight="1" x14ac:dyDescent="0.25">
      <c r="A146" s="137" t="s">
        <v>88</v>
      </c>
      <c r="B146" s="468"/>
      <c r="C146" s="468"/>
      <c r="D146" s="468"/>
      <c r="E146" s="468"/>
      <c r="F146" s="468"/>
      <c r="G146" s="468"/>
      <c r="H146" s="568"/>
      <c r="I146" s="517" t="s">
        <v>66</v>
      </c>
      <c r="J146" s="517"/>
      <c r="K146" s="515" t="str">
        <f>ادخال1!$BP$5</f>
        <v>د.عبدالرحمن خليفة العريبي</v>
      </c>
      <c r="L146" s="515"/>
      <c r="M146" s="515"/>
      <c r="N146" s="515"/>
      <c r="O146" s="515"/>
      <c r="Q146" s="137" t="s">
        <v>88</v>
      </c>
      <c r="R146" s="468"/>
      <c r="S146" s="468"/>
      <c r="T146" s="468"/>
      <c r="U146" s="468"/>
      <c r="V146" s="468"/>
      <c r="W146" s="468"/>
      <c r="X146" s="568"/>
      <c r="Y146" s="517" t="s">
        <v>66</v>
      </c>
      <c r="Z146" s="517"/>
      <c r="AA146" s="515" t="str">
        <f>ادخال1!$BP$5</f>
        <v>د.عبدالرحمن خليفة العريبي</v>
      </c>
      <c r="AB146" s="515"/>
      <c r="AC146" s="515"/>
      <c r="AD146" s="515"/>
      <c r="AE146" s="515"/>
      <c r="AG146" s="137" t="s">
        <v>88</v>
      </c>
      <c r="AH146" s="468"/>
      <c r="AI146" s="468"/>
      <c r="AJ146" s="468"/>
      <c r="AK146" s="468"/>
      <c r="AL146" s="468"/>
      <c r="AM146" s="468"/>
      <c r="AN146" s="568"/>
      <c r="AO146" s="517" t="s">
        <v>66</v>
      </c>
      <c r="AP146" s="517"/>
      <c r="AQ146" s="515" t="str">
        <f>ادخال1!$BP$5</f>
        <v>د.عبدالرحمن خليفة العريبي</v>
      </c>
      <c r="AR146" s="515"/>
      <c r="AS146" s="515"/>
      <c r="AT146" s="515"/>
      <c r="AU146" s="515"/>
      <c r="AW146" s="137" t="s">
        <v>88</v>
      </c>
      <c r="AX146" s="468"/>
      <c r="AY146" s="468"/>
      <c r="AZ146" s="468"/>
      <c r="BA146" s="468"/>
      <c r="BB146" s="468"/>
      <c r="BC146" s="468"/>
      <c r="BD146" s="568"/>
      <c r="BE146" s="517" t="s">
        <v>66</v>
      </c>
      <c r="BF146" s="517"/>
      <c r="BG146" s="515" t="str">
        <f>ادخال1!$BP$5</f>
        <v>د.عبدالرحمن خليفة العريبي</v>
      </c>
      <c r="BH146" s="515"/>
      <c r="BI146" s="515"/>
      <c r="BJ146" s="515"/>
      <c r="BK146" s="515"/>
    </row>
    <row r="147" spans="1:63" ht="24.95" customHeight="1" x14ac:dyDescent="0.25">
      <c r="A147" s="61" t="s">
        <v>15</v>
      </c>
      <c r="B147" s="433"/>
      <c r="C147" s="433"/>
      <c r="D147" s="433"/>
      <c r="E147" s="433"/>
      <c r="F147" s="433"/>
      <c r="G147" s="433"/>
      <c r="H147" s="516"/>
      <c r="I147" s="488" t="s">
        <v>68</v>
      </c>
      <c r="J147" s="488"/>
      <c r="K147" s="488"/>
      <c r="L147" s="68"/>
      <c r="M147" s="506">
        <f ca="1">TODAY()</f>
        <v>46035</v>
      </c>
      <c r="N147" s="506"/>
      <c r="O147" s="506"/>
      <c r="Q147" s="61" t="s">
        <v>15</v>
      </c>
      <c r="R147" s="433"/>
      <c r="S147" s="433"/>
      <c r="T147" s="433"/>
      <c r="U147" s="433"/>
      <c r="V147" s="433"/>
      <c r="W147" s="433"/>
      <c r="X147" s="516"/>
      <c r="Y147" s="488" t="s">
        <v>68</v>
      </c>
      <c r="Z147" s="488"/>
      <c r="AA147" s="488"/>
      <c r="AB147" s="68"/>
      <c r="AC147" s="506">
        <f ca="1">TODAY()</f>
        <v>46035</v>
      </c>
      <c r="AD147" s="506"/>
      <c r="AE147" s="506"/>
      <c r="AG147" s="61" t="s">
        <v>15</v>
      </c>
      <c r="AH147" s="433"/>
      <c r="AI147" s="433"/>
      <c r="AJ147" s="433"/>
      <c r="AK147" s="433"/>
      <c r="AL147" s="433"/>
      <c r="AM147" s="433"/>
      <c r="AN147" s="516"/>
      <c r="AO147" s="488" t="s">
        <v>68</v>
      </c>
      <c r="AP147" s="488"/>
      <c r="AQ147" s="488"/>
      <c r="AR147" s="68"/>
      <c r="AS147" s="506">
        <f ca="1">TODAY()</f>
        <v>46035</v>
      </c>
      <c r="AT147" s="506"/>
      <c r="AU147" s="506"/>
      <c r="AW147" s="61" t="s">
        <v>15</v>
      </c>
      <c r="AX147" s="433"/>
      <c r="AY147" s="433"/>
      <c r="AZ147" s="433"/>
      <c r="BA147" s="433"/>
      <c r="BB147" s="433"/>
      <c r="BC147" s="433"/>
      <c r="BD147" s="516"/>
      <c r="BE147" s="488" t="s">
        <v>68</v>
      </c>
      <c r="BF147" s="488"/>
      <c r="BG147" s="488"/>
      <c r="BH147" s="68"/>
      <c r="BI147" s="506">
        <f ca="1">TODAY()</f>
        <v>46035</v>
      </c>
      <c r="BJ147" s="506"/>
      <c r="BK147" s="506"/>
    </row>
    <row r="148" spans="1:63" ht="24.95" customHeight="1" thickBot="1" x14ac:dyDescent="0.3">
      <c r="A148" s="138" t="s">
        <v>89</v>
      </c>
      <c r="B148" s="518"/>
      <c r="C148" s="518"/>
      <c r="D148" s="518"/>
      <c r="E148" s="518"/>
      <c r="F148" s="518"/>
      <c r="G148" s="518"/>
      <c r="H148" s="519"/>
      <c r="I148" s="520" t="s">
        <v>70</v>
      </c>
      <c r="J148" s="520"/>
      <c r="K148" s="520"/>
      <c r="L148" s="520"/>
      <c r="M148" s="520"/>
      <c r="N148" s="520"/>
      <c r="O148" s="521"/>
      <c r="Q148" s="138" t="s">
        <v>89</v>
      </c>
      <c r="R148" s="518"/>
      <c r="S148" s="518"/>
      <c r="T148" s="518"/>
      <c r="U148" s="518"/>
      <c r="V148" s="518"/>
      <c r="W148" s="518"/>
      <c r="X148" s="519"/>
      <c r="Y148" s="520" t="s">
        <v>70</v>
      </c>
      <c r="Z148" s="520"/>
      <c r="AA148" s="520"/>
      <c r="AB148" s="520"/>
      <c r="AC148" s="520"/>
      <c r="AD148" s="520"/>
      <c r="AE148" s="521"/>
      <c r="AG148" s="138" t="s">
        <v>89</v>
      </c>
      <c r="AH148" s="518"/>
      <c r="AI148" s="518"/>
      <c r="AJ148" s="518"/>
      <c r="AK148" s="518"/>
      <c r="AL148" s="518"/>
      <c r="AM148" s="518"/>
      <c r="AN148" s="519"/>
      <c r="AO148" s="520" t="s">
        <v>70</v>
      </c>
      <c r="AP148" s="520"/>
      <c r="AQ148" s="520"/>
      <c r="AR148" s="520"/>
      <c r="AS148" s="520"/>
      <c r="AT148" s="520"/>
      <c r="AU148" s="521"/>
      <c r="AW148" s="138" t="s">
        <v>89</v>
      </c>
      <c r="AX148" s="518"/>
      <c r="AY148" s="518"/>
      <c r="AZ148" s="518"/>
      <c r="BA148" s="518"/>
      <c r="BB148" s="518"/>
      <c r="BC148" s="518"/>
      <c r="BD148" s="519"/>
      <c r="BE148" s="520" t="s">
        <v>70</v>
      </c>
      <c r="BF148" s="520"/>
      <c r="BG148" s="520"/>
      <c r="BH148" s="520"/>
      <c r="BI148" s="520"/>
      <c r="BJ148" s="520"/>
      <c r="BK148" s="521"/>
    </row>
    <row r="149" spans="1:63" ht="16.5" thickBot="1" x14ac:dyDescent="0.3">
      <c r="A149" s="141"/>
      <c r="I149" s="38"/>
      <c r="J149" s="38"/>
      <c r="K149" s="38"/>
      <c r="L149" s="38"/>
      <c r="M149" s="111"/>
      <c r="N149" s="161"/>
      <c r="O149" s="162"/>
      <c r="Q149" s="141"/>
      <c r="Y149" s="38"/>
      <c r="Z149" s="38"/>
      <c r="AA149" s="38"/>
      <c r="AB149" s="38"/>
      <c r="AC149" s="111"/>
      <c r="AD149" s="111"/>
      <c r="AE149" s="112"/>
      <c r="AG149" s="141"/>
      <c r="AO149" s="38"/>
      <c r="AP149" s="38"/>
      <c r="AQ149" s="38"/>
      <c r="AR149" s="38"/>
      <c r="AS149" s="111"/>
      <c r="AT149" s="111"/>
      <c r="AU149" s="112"/>
      <c r="AW149" s="141"/>
      <c r="BE149" s="38"/>
      <c r="BF149" s="38"/>
      <c r="BG149" s="38"/>
      <c r="BH149" s="38"/>
      <c r="BI149" s="111"/>
      <c r="BJ149" s="111"/>
      <c r="BK149" s="112"/>
    </row>
    <row r="150" spans="1:63" thickTop="1" x14ac:dyDescent="0.25">
      <c r="A150" s="522" t="s">
        <v>84</v>
      </c>
      <c r="B150" s="523"/>
      <c r="C150" s="523"/>
      <c r="D150" s="523"/>
      <c r="E150" s="39"/>
      <c r="F150" s="39"/>
      <c r="G150" s="40"/>
      <c r="H150" s="8"/>
      <c r="I150" s="524" t="s">
        <v>71</v>
      </c>
      <c r="J150" s="525"/>
      <c r="K150" s="525"/>
      <c r="L150" s="525"/>
      <c r="M150" s="525"/>
      <c r="N150" s="525"/>
      <c r="O150" s="526"/>
      <c r="Q150" s="522" t="s">
        <v>84</v>
      </c>
      <c r="R150" s="523"/>
      <c r="S150" s="523"/>
      <c r="T150" s="523"/>
      <c r="U150" s="39"/>
      <c r="V150" s="39"/>
      <c r="W150" s="40"/>
      <c r="X150" s="8"/>
      <c r="Y150" s="582" t="s">
        <v>71</v>
      </c>
      <c r="Z150" s="583"/>
      <c r="AA150" s="583"/>
      <c r="AB150" s="583"/>
      <c r="AC150" s="583"/>
      <c r="AD150" s="583"/>
      <c r="AE150" s="584"/>
      <c r="AG150" s="522" t="s">
        <v>84</v>
      </c>
      <c r="AH150" s="523"/>
      <c r="AI150" s="523"/>
      <c r="AJ150" s="523"/>
      <c r="AK150" s="39"/>
      <c r="AL150" s="39"/>
      <c r="AM150" s="40"/>
      <c r="AN150" s="8"/>
      <c r="AO150" s="524" t="s">
        <v>71</v>
      </c>
      <c r="AP150" s="525"/>
      <c r="AQ150" s="525"/>
      <c r="AR150" s="525"/>
      <c r="AS150" s="525"/>
      <c r="AT150" s="525"/>
      <c r="AU150" s="526"/>
      <c r="AW150" s="522" t="s">
        <v>84</v>
      </c>
      <c r="AX150" s="523"/>
      <c r="AY150" s="523"/>
      <c r="AZ150" s="523"/>
      <c r="BA150" s="39"/>
      <c r="BB150" s="39"/>
      <c r="BC150" s="40"/>
      <c r="BD150" s="8"/>
      <c r="BE150" s="524" t="s">
        <v>71</v>
      </c>
      <c r="BF150" s="525"/>
      <c r="BG150" s="525"/>
      <c r="BH150" s="525"/>
      <c r="BI150" s="525"/>
      <c r="BJ150" s="525"/>
      <c r="BK150" s="526"/>
    </row>
    <row r="151" spans="1:63" ht="14.25" customHeight="1" x14ac:dyDescent="0.25">
      <c r="A151" s="527" t="s">
        <v>72</v>
      </c>
      <c r="B151" s="528"/>
      <c r="C151" s="528"/>
      <c r="D151" s="528"/>
      <c r="E151" s="528"/>
      <c r="F151" s="528"/>
      <c r="G151" s="529"/>
      <c r="H151" s="8"/>
      <c r="I151" s="530" t="s">
        <v>85</v>
      </c>
      <c r="J151" s="531"/>
      <c r="K151" s="531"/>
      <c r="L151" s="531"/>
      <c r="M151" s="531"/>
      <c r="N151" s="531"/>
      <c r="O151" s="532"/>
      <c r="Q151" s="527" t="s">
        <v>72</v>
      </c>
      <c r="R151" s="528"/>
      <c r="S151" s="528"/>
      <c r="T151" s="528"/>
      <c r="U151" s="528"/>
      <c r="V151" s="528"/>
      <c r="W151" s="529"/>
      <c r="X151" s="8"/>
      <c r="Y151" s="530" t="s">
        <v>85</v>
      </c>
      <c r="Z151" s="531"/>
      <c r="AA151" s="531"/>
      <c r="AB151" s="531"/>
      <c r="AC151" s="531"/>
      <c r="AD151" s="531"/>
      <c r="AE151" s="532"/>
      <c r="AG151" s="527" t="s">
        <v>72</v>
      </c>
      <c r="AH151" s="528"/>
      <c r="AI151" s="528"/>
      <c r="AJ151" s="528"/>
      <c r="AK151" s="528"/>
      <c r="AL151" s="528"/>
      <c r="AM151" s="529"/>
      <c r="AN151" s="8"/>
      <c r="AO151" s="530" t="s">
        <v>85</v>
      </c>
      <c r="AP151" s="531"/>
      <c r="AQ151" s="531"/>
      <c r="AR151" s="531"/>
      <c r="AS151" s="531"/>
      <c r="AT151" s="531"/>
      <c r="AU151" s="532"/>
      <c r="AW151" s="527" t="s">
        <v>72</v>
      </c>
      <c r="AX151" s="528"/>
      <c r="AY151" s="528"/>
      <c r="AZ151" s="528"/>
      <c r="BA151" s="528"/>
      <c r="BB151" s="528"/>
      <c r="BC151" s="529"/>
      <c r="BD151" s="8"/>
      <c r="BE151" s="530" t="s">
        <v>85</v>
      </c>
      <c r="BF151" s="531"/>
      <c r="BG151" s="531"/>
      <c r="BH151" s="531"/>
      <c r="BI151" s="531"/>
      <c r="BJ151" s="531"/>
      <c r="BK151" s="532"/>
    </row>
    <row r="152" spans="1:63" ht="15" x14ac:dyDescent="0.25">
      <c r="A152" s="527"/>
      <c r="B152" s="528"/>
      <c r="C152" s="528"/>
      <c r="D152" s="528"/>
      <c r="E152" s="528"/>
      <c r="F152" s="528"/>
      <c r="G152" s="529"/>
      <c r="H152" s="8"/>
      <c r="I152" s="530"/>
      <c r="J152" s="531"/>
      <c r="K152" s="531"/>
      <c r="L152" s="531"/>
      <c r="M152" s="531"/>
      <c r="N152" s="531"/>
      <c r="O152" s="532"/>
      <c r="Q152" s="527"/>
      <c r="R152" s="528"/>
      <c r="S152" s="528"/>
      <c r="T152" s="528"/>
      <c r="U152" s="528"/>
      <c r="V152" s="528"/>
      <c r="W152" s="529"/>
      <c r="X152" s="8"/>
      <c r="Y152" s="530"/>
      <c r="Z152" s="531"/>
      <c r="AA152" s="531"/>
      <c r="AB152" s="531"/>
      <c r="AC152" s="531"/>
      <c r="AD152" s="531"/>
      <c r="AE152" s="532"/>
      <c r="AG152" s="527"/>
      <c r="AH152" s="528"/>
      <c r="AI152" s="528"/>
      <c r="AJ152" s="528"/>
      <c r="AK152" s="528"/>
      <c r="AL152" s="528"/>
      <c r="AM152" s="529"/>
      <c r="AN152" s="8"/>
      <c r="AO152" s="530"/>
      <c r="AP152" s="531"/>
      <c r="AQ152" s="531"/>
      <c r="AR152" s="531"/>
      <c r="AS152" s="531"/>
      <c r="AT152" s="531"/>
      <c r="AU152" s="532"/>
      <c r="AW152" s="527"/>
      <c r="AX152" s="528"/>
      <c r="AY152" s="528"/>
      <c r="AZ152" s="528"/>
      <c r="BA152" s="528"/>
      <c r="BB152" s="528"/>
      <c r="BC152" s="529"/>
      <c r="BD152" s="8"/>
      <c r="BE152" s="530"/>
      <c r="BF152" s="531"/>
      <c r="BG152" s="531"/>
      <c r="BH152" s="531"/>
      <c r="BI152" s="531"/>
      <c r="BJ152" s="531"/>
      <c r="BK152" s="532"/>
    </row>
    <row r="153" spans="1:63" ht="15" x14ac:dyDescent="0.25">
      <c r="A153" s="527"/>
      <c r="B153" s="528"/>
      <c r="C153" s="528"/>
      <c r="D153" s="528"/>
      <c r="E153" s="528"/>
      <c r="F153" s="528"/>
      <c r="G153" s="529"/>
      <c r="H153" s="8"/>
      <c r="I153" s="530"/>
      <c r="J153" s="531"/>
      <c r="K153" s="531"/>
      <c r="L153" s="531"/>
      <c r="M153" s="531"/>
      <c r="N153" s="531"/>
      <c r="O153" s="532"/>
      <c r="Q153" s="527"/>
      <c r="R153" s="528"/>
      <c r="S153" s="528"/>
      <c r="T153" s="528"/>
      <c r="U153" s="528"/>
      <c r="V153" s="528"/>
      <c r="W153" s="529"/>
      <c r="X153" s="8"/>
      <c r="Y153" s="530"/>
      <c r="Z153" s="531"/>
      <c r="AA153" s="531"/>
      <c r="AB153" s="531"/>
      <c r="AC153" s="531"/>
      <c r="AD153" s="531"/>
      <c r="AE153" s="532"/>
      <c r="AG153" s="527"/>
      <c r="AH153" s="528"/>
      <c r="AI153" s="528"/>
      <c r="AJ153" s="528"/>
      <c r="AK153" s="528"/>
      <c r="AL153" s="528"/>
      <c r="AM153" s="529"/>
      <c r="AN153" s="8"/>
      <c r="AO153" s="530"/>
      <c r="AP153" s="531"/>
      <c r="AQ153" s="531"/>
      <c r="AR153" s="531"/>
      <c r="AS153" s="531"/>
      <c r="AT153" s="531"/>
      <c r="AU153" s="532"/>
      <c r="AW153" s="527"/>
      <c r="AX153" s="528"/>
      <c r="AY153" s="528"/>
      <c r="AZ153" s="528"/>
      <c r="BA153" s="528"/>
      <c r="BB153" s="528"/>
      <c r="BC153" s="529"/>
      <c r="BD153" s="8"/>
      <c r="BE153" s="530"/>
      <c r="BF153" s="531"/>
      <c r="BG153" s="531"/>
      <c r="BH153" s="531"/>
      <c r="BI153" s="531"/>
      <c r="BJ153" s="531"/>
      <c r="BK153" s="532"/>
    </row>
    <row r="154" spans="1:63" ht="15" x14ac:dyDescent="0.25">
      <c r="A154" s="527"/>
      <c r="B154" s="528"/>
      <c r="C154" s="528"/>
      <c r="D154" s="528"/>
      <c r="E154" s="528"/>
      <c r="F154" s="528"/>
      <c r="G154" s="529"/>
      <c r="H154" s="8"/>
      <c r="I154" s="530"/>
      <c r="J154" s="531"/>
      <c r="K154" s="531"/>
      <c r="L154" s="531"/>
      <c r="M154" s="531"/>
      <c r="N154" s="531"/>
      <c r="O154" s="532"/>
      <c r="Q154" s="527"/>
      <c r="R154" s="528"/>
      <c r="S154" s="528"/>
      <c r="T154" s="528"/>
      <c r="U154" s="528"/>
      <c r="V154" s="528"/>
      <c r="W154" s="529"/>
      <c r="X154" s="8"/>
      <c r="Y154" s="530"/>
      <c r="Z154" s="531"/>
      <c r="AA154" s="531"/>
      <c r="AB154" s="531"/>
      <c r="AC154" s="531"/>
      <c r="AD154" s="531"/>
      <c r="AE154" s="532"/>
      <c r="AG154" s="527"/>
      <c r="AH154" s="528"/>
      <c r="AI154" s="528"/>
      <c r="AJ154" s="528"/>
      <c r="AK154" s="528"/>
      <c r="AL154" s="528"/>
      <c r="AM154" s="529"/>
      <c r="AN154" s="8"/>
      <c r="AO154" s="530"/>
      <c r="AP154" s="531"/>
      <c r="AQ154" s="531"/>
      <c r="AR154" s="531"/>
      <c r="AS154" s="531"/>
      <c r="AT154" s="531"/>
      <c r="AU154" s="532"/>
      <c r="AW154" s="527"/>
      <c r="AX154" s="528"/>
      <c r="AY154" s="528"/>
      <c r="AZ154" s="528"/>
      <c r="BA154" s="528"/>
      <c r="BB154" s="528"/>
      <c r="BC154" s="529"/>
      <c r="BD154" s="8"/>
      <c r="BE154" s="530"/>
      <c r="BF154" s="531"/>
      <c r="BG154" s="531"/>
      <c r="BH154" s="531"/>
      <c r="BI154" s="531"/>
      <c r="BJ154" s="531"/>
      <c r="BK154" s="532"/>
    </row>
    <row r="155" spans="1:63" ht="14.25" customHeight="1" x14ac:dyDescent="0.25">
      <c r="A155" s="527" t="s">
        <v>73</v>
      </c>
      <c r="B155" s="528"/>
      <c r="C155" s="528"/>
      <c r="D155" s="528"/>
      <c r="E155" s="528"/>
      <c r="F155" s="528"/>
      <c r="G155" s="529"/>
      <c r="H155" s="8"/>
      <c r="I155" s="530"/>
      <c r="J155" s="531"/>
      <c r="K155" s="531"/>
      <c r="L155" s="531"/>
      <c r="M155" s="531"/>
      <c r="N155" s="531"/>
      <c r="O155" s="532"/>
      <c r="Q155" s="527" t="s">
        <v>73</v>
      </c>
      <c r="R155" s="528"/>
      <c r="S155" s="528"/>
      <c r="T155" s="528"/>
      <c r="U155" s="528"/>
      <c r="V155" s="528"/>
      <c r="W155" s="529"/>
      <c r="X155" s="8"/>
      <c r="Y155" s="530"/>
      <c r="Z155" s="531"/>
      <c r="AA155" s="531"/>
      <c r="AB155" s="531"/>
      <c r="AC155" s="531"/>
      <c r="AD155" s="531"/>
      <c r="AE155" s="532"/>
      <c r="AG155" s="527" t="s">
        <v>73</v>
      </c>
      <c r="AH155" s="528"/>
      <c r="AI155" s="528"/>
      <c r="AJ155" s="528"/>
      <c r="AK155" s="528"/>
      <c r="AL155" s="528"/>
      <c r="AM155" s="529"/>
      <c r="AN155" s="8"/>
      <c r="AO155" s="530"/>
      <c r="AP155" s="531"/>
      <c r="AQ155" s="531"/>
      <c r="AR155" s="531"/>
      <c r="AS155" s="531"/>
      <c r="AT155" s="531"/>
      <c r="AU155" s="532"/>
      <c r="AW155" s="527" t="s">
        <v>73</v>
      </c>
      <c r="AX155" s="528"/>
      <c r="AY155" s="528"/>
      <c r="AZ155" s="528"/>
      <c r="BA155" s="528"/>
      <c r="BB155" s="528"/>
      <c r="BC155" s="529"/>
      <c r="BD155" s="8"/>
      <c r="BE155" s="530"/>
      <c r="BF155" s="531"/>
      <c r="BG155" s="531"/>
      <c r="BH155" s="531"/>
      <c r="BI155" s="531"/>
      <c r="BJ155" s="531"/>
      <c r="BK155" s="532"/>
    </row>
    <row r="156" spans="1:63" thickBot="1" x14ac:dyDescent="0.3">
      <c r="A156" s="533"/>
      <c r="B156" s="534"/>
      <c r="C156" s="534"/>
      <c r="D156" s="534"/>
      <c r="E156" s="534"/>
      <c r="F156" s="534"/>
      <c r="G156" s="535"/>
      <c r="H156" s="8"/>
      <c r="I156" s="547" t="s">
        <v>74</v>
      </c>
      <c r="J156" s="548"/>
      <c r="K156" s="548"/>
      <c r="L156" s="548"/>
      <c r="M156" s="548"/>
      <c r="N156" s="548"/>
      <c r="O156" s="549"/>
      <c r="Q156" s="533"/>
      <c r="R156" s="534"/>
      <c r="S156" s="534"/>
      <c r="T156" s="534"/>
      <c r="U156" s="534"/>
      <c r="V156" s="534"/>
      <c r="W156" s="535"/>
      <c r="X156" s="8"/>
      <c r="Y156" s="547" t="s">
        <v>74</v>
      </c>
      <c r="Z156" s="548"/>
      <c r="AA156" s="548"/>
      <c r="AB156" s="548"/>
      <c r="AC156" s="548"/>
      <c r="AD156" s="548"/>
      <c r="AE156" s="549"/>
      <c r="AG156" s="533"/>
      <c r="AH156" s="534"/>
      <c r="AI156" s="534"/>
      <c r="AJ156" s="534"/>
      <c r="AK156" s="534"/>
      <c r="AL156" s="534"/>
      <c r="AM156" s="535"/>
      <c r="AN156" s="8"/>
      <c r="AO156" s="547" t="s">
        <v>74</v>
      </c>
      <c r="AP156" s="548"/>
      <c r="AQ156" s="548"/>
      <c r="AR156" s="548"/>
      <c r="AS156" s="548"/>
      <c r="AT156" s="548"/>
      <c r="AU156" s="549"/>
      <c r="AW156" s="533"/>
      <c r="AX156" s="534"/>
      <c r="AY156" s="534"/>
      <c r="AZ156" s="534"/>
      <c r="BA156" s="534"/>
      <c r="BB156" s="534"/>
      <c r="BC156" s="535"/>
      <c r="BD156" s="8"/>
      <c r="BE156" s="547" t="s">
        <v>74</v>
      </c>
      <c r="BF156" s="548"/>
      <c r="BG156" s="548"/>
      <c r="BH156" s="548"/>
      <c r="BI156" s="548"/>
      <c r="BJ156" s="548"/>
      <c r="BK156" s="549"/>
    </row>
    <row r="157" spans="1:63" ht="15" customHeight="1" thickTop="1" x14ac:dyDescent="0.25">
      <c r="A157" s="142"/>
      <c r="B157" s="156"/>
      <c r="C157" s="8"/>
      <c r="D157" s="8"/>
      <c r="E157" s="8"/>
      <c r="F157" s="8"/>
      <c r="G157" s="8"/>
      <c r="H157" s="8"/>
      <c r="I157" s="553" t="s">
        <v>75</v>
      </c>
      <c r="J157" s="554"/>
      <c r="K157" s="554"/>
      <c r="L157" s="554"/>
      <c r="M157" s="554"/>
      <c r="N157" s="554"/>
      <c r="O157" s="555"/>
      <c r="Q157" s="142"/>
      <c r="R157" s="8"/>
      <c r="S157" s="8"/>
      <c r="T157" s="8"/>
      <c r="U157" s="8"/>
      <c r="V157" s="8"/>
      <c r="W157" s="8"/>
      <c r="X157" s="8"/>
      <c r="Y157" s="553" t="s">
        <v>75</v>
      </c>
      <c r="Z157" s="554"/>
      <c r="AA157" s="554"/>
      <c r="AB157" s="554"/>
      <c r="AC157" s="554"/>
      <c r="AD157" s="554"/>
      <c r="AE157" s="555"/>
      <c r="AG157" s="142"/>
      <c r="AH157" s="8"/>
      <c r="AI157" s="8"/>
      <c r="AJ157" s="8"/>
      <c r="AK157" s="8"/>
      <c r="AL157" s="8"/>
      <c r="AM157" s="8"/>
      <c r="AN157" s="8"/>
      <c r="AO157" s="553" t="s">
        <v>75</v>
      </c>
      <c r="AP157" s="554"/>
      <c r="AQ157" s="554"/>
      <c r="AR157" s="554"/>
      <c r="AS157" s="554"/>
      <c r="AT157" s="554"/>
      <c r="AU157" s="555"/>
      <c r="AW157" s="142"/>
      <c r="AX157" s="8"/>
      <c r="AY157" s="8"/>
      <c r="AZ157" s="8"/>
      <c r="BA157" s="8"/>
      <c r="BB157" s="8"/>
      <c r="BC157" s="8"/>
      <c r="BD157" s="8"/>
      <c r="BE157" s="553" t="s">
        <v>75</v>
      </c>
      <c r="BF157" s="554"/>
      <c r="BG157" s="554"/>
      <c r="BH157" s="554"/>
      <c r="BI157" s="554"/>
      <c r="BJ157" s="554"/>
      <c r="BK157" s="555"/>
    </row>
    <row r="158" spans="1:63" ht="15" customHeight="1" thickBot="1" x14ac:dyDescent="0.3">
      <c r="A158" s="142"/>
      <c r="B158" s="156"/>
      <c r="C158" s="8"/>
      <c r="D158" s="8"/>
      <c r="E158" s="8"/>
      <c r="F158" s="8"/>
      <c r="G158" s="8"/>
      <c r="H158" s="71"/>
      <c r="I158" s="553"/>
      <c r="J158" s="554"/>
      <c r="K158" s="554"/>
      <c r="L158" s="554"/>
      <c r="M158" s="554"/>
      <c r="N158" s="554"/>
      <c r="O158" s="555"/>
      <c r="Q158" s="142"/>
      <c r="R158" s="8"/>
      <c r="S158" s="8"/>
      <c r="T158" s="8"/>
      <c r="U158" s="8"/>
      <c r="V158" s="8"/>
      <c r="W158" s="8"/>
      <c r="X158" s="71"/>
      <c r="Y158" s="553"/>
      <c r="Z158" s="554"/>
      <c r="AA158" s="554"/>
      <c r="AB158" s="554"/>
      <c r="AC158" s="554"/>
      <c r="AD158" s="554"/>
      <c r="AE158" s="555"/>
      <c r="AG158" s="142"/>
      <c r="AH158" s="8"/>
      <c r="AI158" s="8"/>
      <c r="AJ158" s="8"/>
      <c r="AK158" s="8"/>
      <c r="AL158" s="8"/>
      <c r="AM158" s="8"/>
      <c r="AN158" s="71"/>
      <c r="AO158" s="553"/>
      <c r="AP158" s="554"/>
      <c r="AQ158" s="554"/>
      <c r="AR158" s="554"/>
      <c r="AS158" s="554"/>
      <c r="AT158" s="554"/>
      <c r="AU158" s="555"/>
      <c r="AW158" s="142"/>
      <c r="AX158" s="8"/>
      <c r="AY158" s="8"/>
      <c r="AZ158" s="8"/>
      <c r="BA158" s="8"/>
      <c r="BB158" s="8"/>
      <c r="BC158" s="8"/>
      <c r="BD158" s="71"/>
      <c r="BE158" s="553"/>
      <c r="BF158" s="554"/>
      <c r="BG158" s="554"/>
      <c r="BH158" s="554"/>
      <c r="BI158" s="554"/>
      <c r="BJ158" s="554"/>
      <c r="BK158" s="555"/>
    </row>
    <row r="159" spans="1:63" ht="18" customHeight="1" thickTop="1" x14ac:dyDescent="0.25">
      <c r="A159" s="142"/>
      <c r="B159" s="562" t="s">
        <v>76</v>
      </c>
      <c r="C159" s="563"/>
      <c r="D159" s="563"/>
      <c r="E159" s="563"/>
      <c r="F159" s="39"/>
      <c r="G159" s="39"/>
      <c r="H159" s="40"/>
      <c r="I159" s="547" t="s">
        <v>77</v>
      </c>
      <c r="J159" s="548"/>
      <c r="K159" s="548"/>
      <c r="L159" s="548"/>
      <c r="M159" s="548"/>
      <c r="N159" s="548"/>
      <c r="O159" s="549"/>
      <c r="Q159" s="142"/>
      <c r="R159" s="562" t="s">
        <v>76</v>
      </c>
      <c r="S159" s="563"/>
      <c r="T159" s="563"/>
      <c r="U159" s="563"/>
      <c r="V159" s="39"/>
      <c r="W159" s="39"/>
      <c r="X159" s="40"/>
      <c r="Y159" s="547" t="s">
        <v>77</v>
      </c>
      <c r="Z159" s="548"/>
      <c r="AA159" s="548"/>
      <c r="AB159" s="548"/>
      <c r="AC159" s="548"/>
      <c r="AD159" s="548"/>
      <c r="AE159" s="549"/>
      <c r="AG159" s="142"/>
      <c r="AH159" s="562" t="s">
        <v>76</v>
      </c>
      <c r="AI159" s="563"/>
      <c r="AJ159" s="563"/>
      <c r="AK159" s="563"/>
      <c r="AL159" s="39"/>
      <c r="AM159" s="39"/>
      <c r="AN159" s="40"/>
      <c r="AO159" s="547" t="s">
        <v>77</v>
      </c>
      <c r="AP159" s="548"/>
      <c r="AQ159" s="548"/>
      <c r="AR159" s="548"/>
      <c r="AS159" s="548"/>
      <c r="AT159" s="548"/>
      <c r="AU159" s="549"/>
      <c r="AW159" s="142"/>
      <c r="AX159" s="562" t="s">
        <v>76</v>
      </c>
      <c r="AY159" s="563"/>
      <c r="AZ159" s="563"/>
      <c r="BA159" s="563"/>
      <c r="BB159" s="39"/>
      <c r="BC159" s="39"/>
      <c r="BD159" s="40"/>
      <c r="BE159" s="547" t="s">
        <v>77</v>
      </c>
      <c r="BF159" s="548"/>
      <c r="BG159" s="548"/>
      <c r="BH159" s="548"/>
      <c r="BI159" s="548"/>
      <c r="BJ159" s="548"/>
      <c r="BK159" s="549"/>
    </row>
    <row r="160" spans="1:63" ht="15" customHeight="1" x14ac:dyDescent="0.25">
      <c r="A160" s="142"/>
      <c r="B160" s="550" t="s">
        <v>78</v>
      </c>
      <c r="C160" s="551"/>
      <c r="D160" s="551"/>
      <c r="E160" s="551"/>
      <c r="F160" s="551"/>
      <c r="G160" s="551"/>
      <c r="H160" s="552"/>
      <c r="I160" s="553" t="s">
        <v>79</v>
      </c>
      <c r="J160" s="554"/>
      <c r="K160" s="554"/>
      <c r="L160" s="554"/>
      <c r="M160" s="554"/>
      <c r="N160" s="554"/>
      <c r="O160" s="555"/>
      <c r="Q160" s="142"/>
      <c r="R160" s="550" t="s">
        <v>78</v>
      </c>
      <c r="S160" s="551"/>
      <c r="T160" s="551"/>
      <c r="U160" s="551"/>
      <c r="V160" s="551"/>
      <c r="W160" s="551"/>
      <c r="X160" s="552"/>
      <c r="Y160" s="553" t="s">
        <v>79</v>
      </c>
      <c r="Z160" s="554"/>
      <c r="AA160" s="554"/>
      <c r="AB160" s="554"/>
      <c r="AC160" s="554"/>
      <c r="AD160" s="554"/>
      <c r="AE160" s="555"/>
      <c r="AG160" s="142"/>
      <c r="AH160" s="550" t="s">
        <v>78</v>
      </c>
      <c r="AI160" s="551"/>
      <c r="AJ160" s="551"/>
      <c r="AK160" s="551"/>
      <c r="AL160" s="551"/>
      <c r="AM160" s="551"/>
      <c r="AN160" s="552"/>
      <c r="AO160" s="553" t="s">
        <v>79</v>
      </c>
      <c r="AP160" s="554"/>
      <c r="AQ160" s="554"/>
      <c r="AR160" s="554"/>
      <c r="AS160" s="554"/>
      <c r="AT160" s="554"/>
      <c r="AU160" s="555"/>
      <c r="AW160" s="142"/>
      <c r="AX160" s="550" t="s">
        <v>78</v>
      </c>
      <c r="AY160" s="551"/>
      <c r="AZ160" s="551"/>
      <c r="BA160" s="551"/>
      <c r="BB160" s="551"/>
      <c r="BC160" s="551"/>
      <c r="BD160" s="552"/>
      <c r="BE160" s="553" t="s">
        <v>79</v>
      </c>
      <c r="BF160" s="554"/>
      <c r="BG160" s="554"/>
      <c r="BH160" s="554"/>
      <c r="BI160" s="554"/>
      <c r="BJ160" s="554"/>
      <c r="BK160" s="555"/>
    </row>
    <row r="161" spans="1:64" ht="14.25" customHeight="1" x14ac:dyDescent="0.25">
      <c r="A161" s="142"/>
      <c r="B161" s="556" t="s">
        <v>91</v>
      </c>
      <c r="C161" s="454"/>
      <c r="D161" s="454"/>
      <c r="E161" s="454"/>
      <c r="F161" s="454"/>
      <c r="G161" s="454"/>
      <c r="H161" s="455"/>
      <c r="I161" s="553"/>
      <c r="J161" s="554"/>
      <c r="K161" s="554"/>
      <c r="L161" s="554"/>
      <c r="M161" s="554"/>
      <c r="N161" s="554"/>
      <c r="O161" s="555"/>
      <c r="Q161" s="142"/>
      <c r="R161" s="556" t="s">
        <v>91</v>
      </c>
      <c r="S161" s="454"/>
      <c r="T161" s="454"/>
      <c r="U161" s="454"/>
      <c r="V161" s="454"/>
      <c r="W161" s="454"/>
      <c r="X161" s="455"/>
      <c r="Y161" s="553"/>
      <c r="Z161" s="554"/>
      <c r="AA161" s="554"/>
      <c r="AB161" s="554"/>
      <c r="AC161" s="554"/>
      <c r="AD161" s="554"/>
      <c r="AE161" s="555"/>
      <c r="AG161" s="142"/>
      <c r="AH161" s="556" t="s">
        <v>91</v>
      </c>
      <c r="AI161" s="454"/>
      <c r="AJ161" s="454"/>
      <c r="AK161" s="454"/>
      <c r="AL161" s="454"/>
      <c r="AM161" s="454"/>
      <c r="AN161" s="455"/>
      <c r="AO161" s="553"/>
      <c r="AP161" s="554"/>
      <c r="AQ161" s="554"/>
      <c r="AR161" s="554"/>
      <c r="AS161" s="554"/>
      <c r="AT161" s="554"/>
      <c r="AU161" s="555"/>
      <c r="AW161" s="142"/>
      <c r="AX161" s="556" t="s">
        <v>91</v>
      </c>
      <c r="AY161" s="454"/>
      <c r="AZ161" s="454"/>
      <c r="BA161" s="454"/>
      <c r="BB161" s="454"/>
      <c r="BC161" s="454"/>
      <c r="BD161" s="455"/>
      <c r="BE161" s="553"/>
      <c r="BF161" s="554"/>
      <c r="BG161" s="554"/>
      <c r="BH161" s="554"/>
      <c r="BI161" s="554"/>
      <c r="BJ161" s="554"/>
      <c r="BK161" s="555"/>
    </row>
    <row r="162" spans="1:64" ht="14.25" customHeight="1" x14ac:dyDescent="0.25">
      <c r="A162" s="142"/>
      <c r="B162" s="556"/>
      <c r="C162" s="454"/>
      <c r="D162" s="454"/>
      <c r="E162" s="454"/>
      <c r="F162" s="454"/>
      <c r="G162" s="454"/>
      <c r="H162" s="455"/>
      <c r="I162" s="554" t="s">
        <v>80</v>
      </c>
      <c r="J162" s="554"/>
      <c r="K162" s="554"/>
      <c r="L162" s="554"/>
      <c r="M162" s="554"/>
      <c r="N162" s="554"/>
      <c r="O162" s="555"/>
      <c r="Q162" s="142"/>
      <c r="R162" s="556"/>
      <c r="S162" s="454"/>
      <c r="T162" s="454"/>
      <c r="U162" s="454"/>
      <c r="V162" s="454"/>
      <c r="W162" s="454"/>
      <c r="X162" s="455"/>
      <c r="Y162" s="554" t="s">
        <v>80</v>
      </c>
      <c r="Z162" s="554"/>
      <c r="AA162" s="554"/>
      <c r="AB162" s="554"/>
      <c r="AC162" s="554"/>
      <c r="AD162" s="554"/>
      <c r="AE162" s="555"/>
      <c r="AG162" s="142"/>
      <c r="AH162" s="556"/>
      <c r="AI162" s="454"/>
      <c r="AJ162" s="454"/>
      <c r="AK162" s="454"/>
      <c r="AL162" s="454"/>
      <c r="AM162" s="454"/>
      <c r="AN162" s="455"/>
      <c r="AO162" s="554" t="s">
        <v>80</v>
      </c>
      <c r="AP162" s="554"/>
      <c r="AQ162" s="554"/>
      <c r="AR162" s="554"/>
      <c r="AS162" s="554"/>
      <c r="AT162" s="554"/>
      <c r="AU162" s="555"/>
      <c r="AW162" s="142"/>
      <c r="AX162" s="556"/>
      <c r="AY162" s="454"/>
      <c r="AZ162" s="454"/>
      <c r="BA162" s="454"/>
      <c r="BB162" s="454"/>
      <c r="BC162" s="454"/>
      <c r="BD162" s="455"/>
      <c r="BE162" s="554" t="s">
        <v>80</v>
      </c>
      <c r="BF162" s="554"/>
      <c r="BG162" s="554"/>
      <c r="BH162" s="554"/>
      <c r="BI162" s="554"/>
      <c r="BJ162" s="554"/>
      <c r="BK162" s="555"/>
    </row>
    <row r="163" spans="1:64" ht="15" customHeight="1" thickBot="1" x14ac:dyDescent="0.3">
      <c r="A163" s="142"/>
      <c r="B163" s="557"/>
      <c r="C163" s="558"/>
      <c r="D163" s="558"/>
      <c r="E163" s="558"/>
      <c r="F163" s="558"/>
      <c r="G163" s="558"/>
      <c r="H163" s="559"/>
      <c r="I163" s="560"/>
      <c r="J163" s="560"/>
      <c r="K163" s="560"/>
      <c r="L163" s="560"/>
      <c r="M163" s="560"/>
      <c r="N163" s="560"/>
      <c r="O163" s="561"/>
      <c r="Q163" s="142"/>
      <c r="R163" s="557"/>
      <c r="S163" s="558"/>
      <c r="T163" s="558"/>
      <c r="U163" s="558"/>
      <c r="V163" s="558"/>
      <c r="W163" s="558"/>
      <c r="X163" s="559"/>
      <c r="Y163" s="560"/>
      <c r="Z163" s="560"/>
      <c r="AA163" s="560"/>
      <c r="AB163" s="560"/>
      <c r="AC163" s="560"/>
      <c r="AD163" s="560"/>
      <c r="AE163" s="561"/>
      <c r="AG163" s="142"/>
      <c r="AH163" s="557"/>
      <c r="AI163" s="558"/>
      <c r="AJ163" s="558"/>
      <c r="AK163" s="558"/>
      <c r="AL163" s="558"/>
      <c r="AM163" s="558"/>
      <c r="AN163" s="559"/>
      <c r="AO163" s="560"/>
      <c r="AP163" s="560"/>
      <c r="AQ163" s="560"/>
      <c r="AR163" s="560"/>
      <c r="AS163" s="560"/>
      <c r="AT163" s="560"/>
      <c r="AU163" s="561"/>
      <c r="AW163" s="142"/>
      <c r="AX163" s="557"/>
      <c r="AY163" s="558"/>
      <c r="AZ163" s="558"/>
      <c r="BA163" s="558"/>
      <c r="BB163" s="558"/>
      <c r="BC163" s="558"/>
      <c r="BD163" s="559"/>
      <c r="BE163" s="560"/>
      <c r="BF163" s="560"/>
      <c r="BG163" s="560"/>
      <c r="BH163" s="560"/>
      <c r="BI163" s="560"/>
      <c r="BJ163" s="560"/>
      <c r="BK163" s="561"/>
    </row>
    <row r="164" spans="1:64" ht="17.25" thickTop="1" thickBot="1" x14ac:dyDescent="0.3">
      <c r="A164" s="143"/>
      <c r="B164" s="157"/>
      <c r="C164" s="564"/>
      <c r="D164" s="564"/>
      <c r="E164" s="564"/>
      <c r="F164" s="564"/>
      <c r="G164" s="564"/>
      <c r="H164" s="41"/>
      <c r="I164" s="42"/>
      <c r="J164" s="42"/>
      <c r="K164" s="42"/>
      <c r="L164" s="42"/>
      <c r="M164" s="113"/>
      <c r="N164" s="163"/>
      <c r="O164" s="164"/>
      <c r="Q164" s="143"/>
      <c r="R164" s="41"/>
      <c r="S164" s="564"/>
      <c r="T164" s="564"/>
      <c r="U164" s="564"/>
      <c r="V164" s="564"/>
      <c r="W164" s="564"/>
      <c r="X164" s="41"/>
      <c r="Y164" s="42"/>
      <c r="Z164" s="42"/>
      <c r="AA164" s="42"/>
      <c r="AB164" s="42"/>
      <c r="AC164" s="113"/>
      <c r="AD164" s="113"/>
      <c r="AE164" s="114"/>
      <c r="AG164" s="143"/>
      <c r="AH164" s="41"/>
      <c r="AI164" s="564"/>
      <c r="AJ164" s="564"/>
      <c r="AK164" s="564"/>
      <c r="AL164" s="564"/>
      <c r="AM164" s="564"/>
      <c r="AN164" s="41"/>
      <c r="AO164" s="42"/>
      <c r="AP164" s="42"/>
      <c r="AQ164" s="42"/>
      <c r="AR164" s="42"/>
      <c r="AS164" s="113"/>
      <c r="AT164" s="113"/>
      <c r="AU164" s="113"/>
      <c r="AV164" s="69"/>
      <c r="AW164" s="143"/>
      <c r="AX164" s="41"/>
      <c r="AY164" s="564"/>
      <c r="AZ164" s="564"/>
      <c r="BA164" s="564"/>
      <c r="BB164" s="564"/>
      <c r="BC164" s="564"/>
      <c r="BD164" s="41"/>
      <c r="BE164" s="42"/>
      <c r="BF164" s="42"/>
      <c r="BG164" s="42"/>
      <c r="BH164" s="42"/>
      <c r="BI164" s="113"/>
      <c r="BJ164" s="113"/>
      <c r="BK164" s="114"/>
    </row>
    <row r="165" spans="1:64" ht="17.25" thickTop="1" thickBot="1" x14ac:dyDescent="0.3">
      <c r="D165" s="66"/>
      <c r="T165" s="66"/>
      <c r="AJ165" s="66"/>
      <c r="AZ165" s="66"/>
    </row>
    <row r="166" spans="1:64" ht="24.95" customHeight="1" thickTop="1" x14ac:dyDescent="0.25">
      <c r="A166" s="565" t="s">
        <v>81</v>
      </c>
      <c r="B166" s="566"/>
      <c r="C166" s="566"/>
      <c r="D166" s="430" t="str">
        <f>ادخال1!$N$4</f>
        <v>الرابع</v>
      </c>
      <c r="E166" s="430"/>
      <c r="F166" s="567" t="s">
        <v>82</v>
      </c>
      <c r="G166" s="567"/>
      <c r="H166" s="567"/>
      <c r="I166" s="13"/>
      <c r="J166" s="13"/>
      <c r="K166" s="13"/>
      <c r="L166" s="13"/>
      <c r="M166" s="106"/>
      <c r="N166" s="106"/>
      <c r="O166" s="107">
        <f>O125+1</f>
        <v>5</v>
      </c>
      <c r="Q166" s="565" t="s">
        <v>81</v>
      </c>
      <c r="R166" s="566"/>
      <c r="S166" s="566"/>
      <c r="T166" s="430" t="str">
        <f>ادخال1!$N$4</f>
        <v>الرابع</v>
      </c>
      <c r="U166" s="430"/>
      <c r="V166" s="567" t="s">
        <v>82</v>
      </c>
      <c r="W166" s="567"/>
      <c r="X166" s="567"/>
      <c r="Y166" s="13"/>
      <c r="Z166" s="13"/>
      <c r="AA166" s="13"/>
      <c r="AB166" s="13"/>
      <c r="AC166" s="106"/>
      <c r="AD166" s="106"/>
      <c r="AE166" s="107">
        <f>AE125+1</f>
        <v>10</v>
      </c>
      <c r="AG166" s="565" t="s">
        <v>81</v>
      </c>
      <c r="AH166" s="566"/>
      <c r="AI166" s="566"/>
      <c r="AJ166" s="430" t="str">
        <f>ادخال1!$N$4</f>
        <v>الرابع</v>
      </c>
      <c r="AK166" s="430"/>
      <c r="AL166" s="567" t="s">
        <v>82</v>
      </c>
      <c r="AM166" s="567"/>
      <c r="AN166" s="567"/>
      <c r="AO166" s="13"/>
      <c r="AP166" s="13"/>
      <c r="AQ166" s="13"/>
      <c r="AR166" s="13"/>
      <c r="AS166" s="106"/>
      <c r="AT166" s="106"/>
      <c r="AU166" s="107">
        <f>AU125+1</f>
        <v>15</v>
      </c>
      <c r="AW166" s="565" t="s">
        <v>81</v>
      </c>
      <c r="AX166" s="566"/>
      <c r="AY166" s="566"/>
      <c r="AZ166" s="430" t="str">
        <f>ادخال1!$N$4</f>
        <v>الرابع</v>
      </c>
      <c r="BA166" s="430"/>
      <c r="BB166" s="567" t="s">
        <v>82</v>
      </c>
      <c r="BC166" s="567"/>
      <c r="BD166" s="567"/>
      <c r="BE166" s="13"/>
      <c r="BF166" s="13"/>
      <c r="BG166" s="13"/>
      <c r="BH166" s="13"/>
      <c r="BI166" s="106"/>
      <c r="BJ166" s="106"/>
      <c r="BK166" s="107">
        <f>BK125+1</f>
        <v>20</v>
      </c>
    </row>
    <row r="167" spans="1:64" ht="19.899999999999999" customHeight="1" thickBot="1" x14ac:dyDescent="0.3">
      <c r="A167" s="273" t="s">
        <v>153</v>
      </c>
      <c r="B167" s="576" t="str">
        <f>ادخال1!$B$5</f>
        <v xml:space="preserve">سهول العلم للتعليم الخاص </v>
      </c>
      <c r="C167" s="576"/>
      <c r="D167" s="576"/>
      <c r="E167" s="576"/>
      <c r="F167" s="576"/>
      <c r="G167" s="576"/>
      <c r="H167" s="491" t="s">
        <v>9</v>
      </c>
      <c r="I167" s="491"/>
      <c r="J167" s="492">
        <f>M182</f>
        <v>0</v>
      </c>
      <c r="K167" s="492"/>
      <c r="L167" s="492"/>
      <c r="M167" s="492"/>
      <c r="N167" s="492"/>
      <c r="O167" s="158"/>
      <c r="Q167" s="273" t="s">
        <v>153</v>
      </c>
      <c r="R167" s="576" t="str">
        <f>ادخال1!$B$5</f>
        <v xml:space="preserve">سهول العلم للتعليم الخاص </v>
      </c>
      <c r="S167" s="576"/>
      <c r="T167" s="576"/>
      <c r="U167" s="576"/>
      <c r="V167" s="576"/>
      <c r="W167" s="576"/>
      <c r="X167" s="491" t="s">
        <v>9</v>
      </c>
      <c r="Y167" s="491"/>
      <c r="Z167" s="492">
        <f>AC182</f>
        <v>0</v>
      </c>
      <c r="AA167" s="492"/>
      <c r="AB167" s="492"/>
      <c r="AC167" s="492"/>
      <c r="AD167" s="492"/>
      <c r="AE167" s="158"/>
      <c r="AG167" s="273" t="s">
        <v>153</v>
      </c>
      <c r="AH167" s="576" t="str">
        <f>ادخال1!$B$5</f>
        <v xml:space="preserve">سهول العلم للتعليم الخاص </v>
      </c>
      <c r="AI167" s="576"/>
      <c r="AJ167" s="576"/>
      <c r="AK167" s="576"/>
      <c r="AL167" s="576"/>
      <c r="AM167" s="576"/>
      <c r="AN167" s="491" t="s">
        <v>9</v>
      </c>
      <c r="AO167" s="491"/>
      <c r="AP167" s="492">
        <f>AS182</f>
        <v>0</v>
      </c>
      <c r="AQ167" s="492"/>
      <c r="AR167" s="492"/>
      <c r="AS167" s="492"/>
      <c r="AT167" s="492"/>
      <c r="AU167" s="158"/>
      <c r="AW167" s="273" t="s">
        <v>153</v>
      </c>
      <c r="AX167" s="576" t="str">
        <f>ادخال1!$B$5</f>
        <v xml:space="preserve">سهول العلم للتعليم الخاص </v>
      </c>
      <c r="AY167" s="576"/>
      <c r="AZ167" s="576"/>
      <c r="BA167" s="576"/>
      <c r="BB167" s="576"/>
      <c r="BC167" s="576"/>
      <c r="BD167" s="491" t="s">
        <v>9</v>
      </c>
      <c r="BE167" s="491"/>
      <c r="BF167" s="492">
        <f>BI182</f>
        <v>0</v>
      </c>
      <c r="BG167" s="492"/>
      <c r="BH167" s="492"/>
      <c r="BI167" s="492"/>
      <c r="BJ167" s="492"/>
      <c r="BK167" s="158"/>
    </row>
    <row r="168" spans="1:64" ht="19.899999999999999" customHeight="1" thickBot="1" x14ac:dyDescent="0.3">
      <c r="A168" s="135" t="s">
        <v>46</v>
      </c>
      <c r="B168" s="493" t="s">
        <v>12</v>
      </c>
      <c r="C168" s="495" t="s">
        <v>47</v>
      </c>
      <c r="D168" s="496"/>
      <c r="E168" s="497" t="s">
        <v>48</v>
      </c>
      <c r="F168" s="497"/>
      <c r="G168" s="498" t="s">
        <v>49</v>
      </c>
      <c r="H168" s="499"/>
      <c r="I168" s="500" t="s">
        <v>50</v>
      </c>
      <c r="J168" s="501"/>
      <c r="K168" s="502"/>
      <c r="L168" s="28"/>
      <c r="M168" s="503" t="s">
        <v>51</v>
      </c>
      <c r="N168" s="504"/>
      <c r="O168" s="505"/>
      <c r="Q168" s="135" t="s">
        <v>46</v>
      </c>
      <c r="R168" s="493" t="s">
        <v>12</v>
      </c>
      <c r="S168" s="495" t="s">
        <v>47</v>
      </c>
      <c r="T168" s="496"/>
      <c r="U168" s="497" t="s">
        <v>48</v>
      </c>
      <c r="V168" s="497"/>
      <c r="W168" s="498" t="s">
        <v>49</v>
      </c>
      <c r="X168" s="499"/>
      <c r="Y168" s="500" t="s">
        <v>50</v>
      </c>
      <c r="Z168" s="501"/>
      <c r="AA168" s="502"/>
      <c r="AB168" s="28"/>
      <c r="AC168" s="503" t="s">
        <v>51</v>
      </c>
      <c r="AD168" s="504"/>
      <c r="AE168" s="505"/>
      <c r="AG168" s="135" t="s">
        <v>46</v>
      </c>
      <c r="AH168" s="493" t="s">
        <v>12</v>
      </c>
      <c r="AI168" s="495" t="s">
        <v>47</v>
      </c>
      <c r="AJ168" s="496"/>
      <c r="AK168" s="497" t="s">
        <v>48</v>
      </c>
      <c r="AL168" s="497"/>
      <c r="AM168" s="498" t="s">
        <v>49</v>
      </c>
      <c r="AN168" s="499"/>
      <c r="AO168" s="500" t="s">
        <v>50</v>
      </c>
      <c r="AP168" s="501"/>
      <c r="AQ168" s="502"/>
      <c r="AR168" s="28"/>
      <c r="AS168" s="503" t="s">
        <v>51</v>
      </c>
      <c r="AT168" s="504"/>
      <c r="AU168" s="505"/>
      <c r="AW168" s="135" t="s">
        <v>46</v>
      </c>
      <c r="AX168" s="493" t="s">
        <v>12</v>
      </c>
      <c r="AY168" s="495" t="s">
        <v>47</v>
      </c>
      <c r="AZ168" s="496"/>
      <c r="BA168" s="497" t="s">
        <v>48</v>
      </c>
      <c r="BB168" s="497"/>
      <c r="BC168" s="498" t="s">
        <v>49</v>
      </c>
      <c r="BD168" s="499"/>
      <c r="BE168" s="500" t="s">
        <v>50</v>
      </c>
      <c r="BF168" s="501"/>
      <c r="BG168" s="502"/>
      <c r="BH168" s="28"/>
      <c r="BI168" s="503" t="s">
        <v>51</v>
      </c>
      <c r="BJ168" s="504"/>
      <c r="BK168" s="505"/>
    </row>
    <row r="169" spans="1:64" ht="24.95" customHeight="1" x14ac:dyDescent="0.25">
      <c r="A169" s="60" t="s">
        <v>2</v>
      </c>
      <c r="B169" s="494"/>
      <c r="C169" s="55" t="s">
        <v>52</v>
      </c>
      <c r="D169" s="56" t="s">
        <v>53</v>
      </c>
      <c r="E169" s="57" t="s">
        <v>52</v>
      </c>
      <c r="F169" s="58" t="s">
        <v>53</v>
      </c>
      <c r="G169" s="55" t="s">
        <v>52</v>
      </c>
      <c r="H169" s="56" t="s">
        <v>53</v>
      </c>
      <c r="I169" s="55" t="s">
        <v>54</v>
      </c>
      <c r="J169" s="59" t="s">
        <v>55</v>
      </c>
      <c r="K169" s="56" t="s">
        <v>53</v>
      </c>
      <c r="L169" s="12"/>
      <c r="M169" s="122" t="s">
        <v>110</v>
      </c>
      <c r="N169" s="489" t="str">
        <f>IF(D178=0,"",IF(AND(D170&gt;=C170*0.4,D171&gt;=C171*0.4,D173&gt;=C173*0.4,D175&gt;=C175*0.4,D176&gt;=C176*0.4),LOOKUP(D178,$BO$18:$BP$22),"ضعيف ويحتاج الى اهتمام في المواد"))</f>
        <v>ممتاز</v>
      </c>
      <c r="O169" s="490"/>
      <c r="Q169" s="60" t="s">
        <v>2</v>
      </c>
      <c r="R169" s="494"/>
      <c r="S169" s="55" t="s">
        <v>52</v>
      </c>
      <c r="T169" s="56" t="s">
        <v>53</v>
      </c>
      <c r="U169" s="57" t="s">
        <v>52</v>
      </c>
      <c r="V169" s="58" t="s">
        <v>53</v>
      </c>
      <c r="W169" s="55" t="s">
        <v>52</v>
      </c>
      <c r="X169" s="56" t="s">
        <v>53</v>
      </c>
      <c r="Y169" s="55" t="s">
        <v>54</v>
      </c>
      <c r="Z169" s="59" t="s">
        <v>55</v>
      </c>
      <c r="AA169" s="56" t="s">
        <v>53</v>
      </c>
      <c r="AB169" s="12"/>
      <c r="AC169" s="122" t="s">
        <v>110</v>
      </c>
      <c r="AD169" s="489" t="str">
        <f>IF(T178=0,"",IF(AND(T170&gt;=S170*0.4,T171&gt;=S171*0.4,T173&gt;=S173*0.4,T175&gt;=S175*0.4,T176&gt;=S176*0.4),LOOKUP(T178,$BO$18:$BP$22),"ضعيف ويحتاج الى اهتمام في المواد"))</f>
        <v>ممتاز</v>
      </c>
      <c r="AE169" s="490"/>
      <c r="AG169" s="60" t="s">
        <v>2</v>
      </c>
      <c r="AH169" s="494"/>
      <c r="AI169" s="55" t="s">
        <v>52</v>
      </c>
      <c r="AJ169" s="56" t="s">
        <v>53</v>
      </c>
      <c r="AK169" s="57" t="s">
        <v>52</v>
      </c>
      <c r="AL169" s="58" t="s">
        <v>53</v>
      </c>
      <c r="AM169" s="55" t="s">
        <v>52</v>
      </c>
      <c r="AN169" s="56" t="s">
        <v>53</v>
      </c>
      <c r="AO169" s="55" t="s">
        <v>54</v>
      </c>
      <c r="AP169" s="59" t="s">
        <v>55</v>
      </c>
      <c r="AQ169" s="56" t="s">
        <v>53</v>
      </c>
      <c r="AR169" s="12"/>
      <c r="AS169" s="122" t="s">
        <v>110</v>
      </c>
      <c r="AT169" s="489" t="str">
        <f>IF(AJ178=0,"",IF(AND(AJ170&gt;=AI170*0.4,AJ171&gt;=AI171*0.4,AJ173&gt;=AI173*0.4,AJ175&gt;=AI175*0.4,AJ176&gt;=AI176*0.4),LOOKUP(AJ178,$BO$18:$BP$22),"ضعيف ويحتاج الى اهتمام في المواد"))</f>
        <v>جيد</v>
      </c>
      <c r="AU169" s="490"/>
      <c r="AV169" s="69"/>
      <c r="AW169" s="60" t="s">
        <v>2</v>
      </c>
      <c r="AX169" s="494"/>
      <c r="AY169" s="55" t="s">
        <v>52</v>
      </c>
      <c r="AZ169" s="56" t="s">
        <v>53</v>
      </c>
      <c r="BA169" s="57" t="s">
        <v>52</v>
      </c>
      <c r="BB169" s="58" t="s">
        <v>53</v>
      </c>
      <c r="BC169" s="55" t="s">
        <v>52</v>
      </c>
      <c r="BD169" s="56" t="s">
        <v>53</v>
      </c>
      <c r="BE169" s="55" t="s">
        <v>54</v>
      </c>
      <c r="BF169" s="59" t="s">
        <v>55</v>
      </c>
      <c r="BG169" s="56" t="s">
        <v>53</v>
      </c>
      <c r="BH169" s="12"/>
      <c r="BI169" s="122" t="s">
        <v>110</v>
      </c>
      <c r="BJ169" s="489" t="str">
        <f>IF(AZ178=0,"",IF(AND(AZ170&gt;=AY170*0.4,AZ171&gt;=AY171*0.4,AZ173&gt;=AY173*0.4,AZ175&gt;=AY175*0.4,AZ176&gt;=AY176*0.4),LOOKUP(AZ178,$BO$18:$BP$22),"ضعيف ويحتاج الى اهتمام في المواد"))</f>
        <v/>
      </c>
      <c r="BK169" s="490"/>
      <c r="BL169" s="27"/>
    </row>
    <row r="170" spans="1:64" ht="22.9" customHeight="1" x14ac:dyDescent="0.25">
      <c r="A170" s="118" t="str">
        <f>ادخال1!$F$9</f>
        <v>التربية الإسلامية</v>
      </c>
      <c r="B170" s="148">
        <f>ادخال1!$F$7</f>
        <v>3</v>
      </c>
      <c r="C170" s="45">
        <f t="shared" ref="C170:C172" si="114">40*B170*0.3</f>
        <v>36</v>
      </c>
      <c r="D170" s="2">
        <f xml:space="preserve"> IFERROR(VLOOKUP(M184,اسماء,5,0),"")</f>
        <v>32</v>
      </c>
      <c r="E170" s="47">
        <f t="shared" ref="E170:E172" si="115">40*B170*0.3</f>
        <v>36</v>
      </c>
      <c r="F170" s="2">
        <f>IFERROR(VLOOKUP(M184,اسماء,18,0),"")</f>
        <v>0</v>
      </c>
      <c r="G170" s="45">
        <f t="shared" ref="G170:G172" si="116">40*B170*0.4</f>
        <v>48</v>
      </c>
      <c r="H170" s="2">
        <f>IFERROR(VLOOKUP(M184,اسماء,31,0),"")</f>
        <v>0</v>
      </c>
      <c r="I170" s="45">
        <f t="shared" ref="I170:I172" si="117">SUM(C170,E170,G170)</f>
        <v>120</v>
      </c>
      <c r="J170" s="48">
        <f t="shared" ref="J170:J172" si="118">0.4*I170</f>
        <v>48</v>
      </c>
      <c r="K170" s="2">
        <f t="shared" ref="K170:K172" si="119">SUM(D170,F170,H170)</f>
        <v>32</v>
      </c>
      <c r="L170" s="20"/>
      <c r="M170" s="109" t="str">
        <f>IF(D170=0,"",IF(D170&lt;C170*0.4,A170,""))</f>
        <v/>
      </c>
      <c r="N170" s="159" t="str">
        <f>IF(D171=0,"",IF(D171&lt;C171*0.4,A171,""))</f>
        <v/>
      </c>
      <c r="O170" s="160" t="str">
        <f>IF(D172=0,"",IF(D172&lt;C172*0.4,A172,""))</f>
        <v/>
      </c>
      <c r="Q170" s="118" t="str">
        <f>ادخال1!$F$9</f>
        <v>التربية الإسلامية</v>
      </c>
      <c r="R170" s="148">
        <f>ادخال1!$F$7</f>
        <v>3</v>
      </c>
      <c r="S170" s="45">
        <f t="shared" ref="S170:S172" si="120">40*R170*0.3</f>
        <v>36</v>
      </c>
      <c r="T170" s="2">
        <f xml:space="preserve"> IFERROR(VLOOKUP(AC184,اسماء,5,0),"")</f>
        <v>36</v>
      </c>
      <c r="U170" s="47">
        <f t="shared" ref="U170:U172" si="121">40*R170*0.3</f>
        <v>36</v>
      </c>
      <c r="V170" s="2">
        <f>IFERROR(VLOOKUP(AC184,اسماء,18,0),"")</f>
        <v>0</v>
      </c>
      <c r="W170" s="45">
        <f t="shared" ref="W170:W172" si="122">40*R170*0.4</f>
        <v>48</v>
      </c>
      <c r="X170" s="2">
        <f>IFERROR(VLOOKUP(AC184,اسماء,31,0),"")</f>
        <v>0</v>
      </c>
      <c r="Y170" s="45">
        <f t="shared" ref="Y170:Y172" si="123">SUM(S170,U170,W170)</f>
        <v>120</v>
      </c>
      <c r="Z170" s="48">
        <f t="shared" ref="Z170:Z172" si="124">0.4*Y170</f>
        <v>48</v>
      </c>
      <c r="AA170" s="2">
        <f t="shared" ref="AA170:AA172" si="125">SUM(T170,V170,X170)</f>
        <v>36</v>
      </c>
      <c r="AB170" s="20"/>
      <c r="AC170" s="109" t="str">
        <f>IF(T170=0,"",IF(T170&lt;S170*0.4,Q170,""))</f>
        <v/>
      </c>
      <c r="AD170" s="159" t="str">
        <f>IF(T171=0,"",IF(T171&lt;S171*0.4,Q171,""))</f>
        <v/>
      </c>
      <c r="AE170" s="160" t="str">
        <f>IF(T172=0,"",IF(T172&lt;S172*0.4,Q172,""))</f>
        <v/>
      </c>
      <c r="AG170" s="118" t="str">
        <f>ادخال1!$F$9</f>
        <v>التربية الإسلامية</v>
      </c>
      <c r="AH170" s="148">
        <f>ادخال1!$F$7</f>
        <v>3</v>
      </c>
      <c r="AI170" s="45">
        <f t="shared" ref="AI170:AI172" si="126">40*AH170*0.3</f>
        <v>36</v>
      </c>
      <c r="AJ170" s="2">
        <f xml:space="preserve"> IFERROR(VLOOKUP(AS184,اسماء,5,0),"")</f>
        <v>24</v>
      </c>
      <c r="AK170" s="47">
        <f t="shared" ref="AK170:AK172" si="127">40*AH170*0.3</f>
        <v>36</v>
      </c>
      <c r="AL170" s="2">
        <f>IFERROR(VLOOKUP(AS184,اسماء,18,0),"")</f>
        <v>0</v>
      </c>
      <c r="AM170" s="45">
        <f t="shared" ref="AM170:AM172" si="128">40*AH170*0.4</f>
        <v>48</v>
      </c>
      <c r="AN170" s="2">
        <f>IFERROR(VLOOKUP(AS184,اسماء,31,0),"")</f>
        <v>0</v>
      </c>
      <c r="AO170" s="45">
        <f t="shared" ref="AO170:AO172" si="129">SUM(AI170,AK170,AM170)</f>
        <v>120</v>
      </c>
      <c r="AP170" s="48">
        <f t="shared" ref="AP170:AP172" si="130">0.4*AO170</f>
        <v>48</v>
      </c>
      <c r="AQ170" s="2">
        <f t="shared" ref="AQ170:AQ172" si="131">SUM(AJ170,AL170,AN170)</f>
        <v>24</v>
      </c>
      <c r="AR170" s="20"/>
      <c r="AS170" s="109" t="str">
        <f>IF(AJ170=0,"",IF(AJ170&lt;AI170*0.4,AG170,""))</f>
        <v/>
      </c>
      <c r="AT170" s="159" t="str">
        <f>IF(AJ171=0,"",IF(AJ171&lt;AI171*0.4,AG171,""))</f>
        <v/>
      </c>
      <c r="AU170" s="160" t="str">
        <f>IF(AJ172=0,"",IF(AJ172&lt;AI172*0.4,AG172,""))</f>
        <v/>
      </c>
      <c r="AW170" s="118" t="str">
        <f>ادخال1!$F$9</f>
        <v>التربية الإسلامية</v>
      </c>
      <c r="AX170" s="148">
        <f>ادخال1!$F$7</f>
        <v>3</v>
      </c>
      <c r="AY170" s="45">
        <f t="shared" ref="AY170:AY172" si="132">40*AX170*0.3</f>
        <v>36</v>
      </c>
      <c r="AZ170" s="2" t="str">
        <f xml:space="preserve"> IFERROR(VLOOKUP(BI184,اسماء,5,0),"")</f>
        <v/>
      </c>
      <c r="BA170" s="47">
        <f t="shared" ref="BA170:BA172" si="133">40*AX170*0.3</f>
        <v>36</v>
      </c>
      <c r="BB170" s="2" t="str">
        <f>IFERROR(VLOOKUP(BI184,اسماء,18,0),"")</f>
        <v/>
      </c>
      <c r="BC170" s="45">
        <f t="shared" ref="BC170:BC172" si="134">40*AX170*0.4</f>
        <v>48</v>
      </c>
      <c r="BD170" s="2" t="str">
        <f>IFERROR(VLOOKUP(BI184,اسماء,31,0),"")</f>
        <v/>
      </c>
      <c r="BE170" s="45">
        <f t="shared" ref="BE170:BE172" si="135">SUM(AY170,BA170,BC170)</f>
        <v>120</v>
      </c>
      <c r="BF170" s="48">
        <f t="shared" ref="BF170:BF172" si="136">0.4*BE170</f>
        <v>48</v>
      </c>
      <c r="BG170" s="2">
        <f t="shared" ref="BG170:BG172" si="137">SUM(AZ170,BB170,BD170)</f>
        <v>0</v>
      </c>
      <c r="BH170" s="20"/>
      <c r="BI170" s="109" t="str">
        <f>IF(AZ170=0,"",IF(AZ170&lt;AY170*0.4,AW170,""))</f>
        <v/>
      </c>
      <c r="BJ170" s="159" t="str">
        <f>IF(AZ171=0,"",IF(AZ171&lt;AY171*0.4,AW171,""))</f>
        <v/>
      </c>
      <c r="BK170" s="160" t="str">
        <f>IF(AZ172=0,"",IF(AZ172&lt;AY172*0.4,AW172,""))</f>
        <v/>
      </c>
      <c r="BL170" s="27"/>
    </row>
    <row r="171" spans="1:64" ht="22.9" customHeight="1" x14ac:dyDescent="0.25">
      <c r="A171" s="136" t="str">
        <f>ادخال1!$G$9</f>
        <v>اللغة العربية</v>
      </c>
      <c r="B171" s="149">
        <f>ادخال1!$G$7</f>
        <v>4</v>
      </c>
      <c r="C171" s="45">
        <f t="shared" si="114"/>
        <v>48</v>
      </c>
      <c r="D171" s="2">
        <f>IFERROR(VLOOKUP(M184,اسماء,6,0),"")</f>
        <v>41</v>
      </c>
      <c r="E171" s="47">
        <f t="shared" si="115"/>
        <v>48</v>
      </c>
      <c r="F171" s="2">
        <f>IFERROR(VLOOKUP(M184,اسماء,19,0),"")</f>
        <v>0</v>
      </c>
      <c r="G171" s="45">
        <f t="shared" si="116"/>
        <v>64</v>
      </c>
      <c r="H171" s="2">
        <f>IFERROR(VLOOKUP(M184,اسماء,32,0),"")</f>
        <v>0</v>
      </c>
      <c r="I171" s="45">
        <f t="shared" si="117"/>
        <v>160</v>
      </c>
      <c r="J171" s="48">
        <f t="shared" si="118"/>
        <v>64</v>
      </c>
      <c r="K171" s="2">
        <f t="shared" si="119"/>
        <v>41</v>
      </c>
      <c r="L171" s="20"/>
      <c r="M171" s="109" t="str">
        <f>IF(D173=0,"",IF(D173&lt;C173*0.4,A173,""))</f>
        <v/>
      </c>
      <c r="N171" s="159" t="str">
        <f>IF(D174=0,"",IF(D174&lt;C174*0.4,A174,""))</f>
        <v/>
      </c>
      <c r="O171" s="160" t="str">
        <f>IF(D175=0,"",IF(D175&lt;C175*0.4,A175,""))</f>
        <v/>
      </c>
      <c r="Q171" s="136" t="str">
        <f>ادخال1!$G$9</f>
        <v>اللغة العربية</v>
      </c>
      <c r="R171" s="149">
        <f>ادخال1!$G$7</f>
        <v>4</v>
      </c>
      <c r="S171" s="45">
        <f t="shared" si="120"/>
        <v>48</v>
      </c>
      <c r="T171" s="2">
        <f>IFERROR(VLOOKUP(AC184,اسماء,6,0),"")</f>
        <v>48</v>
      </c>
      <c r="U171" s="47">
        <f t="shared" si="121"/>
        <v>48</v>
      </c>
      <c r="V171" s="2">
        <f>IFERROR(VLOOKUP(AC184,اسماء,19,0),"")</f>
        <v>0</v>
      </c>
      <c r="W171" s="45">
        <f t="shared" si="122"/>
        <v>64</v>
      </c>
      <c r="X171" s="2">
        <f>IFERROR(VLOOKUP(AC184,اسماء,32,0),"")</f>
        <v>0</v>
      </c>
      <c r="Y171" s="45">
        <f t="shared" si="123"/>
        <v>160</v>
      </c>
      <c r="Z171" s="48">
        <f t="shared" si="124"/>
        <v>64</v>
      </c>
      <c r="AA171" s="2">
        <f t="shared" si="125"/>
        <v>48</v>
      </c>
      <c r="AB171" s="20"/>
      <c r="AC171" s="109" t="str">
        <f>IF(T173=0,"",IF(T173&lt;S173*0.4,Q173,""))</f>
        <v/>
      </c>
      <c r="AD171" s="159" t="str">
        <f>IF(T174=0,"",IF(T174&lt;S174*0.4,Q174,""))</f>
        <v/>
      </c>
      <c r="AE171" s="160" t="str">
        <f>IF(T175=0,"",IF(T175&lt;S175*0.4,Q175,""))</f>
        <v/>
      </c>
      <c r="AG171" s="136" t="str">
        <f>ادخال1!$G$9</f>
        <v>اللغة العربية</v>
      </c>
      <c r="AH171" s="149">
        <f>ادخال1!$G$7</f>
        <v>4</v>
      </c>
      <c r="AI171" s="45">
        <f t="shared" si="126"/>
        <v>48</v>
      </c>
      <c r="AJ171" s="2">
        <f>IFERROR(VLOOKUP(AS184,اسماء,6,0),"")</f>
        <v>24</v>
      </c>
      <c r="AK171" s="47">
        <f t="shared" si="127"/>
        <v>48</v>
      </c>
      <c r="AL171" s="2">
        <f>IFERROR(VLOOKUP(AS184,اسماء,19,0),"")</f>
        <v>0</v>
      </c>
      <c r="AM171" s="45">
        <f t="shared" si="128"/>
        <v>64</v>
      </c>
      <c r="AN171" s="2">
        <f>IFERROR(VLOOKUP(AS184,اسماء,32,0),"")</f>
        <v>0</v>
      </c>
      <c r="AO171" s="45">
        <f t="shared" si="129"/>
        <v>160</v>
      </c>
      <c r="AP171" s="48">
        <f t="shared" si="130"/>
        <v>64</v>
      </c>
      <c r="AQ171" s="2">
        <f t="shared" si="131"/>
        <v>24</v>
      </c>
      <c r="AR171" s="20"/>
      <c r="AS171" s="109" t="str">
        <f>IF(AJ173=0,"",IF(AJ173&lt;AI173*0.4,AG173,""))</f>
        <v/>
      </c>
      <c r="AT171" s="159" t="str">
        <f>IF(AJ174=0,"",IF(AJ174&lt;AI174*0.4,AG174,""))</f>
        <v/>
      </c>
      <c r="AU171" s="160" t="str">
        <f>IF(AJ175=0,"",IF(AJ175&lt;AI175*0.4,AG175,""))</f>
        <v/>
      </c>
      <c r="AW171" s="136" t="str">
        <f>ادخال1!$G$9</f>
        <v>اللغة العربية</v>
      </c>
      <c r="AX171" s="149">
        <f>ادخال1!$G$7</f>
        <v>4</v>
      </c>
      <c r="AY171" s="45">
        <f t="shared" si="132"/>
        <v>48</v>
      </c>
      <c r="AZ171" s="2" t="str">
        <f>IFERROR(VLOOKUP(BI184,اسماء,6,0),"")</f>
        <v/>
      </c>
      <c r="BA171" s="47">
        <f t="shared" si="133"/>
        <v>48</v>
      </c>
      <c r="BB171" s="2" t="str">
        <f>IFERROR(VLOOKUP(BI184,اسماء,19,0),"")</f>
        <v/>
      </c>
      <c r="BC171" s="45">
        <f t="shared" si="134"/>
        <v>64</v>
      </c>
      <c r="BD171" s="2" t="str">
        <f>IFERROR(VLOOKUP(BI184,اسماء,32,0),"")</f>
        <v/>
      </c>
      <c r="BE171" s="45">
        <f t="shared" si="135"/>
        <v>160</v>
      </c>
      <c r="BF171" s="48">
        <f t="shared" si="136"/>
        <v>64</v>
      </c>
      <c r="BG171" s="2">
        <f t="shared" si="137"/>
        <v>0</v>
      </c>
      <c r="BH171" s="20"/>
      <c r="BI171" s="109" t="str">
        <f>IF(AZ173=0,"",IF(AZ173&lt;AY173*0.4,AW173,""))</f>
        <v/>
      </c>
      <c r="BJ171" s="159" t="str">
        <f>IF(AZ174=0,"",IF(AZ174&lt;AY174*0.4,AW174,""))</f>
        <v/>
      </c>
      <c r="BK171" s="160" t="str">
        <f>IF(AZ175=0,"",IF(AZ175&lt;AY175*0.4,AW175,""))</f>
        <v/>
      </c>
      <c r="BL171" s="27"/>
    </row>
    <row r="172" spans="1:64" ht="22.9" customHeight="1" thickBot="1" x14ac:dyDescent="0.3">
      <c r="A172" s="136" t="str">
        <f>ادخال1!$H$9</f>
        <v>الكتابة</v>
      </c>
      <c r="B172" s="149">
        <f>ادخال1!$H$7</f>
        <v>2</v>
      </c>
      <c r="C172" s="45">
        <f t="shared" si="114"/>
        <v>24</v>
      </c>
      <c r="D172" s="2">
        <f>IFERROR(VLOOKUP(M184,اسماء,7,0),"")</f>
        <v>18</v>
      </c>
      <c r="E172" s="47">
        <f t="shared" si="115"/>
        <v>24</v>
      </c>
      <c r="F172" s="2">
        <f>IFERROR(VLOOKUP(M184,اسماء,20,0),"")</f>
        <v>0</v>
      </c>
      <c r="G172" s="45">
        <f t="shared" si="116"/>
        <v>32</v>
      </c>
      <c r="H172" s="2">
        <f>IFERROR(VLOOKUP(M184,اسماء,33,0),"")</f>
        <v>0</v>
      </c>
      <c r="I172" s="45">
        <f t="shared" si="117"/>
        <v>80</v>
      </c>
      <c r="J172" s="48">
        <f t="shared" si="118"/>
        <v>32</v>
      </c>
      <c r="K172" s="2">
        <f t="shared" si="119"/>
        <v>18</v>
      </c>
      <c r="L172" s="20"/>
      <c r="M172" s="109" t="str">
        <f>IF(D176=0,"",IF(D176&lt;C176*0.4,A176,""))</f>
        <v/>
      </c>
      <c r="N172" s="109" t="str">
        <f>IF(D177=0,"",IF(D177&lt;C177*0.4,A177,""))</f>
        <v/>
      </c>
      <c r="O172" s="357"/>
      <c r="Q172" s="136" t="str">
        <f>ادخال1!$H$9</f>
        <v>الكتابة</v>
      </c>
      <c r="R172" s="149">
        <f>ادخال1!$H$7</f>
        <v>2</v>
      </c>
      <c r="S172" s="45">
        <f t="shared" si="120"/>
        <v>24</v>
      </c>
      <c r="T172" s="2">
        <f>IFERROR(VLOOKUP(AC184,اسماء,7,0),"")</f>
        <v>23</v>
      </c>
      <c r="U172" s="47">
        <f t="shared" si="121"/>
        <v>24</v>
      </c>
      <c r="V172" s="2">
        <f>IFERROR(VLOOKUP(AC184,اسماء,20,0),"")</f>
        <v>0</v>
      </c>
      <c r="W172" s="45">
        <f t="shared" si="122"/>
        <v>32</v>
      </c>
      <c r="X172" s="2">
        <f>IFERROR(VLOOKUP(AC184,اسماء,33,0),"")</f>
        <v>0</v>
      </c>
      <c r="Y172" s="45">
        <f t="shared" si="123"/>
        <v>80</v>
      </c>
      <c r="Z172" s="48">
        <f t="shared" si="124"/>
        <v>32</v>
      </c>
      <c r="AA172" s="2">
        <f t="shared" si="125"/>
        <v>23</v>
      </c>
      <c r="AB172" s="20"/>
      <c r="AC172" s="109" t="str">
        <f>IF(T176=0,"",IF(T176&lt;S176*0.4,Q176,""))</f>
        <v/>
      </c>
      <c r="AD172" s="109" t="str">
        <f>IF(T177=0,"",IF(T177&lt;S177*0.4,Q177,""))</f>
        <v/>
      </c>
      <c r="AE172" s="357"/>
      <c r="AG172" s="136" t="str">
        <f>ادخال1!$H$9</f>
        <v>الكتابة</v>
      </c>
      <c r="AH172" s="149">
        <f>ادخال1!$H$7</f>
        <v>2</v>
      </c>
      <c r="AI172" s="45">
        <f t="shared" si="126"/>
        <v>24</v>
      </c>
      <c r="AJ172" s="2">
        <f>IFERROR(VLOOKUP(AS184,اسماء,7,0),"")</f>
        <v>15</v>
      </c>
      <c r="AK172" s="47">
        <f t="shared" si="127"/>
        <v>24</v>
      </c>
      <c r="AL172" s="2">
        <f>IFERROR(VLOOKUP(AS184,اسماء,20,0),"")</f>
        <v>0</v>
      </c>
      <c r="AM172" s="45">
        <f t="shared" si="128"/>
        <v>32</v>
      </c>
      <c r="AN172" s="2">
        <f>IFERROR(VLOOKUP(AS184,اسماء,33,0),"")</f>
        <v>0</v>
      </c>
      <c r="AO172" s="45">
        <f t="shared" si="129"/>
        <v>80</v>
      </c>
      <c r="AP172" s="48">
        <f t="shared" si="130"/>
        <v>32</v>
      </c>
      <c r="AQ172" s="2">
        <f t="shared" si="131"/>
        <v>15</v>
      </c>
      <c r="AR172" s="20"/>
      <c r="AS172" s="109" t="str">
        <f>IF(AJ176=0,"",IF(AJ176&lt;AI176*0.4,AG176,""))</f>
        <v/>
      </c>
      <c r="AT172" s="109" t="str">
        <f>IF(AJ177=0,"",IF(AJ177&lt;AI177*0.4,AG177,""))</f>
        <v/>
      </c>
      <c r="AU172" s="357"/>
      <c r="AW172" s="136" t="str">
        <f>ادخال1!$H$9</f>
        <v>الكتابة</v>
      </c>
      <c r="AX172" s="149">
        <f>ادخال1!$H$7</f>
        <v>2</v>
      </c>
      <c r="AY172" s="45">
        <f t="shared" si="132"/>
        <v>24</v>
      </c>
      <c r="AZ172" s="2" t="str">
        <f>IFERROR(VLOOKUP(BI184,اسماء,7,0),"")</f>
        <v/>
      </c>
      <c r="BA172" s="47">
        <f t="shared" si="133"/>
        <v>24</v>
      </c>
      <c r="BB172" s="2" t="str">
        <f>IFERROR(VLOOKUP(BI184,اسماء,20,0),"")</f>
        <v/>
      </c>
      <c r="BC172" s="45">
        <f t="shared" si="134"/>
        <v>32</v>
      </c>
      <c r="BD172" s="2" t="str">
        <f>IFERROR(VLOOKUP(BI184,اسماء,33,0),"")</f>
        <v/>
      </c>
      <c r="BE172" s="45">
        <f t="shared" si="135"/>
        <v>80</v>
      </c>
      <c r="BF172" s="48">
        <f t="shared" si="136"/>
        <v>32</v>
      </c>
      <c r="BG172" s="2">
        <f t="shared" si="137"/>
        <v>0</v>
      </c>
      <c r="BH172" s="20"/>
      <c r="BI172" s="109" t="str">
        <f>IF(AZ176=0,"",IF(AZ176&lt;AY176*0.4,AW176,""))</f>
        <v/>
      </c>
      <c r="BJ172" s="109" t="str">
        <f>IF(AZ177=0,"",IF(AZ177&lt;AY177*0.4,AW177,""))</f>
        <v/>
      </c>
      <c r="BK172" s="357"/>
    </row>
    <row r="173" spans="1:64" ht="22.9" customHeight="1" x14ac:dyDescent="0.25">
      <c r="A173" s="136" t="str">
        <f>ادخال1!$I$9</f>
        <v>اللغة الإنجليزية</v>
      </c>
      <c r="B173" s="149">
        <f>ادخال1!$I$7</f>
        <v>3</v>
      </c>
      <c r="C173" s="45">
        <f>40*B173*0.3</f>
        <v>36</v>
      </c>
      <c r="D173" s="2">
        <f>IFERROR(VLOOKUP(M184,اسماء,8,0),"")</f>
        <v>31</v>
      </c>
      <c r="E173" s="47">
        <f>40*B173*0.3</f>
        <v>36</v>
      </c>
      <c r="F173" s="2">
        <f>IFERROR(VLOOKUP(M184,اسماء,21,0),"")</f>
        <v>0</v>
      </c>
      <c r="G173" s="45">
        <f>40*B173*0.4</f>
        <v>48</v>
      </c>
      <c r="H173" s="2">
        <f>IFERROR(VLOOKUP(M184,اسماء,34,0),"")</f>
        <v>0</v>
      </c>
      <c r="I173" s="45">
        <f>SUM(C173,E173,G173)</f>
        <v>120</v>
      </c>
      <c r="J173" s="48">
        <f>0.4*I173</f>
        <v>48</v>
      </c>
      <c r="K173" s="2">
        <f>SUM(D173,F173,H173)</f>
        <v>31</v>
      </c>
      <c r="L173" s="20"/>
      <c r="M173" s="108" t="s">
        <v>83</v>
      </c>
      <c r="N173" s="489" t="str">
        <f>IF(F178=0,"",IF(AND(F170&gt;=E170*0.4,F171&gt;=E171*0.4,F173&gt;=E173*0.4,F175&gt;=E175*0.4,F176&gt;=E176*0.4),LOOKUP(F178,'الصحيفة النهائية'!$BO$18:$BP$22),"ضعيف ويحتاج الى اهتمام في المواد"))</f>
        <v/>
      </c>
      <c r="O173" s="490"/>
      <c r="Q173" s="136" t="str">
        <f>ادخال1!$I$9</f>
        <v>اللغة الإنجليزية</v>
      </c>
      <c r="R173" s="149">
        <f>ادخال1!$I$7</f>
        <v>3</v>
      </c>
      <c r="S173" s="45">
        <f>40*R173*0.3</f>
        <v>36</v>
      </c>
      <c r="T173" s="2">
        <f>IFERROR(VLOOKUP(AC184,اسماء,8,0),"")</f>
        <v>35</v>
      </c>
      <c r="U173" s="47">
        <f>40*R173*0.3</f>
        <v>36</v>
      </c>
      <c r="V173" s="2">
        <f>IFERROR(VLOOKUP(AC184,اسماء,21,0),"")</f>
        <v>0</v>
      </c>
      <c r="W173" s="45">
        <f>40*R173*0.4</f>
        <v>48</v>
      </c>
      <c r="X173" s="2">
        <f>IFERROR(VLOOKUP(AC184,اسماء,34,0),"")</f>
        <v>0</v>
      </c>
      <c r="Y173" s="45">
        <f>SUM(S173,U173,W173)</f>
        <v>120</v>
      </c>
      <c r="Z173" s="48">
        <f>0.4*Y173</f>
        <v>48</v>
      </c>
      <c r="AA173" s="2">
        <f>SUM(T173,V173,X173)</f>
        <v>35</v>
      </c>
      <c r="AB173" s="20"/>
      <c r="AC173" s="108" t="s">
        <v>83</v>
      </c>
      <c r="AD173" s="489" t="str">
        <f>IF(V178=0,"",IF(AND(V170&gt;=U170*0.4,V171&gt;=U171*0.4,V173&gt;=U173*0.4,V175&gt;=U175*0.4,V176&gt;=U176*0.4),LOOKUP(V178,'الصحيفة النهائية'!$BO$18:$BP$22),"ضعيف ويحتاج الى اهتمام في المواد"))</f>
        <v/>
      </c>
      <c r="AE173" s="490"/>
      <c r="AG173" s="136" t="str">
        <f>ادخال1!$I$9</f>
        <v>اللغة الإنجليزية</v>
      </c>
      <c r="AH173" s="149">
        <f>ادخال1!$I$7</f>
        <v>3</v>
      </c>
      <c r="AI173" s="45">
        <f>40*AH173*0.3</f>
        <v>36</v>
      </c>
      <c r="AJ173" s="2">
        <f>IFERROR(VLOOKUP(AS184,اسماء,8,0),"")</f>
        <v>28</v>
      </c>
      <c r="AK173" s="47">
        <f>40*AH173*0.3</f>
        <v>36</v>
      </c>
      <c r="AL173" s="2">
        <f>IFERROR(VLOOKUP(AS184,اسماء,21,0),"")</f>
        <v>0</v>
      </c>
      <c r="AM173" s="45">
        <f>40*AH173*0.4</f>
        <v>48</v>
      </c>
      <c r="AN173" s="2">
        <f>IFERROR(VLOOKUP(AS184,اسماء,34,0),"")</f>
        <v>0</v>
      </c>
      <c r="AO173" s="45">
        <f>SUM(AI173,AK173,AM173)</f>
        <v>120</v>
      </c>
      <c r="AP173" s="48">
        <f>0.4*AO173</f>
        <v>48</v>
      </c>
      <c r="AQ173" s="2">
        <f>SUM(AJ173,AL173,AN173)</f>
        <v>28</v>
      </c>
      <c r="AR173" s="20"/>
      <c r="AS173" s="108" t="s">
        <v>83</v>
      </c>
      <c r="AT173" s="489" t="str">
        <f>IF(AL178=0,"",IF(AND(AL170&gt;=AK170*0.4,AL171&gt;=AK171*0.4,AL173&gt;=AK173*0.4,AL175&gt;=AK175*0.4,AL176&gt;=AK176*0.4),LOOKUP(AL178,'الصحيفة النهائية'!$BO$18:$BP$22),"ضعيف ويحتاج الى اهتمام في المواد"))</f>
        <v/>
      </c>
      <c r="AU173" s="490"/>
      <c r="AW173" s="136" t="str">
        <f>ادخال1!$I$9</f>
        <v>اللغة الإنجليزية</v>
      </c>
      <c r="AX173" s="149">
        <f>ادخال1!$I$7</f>
        <v>3</v>
      </c>
      <c r="AY173" s="45">
        <f>40*AX173*0.3</f>
        <v>36</v>
      </c>
      <c r="AZ173" s="2" t="str">
        <f>IFERROR(VLOOKUP(BI184,اسماء,8,0),"")</f>
        <v/>
      </c>
      <c r="BA173" s="47">
        <f>40*AX173*0.3</f>
        <v>36</v>
      </c>
      <c r="BB173" s="2" t="str">
        <f>IFERROR(VLOOKUP(BI184,اسماء,21,0),"")</f>
        <v/>
      </c>
      <c r="BC173" s="45">
        <f>40*AX173*0.4</f>
        <v>48</v>
      </c>
      <c r="BD173" s="2" t="str">
        <f>IFERROR(VLOOKUP(BI184,اسماء,34,0),"")</f>
        <v/>
      </c>
      <c r="BE173" s="45">
        <f>SUM(AY173,BA173,BC173)</f>
        <v>120</v>
      </c>
      <c r="BF173" s="48">
        <f>0.4*BE173</f>
        <v>48</v>
      </c>
      <c r="BG173" s="2">
        <f>SUM(AZ173,BB173,BD173)</f>
        <v>0</v>
      </c>
      <c r="BH173" s="20"/>
      <c r="BI173" s="108" t="s">
        <v>83</v>
      </c>
      <c r="BJ173" s="489" t="str">
        <f>IF(BB178=0,"",IF(AND(BB170&gt;=BA170*0.4,BB171&gt;=BA171*0.4,BB173&gt;=BA173*0.4,BB175&gt;=BA175*0.4,BB176&gt;=BA176*0.4),LOOKUP(BB178,'الصحيفة النهائية'!$BO$18:$BP$22),"ضعيف ويحتاج الى اهتمام في المواد"))</f>
        <v/>
      </c>
      <c r="BK173" s="490"/>
    </row>
    <row r="174" spans="1:64" ht="22.9" customHeight="1" x14ac:dyDescent="0.25">
      <c r="A174" s="136" t="str">
        <f>ادخال1!$J$9</f>
        <v>الحاسوب</v>
      </c>
      <c r="B174" s="149">
        <f>ادخال1!$J$7</f>
        <v>1</v>
      </c>
      <c r="C174" s="45">
        <f>40*B174*0.3</f>
        <v>12</v>
      </c>
      <c r="D174" s="2">
        <f>IFERROR(VLOOKUP(M184,اسماء,9,0),"")</f>
        <v>10</v>
      </c>
      <c r="E174" s="47">
        <f>40*B174*0.3</f>
        <v>12</v>
      </c>
      <c r="F174" s="2">
        <f>IFERROR(VLOOKUP(M184,اسماء,22,0),"")</f>
        <v>0</v>
      </c>
      <c r="G174" s="45">
        <f>40*B174*0.4</f>
        <v>16</v>
      </c>
      <c r="H174" s="2">
        <f>IFERROR(VLOOKUP(M184,اسماء,35,0),"")</f>
        <v>0</v>
      </c>
      <c r="I174" s="45">
        <f>SUM(C174,E174,G174)</f>
        <v>40</v>
      </c>
      <c r="J174" s="48">
        <f>0.4*I174</f>
        <v>16</v>
      </c>
      <c r="K174" s="2">
        <f>SUM(D174,F174,H174)</f>
        <v>10</v>
      </c>
      <c r="L174" s="20"/>
      <c r="M174" s="109" t="str">
        <f>IF(F170=0,"",IF(F170&lt;E170*0.4,A170,""))</f>
        <v/>
      </c>
      <c r="N174" s="159" t="str">
        <f>IF(F171=0,"",IF(F171&lt;E171*0.4,A171,""))</f>
        <v/>
      </c>
      <c r="O174" s="160" t="str">
        <f>IF(F172=0,"",IF(F172&lt;E172*0.4,A172,""))</f>
        <v/>
      </c>
      <c r="Q174" s="136" t="str">
        <f>ادخال1!$J$9</f>
        <v>الحاسوب</v>
      </c>
      <c r="R174" s="149">
        <f>ادخال1!$J$7</f>
        <v>1</v>
      </c>
      <c r="S174" s="45">
        <f>40*R174*0.3</f>
        <v>12</v>
      </c>
      <c r="T174" s="2">
        <f>IFERROR(VLOOKUP(AC184,اسماء,9,0),"")</f>
        <v>12</v>
      </c>
      <c r="U174" s="47">
        <f>40*R174*0.3</f>
        <v>12</v>
      </c>
      <c r="V174" s="2">
        <f>IFERROR(VLOOKUP(AC184,اسماء,22,0),"")</f>
        <v>0</v>
      </c>
      <c r="W174" s="45">
        <f>40*R174*0.4</f>
        <v>16</v>
      </c>
      <c r="X174" s="2">
        <f>IFERROR(VLOOKUP(AC184,اسماء,35,0),"")</f>
        <v>0</v>
      </c>
      <c r="Y174" s="45">
        <f>SUM(S174,U174,W174)</f>
        <v>40</v>
      </c>
      <c r="Z174" s="48">
        <f>0.4*Y174</f>
        <v>16</v>
      </c>
      <c r="AA174" s="2">
        <f>SUM(T174,V174,X174)</f>
        <v>12</v>
      </c>
      <c r="AB174" s="20"/>
      <c r="AC174" s="109" t="str">
        <f>IF(V170=0,"",IF(V170&lt;U170*0.4,Q170,""))</f>
        <v/>
      </c>
      <c r="AD174" s="159" t="str">
        <f>IF(V171=0,"",IF(V171&lt;U171*0.4,Q171,""))</f>
        <v/>
      </c>
      <c r="AE174" s="160" t="str">
        <f>IF(V172=0,"",IF(V172&lt;U172*0.4,Q172,""))</f>
        <v/>
      </c>
      <c r="AG174" s="136" t="str">
        <f>ادخال1!$J$9</f>
        <v>الحاسوب</v>
      </c>
      <c r="AH174" s="149">
        <f>ادخال1!$J$7</f>
        <v>1</v>
      </c>
      <c r="AI174" s="45">
        <f>40*AH174*0.3</f>
        <v>12</v>
      </c>
      <c r="AJ174" s="2">
        <f>IFERROR(VLOOKUP(AS184,اسماء,9,0),"")</f>
        <v>9</v>
      </c>
      <c r="AK174" s="47">
        <f>40*AH174*0.3</f>
        <v>12</v>
      </c>
      <c r="AL174" s="2">
        <f>IFERROR(VLOOKUP(AS184,اسماء,22,0),"")</f>
        <v>0</v>
      </c>
      <c r="AM174" s="45">
        <f>40*AH174*0.4</f>
        <v>16</v>
      </c>
      <c r="AN174" s="2">
        <f>IFERROR(VLOOKUP(AS184,اسماء,35,0),"")</f>
        <v>0</v>
      </c>
      <c r="AO174" s="45">
        <f>SUM(AI174,AK174,AM174)</f>
        <v>40</v>
      </c>
      <c r="AP174" s="48">
        <f>0.4*AO174</f>
        <v>16</v>
      </c>
      <c r="AQ174" s="2">
        <f>SUM(AJ174,AL174,AN174)</f>
        <v>9</v>
      </c>
      <c r="AR174" s="20"/>
      <c r="AS174" s="109" t="str">
        <f>IF(AL170=0,"",IF(AL170&lt;AK170*0.4,AG170,""))</f>
        <v/>
      </c>
      <c r="AT174" s="159" t="str">
        <f>IF(AL171=0,"",IF(AL171&lt;AK171*0.4,AG171,""))</f>
        <v/>
      </c>
      <c r="AU174" s="160" t="str">
        <f>IF(AL172=0,"",IF(AL172&lt;AK172*0.4,AG172,""))</f>
        <v/>
      </c>
      <c r="AW174" s="136" t="str">
        <f>ادخال1!$J$9</f>
        <v>الحاسوب</v>
      </c>
      <c r="AX174" s="149">
        <f>ادخال1!$J$7</f>
        <v>1</v>
      </c>
      <c r="AY174" s="45">
        <f>40*AX174*0.3</f>
        <v>12</v>
      </c>
      <c r="AZ174" s="2" t="str">
        <f>IFERROR(VLOOKUP(BI184,اسماء,9,0),"")</f>
        <v/>
      </c>
      <c r="BA174" s="47">
        <f>40*AX174*0.3</f>
        <v>12</v>
      </c>
      <c r="BB174" s="2" t="str">
        <f>IFERROR(VLOOKUP(BI184,اسماء,22,0),"")</f>
        <v/>
      </c>
      <c r="BC174" s="45">
        <f>40*AX174*0.4</f>
        <v>16</v>
      </c>
      <c r="BD174" s="2" t="str">
        <f>IFERROR(VLOOKUP(BI184,اسماء,35,0),"")</f>
        <v/>
      </c>
      <c r="BE174" s="45">
        <f>SUM(AY174,BA174,BC174)</f>
        <v>40</v>
      </c>
      <c r="BF174" s="48">
        <f>0.4*BE174</f>
        <v>16</v>
      </c>
      <c r="BG174" s="2">
        <f>SUM(AZ174,BB174,BD174)</f>
        <v>0</v>
      </c>
      <c r="BH174" s="20"/>
      <c r="BI174" s="109" t="str">
        <f>IF(BB170=0,"",IF(BB170&lt;BA170*0.4,AW170,""))</f>
        <v/>
      </c>
      <c r="BJ174" s="159" t="str">
        <f>IF(BB171=0,"",IF(BB171&lt;BA171*0.4,AW171,""))</f>
        <v/>
      </c>
      <c r="BK174" s="160" t="str">
        <f>IF(BB172=0,"",IF(BB172&lt;BA172*0.4,AW172,""))</f>
        <v/>
      </c>
    </row>
    <row r="175" spans="1:64" ht="22.9" customHeight="1" x14ac:dyDescent="0.25">
      <c r="A175" s="136" t="str">
        <f>ادخال1!$K$9</f>
        <v>الرياضيات</v>
      </c>
      <c r="B175" s="149">
        <f>ادخال1!$K$7</f>
        <v>5</v>
      </c>
      <c r="C175" s="45">
        <f>40*B175*0.3</f>
        <v>60</v>
      </c>
      <c r="D175" s="2">
        <f>IFERROR(VLOOKUP(M184,اسماء,10,0),"")</f>
        <v>52</v>
      </c>
      <c r="E175" s="47">
        <f>40*B175*0.3</f>
        <v>60</v>
      </c>
      <c r="F175" s="2">
        <f>IFERROR(VLOOKUP(M184,اسماء,23,0),"")</f>
        <v>0</v>
      </c>
      <c r="G175" s="45">
        <f>40*B175*0.4</f>
        <v>80</v>
      </c>
      <c r="H175" s="2">
        <f>IFERROR(VLOOKUP(M184,اسماء,36,0),"")</f>
        <v>0</v>
      </c>
      <c r="I175" s="45">
        <f>SUM(C175,E175,G175)</f>
        <v>200</v>
      </c>
      <c r="J175" s="48">
        <f>0.4*I175</f>
        <v>80</v>
      </c>
      <c r="K175" s="2">
        <f>SUM(D175,F175,H175)</f>
        <v>52</v>
      </c>
      <c r="L175" s="20"/>
      <c r="M175" s="109" t="str">
        <f>IF(F173=0,"",IF(F173&lt;E173*0.4,A173,""))</f>
        <v/>
      </c>
      <c r="N175" s="159" t="str">
        <f>IF(F174=0,"",IF(F174&lt;E174*0.4,A174,""))</f>
        <v/>
      </c>
      <c r="O175" s="160" t="str">
        <f>IF(F175=0,"",IF(F175&lt;E175*0.4,A175,""))</f>
        <v/>
      </c>
      <c r="Q175" s="136" t="str">
        <f>ادخال1!$K$9</f>
        <v>الرياضيات</v>
      </c>
      <c r="R175" s="149">
        <f>ادخال1!$K$7</f>
        <v>5</v>
      </c>
      <c r="S175" s="45">
        <f>40*R175*0.3</f>
        <v>60</v>
      </c>
      <c r="T175" s="2">
        <f>IFERROR(VLOOKUP(AC184,اسماء,10,0),"")</f>
        <v>60</v>
      </c>
      <c r="U175" s="47">
        <f>40*R175*0.3</f>
        <v>60</v>
      </c>
      <c r="V175" s="2">
        <f>IFERROR(VLOOKUP(AC184,اسماء,23,0),"")</f>
        <v>0</v>
      </c>
      <c r="W175" s="45">
        <f>40*R175*0.4</f>
        <v>80</v>
      </c>
      <c r="X175" s="2">
        <f>IFERROR(VLOOKUP(AC184,اسماء,36,0),"")</f>
        <v>0</v>
      </c>
      <c r="Y175" s="45">
        <f>SUM(S175,U175,W175)</f>
        <v>200</v>
      </c>
      <c r="Z175" s="48">
        <f>0.4*Y175</f>
        <v>80</v>
      </c>
      <c r="AA175" s="2">
        <f>SUM(T175,V175,X175)</f>
        <v>60</v>
      </c>
      <c r="AB175" s="20"/>
      <c r="AC175" s="109" t="str">
        <f>IF(V173=0,"",IF(V173&lt;U173*0.4,Q173,""))</f>
        <v/>
      </c>
      <c r="AD175" s="159" t="str">
        <f>IF(V174=0,"",IF(V174&lt;U174*0.4,Q174,""))</f>
        <v/>
      </c>
      <c r="AE175" s="160" t="str">
        <f>IF(V175=0,"",IF(V175&lt;U175*0.4,Q175,""))</f>
        <v/>
      </c>
      <c r="AG175" s="136" t="str">
        <f>ادخال1!$K$9</f>
        <v>الرياضيات</v>
      </c>
      <c r="AH175" s="149">
        <f>ادخال1!$K$7</f>
        <v>5</v>
      </c>
      <c r="AI175" s="45">
        <f>40*AH175*0.3</f>
        <v>60</v>
      </c>
      <c r="AJ175" s="2">
        <f>IFERROR(VLOOKUP(AS184,اسماء,10,0),"")</f>
        <v>30</v>
      </c>
      <c r="AK175" s="47">
        <f>40*AH175*0.3</f>
        <v>60</v>
      </c>
      <c r="AL175" s="2">
        <f>IFERROR(VLOOKUP(AS184,اسماء,23,0),"")</f>
        <v>0</v>
      </c>
      <c r="AM175" s="45">
        <f>40*AH175*0.4</f>
        <v>80</v>
      </c>
      <c r="AN175" s="2">
        <f>IFERROR(VLOOKUP(AS184,اسماء,36,0),"")</f>
        <v>0</v>
      </c>
      <c r="AO175" s="45">
        <f>SUM(AI175,AK175,AM175)</f>
        <v>200</v>
      </c>
      <c r="AP175" s="48">
        <f>0.4*AO175</f>
        <v>80</v>
      </c>
      <c r="AQ175" s="2">
        <f>SUM(AJ175,AL175,AN175)</f>
        <v>30</v>
      </c>
      <c r="AR175" s="20"/>
      <c r="AS175" s="109" t="str">
        <f>IF(AL173=0,"",IF(AL173&lt;AK173*0.4,AG173,""))</f>
        <v/>
      </c>
      <c r="AT175" s="159" t="str">
        <f>IF(AL174=0,"",IF(AL174&lt;AK174*0.4,AG174,""))</f>
        <v/>
      </c>
      <c r="AU175" s="160" t="str">
        <f>IF(AL175=0,"",IF(AL175&lt;AK175*0.4,AG175,""))</f>
        <v/>
      </c>
      <c r="AW175" s="136" t="str">
        <f>ادخال1!$K$9</f>
        <v>الرياضيات</v>
      </c>
      <c r="AX175" s="149">
        <f>ادخال1!$K$7</f>
        <v>5</v>
      </c>
      <c r="AY175" s="45">
        <f>40*AX175*0.3</f>
        <v>60</v>
      </c>
      <c r="AZ175" s="2" t="str">
        <f>IFERROR(VLOOKUP(BI184,اسماء,10,0),"")</f>
        <v/>
      </c>
      <c r="BA175" s="47">
        <f>40*AX175*0.3</f>
        <v>60</v>
      </c>
      <c r="BB175" s="2" t="str">
        <f>IFERROR(VLOOKUP(BI184,اسماء,23,0),"")</f>
        <v/>
      </c>
      <c r="BC175" s="45">
        <f>40*AX175*0.4</f>
        <v>80</v>
      </c>
      <c r="BD175" s="2" t="str">
        <f>IFERROR(VLOOKUP(BI184,اسماء,36,0),"")</f>
        <v/>
      </c>
      <c r="BE175" s="45">
        <f>SUM(AY175,BA175,BC175)</f>
        <v>200</v>
      </c>
      <c r="BF175" s="48">
        <f>0.4*BE175</f>
        <v>80</v>
      </c>
      <c r="BG175" s="2">
        <f>SUM(AZ175,BB175,BD175)</f>
        <v>0</v>
      </c>
      <c r="BH175" s="20"/>
      <c r="BI175" s="109" t="str">
        <f>IF(BB173=0,"",IF(BB173&lt;BA173*0.4,AW173,""))</f>
        <v/>
      </c>
      <c r="BJ175" s="159" t="str">
        <f>IF(BB174=0,"",IF(BB174&lt;BA174*0.4,AW174,""))</f>
        <v/>
      </c>
      <c r="BK175" s="160" t="str">
        <f>IF(BB175=0,"",IF(BB175&lt;BA175*0.4,AW175,""))</f>
        <v/>
      </c>
    </row>
    <row r="176" spans="1:64" ht="30" customHeight="1" x14ac:dyDescent="0.25">
      <c r="A176" s="116" t="str">
        <f>ادخال1!$L$9</f>
        <v>العلوم</v>
      </c>
      <c r="B176" s="150">
        <f>ادخال1!$L$7</f>
        <v>3</v>
      </c>
      <c r="C176" s="45">
        <f>40*B176*0.3</f>
        <v>36</v>
      </c>
      <c r="D176" s="2">
        <f>IFERROR(VLOOKUP(M184,اسماء,11,0),"")</f>
        <v>33</v>
      </c>
      <c r="E176" s="47">
        <f>40*B176*0.3</f>
        <v>36</v>
      </c>
      <c r="F176" s="2">
        <f>IFERROR(VLOOKUP(M184,اسماء,24,0),"")</f>
        <v>0</v>
      </c>
      <c r="G176" s="45">
        <f>40*B176*0.4</f>
        <v>48</v>
      </c>
      <c r="H176" s="2">
        <f>IFERROR(VLOOKUP(M184,اسماء,37,0),"")</f>
        <v>0</v>
      </c>
      <c r="I176" s="45">
        <f>SUM(C176,E176,G176)</f>
        <v>120</v>
      </c>
      <c r="J176" s="48">
        <f>0.4*I176</f>
        <v>48</v>
      </c>
      <c r="K176" s="2">
        <f>SUM(D176,F176,H176)</f>
        <v>33</v>
      </c>
      <c r="L176" s="20"/>
      <c r="M176" s="109" t="str">
        <f>IF(F176=0,"",IF(F176&lt;E176*0.4,A176,""))</f>
        <v/>
      </c>
      <c r="N176" s="109" t="str">
        <f>IF(F177=0,"",IF(F177&lt;E177*0.4,A177,""))</f>
        <v/>
      </c>
      <c r="O176" s="357"/>
      <c r="P176" s="123"/>
      <c r="Q176" s="116" t="str">
        <f>ادخال1!$L$9</f>
        <v>العلوم</v>
      </c>
      <c r="R176" s="150">
        <f>ادخال1!$L$7</f>
        <v>3</v>
      </c>
      <c r="S176" s="45">
        <f>40*R176*0.3</f>
        <v>36</v>
      </c>
      <c r="T176" s="2">
        <f>IFERROR(VLOOKUP(AC184,اسماء,11,0),"")</f>
        <v>36</v>
      </c>
      <c r="U176" s="47">
        <f>40*R176*0.3</f>
        <v>36</v>
      </c>
      <c r="V176" s="2">
        <f>IFERROR(VLOOKUP(AC184,اسماء,24,0),"")</f>
        <v>0</v>
      </c>
      <c r="W176" s="45">
        <f>40*R176*0.4</f>
        <v>48</v>
      </c>
      <c r="X176" s="2">
        <f>IFERROR(VLOOKUP(AC184,اسماء,37,0),"")</f>
        <v>0</v>
      </c>
      <c r="Y176" s="45">
        <f>SUM(S176,U176,W176)</f>
        <v>120</v>
      </c>
      <c r="Z176" s="48">
        <f>0.4*Y176</f>
        <v>48</v>
      </c>
      <c r="AA176" s="2">
        <f>SUM(T176,V176,X176)</f>
        <v>36</v>
      </c>
      <c r="AB176" s="20"/>
      <c r="AC176" s="109" t="str">
        <f>IF(V176=0,"",IF(V176&lt;U176*0.4,Q176,""))</f>
        <v/>
      </c>
      <c r="AD176" s="109" t="str">
        <f>IF(V177=0,"",IF(V177&lt;U177*0.4,Q177,""))</f>
        <v/>
      </c>
      <c r="AE176" s="357"/>
      <c r="AF176" s="69"/>
      <c r="AG176" s="116" t="str">
        <f>ادخال1!$L$9</f>
        <v>العلوم</v>
      </c>
      <c r="AH176" s="150">
        <f>ادخال1!$L$7</f>
        <v>3</v>
      </c>
      <c r="AI176" s="45">
        <f>40*AH176*0.3</f>
        <v>36</v>
      </c>
      <c r="AJ176" s="2">
        <f>IFERROR(VLOOKUP(AS184,اسماء,11,0),"")</f>
        <v>35</v>
      </c>
      <c r="AK176" s="47">
        <f>40*AH176*0.3</f>
        <v>36</v>
      </c>
      <c r="AL176" s="2">
        <f>IFERROR(VLOOKUP(AS184,اسماء,24,0),"")</f>
        <v>0</v>
      </c>
      <c r="AM176" s="45">
        <f>40*AH176*0.4</f>
        <v>48</v>
      </c>
      <c r="AN176" s="2">
        <f>IFERROR(VLOOKUP(AS184,اسماء,37,0),"")</f>
        <v>0</v>
      </c>
      <c r="AO176" s="45">
        <f>SUM(AI176,AK176,AM176)</f>
        <v>120</v>
      </c>
      <c r="AP176" s="48">
        <f>0.4*AO176</f>
        <v>48</v>
      </c>
      <c r="AQ176" s="2">
        <f>SUM(AJ176,AL176,AN176)</f>
        <v>35</v>
      </c>
      <c r="AR176" s="20"/>
      <c r="AS176" s="109" t="str">
        <f>IF(AL176=0,"",IF(AL176&lt;AK176*0.4,AG176,""))</f>
        <v/>
      </c>
      <c r="AT176" s="109" t="str">
        <f>IF(AL177=0,"",IF(AL177&lt;AK177*0.4,AG177,""))</f>
        <v/>
      </c>
      <c r="AU176" s="357"/>
      <c r="AV176" s="123"/>
      <c r="AW176" s="116" t="str">
        <f>ادخال1!$L$9</f>
        <v>العلوم</v>
      </c>
      <c r="AX176" s="150">
        <f>ادخال1!$L$7</f>
        <v>3</v>
      </c>
      <c r="AY176" s="45">
        <f>40*AX176*0.3</f>
        <v>36</v>
      </c>
      <c r="AZ176" s="2" t="str">
        <f>IFERROR(VLOOKUP(BI184,اسماء,11,0),"")</f>
        <v/>
      </c>
      <c r="BA176" s="47">
        <f>40*AX176*0.3</f>
        <v>36</v>
      </c>
      <c r="BB176" s="2" t="str">
        <f>IFERROR(VLOOKUP(BI184,اسماء,24,0),"")</f>
        <v/>
      </c>
      <c r="BC176" s="45">
        <f>40*AX176*0.4</f>
        <v>48</v>
      </c>
      <c r="BD176" s="2" t="str">
        <f>IFERROR(VLOOKUP(BI184,اسماء,37,0),"")</f>
        <v/>
      </c>
      <c r="BE176" s="45">
        <f>SUM(AY176,BA176,BC176)</f>
        <v>120</v>
      </c>
      <c r="BF176" s="48">
        <f>0.4*BE176</f>
        <v>48</v>
      </c>
      <c r="BG176" s="2">
        <f>SUM(AZ176,BB176,BD176)</f>
        <v>0</v>
      </c>
      <c r="BH176" s="20"/>
      <c r="BI176" s="109" t="str">
        <f>IF(BB176=0,"",IF(BB176&lt;BA176*0.4,AW176,""))</f>
        <v/>
      </c>
      <c r="BJ176" s="109" t="str">
        <f>IF(BB177=0,"",IF(BB177&lt;BA177*0.4,AW177,""))</f>
        <v/>
      </c>
      <c r="BK176" s="357"/>
    </row>
    <row r="177" spans="1:64" ht="30" customHeight="1" thickBot="1" x14ac:dyDescent="0.3">
      <c r="A177" s="116" t="str">
        <f>ادخال1!$M$9</f>
        <v>الاجتماعيات</v>
      </c>
      <c r="B177" s="150">
        <f>ادخال1!$M$7</f>
        <v>2</v>
      </c>
      <c r="C177" s="45">
        <f>40*B177*0.3</f>
        <v>24</v>
      </c>
      <c r="D177" s="2">
        <f>IFERROR(VLOOKUP(M184,اسماء,12,0),"")</f>
        <v>20</v>
      </c>
      <c r="E177" s="47">
        <f>40*B177*0.3</f>
        <v>24</v>
      </c>
      <c r="F177" s="2">
        <f>IFERROR(VLOOKUP(M184,اسماء,25,0),"")</f>
        <v>0</v>
      </c>
      <c r="G177" s="45">
        <f>40*B177*0.4</f>
        <v>32</v>
      </c>
      <c r="H177" s="2">
        <f>IFERROR(VLOOKUP(M184,اسماء,38,0),"")</f>
        <v>0</v>
      </c>
      <c r="I177" s="45">
        <f>SUM(C177,E177,G177)</f>
        <v>80</v>
      </c>
      <c r="J177" s="48">
        <f>0.4*I177</f>
        <v>32</v>
      </c>
      <c r="K177" s="2">
        <f>SUM(D177,F177,H177)</f>
        <v>20</v>
      </c>
      <c r="L177" s="20"/>
      <c r="M177" s="291"/>
      <c r="N177" s="364"/>
      <c r="O177" s="365"/>
      <c r="Q177" s="116" t="str">
        <f>ادخال1!$M$9</f>
        <v>الاجتماعيات</v>
      </c>
      <c r="R177" s="150">
        <f>ادخال1!$M$7</f>
        <v>2</v>
      </c>
      <c r="S177" s="45">
        <f>40*R177*0.3</f>
        <v>24</v>
      </c>
      <c r="T177" s="2">
        <f>IFERROR(VLOOKUP(AC184,اسماء,12,0),"")</f>
        <v>24</v>
      </c>
      <c r="U177" s="47">
        <f>40*R177*0.3</f>
        <v>24</v>
      </c>
      <c r="V177" s="2">
        <f>IFERROR(VLOOKUP(AC184,اسماء,25,0),"")</f>
        <v>0</v>
      </c>
      <c r="W177" s="45">
        <f>40*R177*0.4</f>
        <v>32</v>
      </c>
      <c r="X177" s="2">
        <f>IFERROR(VLOOKUP(AC184,اسماء,38,0),"")</f>
        <v>0</v>
      </c>
      <c r="Y177" s="45">
        <f>SUM(S177,U177,W177)</f>
        <v>80</v>
      </c>
      <c r="Z177" s="48">
        <f>0.4*Y177</f>
        <v>32</v>
      </c>
      <c r="AA177" s="2">
        <f>SUM(T177,V177,X177)</f>
        <v>24</v>
      </c>
      <c r="AB177" s="20"/>
      <c r="AC177" s="291"/>
      <c r="AD177" s="364"/>
      <c r="AE177" s="365"/>
      <c r="AF177" s="69"/>
      <c r="AG177" s="116" t="str">
        <f>ادخال1!$M$9</f>
        <v>الاجتماعيات</v>
      </c>
      <c r="AH177" s="150">
        <f>ادخال1!$M$7</f>
        <v>2</v>
      </c>
      <c r="AI177" s="45">
        <f>40*AH177*0.3</f>
        <v>24</v>
      </c>
      <c r="AJ177" s="2">
        <f>IFERROR(VLOOKUP(AS184,اسماء,12,0),"")</f>
        <v>14</v>
      </c>
      <c r="AK177" s="47">
        <f>40*AH177*0.3</f>
        <v>24</v>
      </c>
      <c r="AL177" s="2">
        <f>IFERROR(VLOOKUP(AS184,اسماء,25,0),"")</f>
        <v>0</v>
      </c>
      <c r="AM177" s="45">
        <f>40*AH177*0.4</f>
        <v>32</v>
      </c>
      <c r="AN177" s="2">
        <f>IFERROR(VLOOKUP(AS184,اسماء,38,0),"")</f>
        <v>0</v>
      </c>
      <c r="AO177" s="45">
        <f>SUM(AI177,AK177,AM177)</f>
        <v>80</v>
      </c>
      <c r="AP177" s="48">
        <f>0.4*AO177</f>
        <v>32</v>
      </c>
      <c r="AQ177" s="2">
        <f>SUM(AJ177,AL177,AN177)</f>
        <v>14</v>
      </c>
      <c r="AR177" s="20"/>
      <c r="AS177" s="291"/>
      <c r="AT177" s="364"/>
      <c r="AU177" s="365"/>
      <c r="AV177" s="123"/>
      <c r="AW177" s="116" t="str">
        <f>ادخال1!$M$9</f>
        <v>الاجتماعيات</v>
      </c>
      <c r="AX177" s="150">
        <f>ادخال1!$M$7</f>
        <v>2</v>
      </c>
      <c r="AY177" s="45">
        <f>40*AX177*0.3</f>
        <v>24</v>
      </c>
      <c r="AZ177" s="2" t="str">
        <f>IFERROR(VLOOKUP(BI184,اسماء,12,0),"")</f>
        <v/>
      </c>
      <c r="BA177" s="47">
        <f>40*AX177*0.3</f>
        <v>24</v>
      </c>
      <c r="BB177" s="2" t="str">
        <f>IFERROR(VLOOKUP(BI184,اسماء,25,0),"")</f>
        <v/>
      </c>
      <c r="BC177" s="45">
        <f>40*AX177*0.4</f>
        <v>32</v>
      </c>
      <c r="BD177" s="2" t="str">
        <f>IFERROR(VLOOKUP(BI184,اسماء,38,0),"")</f>
        <v/>
      </c>
      <c r="BE177" s="45">
        <f>SUM(AY177,BA177,BC177)</f>
        <v>80</v>
      </c>
      <c r="BF177" s="48">
        <f>0.4*BE177</f>
        <v>32</v>
      </c>
      <c r="BG177" s="2">
        <f>SUM(AZ177,BB177,BD177)</f>
        <v>0</v>
      </c>
      <c r="BH177" s="20"/>
      <c r="BI177" s="291"/>
      <c r="BJ177" s="364"/>
      <c r="BK177" s="365"/>
    </row>
    <row r="178" spans="1:64" ht="24.95" customHeight="1" thickBot="1" x14ac:dyDescent="0.3">
      <c r="A178" s="62" t="s">
        <v>57</v>
      </c>
      <c r="B178" s="151"/>
      <c r="C178" s="46">
        <f t="shared" ref="C178:I178" si="138">SUM(C170:C176)</f>
        <v>252</v>
      </c>
      <c r="D178" s="117">
        <f t="shared" si="138"/>
        <v>217</v>
      </c>
      <c r="E178" s="46">
        <f t="shared" si="138"/>
        <v>252</v>
      </c>
      <c r="F178" s="117">
        <f t="shared" si="138"/>
        <v>0</v>
      </c>
      <c r="G178" s="46">
        <f t="shared" si="138"/>
        <v>336</v>
      </c>
      <c r="H178" s="33">
        <f t="shared" si="138"/>
        <v>0</v>
      </c>
      <c r="I178" s="46">
        <f t="shared" si="138"/>
        <v>840</v>
      </c>
      <c r="J178" s="49"/>
      <c r="K178" s="3">
        <f>IF(AND(K170&gt;=J170,K171&gt;=J171,K173&gt;=J173,K175&gt;=J175,K176&gt;=J176),SUM(K170:K176),0)</f>
        <v>0</v>
      </c>
      <c r="L178" s="20"/>
      <c r="M178" s="360" t="s">
        <v>157</v>
      </c>
      <c r="N178" s="569" t="str">
        <f>IF(K178=0,"",IF(AND(K170&gt;=I170*0.4,K171&gt;=I171*0.4,K172&gt;=I172*0.4,K173&gt;=I173*0.4,K174&gt;=I174*0.4,K175&gt;=I175*0.4,K176&gt;=I176*0.4),LOOKUP(K178,$BO$10:$BP$15),"له دور ثان في "))</f>
        <v/>
      </c>
      <c r="O178" s="570"/>
      <c r="Q178" s="62" t="s">
        <v>57</v>
      </c>
      <c r="R178" s="151"/>
      <c r="S178" s="46">
        <f t="shared" ref="S178:Y178" si="139">SUM(S170:S176)</f>
        <v>252</v>
      </c>
      <c r="T178" s="117">
        <f t="shared" si="139"/>
        <v>250</v>
      </c>
      <c r="U178" s="46">
        <f t="shared" si="139"/>
        <v>252</v>
      </c>
      <c r="V178" s="117">
        <f t="shared" si="139"/>
        <v>0</v>
      </c>
      <c r="W178" s="46">
        <f t="shared" si="139"/>
        <v>336</v>
      </c>
      <c r="X178" s="33">
        <f t="shared" si="139"/>
        <v>0</v>
      </c>
      <c r="Y178" s="46">
        <f t="shared" si="139"/>
        <v>840</v>
      </c>
      <c r="Z178" s="49"/>
      <c r="AA178" s="3">
        <f>IF(AND(AA170&gt;=Z170,AA171&gt;=Z171,AA173&gt;=Z173,AA175&gt;=Z175,AA176&gt;=Z176),SUM(AA170:AA176),0)</f>
        <v>0</v>
      </c>
      <c r="AB178" s="20"/>
      <c r="AC178" s="360" t="s">
        <v>157</v>
      </c>
      <c r="AD178" s="569" t="str">
        <f>IF(AA178=0,"",IF(AND(AA170&gt;=Y170*0.4,AA171&gt;=Y171*0.4,AA172&gt;=Y172*0.4,AA173&gt;=Y173*0.4,AA174&gt;=Y174*0.4,AA175&gt;=Y175*0.4,AA176&gt;=Y176*0.4),LOOKUP(AA178,$BO$10:$BP$15),"له دور ثان في "))</f>
        <v/>
      </c>
      <c r="AE178" s="570"/>
      <c r="AF178" s="69"/>
      <c r="AG178" s="62" t="s">
        <v>57</v>
      </c>
      <c r="AH178" s="151"/>
      <c r="AI178" s="46">
        <f t="shared" ref="AI178:AO178" si="140">SUM(AI170:AI176)</f>
        <v>252</v>
      </c>
      <c r="AJ178" s="117">
        <f t="shared" si="140"/>
        <v>165</v>
      </c>
      <c r="AK178" s="46">
        <f t="shared" si="140"/>
        <v>252</v>
      </c>
      <c r="AL178" s="117">
        <f t="shared" si="140"/>
        <v>0</v>
      </c>
      <c r="AM178" s="46">
        <f t="shared" si="140"/>
        <v>336</v>
      </c>
      <c r="AN178" s="33">
        <f t="shared" si="140"/>
        <v>0</v>
      </c>
      <c r="AO178" s="46">
        <f t="shared" si="140"/>
        <v>840</v>
      </c>
      <c r="AP178" s="49"/>
      <c r="AQ178" s="3">
        <f>IF(AND(AQ170&gt;=AP170,AQ171&gt;=AP171,AQ173&gt;=AP173,AQ175&gt;=AP175,AQ176&gt;=AP176),SUM(AQ170:AQ176),0)</f>
        <v>0</v>
      </c>
      <c r="AR178" s="20"/>
      <c r="AS178" s="360" t="s">
        <v>157</v>
      </c>
      <c r="AT178" s="569" t="str">
        <f>IF(AQ178=0,"",IF(AND(AQ170&gt;=AO170*0.4,AQ171&gt;=AO171*0.4,AQ172&gt;=AO172*0.4,AQ173&gt;=AO173*0.4,AQ174&gt;=AO174*0.4,AQ175&gt;=AO175*0.4,AQ176&gt;=AO176*0.4),LOOKUP(AQ178,$BO$10:$BP$15),"له دور ثان في "))</f>
        <v/>
      </c>
      <c r="AU178" s="570"/>
      <c r="AV178" s="69"/>
      <c r="AW178" s="62" t="s">
        <v>57</v>
      </c>
      <c r="AX178" s="151"/>
      <c r="AY178" s="46">
        <f t="shared" ref="AY178:BE178" si="141">SUM(AY170:AY176)</f>
        <v>252</v>
      </c>
      <c r="AZ178" s="117">
        <f t="shared" si="141"/>
        <v>0</v>
      </c>
      <c r="BA178" s="46">
        <f t="shared" si="141"/>
        <v>252</v>
      </c>
      <c r="BB178" s="117">
        <f t="shared" si="141"/>
        <v>0</v>
      </c>
      <c r="BC178" s="46">
        <f t="shared" si="141"/>
        <v>336</v>
      </c>
      <c r="BD178" s="33">
        <f t="shared" si="141"/>
        <v>0</v>
      </c>
      <c r="BE178" s="46">
        <f t="shared" si="141"/>
        <v>840</v>
      </c>
      <c r="BF178" s="49"/>
      <c r="BG178" s="3">
        <f>IF(AND(BG170&gt;=BF170,BG171&gt;=BF171,BG173&gt;=BF173,BG175&gt;=BF175,BG176&gt;=BF176),SUM(BG170:BG176),0)</f>
        <v>0</v>
      </c>
      <c r="BH178" s="20"/>
      <c r="BI178" s="360" t="s">
        <v>157</v>
      </c>
      <c r="BJ178" s="569" t="str">
        <f>IF(BG178=0,"",IF(AND(BG170&gt;=BE170*0.4,BG171&gt;=BE171*0.4,BG172&gt;=BE172*0.4,BG173&gt;=BE173*0.4,BG174&gt;=BE174*0.4,BG175&gt;=BE175*0.4,BG176&gt;=BE176*0.4),LOOKUP(BG178,$BO$10:$BP$15),"له دور ثان في "))</f>
        <v/>
      </c>
      <c r="BK178" s="570"/>
      <c r="BL178" s="27"/>
    </row>
    <row r="179" spans="1:64" ht="24.95" customHeight="1" thickBot="1" x14ac:dyDescent="0.3">
      <c r="A179" s="571" t="s">
        <v>120</v>
      </c>
      <c r="B179" s="572"/>
      <c r="C179" s="573"/>
      <c r="D179" s="573"/>
      <c r="E179" s="573"/>
      <c r="F179" s="573"/>
      <c r="G179" s="573"/>
      <c r="H179" s="358"/>
      <c r="I179" s="359"/>
      <c r="J179" s="574"/>
      <c r="K179" s="574"/>
      <c r="L179" s="34"/>
      <c r="M179" s="109" t="str">
        <f>IF(K170=0,"",IF(K170&lt;I170*0.4,A170,""))</f>
        <v>التربية الإسلامية</v>
      </c>
      <c r="N179" s="159" t="str">
        <f>IF(K171=0,"",IF(K171&lt;I171*0.4,A171,""))</f>
        <v>اللغة العربية</v>
      </c>
      <c r="O179" s="160" t="str">
        <f>IF(K172=0,"",IF(K172&lt;I172*0.4,A172,""))</f>
        <v>الكتابة</v>
      </c>
      <c r="Q179" s="571" t="s">
        <v>120</v>
      </c>
      <c r="R179" s="572"/>
      <c r="S179" s="573"/>
      <c r="T179" s="573"/>
      <c r="U179" s="573"/>
      <c r="V179" s="573"/>
      <c r="W179" s="573"/>
      <c r="X179" s="358"/>
      <c r="Y179" s="359"/>
      <c r="Z179" s="574"/>
      <c r="AA179" s="574"/>
      <c r="AB179" s="34"/>
      <c r="AC179" s="109" t="str">
        <f>IF(AA170=0,"",IF(AA170&lt;Y170*0.4,Q170,""))</f>
        <v>التربية الإسلامية</v>
      </c>
      <c r="AD179" s="159" t="str">
        <f>IF(AA171=0,"",IF(AA171&lt;Y171*0.4,Q171,""))</f>
        <v>اللغة العربية</v>
      </c>
      <c r="AE179" s="160" t="str">
        <f>IF(AA172=0,"",IF(AA172&lt;Y172*0.4,Q172,""))</f>
        <v>الكتابة</v>
      </c>
      <c r="AG179" s="571" t="s">
        <v>120</v>
      </c>
      <c r="AH179" s="572"/>
      <c r="AI179" s="573"/>
      <c r="AJ179" s="573"/>
      <c r="AK179" s="573"/>
      <c r="AL179" s="573"/>
      <c r="AM179" s="573"/>
      <c r="AN179" s="358"/>
      <c r="AO179" s="359"/>
      <c r="AP179" s="574"/>
      <c r="AQ179" s="574"/>
      <c r="AR179" s="34"/>
      <c r="AS179" s="109" t="str">
        <f>IF(AQ170=0,"",IF(AQ170&lt;AO170*0.4,AG170,""))</f>
        <v>التربية الإسلامية</v>
      </c>
      <c r="AT179" s="159" t="str">
        <f>IF(AQ171=0,"",IF(AQ171&lt;AO171*0.4,AG171,""))</f>
        <v>اللغة العربية</v>
      </c>
      <c r="AU179" s="160" t="str">
        <f>IF(AQ172=0,"",IF(AQ172&lt;AO172*0.4,AG172,""))</f>
        <v>الكتابة</v>
      </c>
      <c r="AV179" s="69"/>
      <c r="AW179" s="571" t="s">
        <v>120</v>
      </c>
      <c r="AX179" s="572"/>
      <c r="AY179" s="573"/>
      <c r="AZ179" s="573"/>
      <c r="BA179" s="573"/>
      <c r="BB179" s="573"/>
      <c r="BC179" s="573"/>
      <c r="BD179" s="358"/>
      <c r="BE179" s="359"/>
      <c r="BF179" s="574"/>
      <c r="BG179" s="574"/>
      <c r="BH179" s="34"/>
      <c r="BI179" s="109" t="str">
        <f>IF(BG170=0,"",IF(BG170&lt;BE170*0.4,AW170,""))</f>
        <v/>
      </c>
      <c r="BJ179" s="159" t="str">
        <f>IF(BG171=0,"",IF(BG171&lt;BE171*0.4,AW171,""))</f>
        <v/>
      </c>
      <c r="BK179" s="160" t="str">
        <f>IF(BG172=0,"",IF(BG172&lt;BE172*0.4,AW172,""))</f>
        <v/>
      </c>
      <c r="BL179" s="27"/>
    </row>
    <row r="180" spans="1:64" ht="24.95" customHeight="1" thickBot="1" x14ac:dyDescent="0.3">
      <c r="A180" s="137" t="str">
        <f>ادخال1!$O$8</f>
        <v>التربية الفنية</v>
      </c>
      <c r="B180" s="152">
        <f>ادخال1!$O$7</f>
        <v>1</v>
      </c>
      <c r="C180" s="426"/>
      <c r="D180" s="427"/>
      <c r="E180" s="426"/>
      <c r="F180" s="427"/>
      <c r="G180" s="426"/>
      <c r="H180" s="427"/>
      <c r="I180" s="443"/>
      <c r="J180" s="575"/>
      <c r="K180" s="487"/>
      <c r="L180" s="36"/>
      <c r="M180" s="109" t="str">
        <f>IF(K173=0,"",IF(K173&lt;I173*0.4,A173,""))</f>
        <v>اللغة الإنجليزية</v>
      </c>
      <c r="N180" s="159" t="str">
        <f>IF(K174=0,"",IF(K174&lt;I174*0.4,A174,""))</f>
        <v>الحاسوب</v>
      </c>
      <c r="O180" s="160" t="str">
        <f>IF(K175=0,"",IF(K175&lt;I175*0.4,A175,""))</f>
        <v>الرياضيات</v>
      </c>
      <c r="Q180" s="137" t="str">
        <f>ادخال1!$O$8</f>
        <v>التربية الفنية</v>
      </c>
      <c r="R180" s="152">
        <f>ادخال1!$O$7</f>
        <v>1</v>
      </c>
      <c r="S180" s="426"/>
      <c r="T180" s="427"/>
      <c r="U180" s="426"/>
      <c r="V180" s="427"/>
      <c r="W180" s="426"/>
      <c r="X180" s="427"/>
      <c r="Y180" s="443"/>
      <c r="Z180" s="575"/>
      <c r="AA180" s="487"/>
      <c r="AB180" s="36"/>
      <c r="AC180" s="109" t="str">
        <f>IF(AA173=0,"",IF(AA173&lt;Y173*0.4,Q173,""))</f>
        <v>اللغة الإنجليزية</v>
      </c>
      <c r="AD180" s="159" t="str">
        <f>IF(AA174=0,"",IF(AA174&lt;Y174*0.4,Q174,""))</f>
        <v>الحاسوب</v>
      </c>
      <c r="AE180" s="160" t="str">
        <f>IF(AA175=0,"",IF(AA175&lt;Y175*0.4,Q175,""))</f>
        <v>الرياضيات</v>
      </c>
      <c r="AG180" s="137" t="str">
        <f>ادخال1!$O$8</f>
        <v>التربية الفنية</v>
      </c>
      <c r="AH180" s="152">
        <f>ادخال1!$O$7</f>
        <v>1</v>
      </c>
      <c r="AI180" s="426"/>
      <c r="AJ180" s="427"/>
      <c r="AK180" s="426"/>
      <c r="AL180" s="427"/>
      <c r="AM180" s="426"/>
      <c r="AN180" s="427"/>
      <c r="AO180" s="443"/>
      <c r="AP180" s="575"/>
      <c r="AQ180" s="487"/>
      <c r="AR180" s="36"/>
      <c r="AS180" s="109" t="str">
        <f>IF(AQ173=0,"",IF(AQ173&lt;AO173*0.4,AG173,""))</f>
        <v>اللغة الإنجليزية</v>
      </c>
      <c r="AT180" s="159" t="str">
        <f>IF(AQ174=0,"",IF(AQ174&lt;AO174*0.4,AG174,""))</f>
        <v>الحاسوب</v>
      </c>
      <c r="AU180" s="160" t="str">
        <f>IF(AQ175=0,"",IF(AQ175&lt;AO175*0.4,AG175,""))</f>
        <v>الرياضيات</v>
      </c>
      <c r="AV180" s="69"/>
      <c r="AW180" s="137" t="str">
        <f>ادخال1!$O$8</f>
        <v>التربية الفنية</v>
      </c>
      <c r="AX180" s="152">
        <f>ادخال1!$O$7</f>
        <v>1</v>
      </c>
      <c r="AY180" s="426"/>
      <c r="AZ180" s="427"/>
      <c r="BA180" s="426"/>
      <c r="BB180" s="427"/>
      <c r="BC180" s="426"/>
      <c r="BD180" s="427"/>
      <c r="BE180" s="443"/>
      <c r="BF180" s="575"/>
      <c r="BG180" s="487"/>
      <c r="BH180" s="36"/>
      <c r="BI180" s="109" t="str">
        <f>IF(BG173=0,"",IF(BG173&lt;BE173*0.4,AW173,""))</f>
        <v/>
      </c>
      <c r="BJ180" s="159" t="str">
        <f>IF(BG174=0,"",IF(BG174&lt;BE174*0.4,AW174,""))</f>
        <v/>
      </c>
      <c r="BK180" s="160" t="str">
        <f>IF(BG175=0,"",IF(BG175&lt;BE175*0.4,AW175,""))</f>
        <v/>
      </c>
      <c r="BL180" s="27"/>
    </row>
    <row r="181" spans="1:64" ht="24.95" customHeight="1" thickBot="1" x14ac:dyDescent="0.3">
      <c r="A181" s="138" t="str">
        <f>ادخال1!$P$8</f>
        <v>التربية البدنية</v>
      </c>
      <c r="B181" s="153">
        <f>ادخال1!$P$7</f>
        <v>2</v>
      </c>
      <c r="C181" s="443"/>
      <c r="D181" s="444"/>
      <c r="E181" s="443"/>
      <c r="F181" s="444"/>
      <c r="G181" s="426"/>
      <c r="H181" s="427"/>
      <c r="I181" s="507"/>
      <c r="J181" s="508"/>
      <c r="K181" s="509"/>
      <c r="L181" s="36"/>
      <c r="M181" s="109" t="str">
        <f>IF(K176=0,"",IF(K176&lt;I176*0.4,A176,""))</f>
        <v>العلوم</v>
      </c>
      <c r="N181" s="109" t="str">
        <f>IF(K177=0,"",IF(K177&lt;I177*0.4,A177,""))</f>
        <v>الاجتماعيات</v>
      </c>
      <c r="O181" s="357"/>
      <c r="Q181" s="138" t="str">
        <f>ادخال1!$P$8</f>
        <v>التربية البدنية</v>
      </c>
      <c r="R181" s="153">
        <f>ادخال1!$P$7</f>
        <v>2</v>
      </c>
      <c r="S181" s="443"/>
      <c r="T181" s="444"/>
      <c r="U181" s="443"/>
      <c r="V181" s="444"/>
      <c r="W181" s="426"/>
      <c r="X181" s="427"/>
      <c r="Y181" s="507"/>
      <c r="Z181" s="508"/>
      <c r="AA181" s="509"/>
      <c r="AB181" s="36"/>
      <c r="AC181" s="109" t="str">
        <f>IF(AA176=0,"",IF(AA176&lt;Y176*0.4,Q176,""))</f>
        <v>العلوم</v>
      </c>
      <c r="AD181" s="109" t="str">
        <f>IF(AA177=0,"",IF(AA177&lt;Y177*0.4,Q177,""))</f>
        <v>الاجتماعيات</v>
      </c>
      <c r="AE181" s="357"/>
      <c r="AG181" s="138" t="str">
        <f>ادخال1!$P$8</f>
        <v>التربية البدنية</v>
      </c>
      <c r="AH181" s="153">
        <f>ادخال1!$P$7</f>
        <v>2</v>
      </c>
      <c r="AI181" s="443"/>
      <c r="AJ181" s="444"/>
      <c r="AK181" s="443"/>
      <c r="AL181" s="444"/>
      <c r="AM181" s="426"/>
      <c r="AN181" s="427"/>
      <c r="AO181" s="507"/>
      <c r="AP181" s="508"/>
      <c r="AQ181" s="509"/>
      <c r="AR181" s="36"/>
      <c r="AS181" s="109" t="str">
        <f>IF(AQ176=0,"",IF(AQ176&lt;AO176*0.4,AG176,""))</f>
        <v>العلوم</v>
      </c>
      <c r="AT181" s="109" t="str">
        <f>IF(AQ177=0,"",IF(AQ177&lt;AO177*0.4,AG177,""))</f>
        <v>الاجتماعيات</v>
      </c>
      <c r="AU181" s="357"/>
      <c r="AW181" s="138" t="str">
        <f>ادخال1!$P$8</f>
        <v>التربية البدنية</v>
      </c>
      <c r="AX181" s="153">
        <f>ادخال1!$P$7</f>
        <v>2</v>
      </c>
      <c r="AY181" s="443"/>
      <c r="AZ181" s="444"/>
      <c r="BA181" s="443"/>
      <c r="BB181" s="444"/>
      <c r="BC181" s="426"/>
      <c r="BD181" s="427"/>
      <c r="BE181" s="507"/>
      <c r="BF181" s="508"/>
      <c r="BG181" s="509"/>
      <c r="BH181" s="36"/>
      <c r="BI181" s="109" t="str">
        <f>IF(BG176=0,"",IF(BG176&lt;BE176*0.4,AW176,""))</f>
        <v/>
      </c>
      <c r="BJ181" s="109" t="str">
        <f>IF(BG177=0,"",IF(BG177&lt;BE177*0.4,AW177,""))</f>
        <v/>
      </c>
      <c r="BK181" s="357"/>
    </row>
    <row r="182" spans="1:64" ht="24.95" customHeight="1" thickBot="1" x14ac:dyDescent="0.3">
      <c r="A182" s="138" t="str">
        <f>ادخال1!$Q$8</f>
        <v>التربية الموسيقية</v>
      </c>
      <c r="B182" s="153">
        <f>ادخال1!$Q$7</f>
        <v>1</v>
      </c>
      <c r="C182" s="443"/>
      <c r="D182" s="444"/>
      <c r="E182" s="443" t="str">
        <f>IFERROR(VLOOKUP(M185,اسماء,21,0),"")</f>
        <v/>
      </c>
      <c r="F182" s="444"/>
      <c r="G182" s="426" t="str">
        <f>IFERROR(VLOOKUP($M185,اسماء,30,0),"")</f>
        <v/>
      </c>
      <c r="H182" s="427"/>
      <c r="I182" s="507"/>
      <c r="J182" s="508"/>
      <c r="K182" s="509"/>
      <c r="L182" s="36"/>
      <c r="M182" s="291"/>
      <c r="N182" s="292"/>
      <c r="O182" s="292"/>
      <c r="Q182" s="138" t="str">
        <f>ادخال1!$Q$8</f>
        <v>التربية الموسيقية</v>
      </c>
      <c r="R182" s="153">
        <f>ادخال1!$Q$7</f>
        <v>1</v>
      </c>
      <c r="S182" s="443" t="str">
        <f>IFERROR(VLOOKUP(AC185,اسماء,12,0),"")</f>
        <v/>
      </c>
      <c r="T182" s="444"/>
      <c r="U182" s="443" t="str">
        <f>IFERROR(VLOOKUP(AC185,اسماء,21,0),"")</f>
        <v/>
      </c>
      <c r="V182" s="444"/>
      <c r="W182" s="426" t="str">
        <f>IFERROR(VLOOKUP($M185,اسماء,30,0),"")</f>
        <v/>
      </c>
      <c r="X182" s="427"/>
      <c r="Y182" s="507"/>
      <c r="Z182" s="508"/>
      <c r="AA182" s="509"/>
      <c r="AB182" s="36"/>
      <c r="AC182" s="291"/>
      <c r="AD182" s="292"/>
      <c r="AE182" s="292"/>
      <c r="AG182" s="138" t="str">
        <f>ادخال1!$Q$8</f>
        <v>التربية الموسيقية</v>
      </c>
      <c r="AH182" s="153">
        <f>ادخال1!$Q$7</f>
        <v>1</v>
      </c>
      <c r="AI182" s="443" t="str">
        <f>IFERROR(VLOOKUP(AS185,اسماء,12,0),"")</f>
        <v/>
      </c>
      <c r="AJ182" s="444"/>
      <c r="AK182" s="443" t="str">
        <f>IFERROR(VLOOKUP(AS185,اسماء,21,0),"")</f>
        <v/>
      </c>
      <c r="AL182" s="444"/>
      <c r="AM182" s="426" t="str">
        <f>IFERROR(VLOOKUP($M185,اسماء,30,0),"")</f>
        <v/>
      </c>
      <c r="AN182" s="427"/>
      <c r="AO182" s="507"/>
      <c r="AP182" s="508"/>
      <c r="AQ182" s="509"/>
      <c r="AR182" s="36"/>
      <c r="AS182" s="291"/>
      <c r="AT182" s="292"/>
      <c r="AU182" s="292"/>
      <c r="AW182" s="138" t="str">
        <f>ادخال1!$Q$8</f>
        <v>التربية الموسيقية</v>
      </c>
      <c r="AX182" s="153">
        <f>ادخال1!$Q$7</f>
        <v>1</v>
      </c>
      <c r="AY182" s="443" t="str">
        <f>IFERROR(VLOOKUP(BI185,اسماء,12,0),"")</f>
        <v/>
      </c>
      <c r="AZ182" s="444"/>
      <c r="BA182" s="443" t="str">
        <f>IFERROR(VLOOKUP(BI185,اسماء,21,0),"")</f>
        <v/>
      </c>
      <c r="BB182" s="444"/>
      <c r="BC182" s="426" t="str">
        <f>IFERROR(VLOOKUP($M185,اسماء,30,0),"")</f>
        <v/>
      </c>
      <c r="BD182" s="427"/>
      <c r="BE182" s="507"/>
      <c r="BF182" s="508"/>
      <c r="BG182" s="509"/>
      <c r="BH182" s="36"/>
      <c r="BI182" s="291"/>
      <c r="BJ182" s="292"/>
      <c r="BK182" s="292"/>
    </row>
    <row r="183" spans="1:64" ht="24.95" customHeight="1" thickBot="1" x14ac:dyDescent="0.3">
      <c r="A183" s="139"/>
      <c r="B183" s="154"/>
      <c r="C183" s="34"/>
      <c r="D183" s="34"/>
      <c r="E183" s="34"/>
      <c r="F183" s="34"/>
      <c r="G183" s="34"/>
      <c r="H183" s="34"/>
      <c r="I183" s="513" t="s">
        <v>33</v>
      </c>
      <c r="J183" s="514"/>
      <c r="K183" s="514"/>
      <c r="L183" s="34"/>
      <c r="M183" s="510" t="s">
        <v>58</v>
      </c>
      <c r="N183" s="511"/>
      <c r="O183" s="512"/>
      <c r="Q183" s="139"/>
      <c r="R183" s="154"/>
      <c r="S183" s="34"/>
      <c r="T183" s="34"/>
      <c r="U183" s="34"/>
      <c r="V183" s="34"/>
      <c r="W183" s="34"/>
      <c r="X183" s="34"/>
      <c r="Y183" s="513" t="s">
        <v>33</v>
      </c>
      <c r="Z183" s="514"/>
      <c r="AA183" s="514"/>
      <c r="AB183" s="34"/>
      <c r="AC183" s="510" t="s">
        <v>58</v>
      </c>
      <c r="AD183" s="511"/>
      <c r="AE183" s="512"/>
      <c r="AG183" s="139"/>
      <c r="AH183" s="154"/>
      <c r="AI183" s="34"/>
      <c r="AJ183" s="34"/>
      <c r="AK183" s="34"/>
      <c r="AL183" s="34"/>
      <c r="AM183" s="34"/>
      <c r="AN183" s="34"/>
      <c r="AO183" s="513" t="s">
        <v>33</v>
      </c>
      <c r="AP183" s="514"/>
      <c r="AQ183" s="514"/>
      <c r="AR183" s="34"/>
      <c r="AS183" s="510" t="s">
        <v>58</v>
      </c>
      <c r="AT183" s="511"/>
      <c r="AU183" s="512"/>
      <c r="AW183" s="139"/>
      <c r="AX183" s="154"/>
      <c r="AY183" s="34"/>
      <c r="AZ183" s="34"/>
      <c r="BA183" s="34"/>
      <c r="BB183" s="34"/>
      <c r="BC183" s="34"/>
      <c r="BD183" s="34"/>
      <c r="BE183" s="513" t="s">
        <v>33</v>
      </c>
      <c r="BF183" s="514"/>
      <c r="BG183" s="514"/>
      <c r="BH183" s="34"/>
      <c r="BI183" s="510" t="s">
        <v>58</v>
      </c>
      <c r="BJ183" s="511"/>
      <c r="BK183" s="512"/>
    </row>
    <row r="184" spans="1:64" ht="24.95" customHeight="1" x14ac:dyDescent="0.25">
      <c r="A184" s="433" t="s">
        <v>59</v>
      </c>
      <c r="B184" s="433"/>
      <c r="C184" s="433">
        <f>IFERROR(VLOOKUP(M184,اسماء,31,0),"")</f>
        <v>0</v>
      </c>
      <c r="D184" s="433"/>
      <c r="E184" s="433">
        <f>IFERROR(VLOOKUP(M184,اسماء,32,0),"")</f>
        <v>0</v>
      </c>
      <c r="F184" s="433"/>
      <c r="G184" s="433">
        <f>IFERROR(VLOOKUP(M184,اسماء,33,0),"")</f>
        <v>0</v>
      </c>
      <c r="H184" s="433"/>
      <c r="I184" s="536">
        <f>IFERROR(VLOOKUP(M184,اسماء,42,0),"")</f>
        <v>0</v>
      </c>
      <c r="J184" s="537"/>
      <c r="K184" s="538"/>
      <c r="L184" s="36"/>
      <c r="M184" s="539" t="str">
        <f>INDEX(عمود2,MATCH(O166,عمود1))</f>
        <v>حور حمدي عبدالهادي ديهوم</v>
      </c>
      <c r="N184" s="540"/>
      <c r="O184" s="541"/>
      <c r="Q184" s="433" t="s">
        <v>59</v>
      </c>
      <c r="R184" s="433"/>
      <c r="S184" s="433">
        <f>IFERROR(VLOOKUP(AC184,اسماء,31,0),"")</f>
        <v>0</v>
      </c>
      <c r="T184" s="433"/>
      <c r="U184" s="433">
        <f>IFERROR(VLOOKUP(AC184,اسماء,32,0),"")</f>
        <v>0</v>
      </c>
      <c r="V184" s="433"/>
      <c r="W184" s="433">
        <f>IFERROR(VLOOKUP(AC184,اسماء,33,0),"")</f>
        <v>0</v>
      </c>
      <c r="X184" s="433"/>
      <c r="Y184" s="536">
        <f>IFERROR(VLOOKUP(AC184,اسماء,42,0),"")</f>
        <v>0</v>
      </c>
      <c r="Z184" s="537"/>
      <c r="AA184" s="538"/>
      <c r="AB184" s="36"/>
      <c r="AC184" s="539" t="str">
        <f>INDEX(عمود2,MATCH(AE166,عمود1))</f>
        <v>عبد السميع محمد الهادي موسى</v>
      </c>
      <c r="AD184" s="540"/>
      <c r="AE184" s="541"/>
      <c r="AG184" s="433" t="s">
        <v>59</v>
      </c>
      <c r="AH184" s="433"/>
      <c r="AI184" s="433">
        <f>IFERROR(VLOOKUP(AS184,اسماء,31,0),"")</f>
        <v>0</v>
      </c>
      <c r="AJ184" s="433"/>
      <c r="AK184" s="433">
        <f>IFERROR(VLOOKUP(AS184,اسماء,32,0),"")</f>
        <v>0</v>
      </c>
      <c r="AL184" s="433"/>
      <c r="AM184" s="433">
        <f>IFERROR(VLOOKUP(AS184,اسماء,33,0),"")</f>
        <v>0</v>
      </c>
      <c r="AN184" s="433"/>
      <c r="AO184" s="536">
        <f>IFERROR(VLOOKUP(AS184,اسماء,42,0),"")</f>
        <v>0</v>
      </c>
      <c r="AP184" s="537"/>
      <c r="AQ184" s="538"/>
      <c r="AR184" s="36"/>
      <c r="AS184" s="539" t="str">
        <f>INDEX(عمود2,MATCH(AU166,عمود1))</f>
        <v>مصطفى طارق فتحي الختال</v>
      </c>
      <c r="AT184" s="540"/>
      <c r="AU184" s="541"/>
      <c r="AW184" s="433" t="s">
        <v>59</v>
      </c>
      <c r="AX184" s="433"/>
      <c r="AY184" s="433" t="str">
        <f>IFERROR(VLOOKUP(BI184,اسماء,31,0),"")</f>
        <v/>
      </c>
      <c r="AZ184" s="433"/>
      <c r="BA184" s="433" t="str">
        <f>IFERROR(VLOOKUP(BI184,اسماء,32,0),"")</f>
        <v/>
      </c>
      <c r="BB184" s="433"/>
      <c r="BC184" s="433" t="str">
        <f>IFERROR(VLOOKUP(BI184,اسماء,33,0),"")</f>
        <v/>
      </c>
      <c r="BD184" s="433"/>
      <c r="BE184" s="536" t="str">
        <f>IFERROR(VLOOKUP(BI184,اسماء,42,0),"")</f>
        <v/>
      </c>
      <c r="BF184" s="537"/>
      <c r="BG184" s="538"/>
      <c r="BH184" s="36"/>
      <c r="BI184" s="539">
        <f>INDEX(عمود2,MATCH(BK166,عمود1))</f>
        <v>0</v>
      </c>
      <c r="BJ184" s="540"/>
      <c r="BK184" s="541"/>
      <c r="BL184" s="27"/>
    </row>
    <row r="185" spans="1:64" ht="4.9000000000000004" customHeight="1" x14ac:dyDescent="0.25">
      <c r="A185" s="433" t="s">
        <v>60</v>
      </c>
      <c r="B185" s="433"/>
      <c r="C185" s="433">
        <f>IFERROR(VLOOKUP(M184,اسماء,34,0),"")</f>
        <v>0</v>
      </c>
      <c r="D185" s="433"/>
      <c r="E185" s="433">
        <f>IFERROR(VLOOKUP(M184,اسماء,36,0),"")</f>
        <v>0</v>
      </c>
      <c r="F185" s="433"/>
      <c r="G185" s="433">
        <f>IFERROR(VLOOKUP(M184,اسماء,38,0),"")</f>
        <v>0</v>
      </c>
      <c r="H185" s="433"/>
      <c r="I185" s="436"/>
      <c r="J185" s="433"/>
      <c r="K185" s="516"/>
      <c r="L185" s="36"/>
      <c r="M185" s="542" t="str">
        <f>IF(I184="غائب","يبقى سنة اخرى في الصف",IF(K178&gt;0,"ناجحاً ومنقولاً الى الصف ","له دور ثان"))</f>
        <v>له دور ثان</v>
      </c>
      <c r="N185" s="543"/>
      <c r="O185" s="544"/>
      <c r="Q185" s="433" t="s">
        <v>60</v>
      </c>
      <c r="R185" s="433"/>
      <c r="S185" s="433">
        <f>IFERROR(VLOOKUP(AC184,اسماء,34,0),"")</f>
        <v>0</v>
      </c>
      <c r="T185" s="433"/>
      <c r="U185" s="433">
        <f>IFERROR(VLOOKUP(AC184,اسماء,36,0),"")</f>
        <v>0</v>
      </c>
      <c r="V185" s="433"/>
      <c r="W185" s="433">
        <f>IFERROR(VLOOKUP(AC184,اسماء,38,0),"")</f>
        <v>0</v>
      </c>
      <c r="X185" s="433"/>
      <c r="Y185" s="436"/>
      <c r="Z185" s="433"/>
      <c r="AA185" s="516"/>
      <c r="AB185" s="36"/>
      <c r="AC185" s="542" t="str">
        <f>IF(Y184="غائب","يبقى سنة اخرى في الصف",IF(AA178&gt;0,"ناجحاً ومنقولاً الى الصف ","له دور ثان"))</f>
        <v>له دور ثان</v>
      </c>
      <c r="AD185" s="543"/>
      <c r="AE185" s="544"/>
      <c r="AG185" s="433" t="s">
        <v>60</v>
      </c>
      <c r="AH185" s="433"/>
      <c r="AI185" s="433">
        <f>IFERROR(VLOOKUP(AS184,اسماء,34,0),"")</f>
        <v>0</v>
      </c>
      <c r="AJ185" s="433"/>
      <c r="AK185" s="433">
        <f>IFERROR(VLOOKUP(AS184,اسماء,36,0),"")</f>
        <v>0</v>
      </c>
      <c r="AL185" s="433"/>
      <c r="AM185" s="433">
        <f>IFERROR(VLOOKUP(AS184,اسماء,38,0),"")</f>
        <v>0</v>
      </c>
      <c r="AN185" s="433"/>
      <c r="AO185" s="436"/>
      <c r="AP185" s="433"/>
      <c r="AQ185" s="516"/>
      <c r="AR185" s="36"/>
      <c r="AS185" s="542" t="str">
        <f>IF(AO184="غائب","يبقى سنة اخرى في الصف",IF(AQ178&gt;0,"ناجحاً ومنقولاً الى الصف ","له دور ثان"))</f>
        <v>له دور ثان</v>
      </c>
      <c r="AT185" s="543"/>
      <c r="AU185" s="544"/>
      <c r="AW185" s="433" t="s">
        <v>60</v>
      </c>
      <c r="AX185" s="433"/>
      <c r="AY185" s="433" t="str">
        <f>IFERROR(VLOOKUP(BI184,اسماء,34,0),"")</f>
        <v/>
      </c>
      <c r="AZ185" s="433"/>
      <c r="BA185" s="433" t="str">
        <f>IFERROR(VLOOKUP(BI184,اسماء,36,0),"")</f>
        <v/>
      </c>
      <c r="BB185" s="433"/>
      <c r="BC185" s="433" t="str">
        <f>IFERROR(VLOOKUP(BI184,اسماء,38,0),"")</f>
        <v/>
      </c>
      <c r="BD185" s="433"/>
      <c r="BE185" s="436"/>
      <c r="BF185" s="433"/>
      <c r="BG185" s="516"/>
      <c r="BH185" s="36"/>
      <c r="BI185" s="542" t="str">
        <f>IF(BE184="غائب","يبقى سنة اخرى في الصف",IF(BG178&gt;0,"ناجحاً ومنقولاً الى الصف ","له دور ثان"))</f>
        <v>له دور ثان</v>
      </c>
      <c r="BJ185" s="543"/>
      <c r="BK185" s="544"/>
    </row>
    <row r="186" spans="1:64" ht="24.95" customHeight="1" thickBot="1" x14ac:dyDescent="0.3">
      <c r="A186" s="545" t="s">
        <v>61</v>
      </c>
      <c r="B186" s="545"/>
      <c r="C186" s="433">
        <f>IFERROR(VLOOKUP(M184,اسماء,35,0),"")</f>
        <v>0</v>
      </c>
      <c r="D186" s="433"/>
      <c r="E186" s="433">
        <f>IFERROR(VLOOKUP(M184,اسماء,37,0),"")</f>
        <v>0</v>
      </c>
      <c r="F186" s="433"/>
      <c r="G186" s="433">
        <f>IFERROR(VLOOKUP(M184,اسماء,39,0),"")</f>
        <v>0</v>
      </c>
      <c r="H186" s="433"/>
      <c r="I186" s="453"/>
      <c r="J186" s="518"/>
      <c r="K186" s="519"/>
      <c r="L186" s="36"/>
      <c r="M186" s="546" t="str">
        <f>IF(I184="غائب",D166,IF(M185="له دور ثان","",IF(M185="يبقى سنة أخرى بالصف",D166,IF(D166="الرابع","الخامس",IF(D166="الخامس","السادس")))))</f>
        <v/>
      </c>
      <c r="N186" s="546"/>
      <c r="O186" s="546"/>
      <c r="Q186" s="545" t="s">
        <v>61</v>
      </c>
      <c r="R186" s="545"/>
      <c r="S186" s="433">
        <f>IFERROR(VLOOKUP(AC184,اسماء,35,0),"")</f>
        <v>0</v>
      </c>
      <c r="T186" s="433"/>
      <c r="U186" s="433">
        <f>IFERROR(VLOOKUP(AC184,اسماء,37,0),"")</f>
        <v>0</v>
      </c>
      <c r="V186" s="433"/>
      <c r="W186" s="433">
        <f>IFERROR(VLOOKUP(AC184,اسماء,39,0),"")</f>
        <v>0</v>
      </c>
      <c r="X186" s="433"/>
      <c r="Y186" s="453"/>
      <c r="Z186" s="518"/>
      <c r="AA186" s="519"/>
      <c r="AB186" s="36"/>
      <c r="AC186" s="546" t="str">
        <f>IF(Y184="غائب",T166,IF(AC185="له دور ثان","",IF(AC185="يبقى سنة أخرى بالصف",T166,IF(T166="الرابع","الخامس",IF(T166="الخامس","السادس")))))</f>
        <v/>
      </c>
      <c r="AD186" s="546"/>
      <c r="AE186" s="546"/>
      <c r="AG186" s="545" t="s">
        <v>61</v>
      </c>
      <c r="AH186" s="545"/>
      <c r="AI186" s="433">
        <f>IFERROR(VLOOKUP(AS184,اسماء,35,0),"")</f>
        <v>0</v>
      </c>
      <c r="AJ186" s="433"/>
      <c r="AK186" s="433">
        <f>IFERROR(VLOOKUP(AS184,اسماء,37,0),"")</f>
        <v>0</v>
      </c>
      <c r="AL186" s="433"/>
      <c r="AM186" s="433">
        <f>IFERROR(VLOOKUP(AS184,اسماء,39,0),"")</f>
        <v>0</v>
      </c>
      <c r="AN186" s="433"/>
      <c r="AO186" s="453"/>
      <c r="AP186" s="518"/>
      <c r="AQ186" s="519"/>
      <c r="AR186" s="36"/>
      <c r="AS186" s="546" t="str">
        <f>IF(AO184="غائب",AJ166,IF(AS185="له دور ثان","",IF(AS185="يبقى سنة أخرى بالصف",AJ166,IF(AJ166="الرابع","الخامس",IF(AJ166="الخامس","السادس")))))</f>
        <v/>
      </c>
      <c r="AT186" s="546"/>
      <c r="AU186" s="546"/>
      <c r="AW186" s="545" t="s">
        <v>61</v>
      </c>
      <c r="AX186" s="545"/>
      <c r="AY186" s="433" t="str">
        <f>IFERROR(VLOOKUP(BI184,اسماء,35,0),"")</f>
        <v/>
      </c>
      <c r="AZ186" s="433"/>
      <c r="BA186" s="433" t="str">
        <f>IFERROR(VLOOKUP(BI184,اسماء,37,0),"")</f>
        <v/>
      </c>
      <c r="BB186" s="433"/>
      <c r="BC186" s="433" t="str">
        <f>IFERROR(VLOOKUP(BI184,اسماء,39,0),"")</f>
        <v/>
      </c>
      <c r="BD186" s="433"/>
      <c r="BE186" s="453"/>
      <c r="BF186" s="518"/>
      <c r="BG186" s="519"/>
      <c r="BH186" s="36"/>
      <c r="BI186" s="546" t="str">
        <f>IF(BE184="غائب",AZ166,IF(BI185="له دور ثان","",IF(BI185="يبقى سنة أخرى بالصف",AZ166,IF(AZ166="الرابع","الخامس",IF(AZ166="الخامس","السادس")))))</f>
        <v/>
      </c>
      <c r="BJ186" s="546"/>
      <c r="BK186" s="546"/>
      <c r="BL186" s="27"/>
    </row>
    <row r="187" spans="1:64" ht="24.95" customHeight="1" x14ac:dyDescent="0.25">
      <c r="A187" s="137" t="s">
        <v>88</v>
      </c>
      <c r="B187" s="468"/>
      <c r="C187" s="468"/>
      <c r="D187" s="468"/>
      <c r="E187" s="468"/>
      <c r="F187" s="468"/>
      <c r="G187" s="468"/>
      <c r="H187" s="568"/>
      <c r="I187" s="517" t="s">
        <v>66</v>
      </c>
      <c r="J187" s="517"/>
      <c r="K187" s="515" t="str">
        <f>ادخال1!$BP$5</f>
        <v>د.عبدالرحمن خليفة العريبي</v>
      </c>
      <c r="L187" s="515"/>
      <c r="M187" s="515"/>
      <c r="N187" s="515"/>
      <c r="O187" s="515"/>
      <c r="Q187" s="137" t="s">
        <v>88</v>
      </c>
      <c r="R187" s="468"/>
      <c r="S187" s="468"/>
      <c r="T187" s="468"/>
      <c r="U187" s="468"/>
      <c r="V187" s="468"/>
      <c r="W187" s="468"/>
      <c r="X187" s="568"/>
      <c r="Y187" s="517" t="s">
        <v>66</v>
      </c>
      <c r="Z187" s="517"/>
      <c r="AA187" s="515" t="str">
        <f>ادخال1!$BP$5</f>
        <v>د.عبدالرحمن خليفة العريبي</v>
      </c>
      <c r="AB187" s="515"/>
      <c r="AC187" s="515"/>
      <c r="AD187" s="515"/>
      <c r="AE187" s="515"/>
      <c r="AG187" s="137" t="s">
        <v>88</v>
      </c>
      <c r="AH187" s="468"/>
      <c r="AI187" s="468"/>
      <c r="AJ187" s="468"/>
      <c r="AK187" s="468"/>
      <c r="AL187" s="468"/>
      <c r="AM187" s="468"/>
      <c r="AN187" s="568"/>
      <c r="AO187" s="517" t="s">
        <v>66</v>
      </c>
      <c r="AP187" s="517"/>
      <c r="AQ187" s="515" t="str">
        <f>ادخال1!$BP$5</f>
        <v>د.عبدالرحمن خليفة العريبي</v>
      </c>
      <c r="AR187" s="515"/>
      <c r="AS187" s="515"/>
      <c r="AT187" s="515"/>
      <c r="AU187" s="515"/>
      <c r="AW187" s="137" t="s">
        <v>88</v>
      </c>
      <c r="AX187" s="468"/>
      <c r="AY187" s="468"/>
      <c r="AZ187" s="468"/>
      <c r="BA187" s="468"/>
      <c r="BB187" s="468"/>
      <c r="BC187" s="468"/>
      <c r="BD187" s="568"/>
      <c r="BE187" s="517" t="s">
        <v>66</v>
      </c>
      <c r="BF187" s="517"/>
      <c r="BG187" s="515" t="str">
        <f>ادخال1!$BP$5</f>
        <v>د.عبدالرحمن خليفة العريبي</v>
      </c>
      <c r="BH187" s="515"/>
      <c r="BI187" s="515"/>
      <c r="BJ187" s="515"/>
      <c r="BK187" s="515"/>
      <c r="BL187" s="27"/>
    </row>
    <row r="188" spans="1:64" ht="24.95" customHeight="1" x14ac:dyDescent="0.25">
      <c r="A188" s="61" t="s">
        <v>15</v>
      </c>
      <c r="B188" s="433"/>
      <c r="C188" s="433"/>
      <c r="D188" s="433"/>
      <c r="E188" s="433"/>
      <c r="F188" s="433"/>
      <c r="G188" s="433"/>
      <c r="H188" s="516"/>
      <c r="I188" s="488" t="s">
        <v>68</v>
      </c>
      <c r="J188" s="488"/>
      <c r="K188" s="488"/>
      <c r="L188" s="68"/>
      <c r="M188" s="506">
        <f ca="1">TODAY()</f>
        <v>46035</v>
      </c>
      <c r="N188" s="506"/>
      <c r="O188" s="506"/>
      <c r="Q188" s="61" t="s">
        <v>15</v>
      </c>
      <c r="R188" s="433"/>
      <c r="S188" s="433"/>
      <c r="T188" s="433"/>
      <c r="U188" s="433"/>
      <c r="V188" s="433"/>
      <c r="W188" s="433"/>
      <c r="X188" s="516"/>
      <c r="Y188" s="488" t="s">
        <v>68</v>
      </c>
      <c r="Z188" s="488"/>
      <c r="AA188" s="488"/>
      <c r="AB188" s="68"/>
      <c r="AC188" s="506">
        <f ca="1">TODAY()</f>
        <v>46035</v>
      </c>
      <c r="AD188" s="506"/>
      <c r="AE188" s="506"/>
      <c r="AG188" s="61" t="s">
        <v>15</v>
      </c>
      <c r="AH188" s="433"/>
      <c r="AI188" s="433"/>
      <c r="AJ188" s="433"/>
      <c r="AK188" s="433"/>
      <c r="AL188" s="433"/>
      <c r="AM188" s="433"/>
      <c r="AN188" s="516"/>
      <c r="AO188" s="488" t="s">
        <v>68</v>
      </c>
      <c r="AP188" s="488"/>
      <c r="AQ188" s="488"/>
      <c r="AR188" s="68"/>
      <c r="AS188" s="506">
        <f ca="1">TODAY()</f>
        <v>46035</v>
      </c>
      <c r="AT188" s="506"/>
      <c r="AU188" s="506"/>
      <c r="AW188" s="61" t="s">
        <v>15</v>
      </c>
      <c r="AX188" s="433"/>
      <c r="AY188" s="433"/>
      <c r="AZ188" s="433"/>
      <c r="BA188" s="433"/>
      <c r="BB188" s="433"/>
      <c r="BC188" s="433"/>
      <c r="BD188" s="516"/>
      <c r="BE188" s="488" t="s">
        <v>68</v>
      </c>
      <c r="BF188" s="488"/>
      <c r="BG188" s="488"/>
      <c r="BH188" s="68"/>
      <c r="BI188" s="506">
        <f ca="1">TODAY()</f>
        <v>46035</v>
      </c>
      <c r="BJ188" s="506"/>
      <c r="BK188" s="506"/>
      <c r="BL188" s="27"/>
    </row>
    <row r="189" spans="1:64" ht="24.95" customHeight="1" thickBot="1" x14ac:dyDescent="0.3">
      <c r="A189" s="138" t="s">
        <v>89</v>
      </c>
      <c r="B189" s="518"/>
      <c r="C189" s="518"/>
      <c r="D189" s="518"/>
      <c r="E189" s="518"/>
      <c r="F189" s="518"/>
      <c r="G189" s="518"/>
      <c r="H189" s="519"/>
      <c r="I189" s="520" t="s">
        <v>70</v>
      </c>
      <c r="J189" s="520"/>
      <c r="K189" s="520"/>
      <c r="L189" s="520"/>
      <c r="M189" s="520"/>
      <c r="N189" s="520"/>
      <c r="O189" s="521"/>
      <c r="Q189" s="138" t="s">
        <v>89</v>
      </c>
      <c r="R189" s="518"/>
      <c r="S189" s="518"/>
      <c r="T189" s="518"/>
      <c r="U189" s="518"/>
      <c r="V189" s="518"/>
      <c r="W189" s="518"/>
      <c r="X189" s="519"/>
      <c r="Y189" s="520" t="s">
        <v>70</v>
      </c>
      <c r="Z189" s="520"/>
      <c r="AA189" s="520"/>
      <c r="AB189" s="520"/>
      <c r="AC189" s="520"/>
      <c r="AD189" s="520"/>
      <c r="AE189" s="521"/>
      <c r="AG189" s="138" t="s">
        <v>89</v>
      </c>
      <c r="AH189" s="518"/>
      <c r="AI189" s="518"/>
      <c r="AJ189" s="518"/>
      <c r="AK189" s="518"/>
      <c r="AL189" s="518"/>
      <c r="AM189" s="518"/>
      <c r="AN189" s="519"/>
      <c r="AO189" s="520" t="s">
        <v>70</v>
      </c>
      <c r="AP189" s="520"/>
      <c r="AQ189" s="520"/>
      <c r="AR189" s="520"/>
      <c r="AS189" s="520"/>
      <c r="AT189" s="520"/>
      <c r="AU189" s="521"/>
      <c r="AW189" s="138" t="s">
        <v>89</v>
      </c>
      <c r="AX189" s="518"/>
      <c r="AY189" s="518"/>
      <c r="AZ189" s="518"/>
      <c r="BA189" s="518"/>
      <c r="BB189" s="518"/>
      <c r="BC189" s="518"/>
      <c r="BD189" s="519"/>
      <c r="BE189" s="520" t="s">
        <v>70</v>
      </c>
      <c r="BF189" s="520"/>
      <c r="BG189" s="520"/>
      <c r="BH189" s="520"/>
      <c r="BI189" s="520"/>
      <c r="BJ189" s="520"/>
      <c r="BK189" s="521"/>
    </row>
    <row r="190" spans="1:64" ht="16.5" thickBot="1" x14ac:dyDescent="0.3">
      <c r="A190" s="141"/>
      <c r="I190" s="38"/>
      <c r="J190" s="38"/>
      <c r="K190" s="38"/>
      <c r="L190" s="38"/>
      <c r="M190" s="111"/>
      <c r="N190" s="161"/>
      <c r="O190" s="162"/>
      <c r="Q190" s="141"/>
      <c r="Y190" s="38"/>
      <c r="Z190" s="38"/>
      <c r="AA190" s="38"/>
      <c r="AB190" s="38"/>
      <c r="AC190" s="111"/>
      <c r="AD190" s="111"/>
      <c r="AE190" s="112"/>
      <c r="AG190" s="141"/>
      <c r="AO190" s="38"/>
      <c r="AP190" s="38"/>
      <c r="AQ190" s="38"/>
      <c r="AR190" s="38"/>
      <c r="AS190" s="111"/>
      <c r="AT190" s="111"/>
      <c r="AU190" s="112"/>
      <c r="AW190" s="141"/>
      <c r="BE190" s="38"/>
      <c r="BF190" s="38"/>
      <c r="BG190" s="38"/>
      <c r="BH190" s="38"/>
      <c r="BI190" s="111"/>
      <c r="BJ190" s="111"/>
      <c r="BK190" s="112"/>
    </row>
    <row r="191" spans="1:64" thickTop="1" x14ac:dyDescent="0.25">
      <c r="A191" s="522" t="s">
        <v>84</v>
      </c>
      <c r="B191" s="523"/>
      <c r="C191" s="523"/>
      <c r="D191" s="523"/>
      <c r="E191" s="39"/>
      <c r="F191" s="39"/>
      <c r="G191" s="40"/>
      <c r="H191" s="8"/>
      <c r="I191" s="524" t="s">
        <v>71</v>
      </c>
      <c r="J191" s="525"/>
      <c r="K191" s="525"/>
      <c r="L191" s="525"/>
      <c r="M191" s="525"/>
      <c r="N191" s="525"/>
      <c r="O191" s="526"/>
      <c r="Q191" s="522" t="s">
        <v>84</v>
      </c>
      <c r="R191" s="523"/>
      <c r="S191" s="523"/>
      <c r="T191" s="523"/>
      <c r="U191" s="39"/>
      <c r="V191" s="39"/>
      <c r="W191" s="40"/>
      <c r="X191" s="8"/>
      <c r="Y191" s="524" t="s">
        <v>71</v>
      </c>
      <c r="Z191" s="525"/>
      <c r="AA191" s="525"/>
      <c r="AB191" s="525"/>
      <c r="AC191" s="525"/>
      <c r="AD191" s="525"/>
      <c r="AE191" s="526"/>
      <c r="AG191" s="522" t="s">
        <v>84</v>
      </c>
      <c r="AH191" s="523"/>
      <c r="AI191" s="523"/>
      <c r="AJ191" s="523"/>
      <c r="AK191" s="39"/>
      <c r="AL191" s="39"/>
      <c r="AM191" s="40"/>
      <c r="AN191" s="8"/>
      <c r="AO191" s="524" t="s">
        <v>71</v>
      </c>
      <c r="AP191" s="525"/>
      <c r="AQ191" s="525"/>
      <c r="AR191" s="525"/>
      <c r="AS191" s="525"/>
      <c r="AT191" s="525"/>
      <c r="AU191" s="526"/>
      <c r="AW191" s="522" t="s">
        <v>84</v>
      </c>
      <c r="AX191" s="523"/>
      <c r="AY191" s="523"/>
      <c r="AZ191" s="523"/>
      <c r="BA191" s="39"/>
      <c r="BB191" s="39"/>
      <c r="BC191" s="40"/>
      <c r="BD191" s="8"/>
      <c r="BE191" s="524" t="s">
        <v>71</v>
      </c>
      <c r="BF191" s="525"/>
      <c r="BG191" s="525"/>
      <c r="BH191" s="525"/>
      <c r="BI191" s="525"/>
      <c r="BJ191" s="525"/>
      <c r="BK191" s="526"/>
    </row>
    <row r="192" spans="1:64" ht="14.25" customHeight="1" x14ac:dyDescent="0.25">
      <c r="A192" s="527" t="s">
        <v>72</v>
      </c>
      <c r="B192" s="528"/>
      <c r="C192" s="528"/>
      <c r="D192" s="528"/>
      <c r="E192" s="528"/>
      <c r="F192" s="528"/>
      <c r="G192" s="529"/>
      <c r="H192" s="8"/>
      <c r="I192" s="530" t="s">
        <v>85</v>
      </c>
      <c r="J192" s="531"/>
      <c r="K192" s="531"/>
      <c r="L192" s="531"/>
      <c r="M192" s="531"/>
      <c r="N192" s="531"/>
      <c r="O192" s="532"/>
      <c r="Q192" s="527" t="s">
        <v>72</v>
      </c>
      <c r="R192" s="528"/>
      <c r="S192" s="528"/>
      <c r="T192" s="528"/>
      <c r="U192" s="528"/>
      <c r="V192" s="528"/>
      <c r="W192" s="529"/>
      <c r="X192" s="8"/>
      <c r="Y192" s="530" t="s">
        <v>85</v>
      </c>
      <c r="Z192" s="531"/>
      <c r="AA192" s="531"/>
      <c r="AB192" s="531"/>
      <c r="AC192" s="531"/>
      <c r="AD192" s="531"/>
      <c r="AE192" s="532"/>
      <c r="AG192" s="527" t="s">
        <v>72</v>
      </c>
      <c r="AH192" s="528"/>
      <c r="AI192" s="528"/>
      <c r="AJ192" s="528"/>
      <c r="AK192" s="528"/>
      <c r="AL192" s="528"/>
      <c r="AM192" s="529"/>
      <c r="AN192" s="8"/>
      <c r="AO192" s="530" t="s">
        <v>85</v>
      </c>
      <c r="AP192" s="531"/>
      <c r="AQ192" s="531"/>
      <c r="AR192" s="531"/>
      <c r="AS192" s="531"/>
      <c r="AT192" s="531"/>
      <c r="AU192" s="532"/>
      <c r="AW192" s="527" t="s">
        <v>72</v>
      </c>
      <c r="AX192" s="528"/>
      <c r="AY192" s="528"/>
      <c r="AZ192" s="528"/>
      <c r="BA192" s="528"/>
      <c r="BB192" s="528"/>
      <c r="BC192" s="529"/>
      <c r="BD192" s="8"/>
      <c r="BE192" s="530" t="s">
        <v>85</v>
      </c>
      <c r="BF192" s="531"/>
      <c r="BG192" s="531"/>
      <c r="BH192" s="531"/>
      <c r="BI192" s="531"/>
      <c r="BJ192" s="531"/>
      <c r="BK192" s="532"/>
    </row>
    <row r="193" spans="1:63" ht="15" x14ac:dyDescent="0.25">
      <c r="A193" s="527"/>
      <c r="B193" s="528"/>
      <c r="C193" s="528"/>
      <c r="D193" s="528"/>
      <c r="E193" s="528"/>
      <c r="F193" s="528"/>
      <c r="G193" s="529"/>
      <c r="H193" s="8"/>
      <c r="I193" s="530"/>
      <c r="J193" s="531"/>
      <c r="K193" s="531"/>
      <c r="L193" s="531"/>
      <c r="M193" s="531"/>
      <c r="N193" s="531"/>
      <c r="O193" s="532"/>
      <c r="Q193" s="527"/>
      <c r="R193" s="528"/>
      <c r="S193" s="528"/>
      <c r="T193" s="528"/>
      <c r="U193" s="528"/>
      <c r="V193" s="528"/>
      <c r="W193" s="529"/>
      <c r="X193" s="8"/>
      <c r="Y193" s="530"/>
      <c r="Z193" s="531"/>
      <c r="AA193" s="531"/>
      <c r="AB193" s="531"/>
      <c r="AC193" s="531"/>
      <c r="AD193" s="531"/>
      <c r="AE193" s="532"/>
      <c r="AG193" s="527"/>
      <c r="AH193" s="528"/>
      <c r="AI193" s="528"/>
      <c r="AJ193" s="528"/>
      <c r="AK193" s="528"/>
      <c r="AL193" s="528"/>
      <c r="AM193" s="529"/>
      <c r="AN193" s="8"/>
      <c r="AO193" s="530"/>
      <c r="AP193" s="531"/>
      <c r="AQ193" s="531"/>
      <c r="AR193" s="531"/>
      <c r="AS193" s="531"/>
      <c r="AT193" s="531"/>
      <c r="AU193" s="532"/>
      <c r="AW193" s="527"/>
      <c r="AX193" s="528"/>
      <c r="AY193" s="528"/>
      <c r="AZ193" s="528"/>
      <c r="BA193" s="528"/>
      <c r="BB193" s="528"/>
      <c r="BC193" s="529"/>
      <c r="BD193" s="8"/>
      <c r="BE193" s="530"/>
      <c r="BF193" s="531"/>
      <c r="BG193" s="531"/>
      <c r="BH193" s="531"/>
      <c r="BI193" s="531"/>
      <c r="BJ193" s="531"/>
      <c r="BK193" s="532"/>
    </row>
    <row r="194" spans="1:63" ht="15" x14ac:dyDescent="0.25">
      <c r="A194" s="527"/>
      <c r="B194" s="528"/>
      <c r="C194" s="528"/>
      <c r="D194" s="528"/>
      <c r="E194" s="528"/>
      <c r="F194" s="528"/>
      <c r="G194" s="529"/>
      <c r="H194" s="8"/>
      <c r="I194" s="530"/>
      <c r="J194" s="531"/>
      <c r="K194" s="531"/>
      <c r="L194" s="531"/>
      <c r="M194" s="531"/>
      <c r="N194" s="531"/>
      <c r="O194" s="532"/>
      <c r="Q194" s="527"/>
      <c r="R194" s="528"/>
      <c r="S194" s="528"/>
      <c r="T194" s="528"/>
      <c r="U194" s="528"/>
      <c r="V194" s="528"/>
      <c r="W194" s="529"/>
      <c r="X194" s="8"/>
      <c r="Y194" s="530"/>
      <c r="Z194" s="531"/>
      <c r="AA194" s="531"/>
      <c r="AB194" s="531"/>
      <c r="AC194" s="531"/>
      <c r="AD194" s="531"/>
      <c r="AE194" s="532"/>
      <c r="AG194" s="527"/>
      <c r="AH194" s="528"/>
      <c r="AI194" s="528"/>
      <c r="AJ194" s="528"/>
      <c r="AK194" s="528"/>
      <c r="AL194" s="528"/>
      <c r="AM194" s="529"/>
      <c r="AN194" s="8"/>
      <c r="AO194" s="530"/>
      <c r="AP194" s="531"/>
      <c r="AQ194" s="531"/>
      <c r="AR194" s="531"/>
      <c r="AS194" s="531"/>
      <c r="AT194" s="531"/>
      <c r="AU194" s="532"/>
      <c r="AW194" s="527"/>
      <c r="AX194" s="528"/>
      <c r="AY194" s="528"/>
      <c r="AZ194" s="528"/>
      <c r="BA194" s="528"/>
      <c r="BB194" s="528"/>
      <c r="BC194" s="529"/>
      <c r="BD194" s="8"/>
      <c r="BE194" s="530"/>
      <c r="BF194" s="531"/>
      <c r="BG194" s="531"/>
      <c r="BH194" s="531"/>
      <c r="BI194" s="531"/>
      <c r="BJ194" s="531"/>
      <c r="BK194" s="532"/>
    </row>
    <row r="195" spans="1:63" ht="15" x14ac:dyDescent="0.25">
      <c r="A195" s="527"/>
      <c r="B195" s="528"/>
      <c r="C195" s="528"/>
      <c r="D195" s="528"/>
      <c r="E195" s="528"/>
      <c r="F195" s="528"/>
      <c r="G195" s="529"/>
      <c r="H195" s="8"/>
      <c r="I195" s="530"/>
      <c r="J195" s="531"/>
      <c r="K195" s="531"/>
      <c r="L195" s="531"/>
      <c r="M195" s="531"/>
      <c r="N195" s="531"/>
      <c r="O195" s="532"/>
      <c r="Q195" s="527"/>
      <c r="R195" s="528"/>
      <c r="S195" s="528"/>
      <c r="T195" s="528"/>
      <c r="U195" s="528"/>
      <c r="V195" s="528"/>
      <c r="W195" s="529"/>
      <c r="X195" s="8"/>
      <c r="Y195" s="530"/>
      <c r="Z195" s="531"/>
      <c r="AA195" s="531"/>
      <c r="AB195" s="531"/>
      <c r="AC195" s="531"/>
      <c r="AD195" s="531"/>
      <c r="AE195" s="532"/>
      <c r="AG195" s="527"/>
      <c r="AH195" s="528"/>
      <c r="AI195" s="528"/>
      <c r="AJ195" s="528"/>
      <c r="AK195" s="528"/>
      <c r="AL195" s="528"/>
      <c r="AM195" s="529"/>
      <c r="AN195" s="8"/>
      <c r="AO195" s="530"/>
      <c r="AP195" s="531"/>
      <c r="AQ195" s="531"/>
      <c r="AR195" s="531"/>
      <c r="AS195" s="531"/>
      <c r="AT195" s="531"/>
      <c r="AU195" s="532"/>
      <c r="AW195" s="527"/>
      <c r="AX195" s="528"/>
      <c r="AY195" s="528"/>
      <c r="AZ195" s="528"/>
      <c r="BA195" s="528"/>
      <c r="BB195" s="528"/>
      <c r="BC195" s="529"/>
      <c r="BD195" s="8"/>
      <c r="BE195" s="530"/>
      <c r="BF195" s="531"/>
      <c r="BG195" s="531"/>
      <c r="BH195" s="531"/>
      <c r="BI195" s="531"/>
      <c r="BJ195" s="531"/>
      <c r="BK195" s="532"/>
    </row>
    <row r="196" spans="1:63" ht="14.25" customHeight="1" x14ac:dyDescent="0.25">
      <c r="A196" s="527" t="s">
        <v>73</v>
      </c>
      <c r="B196" s="528"/>
      <c r="C196" s="528"/>
      <c r="D196" s="528"/>
      <c r="E196" s="528"/>
      <c r="F196" s="528"/>
      <c r="G196" s="529"/>
      <c r="H196" s="8"/>
      <c r="I196" s="530"/>
      <c r="J196" s="531"/>
      <c r="K196" s="531"/>
      <c r="L196" s="531"/>
      <c r="M196" s="531"/>
      <c r="N196" s="531"/>
      <c r="O196" s="532"/>
      <c r="Q196" s="527" t="s">
        <v>73</v>
      </c>
      <c r="R196" s="528"/>
      <c r="S196" s="528"/>
      <c r="T196" s="528"/>
      <c r="U196" s="528"/>
      <c r="V196" s="528"/>
      <c r="W196" s="529"/>
      <c r="X196" s="8"/>
      <c r="Y196" s="530"/>
      <c r="Z196" s="531"/>
      <c r="AA196" s="531"/>
      <c r="AB196" s="531"/>
      <c r="AC196" s="531"/>
      <c r="AD196" s="531"/>
      <c r="AE196" s="532"/>
      <c r="AG196" s="527" t="s">
        <v>73</v>
      </c>
      <c r="AH196" s="528"/>
      <c r="AI196" s="528"/>
      <c r="AJ196" s="528"/>
      <c r="AK196" s="528"/>
      <c r="AL196" s="528"/>
      <c r="AM196" s="529"/>
      <c r="AN196" s="8"/>
      <c r="AO196" s="530"/>
      <c r="AP196" s="531"/>
      <c r="AQ196" s="531"/>
      <c r="AR196" s="531"/>
      <c r="AS196" s="531"/>
      <c r="AT196" s="531"/>
      <c r="AU196" s="532"/>
      <c r="AW196" s="527" t="s">
        <v>73</v>
      </c>
      <c r="AX196" s="528"/>
      <c r="AY196" s="528"/>
      <c r="AZ196" s="528"/>
      <c r="BA196" s="528"/>
      <c r="BB196" s="528"/>
      <c r="BC196" s="529"/>
      <c r="BD196" s="8"/>
      <c r="BE196" s="530"/>
      <c r="BF196" s="531"/>
      <c r="BG196" s="531"/>
      <c r="BH196" s="531"/>
      <c r="BI196" s="531"/>
      <c r="BJ196" s="531"/>
      <c r="BK196" s="532"/>
    </row>
    <row r="197" spans="1:63" ht="15.75" customHeight="1" thickBot="1" x14ac:dyDescent="0.3">
      <c r="A197" s="533"/>
      <c r="B197" s="534"/>
      <c r="C197" s="534"/>
      <c r="D197" s="534"/>
      <c r="E197" s="534"/>
      <c r="F197" s="534"/>
      <c r="G197" s="535"/>
      <c r="H197" s="8"/>
      <c r="I197" s="547" t="s">
        <v>74</v>
      </c>
      <c r="J197" s="548"/>
      <c r="K197" s="548"/>
      <c r="L197" s="548"/>
      <c r="M197" s="548"/>
      <c r="N197" s="548"/>
      <c r="O197" s="549"/>
      <c r="Q197" s="533"/>
      <c r="R197" s="534"/>
      <c r="S197" s="534"/>
      <c r="T197" s="534"/>
      <c r="U197" s="534"/>
      <c r="V197" s="534"/>
      <c r="W197" s="535"/>
      <c r="X197" s="8"/>
      <c r="Y197" s="547" t="s">
        <v>74</v>
      </c>
      <c r="Z197" s="548"/>
      <c r="AA197" s="548"/>
      <c r="AB197" s="548"/>
      <c r="AC197" s="548"/>
      <c r="AD197" s="548"/>
      <c r="AE197" s="549"/>
      <c r="AG197" s="533"/>
      <c r="AH197" s="534"/>
      <c r="AI197" s="534"/>
      <c r="AJ197" s="534"/>
      <c r="AK197" s="534"/>
      <c r="AL197" s="534"/>
      <c r="AM197" s="535"/>
      <c r="AN197" s="8"/>
      <c r="AO197" s="547" t="s">
        <v>74</v>
      </c>
      <c r="AP197" s="548"/>
      <c r="AQ197" s="548"/>
      <c r="AR197" s="548"/>
      <c r="AS197" s="548"/>
      <c r="AT197" s="548"/>
      <c r="AU197" s="549"/>
      <c r="AW197" s="533"/>
      <c r="AX197" s="534"/>
      <c r="AY197" s="534"/>
      <c r="AZ197" s="534"/>
      <c r="BA197" s="534"/>
      <c r="BB197" s="534"/>
      <c r="BC197" s="535"/>
      <c r="BD197" s="8"/>
      <c r="BE197" s="547" t="s">
        <v>74</v>
      </c>
      <c r="BF197" s="548"/>
      <c r="BG197" s="548"/>
      <c r="BH197" s="548"/>
      <c r="BI197" s="548"/>
      <c r="BJ197" s="548"/>
      <c r="BK197" s="549"/>
    </row>
    <row r="198" spans="1:63" ht="15" customHeight="1" thickTop="1" x14ac:dyDescent="0.25">
      <c r="A198" s="142"/>
      <c r="B198" s="156"/>
      <c r="C198" s="8"/>
      <c r="D198" s="8"/>
      <c r="E198" s="8"/>
      <c r="F198" s="8"/>
      <c r="G198" s="8"/>
      <c r="H198" s="8"/>
      <c r="I198" s="553" t="s">
        <v>75</v>
      </c>
      <c r="J198" s="554"/>
      <c r="K198" s="554"/>
      <c r="L198" s="554"/>
      <c r="M198" s="554"/>
      <c r="N198" s="554"/>
      <c r="O198" s="555"/>
      <c r="Q198" s="142"/>
      <c r="R198" s="8"/>
      <c r="S198" s="8"/>
      <c r="T198" s="8"/>
      <c r="U198" s="8"/>
      <c r="V198" s="8"/>
      <c r="W198" s="8"/>
      <c r="X198" s="8"/>
      <c r="Y198" s="553" t="s">
        <v>75</v>
      </c>
      <c r="Z198" s="554"/>
      <c r="AA198" s="554"/>
      <c r="AB198" s="554"/>
      <c r="AC198" s="554"/>
      <c r="AD198" s="554"/>
      <c r="AE198" s="555"/>
      <c r="AG198" s="142"/>
      <c r="AH198" s="8"/>
      <c r="AI198" s="8"/>
      <c r="AJ198" s="8"/>
      <c r="AK198" s="8"/>
      <c r="AL198" s="8"/>
      <c r="AM198" s="8"/>
      <c r="AN198" s="8"/>
      <c r="AO198" s="553" t="s">
        <v>75</v>
      </c>
      <c r="AP198" s="554"/>
      <c r="AQ198" s="554"/>
      <c r="AR198" s="554"/>
      <c r="AS198" s="554"/>
      <c r="AT198" s="554"/>
      <c r="AU198" s="555"/>
      <c r="AW198" s="142"/>
      <c r="AX198" s="8"/>
      <c r="AY198" s="8"/>
      <c r="AZ198" s="8"/>
      <c r="BA198" s="8"/>
      <c r="BB198" s="8"/>
      <c r="BC198" s="8"/>
      <c r="BD198" s="8"/>
      <c r="BE198" s="553" t="s">
        <v>75</v>
      </c>
      <c r="BF198" s="554"/>
      <c r="BG198" s="554"/>
      <c r="BH198" s="554"/>
      <c r="BI198" s="554"/>
      <c r="BJ198" s="554"/>
      <c r="BK198" s="555"/>
    </row>
    <row r="199" spans="1:63" ht="15" customHeight="1" thickBot="1" x14ac:dyDescent="0.3">
      <c r="A199" s="142"/>
      <c r="B199" s="156"/>
      <c r="C199" s="8"/>
      <c r="D199" s="8"/>
      <c r="E199" s="8"/>
      <c r="F199" s="8"/>
      <c r="G199" s="8"/>
      <c r="H199" s="71"/>
      <c r="I199" s="553"/>
      <c r="J199" s="554"/>
      <c r="K199" s="554"/>
      <c r="L199" s="554"/>
      <c r="M199" s="554"/>
      <c r="N199" s="554"/>
      <c r="O199" s="555"/>
      <c r="Q199" s="142"/>
      <c r="R199" s="8"/>
      <c r="S199" s="8"/>
      <c r="T199" s="8"/>
      <c r="U199" s="8"/>
      <c r="V199" s="8"/>
      <c r="W199" s="8"/>
      <c r="X199" s="71"/>
      <c r="Y199" s="553"/>
      <c r="Z199" s="554"/>
      <c r="AA199" s="554"/>
      <c r="AB199" s="554"/>
      <c r="AC199" s="554"/>
      <c r="AD199" s="554"/>
      <c r="AE199" s="555"/>
      <c r="AG199" s="142"/>
      <c r="AH199" s="8"/>
      <c r="AI199" s="8"/>
      <c r="AJ199" s="8"/>
      <c r="AK199" s="8"/>
      <c r="AL199" s="8"/>
      <c r="AM199" s="8"/>
      <c r="AN199" s="71"/>
      <c r="AO199" s="553"/>
      <c r="AP199" s="554"/>
      <c r="AQ199" s="554"/>
      <c r="AR199" s="554"/>
      <c r="AS199" s="554"/>
      <c r="AT199" s="554"/>
      <c r="AU199" s="555"/>
      <c r="AW199" s="142"/>
      <c r="AX199" s="8"/>
      <c r="AY199" s="8"/>
      <c r="AZ199" s="8"/>
      <c r="BA199" s="8"/>
      <c r="BB199" s="8"/>
      <c r="BC199" s="8"/>
      <c r="BD199" s="71"/>
      <c r="BE199" s="553"/>
      <c r="BF199" s="554"/>
      <c r="BG199" s="554"/>
      <c r="BH199" s="554"/>
      <c r="BI199" s="554"/>
      <c r="BJ199" s="554"/>
      <c r="BK199" s="555"/>
    </row>
    <row r="200" spans="1:63" ht="18" customHeight="1" thickTop="1" x14ac:dyDescent="0.25">
      <c r="A200" s="142"/>
      <c r="B200" s="562" t="s">
        <v>76</v>
      </c>
      <c r="C200" s="563"/>
      <c r="D200" s="563"/>
      <c r="E200" s="563"/>
      <c r="F200" s="39"/>
      <c r="G200" s="39"/>
      <c r="H200" s="40"/>
      <c r="I200" s="547" t="s">
        <v>77</v>
      </c>
      <c r="J200" s="548"/>
      <c r="K200" s="548"/>
      <c r="L200" s="548"/>
      <c r="M200" s="548"/>
      <c r="N200" s="548"/>
      <c r="O200" s="549"/>
      <c r="Q200" s="142"/>
      <c r="R200" s="562" t="s">
        <v>76</v>
      </c>
      <c r="S200" s="563"/>
      <c r="T200" s="563"/>
      <c r="U200" s="563"/>
      <c r="V200" s="39"/>
      <c r="W200" s="39"/>
      <c r="X200" s="40"/>
      <c r="Y200" s="547" t="s">
        <v>77</v>
      </c>
      <c r="Z200" s="548"/>
      <c r="AA200" s="548"/>
      <c r="AB200" s="548"/>
      <c r="AC200" s="548"/>
      <c r="AD200" s="548"/>
      <c r="AE200" s="549"/>
      <c r="AG200" s="142"/>
      <c r="AH200" s="562" t="s">
        <v>76</v>
      </c>
      <c r="AI200" s="563"/>
      <c r="AJ200" s="563"/>
      <c r="AK200" s="563"/>
      <c r="AL200" s="39"/>
      <c r="AM200" s="39"/>
      <c r="AN200" s="40"/>
      <c r="AO200" s="547" t="s">
        <v>77</v>
      </c>
      <c r="AP200" s="548"/>
      <c r="AQ200" s="548"/>
      <c r="AR200" s="548"/>
      <c r="AS200" s="548"/>
      <c r="AT200" s="548"/>
      <c r="AU200" s="549"/>
      <c r="AW200" s="142"/>
      <c r="AX200" s="562" t="s">
        <v>76</v>
      </c>
      <c r="AY200" s="563"/>
      <c r="AZ200" s="563"/>
      <c r="BA200" s="563"/>
      <c r="BB200" s="39"/>
      <c r="BC200" s="39"/>
      <c r="BD200" s="40"/>
      <c r="BE200" s="547" t="s">
        <v>77</v>
      </c>
      <c r="BF200" s="548"/>
      <c r="BG200" s="548"/>
      <c r="BH200" s="548"/>
      <c r="BI200" s="548"/>
      <c r="BJ200" s="548"/>
      <c r="BK200" s="549"/>
    </row>
    <row r="201" spans="1:63" ht="15" customHeight="1" x14ac:dyDescent="0.25">
      <c r="A201" s="142"/>
      <c r="B201" s="550" t="s">
        <v>78</v>
      </c>
      <c r="C201" s="551"/>
      <c r="D201" s="551"/>
      <c r="E201" s="551"/>
      <c r="F201" s="551"/>
      <c r="G201" s="551"/>
      <c r="H201" s="552"/>
      <c r="I201" s="553" t="s">
        <v>79</v>
      </c>
      <c r="J201" s="554"/>
      <c r="K201" s="554"/>
      <c r="L201" s="554"/>
      <c r="M201" s="554"/>
      <c r="N201" s="554"/>
      <c r="O201" s="555"/>
      <c r="Q201" s="142"/>
      <c r="R201" s="550" t="s">
        <v>78</v>
      </c>
      <c r="S201" s="551"/>
      <c r="T201" s="551"/>
      <c r="U201" s="551"/>
      <c r="V201" s="551"/>
      <c r="W201" s="551"/>
      <c r="X201" s="552"/>
      <c r="Y201" s="553" t="s">
        <v>79</v>
      </c>
      <c r="Z201" s="554"/>
      <c r="AA201" s="554"/>
      <c r="AB201" s="554"/>
      <c r="AC201" s="554"/>
      <c r="AD201" s="554"/>
      <c r="AE201" s="555"/>
      <c r="AG201" s="142"/>
      <c r="AH201" s="550" t="s">
        <v>78</v>
      </c>
      <c r="AI201" s="551"/>
      <c r="AJ201" s="551"/>
      <c r="AK201" s="551"/>
      <c r="AL201" s="551"/>
      <c r="AM201" s="551"/>
      <c r="AN201" s="552"/>
      <c r="AO201" s="553" t="s">
        <v>79</v>
      </c>
      <c r="AP201" s="554"/>
      <c r="AQ201" s="554"/>
      <c r="AR201" s="554"/>
      <c r="AS201" s="554"/>
      <c r="AT201" s="554"/>
      <c r="AU201" s="555"/>
      <c r="AW201" s="142"/>
      <c r="AX201" s="550" t="s">
        <v>78</v>
      </c>
      <c r="AY201" s="551"/>
      <c r="AZ201" s="551"/>
      <c r="BA201" s="551"/>
      <c r="BB201" s="551"/>
      <c r="BC201" s="551"/>
      <c r="BD201" s="552"/>
      <c r="BE201" s="553" t="s">
        <v>79</v>
      </c>
      <c r="BF201" s="554"/>
      <c r="BG201" s="554"/>
      <c r="BH201" s="554"/>
      <c r="BI201" s="554"/>
      <c r="BJ201" s="554"/>
      <c r="BK201" s="555"/>
    </row>
    <row r="202" spans="1:63" ht="14.25" customHeight="1" x14ac:dyDescent="0.25">
      <c r="A202" s="142"/>
      <c r="B202" s="556" t="s">
        <v>91</v>
      </c>
      <c r="C202" s="454"/>
      <c r="D202" s="454"/>
      <c r="E202" s="454"/>
      <c r="F202" s="454"/>
      <c r="G202" s="454"/>
      <c r="H202" s="455"/>
      <c r="I202" s="553"/>
      <c r="J202" s="554"/>
      <c r="K202" s="554"/>
      <c r="L202" s="554"/>
      <c r="M202" s="554"/>
      <c r="N202" s="554"/>
      <c r="O202" s="555"/>
      <c r="Q202" s="142"/>
      <c r="R202" s="556" t="s">
        <v>91</v>
      </c>
      <c r="S202" s="454"/>
      <c r="T202" s="454"/>
      <c r="U202" s="454"/>
      <c r="V202" s="454"/>
      <c r="W202" s="454"/>
      <c r="X202" s="455"/>
      <c r="Y202" s="553"/>
      <c r="Z202" s="554"/>
      <c r="AA202" s="554"/>
      <c r="AB202" s="554"/>
      <c r="AC202" s="554"/>
      <c r="AD202" s="554"/>
      <c r="AE202" s="555"/>
      <c r="AG202" s="142"/>
      <c r="AH202" s="556" t="s">
        <v>91</v>
      </c>
      <c r="AI202" s="454"/>
      <c r="AJ202" s="454"/>
      <c r="AK202" s="454"/>
      <c r="AL202" s="454"/>
      <c r="AM202" s="454"/>
      <c r="AN202" s="455"/>
      <c r="AO202" s="553"/>
      <c r="AP202" s="554"/>
      <c r="AQ202" s="554"/>
      <c r="AR202" s="554"/>
      <c r="AS202" s="554"/>
      <c r="AT202" s="554"/>
      <c r="AU202" s="555"/>
      <c r="AW202" s="142"/>
      <c r="AX202" s="556" t="s">
        <v>91</v>
      </c>
      <c r="AY202" s="454"/>
      <c r="AZ202" s="454"/>
      <c r="BA202" s="454"/>
      <c r="BB202" s="454"/>
      <c r="BC202" s="454"/>
      <c r="BD202" s="455"/>
      <c r="BE202" s="553"/>
      <c r="BF202" s="554"/>
      <c r="BG202" s="554"/>
      <c r="BH202" s="554"/>
      <c r="BI202" s="554"/>
      <c r="BJ202" s="554"/>
      <c r="BK202" s="555"/>
    </row>
    <row r="203" spans="1:63" ht="14.25" customHeight="1" x14ac:dyDescent="0.25">
      <c r="A203" s="142"/>
      <c r="B203" s="556"/>
      <c r="C203" s="454"/>
      <c r="D203" s="454"/>
      <c r="E203" s="454"/>
      <c r="F203" s="454"/>
      <c r="G203" s="454"/>
      <c r="H203" s="455"/>
      <c r="I203" s="554" t="s">
        <v>80</v>
      </c>
      <c r="J203" s="554"/>
      <c r="K203" s="554"/>
      <c r="L203" s="554"/>
      <c r="M203" s="554"/>
      <c r="N203" s="554"/>
      <c r="O203" s="555"/>
      <c r="Q203" s="142"/>
      <c r="R203" s="556"/>
      <c r="S203" s="454"/>
      <c r="T203" s="454"/>
      <c r="U203" s="454"/>
      <c r="V203" s="454"/>
      <c r="W203" s="454"/>
      <c r="X203" s="455"/>
      <c r="Y203" s="554" t="s">
        <v>80</v>
      </c>
      <c r="Z203" s="554"/>
      <c r="AA203" s="554"/>
      <c r="AB203" s="554"/>
      <c r="AC203" s="554"/>
      <c r="AD203" s="554"/>
      <c r="AE203" s="555"/>
      <c r="AG203" s="142"/>
      <c r="AH203" s="556"/>
      <c r="AI203" s="454"/>
      <c r="AJ203" s="454"/>
      <c r="AK203" s="454"/>
      <c r="AL203" s="454"/>
      <c r="AM203" s="454"/>
      <c r="AN203" s="455"/>
      <c r="AO203" s="554" t="s">
        <v>80</v>
      </c>
      <c r="AP203" s="554"/>
      <c r="AQ203" s="554"/>
      <c r="AR203" s="554"/>
      <c r="AS203" s="554"/>
      <c r="AT203" s="554"/>
      <c r="AU203" s="555"/>
      <c r="AW203" s="142"/>
      <c r="AX203" s="556"/>
      <c r="AY203" s="454"/>
      <c r="AZ203" s="454"/>
      <c r="BA203" s="454"/>
      <c r="BB203" s="454"/>
      <c r="BC203" s="454"/>
      <c r="BD203" s="455"/>
      <c r="BE203" s="554" t="s">
        <v>80</v>
      </c>
      <c r="BF203" s="554"/>
      <c r="BG203" s="554"/>
      <c r="BH203" s="554"/>
      <c r="BI203" s="554"/>
      <c r="BJ203" s="554"/>
      <c r="BK203" s="555"/>
    </row>
    <row r="204" spans="1:63" ht="15" customHeight="1" thickBot="1" x14ac:dyDescent="0.3">
      <c r="A204" s="142"/>
      <c r="B204" s="557"/>
      <c r="C204" s="558"/>
      <c r="D204" s="558"/>
      <c r="E204" s="558"/>
      <c r="F204" s="558"/>
      <c r="G204" s="558"/>
      <c r="H204" s="559"/>
      <c r="I204" s="560"/>
      <c r="J204" s="560"/>
      <c r="K204" s="560"/>
      <c r="L204" s="560"/>
      <c r="M204" s="560"/>
      <c r="N204" s="560"/>
      <c r="O204" s="561"/>
      <c r="Q204" s="142"/>
      <c r="R204" s="557"/>
      <c r="S204" s="558"/>
      <c r="T204" s="558"/>
      <c r="U204" s="558"/>
      <c r="V204" s="558"/>
      <c r="W204" s="558"/>
      <c r="X204" s="559"/>
      <c r="Y204" s="560"/>
      <c r="Z204" s="560"/>
      <c r="AA204" s="560"/>
      <c r="AB204" s="560"/>
      <c r="AC204" s="560"/>
      <c r="AD204" s="560"/>
      <c r="AE204" s="561"/>
      <c r="AG204" s="142"/>
      <c r="AH204" s="557"/>
      <c r="AI204" s="558"/>
      <c r="AJ204" s="558"/>
      <c r="AK204" s="558"/>
      <c r="AL204" s="558"/>
      <c r="AM204" s="558"/>
      <c r="AN204" s="559"/>
      <c r="AO204" s="560"/>
      <c r="AP204" s="560"/>
      <c r="AQ204" s="560"/>
      <c r="AR204" s="560"/>
      <c r="AS204" s="560"/>
      <c r="AT204" s="560"/>
      <c r="AU204" s="561"/>
      <c r="AW204" s="142"/>
      <c r="AX204" s="557"/>
      <c r="AY204" s="558"/>
      <c r="AZ204" s="558"/>
      <c r="BA204" s="558"/>
      <c r="BB204" s="558"/>
      <c r="BC204" s="558"/>
      <c r="BD204" s="559"/>
      <c r="BE204" s="560"/>
      <c r="BF204" s="560"/>
      <c r="BG204" s="560"/>
      <c r="BH204" s="560"/>
      <c r="BI204" s="560"/>
      <c r="BJ204" s="560"/>
      <c r="BK204" s="561"/>
    </row>
    <row r="205" spans="1:63" ht="15.75" customHeight="1" thickTop="1" thickBot="1" x14ac:dyDescent="0.3">
      <c r="A205" s="143"/>
      <c r="B205" s="157"/>
      <c r="C205" s="564"/>
      <c r="D205" s="564"/>
      <c r="E205" s="564"/>
      <c r="F205" s="564"/>
      <c r="G205" s="564"/>
      <c r="H205" s="41"/>
      <c r="I205" s="42"/>
      <c r="J205" s="42"/>
      <c r="K205" s="42"/>
      <c r="L205" s="42"/>
      <c r="M205" s="113"/>
      <c r="N205" s="163"/>
      <c r="O205" s="163"/>
      <c r="P205" s="69"/>
      <c r="Q205" s="143"/>
      <c r="R205" s="41"/>
      <c r="S205" s="564"/>
      <c r="T205" s="564"/>
      <c r="U205" s="564"/>
      <c r="V205" s="564"/>
      <c r="W205" s="564"/>
      <c r="X205" s="41"/>
      <c r="Y205" s="42"/>
      <c r="Z205" s="42"/>
      <c r="AA205" s="42"/>
      <c r="AB205" s="42"/>
      <c r="AC205" s="113"/>
      <c r="AD205" s="113"/>
      <c r="AE205" s="114"/>
      <c r="AG205" s="143"/>
      <c r="AH205" s="41"/>
      <c r="AI205" s="564"/>
      <c r="AJ205" s="564"/>
      <c r="AK205" s="564"/>
      <c r="AL205" s="564"/>
      <c r="AM205" s="564"/>
      <c r="AN205" s="41"/>
      <c r="AO205" s="42"/>
      <c r="AP205" s="42"/>
      <c r="AQ205" s="42"/>
      <c r="AR205" s="42"/>
      <c r="AS205" s="113"/>
      <c r="AT205" s="113"/>
      <c r="AU205" s="114"/>
      <c r="AW205" s="143"/>
      <c r="AX205" s="41"/>
      <c r="AY205" s="564"/>
      <c r="AZ205" s="564"/>
      <c r="BA205" s="564"/>
      <c r="BB205" s="564"/>
      <c r="BC205" s="564"/>
      <c r="BD205" s="41"/>
      <c r="BE205" s="42"/>
      <c r="BF205" s="42"/>
      <c r="BG205" s="42"/>
      <c r="BH205" s="42"/>
      <c r="BI205" s="113"/>
      <c r="BJ205" s="113"/>
      <c r="BK205" s="114"/>
    </row>
    <row r="206" spans="1:63" ht="16.5" thickTop="1" x14ac:dyDescent="0.25"/>
  </sheetData>
  <sheetProtection selectLockedCells="1"/>
  <mergeCells count="1576">
    <mergeCell ref="AG179:AH179"/>
    <mergeCell ref="AI179:AM179"/>
    <mergeCell ref="AP179:AQ179"/>
    <mergeCell ref="AI181:AJ181"/>
    <mergeCell ref="AK181:AL181"/>
    <mergeCell ref="AM181:AN181"/>
    <mergeCell ref="AG185:AH185"/>
    <mergeCell ref="AI185:AJ185"/>
    <mergeCell ref="AK185:AL185"/>
    <mergeCell ref="AM185:AN185"/>
    <mergeCell ref="AO185:AQ185"/>
    <mergeCell ref="AS185:AU185"/>
    <mergeCell ref="AG186:AH186"/>
    <mergeCell ref="AI186:AJ186"/>
    <mergeCell ref="AK186:AL186"/>
    <mergeCell ref="AO186:AQ186"/>
    <mergeCell ref="AS186:AU186"/>
    <mergeCell ref="AO183:AQ183"/>
    <mergeCell ref="AI180:AJ180"/>
    <mergeCell ref="AK180:AL180"/>
    <mergeCell ref="AM180:AN180"/>
    <mergeCell ref="AS183:AU183"/>
    <mergeCell ref="AD178:AE178"/>
    <mergeCell ref="Q179:R179"/>
    <mergeCell ref="S179:W179"/>
    <mergeCell ref="Z179:AA179"/>
    <mergeCell ref="S181:T181"/>
    <mergeCell ref="U181:V181"/>
    <mergeCell ref="W181:X181"/>
    <mergeCell ref="Q185:R185"/>
    <mergeCell ref="S185:T185"/>
    <mergeCell ref="U185:V185"/>
    <mergeCell ref="W185:X185"/>
    <mergeCell ref="Y185:AA185"/>
    <mergeCell ref="AC185:AE185"/>
    <mergeCell ref="Q186:R186"/>
    <mergeCell ref="S186:T186"/>
    <mergeCell ref="U186:V186"/>
    <mergeCell ref="Y186:AA186"/>
    <mergeCell ref="AC186:AE186"/>
    <mergeCell ref="S182:T182"/>
    <mergeCell ref="U182:V182"/>
    <mergeCell ref="W182:X182"/>
    <mergeCell ref="Y182:AA182"/>
    <mergeCell ref="Y183:AA183"/>
    <mergeCell ref="S180:T180"/>
    <mergeCell ref="U180:V180"/>
    <mergeCell ref="W180:X180"/>
    <mergeCell ref="Y180:AA180"/>
    <mergeCell ref="Y181:AA181"/>
    <mergeCell ref="AC183:AE183"/>
    <mergeCell ref="N178:O178"/>
    <mergeCell ref="A179:B179"/>
    <mergeCell ref="C179:G179"/>
    <mergeCell ref="J179:K179"/>
    <mergeCell ref="C181:D181"/>
    <mergeCell ref="E181:F181"/>
    <mergeCell ref="G181:H181"/>
    <mergeCell ref="A185:B185"/>
    <mergeCell ref="C185:D185"/>
    <mergeCell ref="E185:F185"/>
    <mergeCell ref="G185:H185"/>
    <mergeCell ref="I185:K185"/>
    <mergeCell ref="M185:O185"/>
    <mergeCell ref="A186:B186"/>
    <mergeCell ref="C186:D186"/>
    <mergeCell ref="E186:F186"/>
    <mergeCell ref="I186:K186"/>
    <mergeCell ref="M186:O186"/>
    <mergeCell ref="C180:D180"/>
    <mergeCell ref="E180:F180"/>
    <mergeCell ref="G180:H180"/>
    <mergeCell ref="I180:K180"/>
    <mergeCell ref="I181:K181"/>
    <mergeCell ref="M183:O183"/>
    <mergeCell ref="AW144:AX144"/>
    <mergeCell ref="AY144:AZ144"/>
    <mergeCell ref="BA144:BB144"/>
    <mergeCell ref="BC144:BD144"/>
    <mergeCell ref="BE144:BG144"/>
    <mergeCell ref="BI144:BK144"/>
    <mergeCell ref="AW145:AX145"/>
    <mergeCell ref="AY145:AZ145"/>
    <mergeCell ref="BA145:BB145"/>
    <mergeCell ref="BE145:BG145"/>
    <mergeCell ref="BI145:BK145"/>
    <mergeCell ref="AI139:AJ139"/>
    <mergeCell ref="AK139:AL139"/>
    <mergeCell ref="AM139:AN139"/>
    <mergeCell ref="AO139:AQ139"/>
    <mergeCell ref="AM145:AN145"/>
    <mergeCell ref="AG144:AH144"/>
    <mergeCell ref="AI144:AJ144"/>
    <mergeCell ref="AK144:AL144"/>
    <mergeCell ref="AI140:AJ140"/>
    <mergeCell ref="AK140:AL140"/>
    <mergeCell ref="AM140:AN140"/>
    <mergeCell ref="BA139:BB139"/>
    <mergeCell ref="BC139:BD139"/>
    <mergeCell ref="BE139:BG139"/>
    <mergeCell ref="BC141:BD141"/>
    <mergeCell ref="BE141:BG141"/>
    <mergeCell ref="AY140:AZ140"/>
    <mergeCell ref="BA140:BB140"/>
    <mergeCell ref="BC140:BD140"/>
    <mergeCell ref="AD137:AE137"/>
    <mergeCell ref="Q138:R138"/>
    <mergeCell ref="S138:W138"/>
    <mergeCell ref="Z138:AA138"/>
    <mergeCell ref="S140:T140"/>
    <mergeCell ref="U140:V140"/>
    <mergeCell ref="W140:X140"/>
    <mergeCell ref="Q144:R144"/>
    <mergeCell ref="S144:T144"/>
    <mergeCell ref="U144:V144"/>
    <mergeCell ref="W144:X144"/>
    <mergeCell ref="Y144:AA144"/>
    <mergeCell ref="AC144:AE144"/>
    <mergeCell ref="AS144:AU144"/>
    <mergeCell ref="AG145:AH145"/>
    <mergeCell ref="AI145:AJ145"/>
    <mergeCell ref="AK145:AL145"/>
    <mergeCell ref="AO145:AQ145"/>
    <mergeCell ref="AS145:AU145"/>
    <mergeCell ref="Q143:R143"/>
    <mergeCell ref="S143:T143"/>
    <mergeCell ref="U143:V143"/>
    <mergeCell ref="W143:X143"/>
    <mergeCell ref="Y143:AA143"/>
    <mergeCell ref="AC143:AE143"/>
    <mergeCell ref="W145:X145"/>
    <mergeCell ref="S141:T141"/>
    <mergeCell ref="U141:V141"/>
    <mergeCell ref="W141:X141"/>
    <mergeCell ref="Y141:AA141"/>
    <mergeCell ref="Y142:AA142"/>
    <mergeCell ref="Y140:AA140"/>
    <mergeCell ref="AC104:AE104"/>
    <mergeCell ref="AT96:AU96"/>
    <mergeCell ref="AG97:AH97"/>
    <mergeCell ref="AI97:AM97"/>
    <mergeCell ref="AP97:AQ97"/>
    <mergeCell ref="AI99:AJ99"/>
    <mergeCell ref="AK99:AL99"/>
    <mergeCell ref="AM99:AN99"/>
    <mergeCell ref="AG103:AH103"/>
    <mergeCell ref="AI103:AJ103"/>
    <mergeCell ref="AK103:AL103"/>
    <mergeCell ref="AM103:AN103"/>
    <mergeCell ref="AO103:AQ103"/>
    <mergeCell ref="AS103:AU103"/>
    <mergeCell ref="AG104:AH104"/>
    <mergeCell ref="AI104:AJ104"/>
    <mergeCell ref="AK104:AL104"/>
    <mergeCell ref="AO104:AQ104"/>
    <mergeCell ref="AS104:AU104"/>
    <mergeCell ref="AO100:AQ100"/>
    <mergeCell ref="AI98:AJ98"/>
    <mergeCell ref="AK98:AL98"/>
    <mergeCell ref="AM98:AN98"/>
    <mergeCell ref="AO101:AQ101"/>
    <mergeCell ref="AO98:AQ98"/>
    <mergeCell ref="AM60:AN60"/>
    <mergeCell ref="AO60:AQ60"/>
    <mergeCell ref="AY58:AZ58"/>
    <mergeCell ref="BA58:BB58"/>
    <mergeCell ref="BC58:BD58"/>
    <mergeCell ref="BE58:BG58"/>
    <mergeCell ref="C99:D99"/>
    <mergeCell ref="E99:F99"/>
    <mergeCell ref="G99:H99"/>
    <mergeCell ref="A103:B103"/>
    <mergeCell ref="C103:D103"/>
    <mergeCell ref="E103:F103"/>
    <mergeCell ref="G103:H103"/>
    <mergeCell ref="I103:K103"/>
    <mergeCell ref="M103:O103"/>
    <mergeCell ref="A104:B104"/>
    <mergeCell ref="C104:D104"/>
    <mergeCell ref="E104:F104"/>
    <mergeCell ref="I104:K104"/>
    <mergeCell ref="M104:O104"/>
    <mergeCell ref="AD96:AE96"/>
    <mergeCell ref="Q97:R97"/>
    <mergeCell ref="S97:W97"/>
    <mergeCell ref="Z97:AA97"/>
    <mergeCell ref="S99:T99"/>
    <mergeCell ref="U99:V99"/>
    <mergeCell ref="W99:X99"/>
    <mergeCell ref="Q103:R103"/>
    <mergeCell ref="S103:T103"/>
    <mergeCell ref="U103:V103"/>
    <mergeCell ref="W103:X103"/>
    <mergeCell ref="Y103:AA103"/>
    <mergeCell ref="W63:X63"/>
    <mergeCell ref="Y63:AA63"/>
    <mergeCell ref="AC63:AE63"/>
    <mergeCell ref="Q64:R64"/>
    <mergeCell ref="S64:T64"/>
    <mergeCell ref="U64:V64"/>
    <mergeCell ref="Y64:AA64"/>
    <mergeCell ref="AC64:AE64"/>
    <mergeCell ref="S58:T58"/>
    <mergeCell ref="U58:V58"/>
    <mergeCell ref="W58:X58"/>
    <mergeCell ref="Y58:AA58"/>
    <mergeCell ref="Y62:AA62"/>
    <mergeCell ref="AS64:AU64"/>
    <mergeCell ref="BJ56:BK56"/>
    <mergeCell ref="AW57:AX57"/>
    <mergeCell ref="AY57:BC57"/>
    <mergeCell ref="BF57:BG57"/>
    <mergeCell ref="AY59:AZ59"/>
    <mergeCell ref="BA59:BB59"/>
    <mergeCell ref="BC59:BD59"/>
    <mergeCell ref="AW63:AX63"/>
    <mergeCell ref="AY63:AZ63"/>
    <mergeCell ref="BA63:BB63"/>
    <mergeCell ref="BC63:BD63"/>
    <mergeCell ref="BE63:BG63"/>
    <mergeCell ref="BI63:BK63"/>
    <mergeCell ref="AW64:AX64"/>
    <mergeCell ref="AY64:AZ64"/>
    <mergeCell ref="BA64:BB64"/>
    <mergeCell ref="BE64:BG64"/>
    <mergeCell ref="BI64:BK64"/>
    <mergeCell ref="S17:T17"/>
    <mergeCell ref="U17:V17"/>
    <mergeCell ref="W17:X17"/>
    <mergeCell ref="Y17:AA17"/>
    <mergeCell ref="AI17:AJ17"/>
    <mergeCell ref="AK17:AL17"/>
    <mergeCell ref="AM17:AN17"/>
    <mergeCell ref="AO17:AQ17"/>
    <mergeCell ref="AY17:AZ17"/>
    <mergeCell ref="BA17:BB17"/>
    <mergeCell ref="BC17:BD17"/>
    <mergeCell ref="BE17:BG17"/>
    <mergeCell ref="N56:O56"/>
    <mergeCell ref="A57:B57"/>
    <mergeCell ref="C57:G57"/>
    <mergeCell ref="J57:K57"/>
    <mergeCell ref="C59:D59"/>
    <mergeCell ref="E59:F59"/>
    <mergeCell ref="G59:H59"/>
    <mergeCell ref="AT56:AU56"/>
    <mergeCell ref="AG57:AH57"/>
    <mergeCell ref="AI57:AM57"/>
    <mergeCell ref="AP57:AQ57"/>
    <mergeCell ref="AI59:AJ59"/>
    <mergeCell ref="AK59:AL59"/>
    <mergeCell ref="AM59:AN59"/>
    <mergeCell ref="D24:F24"/>
    <mergeCell ref="D25:F25"/>
    <mergeCell ref="AI58:AJ58"/>
    <mergeCell ref="AK58:AL58"/>
    <mergeCell ref="AM58:AN58"/>
    <mergeCell ref="AO58:AQ58"/>
    <mergeCell ref="AX85:BC85"/>
    <mergeCell ref="B126:G126"/>
    <mergeCell ref="R126:W126"/>
    <mergeCell ref="AH126:AM126"/>
    <mergeCell ref="AX126:BC126"/>
    <mergeCell ref="B167:G167"/>
    <mergeCell ref="R167:W167"/>
    <mergeCell ref="AH167:AM167"/>
    <mergeCell ref="AX167:BC167"/>
    <mergeCell ref="B25:C25"/>
    <mergeCell ref="AG68:AJ68"/>
    <mergeCell ref="S100:T100"/>
    <mergeCell ref="U100:V100"/>
    <mergeCell ref="W100:X100"/>
    <mergeCell ref="Y100:AA100"/>
    <mergeCell ref="S98:T98"/>
    <mergeCell ref="U98:V98"/>
    <mergeCell ref="W98:X98"/>
    <mergeCell ref="Y101:AA101"/>
    <mergeCell ref="C82:G82"/>
    <mergeCell ref="I68:O68"/>
    <mergeCell ref="B77:E77"/>
    <mergeCell ref="I77:O77"/>
    <mergeCell ref="B78:H78"/>
    <mergeCell ref="I78:O79"/>
    <mergeCell ref="B79:H81"/>
    <mergeCell ref="Y99:AA99"/>
    <mergeCell ref="AC101:AE101"/>
    <mergeCell ref="AO99:AQ99"/>
    <mergeCell ref="AS101:AU101"/>
    <mergeCell ref="AD56:AE56"/>
    <mergeCell ref="Q57:R57"/>
    <mergeCell ref="AA105:AE105"/>
    <mergeCell ref="R106:S106"/>
    <mergeCell ref="T106:V106"/>
    <mergeCell ref="W106:X106"/>
    <mergeCell ref="Y106:AA106"/>
    <mergeCell ref="AC106:AE106"/>
    <mergeCell ref="Q102:R102"/>
    <mergeCell ref="H126:I126"/>
    <mergeCell ref="J126:N126"/>
    <mergeCell ref="S102:T102"/>
    <mergeCell ref="U102:V102"/>
    <mergeCell ref="W102:X102"/>
    <mergeCell ref="N132:O132"/>
    <mergeCell ref="S139:T139"/>
    <mergeCell ref="U139:V139"/>
    <mergeCell ref="W139:X139"/>
    <mergeCell ref="Y139:AA139"/>
    <mergeCell ref="X126:Y126"/>
    <mergeCell ref="Z126:AD126"/>
    <mergeCell ref="R127:R128"/>
    <mergeCell ref="S127:T127"/>
    <mergeCell ref="U127:V127"/>
    <mergeCell ref="W127:X127"/>
    <mergeCell ref="Y127:AA127"/>
    <mergeCell ref="AC127:AE127"/>
    <mergeCell ref="AD128:AE128"/>
    <mergeCell ref="AD132:AE132"/>
    <mergeCell ref="AC103:AE103"/>
    <mergeCell ref="Q104:R104"/>
    <mergeCell ref="S104:T104"/>
    <mergeCell ref="U104:V104"/>
    <mergeCell ref="Y104:AA104"/>
    <mergeCell ref="AM62:AN62"/>
    <mergeCell ref="AO62:AQ62"/>
    <mergeCell ref="AS62:AU62"/>
    <mergeCell ref="U20:V20"/>
    <mergeCell ref="W20:X20"/>
    <mergeCell ref="Y20:AA20"/>
    <mergeCell ref="I19:K19"/>
    <mergeCell ref="E20:F20"/>
    <mergeCell ref="G20:H20"/>
    <mergeCell ref="I20:K20"/>
    <mergeCell ref="G23:H23"/>
    <mergeCell ref="I67:O67"/>
    <mergeCell ref="E62:F62"/>
    <mergeCell ref="G62:H62"/>
    <mergeCell ref="I62:K62"/>
    <mergeCell ref="I38:O39"/>
    <mergeCell ref="G26:H26"/>
    <mergeCell ref="I26:O26"/>
    <mergeCell ref="I61:K61"/>
    <mergeCell ref="J45:N45"/>
    <mergeCell ref="E60:F60"/>
    <mergeCell ref="G60:H60"/>
    <mergeCell ref="I60:K60"/>
    <mergeCell ref="H45:I45"/>
    <mergeCell ref="G64:H64"/>
    <mergeCell ref="E58:F58"/>
    <mergeCell ref="G58:H58"/>
    <mergeCell ref="I58:K58"/>
    <mergeCell ref="D65:F65"/>
    <mergeCell ref="D26:F26"/>
    <mergeCell ref="C42:G42"/>
    <mergeCell ref="A28:D28"/>
    <mergeCell ref="U21:V21"/>
    <mergeCell ref="W21:X21"/>
    <mergeCell ref="Y21:AA21"/>
    <mergeCell ref="Y98:AA98"/>
    <mergeCell ref="AG62:AH62"/>
    <mergeCell ref="AI62:AJ62"/>
    <mergeCell ref="AK62:AL62"/>
    <mergeCell ref="I75:O76"/>
    <mergeCell ref="B26:C26"/>
    <mergeCell ref="C58:D58"/>
    <mergeCell ref="A68:D68"/>
    <mergeCell ref="B65:C65"/>
    <mergeCell ref="I65:J65"/>
    <mergeCell ref="K65:O65"/>
    <mergeCell ref="I66:K66"/>
    <mergeCell ref="M66:O66"/>
    <mergeCell ref="B67:C67"/>
    <mergeCell ref="D67:F67"/>
    <mergeCell ref="G67:H67"/>
    <mergeCell ref="I28:O28"/>
    <mergeCell ref="M61:O61"/>
    <mergeCell ref="B46:B47"/>
    <mergeCell ref="R85:W85"/>
    <mergeCell ref="AH85:AM85"/>
    <mergeCell ref="S57:W57"/>
    <mergeCell ref="Z57:AA57"/>
    <mergeCell ref="S59:T59"/>
    <mergeCell ref="U59:V59"/>
    <mergeCell ref="W59:X59"/>
    <mergeCell ref="Q63:R63"/>
    <mergeCell ref="S63:T63"/>
    <mergeCell ref="U63:V63"/>
    <mergeCell ref="E16:F16"/>
    <mergeCell ref="G16:H16"/>
    <mergeCell ref="I16:K16"/>
    <mergeCell ref="A21:B21"/>
    <mergeCell ref="B24:C24"/>
    <mergeCell ref="C46:D46"/>
    <mergeCell ref="E46:F46"/>
    <mergeCell ref="G46:H46"/>
    <mergeCell ref="I46:K46"/>
    <mergeCell ref="M46:O46"/>
    <mergeCell ref="A44:C44"/>
    <mergeCell ref="D44:E44"/>
    <mergeCell ref="F44:H44"/>
    <mergeCell ref="G21:H21"/>
    <mergeCell ref="I21:K21"/>
    <mergeCell ref="G19:H19"/>
    <mergeCell ref="I23:O23"/>
    <mergeCell ref="C19:D19"/>
    <mergeCell ref="E19:F19"/>
    <mergeCell ref="A19:B19"/>
    <mergeCell ref="B23:C23"/>
    <mergeCell ref="C21:D21"/>
    <mergeCell ref="G24:H24"/>
    <mergeCell ref="I24:J24"/>
    <mergeCell ref="K24:O24"/>
    <mergeCell ref="M21:O21"/>
    <mergeCell ref="G25:H25"/>
    <mergeCell ref="I25:K25"/>
    <mergeCell ref="M25:O25"/>
    <mergeCell ref="D23:F23"/>
    <mergeCell ref="E21:F21"/>
    <mergeCell ref="B45:G45"/>
    <mergeCell ref="A1:C1"/>
    <mergeCell ref="F1:H1"/>
    <mergeCell ref="H2:I2"/>
    <mergeCell ref="J2:N2"/>
    <mergeCell ref="J14:K14"/>
    <mergeCell ref="B3:B4"/>
    <mergeCell ref="C3:D3"/>
    <mergeCell ref="E3:F3"/>
    <mergeCell ref="G3:H3"/>
    <mergeCell ref="I3:K3"/>
    <mergeCell ref="C15:D15"/>
    <mergeCell ref="E15:F15"/>
    <mergeCell ref="G15:H15"/>
    <mergeCell ref="I15:K15"/>
    <mergeCell ref="M18:O18"/>
    <mergeCell ref="I18:K18"/>
    <mergeCell ref="M20:O20"/>
    <mergeCell ref="M19:O19"/>
    <mergeCell ref="C17:D17"/>
    <mergeCell ref="E17:F17"/>
    <mergeCell ref="G17:H17"/>
    <mergeCell ref="I17:K17"/>
    <mergeCell ref="D1:E1"/>
    <mergeCell ref="M3:O3"/>
    <mergeCell ref="N4:O4"/>
    <mergeCell ref="N13:O13"/>
    <mergeCell ref="A14:B14"/>
    <mergeCell ref="C14:G14"/>
    <mergeCell ref="N8:O8"/>
    <mergeCell ref="B2:G2"/>
    <mergeCell ref="C20:D20"/>
    <mergeCell ref="C16:D16"/>
    <mergeCell ref="G65:H65"/>
    <mergeCell ref="I80:O81"/>
    <mergeCell ref="A69:G72"/>
    <mergeCell ref="I69:O73"/>
    <mergeCell ref="A73:G74"/>
    <mergeCell ref="I74:O74"/>
    <mergeCell ref="A84:C84"/>
    <mergeCell ref="D84:E84"/>
    <mergeCell ref="A20:B20"/>
    <mergeCell ref="N51:O51"/>
    <mergeCell ref="A63:B63"/>
    <mergeCell ref="C63:D63"/>
    <mergeCell ref="E63:F63"/>
    <mergeCell ref="G63:H63"/>
    <mergeCell ref="I63:K63"/>
    <mergeCell ref="M63:O63"/>
    <mergeCell ref="A64:B64"/>
    <mergeCell ref="C64:D64"/>
    <mergeCell ref="E64:F64"/>
    <mergeCell ref="I29:O33"/>
    <mergeCell ref="A33:G34"/>
    <mergeCell ref="I34:O34"/>
    <mergeCell ref="I35:O36"/>
    <mergeCell ref="I37:O37"/>
    <mergeCell ref="B37:E37"/>
    <mergeCell ref="B38:H38"/>
    <mergeCell ref="B39:H41"/>
    <mergeCell ref="N47:O47"/>
    <mergeCell ref="A62:B62"/>
    <mergeCell ref="C62:D62"/>
    <mergeCell ref="C60:D60"/>
    <mergeCell ref="M62:O62"/>
    <mergeCell ref="I64:K64"/>
    <mergeCell ref="M64:O64"/>
    <mergeCell ref="I59:K59"/>
    <mergeCell ref="I40:O41"/>
    <mergeCell ref="A29:G32"/>
    <mergeCell ref="E102:F102"/>
    <mergeCell ref="G102:H102"/>
    <mergeCell ref="I102:K102"/>
    <mergeCell ref="M102:O102"/>
    <mergeCell ref="G104:H104"/>
    <mergeCell ref="C100:D100"/>
    <mergeCell ref="E100:F100"/>
    <mergeCell ref="G100:H100"/>
    <mergeCell ref="I100:K100"/>
    <mergeCell ref="I101:K101"/>
    <mergeCell ref="C98:D98"/>
    <mergeCell ref="E98:F98"/>
    <mergeCell ref="G98:H98"/>
    <mergeCell ref="I98:K98"/>
    <mergeCell ref="I99:K99"/>
    <mergeCell ref="M101:O101"/>
    <mergeCell ref="B85:G85"/>
    <mergeCell ref="N96:O96"/>
    <mergeCell ref="A97:B97"/>
    <mergeCell ref="C97:G97"/>
    <mergeCell ref="J97:K97"/>
    <mergeCell ref="F84:H84"/>
    <mergeCell ref="H85:I85"/>
    <mergeCell ref="J85:N85"/>
    <mergeCell ref="B86:B87"/>
    <mergeCell ref="C86:D86"/>
    <mergeCell ref="E86:F86"/>
    <mergeCell ref="G86:H86"/>
    <mergeCell ref="I86:K86"/>
    <mergeCell ref="M86:O86"/>
    <mergeCell ref="N87:O87"/>
    <mergeCell ref="B107:C107"/>
    <mergeCell ref="D107:F107"/>
    <mergeCell ref="G107:H107"/>
    <mergeCell ref="I107:O107"/>
    <mergeCell ref="A109:D109"/>
    <mergeCell ref="I109:O109"/>
    <mergeCell ref="A110:G113"/>
    <mergeCell ref="I110:O114"/>
    <mergeCell ref="A114:G115"/>
    <mergeCell ref="I115:O115"/>
    <mergeCell ref="B105:C105"/>
    <mergeCell ref="D105:F105"/>
    <mergeCell ref="G105:H105"/>
    <mergeCell ref="I105:J105"/>
    <mergeCell ref="K105:O105"/>
    <mergeCell ref="B106:C106"/>
    <mergeCell ref="D106:F106"/>
    <mergeCell ref="G106:H106"/>
    <mergeCell ref="I106:K106"/>
    <mergeCell ref="M106:O106"/>
    <mergeCell ref="A102:B102"/>
    <mergeCell ref="C102:D102"/>
    <mergeCell ref="B127:B128"/>
    <mergeCell ref="C127:D127"/>
    <mergeCell ref="E127:F127"/>
    <mergeCell ref="G127:H127"/>
    <mergeCell ref="I127:K127"/>
    <mergeCell ref="M127:O127"/>
    <mergeCell ref="N128:O128"/>
    <mergeCell ref="I116:O117"/>
    <mergeCell ref="B118:E118"/>
    <mergeCell ref="I118:O118"/>
    <mergeCell ref="B119:H119"/>
    <mergeCell ref="I119:O120"/>
    <mergeCell ref="B120:H122"/>
    <mergeCell ref="I121:O122"/>
    <mergeCell ref="C123:G123"/>
    <mergeCell ref="A125:C125"/>
    <mergeCell ref="D125:E125"/>
    <mergeCell ref="F125:H125"/>
    <mergeCell ref="C141:D141"/>
    <mergeCell ref="E141:F141"/>
    <mergeCell ref="G141:H141"/>
    <mergeCell ref="I141:K141"/>
    <mergeCell ref="I142:K142"/>
    <mergeCell ref="I140:K140"/>
    <mergeCell ref="M142:O142"/>
    <mergeCell ref="C139:D139"/>
    <mergeCell ref="E139:F139"/>
    <mergeCell ref="G139:H139"/>
    <mergeCell ref="I139:K139"/>
    <mergeCell ref="B146:C146"/>
    <mergeCell ref="D146:F146"/>
    <mergeCell ref="G146:H146"/>
    <mergeCell ref="I146:J146"/>
    <mergeCell ref="K146:O146"/>
    <mergeCell ref="N137:O137"/>
    <mergeCell ref="A138:B138"/>
    <mergeCell ref="C138:G138"/>
    <mergeCell ref="J138:K138"/>
    <mergeCell ref="C140:D140"/>
    <mergeCell ref="E140:F140"/>
    <mergeCell ref="G140:H140"/>
    <mergeCell ref="A144:B144"/>
    <mergeCell ref="C144:D144"/>
    <mergeCell ref="E144:F144"/>
    <mergeCell ref="G144:H144"/>
    <mergeCell ref="I144:K144"/>
    <mergeCell ref="M144:O144"/>
    <mergeCell ref="B147:C147"/>
    <mergeCell ref="D147:F147"/>
    <mergeCell ref="G147:H147"/>
    <mergeCell ref="I147:K147"/>
    <mergeCell ref="M147:O147"/>
    <mergeCell ref="A143:B143"/>
    <mergeCell ref="C143:D143"/>
    <mergeCell ref="E143:F143"/>
    <mergeCell ref="G143:H143"/>
    <mergeCell ref="I143:K143"/>
    <mergeCell ref="M143:O143"/>
    <mergeCell ref="G145:H145"/>
    <mergeCell ref="A145:B145"/>
    <mergeCell ref="C145:D145"/>
    <mergeCell ref="E145:F145"/>
    <mergeCell ref="I145:K145"/>
    <mergeCell ref="M145:O145"/>
    <mergeCell ref="B159:E159"/>
    <mergeCell ref="I159:O159"/>
    <mergeCell ref="B160:H160"/>
    <mergeCell ref="I160:O161"/>
    <mergeCell ref="B161:H163"/>
    <mergeCell ref="I162:O163"/>
    <mergeCell ref="C164:G164"/>
    <mergeCell ref="A166:C166"/>
    <mergeCell ref="D166:E166"/>
    <mergeCell ref="F166:H166"/>
    <mergeCell ref="B148:C148"/>
    <mergeCell ref="D148:F148"/>
    <mergeCell ref="G148:H148"/>
    <mergeCell ref="I148:O148"/>
    <mergeCell ref="A150:D150"/>
    <mergeCell ref="I150:O150"/>
    <mergeCell ref="A151:G154"/>
    <mergeCell ref="I151:O155"/>
    <mergeCell ref="A155:G156"/>
    <mergeCell ref="I156:O156"/>
    <mergeCell ref="I157:O158"/>
    <mergeCell ref="H167:I167"/>
    <mergeCell ref="J167:N167"/>
    <mergeCell ref="B168:B169"/>
    <mergeCell ref="C168:D168"/>
    <mergeCell ref="E168:F168"/>
    <mergeCell ref="G168:H168"/>
    <mergeCell ref="I168:K168"/>
    <mergeCell ref="M168:O168"/>
    <mergeCell ref="N169:O169"/>
    <mergeCell ref="C182:D182"/>
    <mergeCell ref="E182:F182"/>
    <mergeCell ref="G182:H182"/>
    <mergeCell ref="I182:K182"/>
    <mergeCell ref="I183:K183"/>
    <mergeCell ref="C205:G205"/>
    <mergeCell ref="B189:C189"/>
    <mergeCell ref="D189:F189"/>
    <mergeCell ref="G189:H189"/>
    <mergeCell ref="I189:O189"/>
    <mergeCell ref="A191:D191"/>
    <mergeCell ref="I191:O191"/>
    <mergeCell ref="A192:G195"/>
    <mergeCell ref="I192:O196"/>
    <mergeCell ref="A196:G197"/>
    <mergeCell ref="I197:O197"/>
    <mergeCell ref="B187:C187"/>
    <mergeCell ref="D187:F187"/>
    <mergeCell ref="G187:H187"/>
    <mergeCell ref="I187:J187"/>
    <mergeCell ref="K187:O187"/>
    <mergeCell ref="B188:C188"/>
    <mergeCell ref="D188:F188"/>
    <mergeCell ref="G188:H188"/>
    <mergeCell ref="I188:K188"/>
    <mergeCell ref="M188:O188"/>
    <mergeCell ref="I198:O199"/>
    <mergeCell ref="B200:E200"/>
    <mergeCell ref="I200:O200"/>
    <mergeCell ref="B201:H201"/>
    <mergeCell ref="I201:O202"/>
    <mergeCell ref="B202:H204"/>
    <mergeCell ref="I203:O204"/>
    <mergeCell ref="A184:B184"/>
    <mergeCell ref="C184:D184"/>
    <mergeCell ref="E184:F184"/>
    <mergeCell ref="G184:H184"/>
    <mergeCell ref="I184:K184"/>
    <mergeCell ref="M184:O184"/>
    <mergeCell ref="G186:H186"/>
    <mergeCell ref="AC21:AE21"/>
    <mergeCell ref="R23:S23"/>
    <mergeCell ref="T23:V23"/>
    <mergeCell ref="W23:X23"/>
    <mergeCell ref="Y23:AE23"/>
    <mergeCell ref="AD13:AE13"/>
    <mergeCell ref="Y18:AA18"/>
    <mergeCell ref="R26:S26"/>
    <mergeCell ref="T26:V26"/>
    <mergeCell ref="W26:X26"/>
    <mergeCell ref="Y26:AE26"/>
    <mergeCell ref="Q28:T28"/>
    <mergeCell ref="Y28:AE28"/>
    <mergeCell ref="Q29:W32"/>
    <mergeCell ref="Y29:AE33"/>
    <mergeCell ref="Q33:W34"/>
    <mergeCell ref="Y34:AE34"/>
    <mergeCell ref="R24:S24"/>
    <mergeCell ref="T24:V24"/>
    <mergeCell ref="W24:X24"/>
    <mergeCell ref="Y24:Z24"/>
    <mergeCell ref="AA24:AE24"/>
    <mergeCell ref="R25:S25"/>
    <mergeCell ref="T25:V25"/>
    <mergeCell ref="W25:X25"/>
    <mergeCell ref="Y25:AA25"/>
    <mergeCell ref="AC25:AE25"/>
    <mergeCell ref="Q21:R21"/>
    <mergeCell ref="S21:T21"/>
    <mergeCell ref="Q19:R19"/>
    <mergeCell ref="S19:T19"/>
    <mergeCell ref="U19:V19"/>
    <mergeCell ref="Q1:S1"/>
    <mergeCell ref="T1:U1"/>
    <mergeCell ref="V1:X1"/>
    <mergeCell ref="X2:Y2"/>
    <mergeCell ref="Z2:AD2"/>
    <mergeCell ref="R3:R4"/>
    <mergeCell ref="S3:T3"/>
    <mergeCell ref="U3:V3"/>
    <mergeCell ref="W3:X3"/>
    <mergeCell ref="Y3:AA3"/>
    <mergeCell ref="AC3:AE3"/>
    <mergeCell ref="AD4:AE4"/>
    <mergeCell ref="AC19:AE19"/>
    <mergeCell ref="AC20:AE20"/>
    <mergeCell ref="AC18:AE18"/>
    <mergeCell ref="Q14:R14"/>
    <mergeCell ref="S14:W14"/>
    <mergeCell ref="S15:T15"/>
    <mergeCell ref="U15:V15"/>
    <mergeCell ref="W15:X15"/>
    <mergeCell ref="Y15:AA15"/>
    <mergeCell ref="S16:T16"/>
    <mergeCell ref="U16:V16"/>
    <mergeCell ref="W16:X16"/>
    <mergeCell ref="Y16:AA16"/>
    <mergeCell ref="AD8:AE8"/>
    <mergeCell ref="Z14:AA14"/>
    <mergeCell ref="W19:X19"/>
    <mergeCell ref="Y19:AA19"/>
    <mergeCell ref="Q20:R20"/>
    <mergeCell ref="S20:T20"/>
    <mergeCell ref="R2:W2"/>
    <mergeCell ref="Y35:AE36"/>
    <mergeCell ref="R37:U37"/>
    <mergeCell ref="Y37:AE37"/>
    <mergeCell ref="R38:X38"/>
    <mergeCell ref="Y38:AE39"/>
    <mergeCell ref="R39:X41"/>
    <mergeCell ref="Y40:AE41"/>
    <mergeCell ref="S42:W42"/>
    <mergeCell ref="Q44:S44"/>
    <mergeCell ref="T44:U44"/>
    <mergeCell ref="V44:X44"/>
    <mergeCell ref="R45:W45"/>
    <mergeCell ref="AD51:AE51"/>
    <mergeCell ref="AC62:AE62"/>
    <mergeCell ref="Q68:T68"/>
    <mergeCell ref="Y68:AE68"/>
    <mergeCell ref="Q69:W72"/>
    <mergeCell ref="Y69:AE73"/>
    <mergeCell ref="Q73:W74"/>
    <mergeCell ref="Y74:AE74"/>
    <mergeCell ref="W64:X64"/>
    <mergeCell ref="R65:S65"/>
    <mergeCell ref="T65:V65"/>
    <mergeCell ref="W65:X65"/>
    <mergeCell ref="X45:Y45"/>
    <mergeCell ref="Z45:AD45"/>
    <mergeCell ref="R46:R47"/>
    <mergeCell ref="S46:T46"/>
    <mergeCell ref="U46:V46"/>
    <mergeCell ref="W46:X46"/>
    <mergeCell ref="Y46:AA46"/>
    <mergeCell ref="AC46:AE46"/>
    <mergeCell ref="AD47:AE47"/>
    <mergeCell ref="Y59:AA59"/>
    <mergeCell ref="S60:T60"/>
    <mergeCell ref="U60:V60"/>
    <mergeCell ref="W60:X60"/>
    <mergeCell ref="Y60:AA60"/>
    <mergeCell ref="Y61:AA61"/>
    <mergeCell ref="AC61:AE61"/>
    <mergeCell ref="X85:Y85"/>
    <mergeCell ref="Z85:AD85"/>
    <mergeCell ref="R86:R87"/>
    <mergeCell ref="S86:T86"/>
    <mergeCell ref="U86:V86"/>
    <mergeCell ref="W86:X86"/>
    <mergeCell ref="Y86:AA86"/>
    <mergeCell ref="AC86:AE86"/>
    <mergeCell ref="AD87:AE87"/>
    <mergeCell ref="Y75:AE76"/>
    <mergeCell ref="R77:U77"/>
    <mergeCell ref="Y77:AE77"/>
    <mergeCell ref="R78:X78"/>
    <mergeCell ref="Y78:AE79"/>
    <mergeCell ref="R79:X81"/>
    <mergeCell ref="Y80:AE81"/>
    <mergeCell ref="S82:W82"/>
    <mergeCell ref="Q84:S84"/>
    <mergeCell ref="T84:U84"/>
    <mergeCell ref="V84:X84"/>
    <mergeCell ref="Q62:R62"/>
    <mergeCell ref="S62:T62"/>
    <mergeCell ref="U62:V62"/>
    <mergeCell ref="W62:X62"/>
    <mergeCell ref="Y65:Z65"/>
    <mergeCell ref="T66:V66"/>
    <mergeCell ref="W66:X66"/>
    <mergeCell ref="Y102:AA102"/>
    <mergeCell ref="AC102:AE102"/>
    <mergeCell ref="W104:X104"/>
    <mergeCell ref="Y116:AE117"/>
    <mergeCell ref="R118:U118"/>
    <mergeCell ref="Y118:AE118"/>
    <mergeCell ref="R119:X119"/>
    <mergeCell ref="Y119:AE120"/>
    <mergeCell ref="R120:X122"/>
    <mergeCell ref="Y121:AE122"/>
    <mergeCell ref="S123:W123"/>
    <mergeCell ref="Q125:S125"/>
    <mergeCell ref="T125:U125"/>
    <mergeCell ref="V125:X125"/>
    <mergeCell ref="R107:S107"/>
    <mergeCell ref="T107:V107"/>
    <mergeCell ref="W107:X107"/>
    <mergeCell ref="Y107:AE107"/>
    <mergeCell ref="Q109:T109"/>
    <mergeCell ref="Y109:AE109"/>
    <mergeCell ref="Q110:W113"/>
    <mergeCell ref="Y110:AE114"/>
    <mergeCell ref="Q114:W115"/>
    <mergeCell ref="Y115:AE115"/>
    <mergeCell ref="AD91:AE91"/>
    <mergeCell ref="R105:S105"/>
    <mergeCell ref="T105:V105"/>
    <mergeCell ref="W105:X105"/>
    <mergeCell ref="Y105:Z105"/>
    <mergeCell ref="AC142:AE142"/>
    <mergeCell ref="Q145:R145"/>
    <mergeCell ref="S145:T145"/>
    <mergeCell ref="U145:V145"/>
    <mergeCell ref="Y145:AA145"/>
    <mergeCell ref="AC145:AE145"/>
    <mergeCell ref="R148:S148"/>
    <mergeCell ref="T148:V148"/>
    <mergeCell ref="W148:X148"/>
    <mergeCell ref="Y148:AE148"/>
    <mergeCell ref="Q150:T150"/>
    <mergeCell ref="Y150:AE150"/>
    <mergeCell ref="Q151:W154"/>
    <mergeCell ref="Y151:AE155"/>
    <mergeCell ref="Q155:W156"/>
    <mergeCell ref="Y156:AE156"/>
    <mergeCell ref="R146:S146"/>
    <mergeCell ref="T146:V146"/>
    <mergeCell ref="W146:X146"/>
    <mergeCell ref="Y146:Z146"/>
    <mergeCell ref="AA146:AE146"/>
    <mergeCell ref="R147:S147"/>
    <mergeCell ref="T147:V147"/>
    <mergeCell ref="W147:X147"/>
    <mergeCell ref="Y147:AA147"/>
    <mergeCell ref="AC147:AE147"/>
    <mergeCell ref="R168:R169"/>
    <mergeCell ref="S168:T168"/>
    <mergeCell ref="U168:V168"/>
    <mergeCell ref="W168:X168"/>
    <mergeCell ref="Y168:AA168"/>
    <mergeCell ref="AC168:AE168"/>
    <mergeCell ref="AD169:AE169"/>
    <mergeCell ref="Y157:AE158"/>
    <mergeCell ref="R159:U159"/>
    <mergeCell ref="Y159:AE159"/>
    <mergeCell ref="R160:X160"/>
    <mergeCell ref="Y160:AE161"/>
    <mergeCell ref="R161:X163"/>
    <mergeCell ref="Y162:AE163"/>
    <mergeCell ref="S164:W164"/>
    <mergeCell ref="Q166:S166"/>
    <mergeCell ref="T166:U166"/>
    <mergeCell ref="V166:X166"/>
    <mergeCell ref="Q196:W197"/>
    <mergeCell ref="Y197:AE197"/>
    <mergeCell ref="R187:S187"/>
    <mergeCell ref="T187:V187"/>
    <mergeCell ref="W187:X187"/>
    <mergeCell ref="Y187:Z187"/>
    <mergeCell ref="AA187:AE187"/>
    <mergeCell ref="R188:S188"/>
    <mergeCell ref="T188:V188"/>
    <mergeCell ref="W188:X188"/>
    <mergeCell ref="Y188:AA188"/>
    <mergeCell ref="AC188:AE188"/>
    <mergeCell ref="Q184:R184"/>
    <mergeCell ref="S184:T184"/>
    <mergeCell ref="U184:V184"/>
    <mergeCell ref="W184:X184"/>
    <mergeCell ref="Y184:AA184"/>
    <mergeCell ref="AC184:AE184"/>
    <mergeCell ref="W186:X186"/>
    <mergeCell ref="Y198:AE199"/>
    <mergeCell ref="R200:U200"/>
    <mergeCell ref="Y200:AE200"/>
    <mergeCell ref="R201:X201"/>
    <mergeCell ref="Y201:AE202"/>
    <mergeCell ref="R202:X204"/>
    <mergeCell ref="Y203:AE204"/>
    <mergeCell ref="S205:W205"/>
    <mergeCell ref="AG1:AI1"/>
    <mergeCell ref="AG21:AH21"/>
    <mergeCell ref="AI21:AJ21"/>
    <mergeCell ref="AH25:AI25"/>
    <mergeCell ref="AJ25:AL25"/>
    <mergeCell ref="AG29:AM32"/>
    <mergeCell ref="AI42:AM42"/>
    <mergeCell ref="AG44:AI44"/>
    <mergeCell ref="AJ44:AK44"/>
    <mergeCell ref="AL44:AN44"/>
    <mergeCell ref="AN45:AO45"/>
    <mergeCell ref="R189:S189"/>
    <mergeCell ref="T189:V189"/>
    <mergeCell ref="W189:X189"/>
    <mergeCell ref="Y189:AE189"/>
    <mergeCell ref="Q191:T191"/>
    <mergeCell ref="Y191:AE191"/>
    <mergeCell ref="Q192:W195"/>
    <mergeCell ref="Y192:AE196"/>
    <mergeCell ref="AK21:AL21"/>
    <mergeCell ref="AI15:AJ15"/>
    <mergeCell ref="AK15:AL15"/>
    <mergeCell ref="AM15:AN15"/>
    <mergeCell ref="AO15:AQ15"/>
    <mergeCell ref="AI16:AJ16"/>
    <mergeCell ref="AK16:AL16"/>
    <mergeCell ref="AM16:AN16"/>
    <mergeCell ref="AO16:AQ16"/>
    <mergeCell ref="AJ1:AK1"/>
    <mergeCell ref="AL1:AN1"/>
    <mergeCell ref="AN2:AO2"/>
    <mergeCell ref="AP2:AT2"/>
    <mergeCell ref="AH3:AH4"/>
    <mergeCell ref="AI3:AJ3"/>
    <mergeCell ref="AK3:AL3"/>
    <mergeCell ref="AM3:AN3"/>
    <mergeCell ref="AO3:AQ3"/>
    <mergeCell ref="AS3:AU3"/>
    <mergeCell ref="AT4:AU4"/>
    <mergeCell ref="AT13:AU13"/>
    <mergeCell ref="AG14:AH14"/>
    <mergeCell ref="AI14:AM14"/>
    <mergeCell ref="AH2:AM2"/>
    <mergeCell ref="AT8:AU8"/>
    <mergeCell ref="AP14:AQ14"/>
    <mergeCell ref="AM21:AN21"/>
    <mergeCell ref="AO21:AQ21"/>
    <mergeCell ref="AS21:AU21"/>
    <mergeCell ref="AH23:AI23"/>
    <mergeCell ref="AJ23:AL23"/>
    <mergeCell ref="AM23:AN23"/>
    <mergeCell ref="AO23:AU23"/>
    <mergeCell ref="AH24:AI24"/>
    <mergeCell ref="AJ24:AL24"/>
    <mergeCell ref="AM24:AN24"/>
    <mergeCell ref="AO24:AP24"/>
    <mergeCell ref="AQ24:AU24"/>
    <mergeCell ref="AS18:AU18"/>
    <mergeCell ref="AG19:AH19"/>
    <mergeCell ref="AI19:AJ19"/>
    <mergeCell ref="AK19:AL19"/>
    <mergeCell ref="AM19:AN19"/>
    <mergeCell ref="AO19:AQ19"/>
    <mergeCell ref="AG20:AH20"/>
    <mergeCell ref="AI20:AJ20"/>
    <mergeCell ref="AK20:AL20"/>
    <mergeCell ref="AM20:AN20"/>
    <mergeCell ref="AO20:AQ20"/>
    <mergeCell ref="AO18:AQ18"/>
    <mergeCell ref="AS19:AU19"/>
    <mergeCell ref="AS20:AU20"/>
    <mergeCell ref="AO29:AU33"/>
    <mergeCell ref="AG33:AM34"/>
    <mergeCell ref="AO34:AU34"/>
    <mergeCell ref="AO35:AU36"/>
    <mergeCell ref="AH37:AK37"/>
    <mergeCell ref="AO37:AU37"/>
    <mergeCell ref="AH38:AN38"/>
    <mergeCell ref="AO38:AU39"/>
    <mergeCell ref="AH39:AN41"/>
    <mergeCell ref="AO40:AU41"/>
    <mergeCell ref="AM25:AN25"/>
    <mergeCell ref="AO25:AQ25"/>
    <mergeCell ref="AS25:AU25"/>
    <mergeCell ref="AH26:AI26"/>
    <mergeCell ref="AJ26:AL26"/>
    <mergeCell ref="AM26:AN26"/>
    <mergeCell ref="AO26:AU26"/>
    <mergeCell ref="AG28:AJ28"/>
    <mergeCell ref="AO28:AU28"/>
    <mergeCell ref="AH65:AI65"/>
    <mergeCell ref="AJ65:AL65"/>
    <mergeCell ref="AM65:AN65"/>
    <mergeCell ref="AH66:AI66"/>
    <mergeCell ref="AJ66:AL66"/>
    <mergeCell ref="AM66:AN66"/>
    <mergeCell ref="AP45:AT45"/>
    <mergeCell ref="AH46:AH47"/>
    <mergeCell ref="AI46:AJ46"/>
    <mergeCell ref="AK46:AL46"/>
    <mergeCell ref="AM46:AN46"/>
    <mergeCell ref="AO46:AQ46"/>
    <mergeCell ref="AS46:AU46"/>
    <mergeCell ref="AT47:AU47"/>
    <mergeCell ref="AO61:AQ61"/>
    <mergeCell ref="AS61:AU61"/>
    <mergeCell ref="AM64:AN64"/>
    <mergeCell ref="AO59:AQ59"/>
    <mergeCell ref="AI60:AJ60"/>
    <mergeCell ref="AK60:AL60"/>
    <mergeCell ref="AH45:AM45"/>
    <mergeCell ref="AT51:AU51"/>
    <mergeCell ref="AG63:AH63"/>
    <mergeCell ref="AI63:AJ63"/>
    <mergeCell ref="AK63:AL63"/>
    <mergeCell ref="AM63:AN63"/>
    <mergeCell ref="AO63:AQ63"/>
    <mergeCell ref="AS63:AU63"/>
    <mergeCell ref="AG64:AH64"/>
    <mergeCell ref="AI64:AJ64"/>
    <mergeCell ref="AK64:AL64"/>
    <mergeCell ref="AO64:AQ64"/>
    <mergeCell ref="AK86:AL86"/>
    <mergeCell ref="AM86:AN86"/>
    <mergeCell ref="AO86:AQ86"/>
    <mergeCell ref="AS86:AU86"/>
    <mergeCell ref="AT87:AU87"/>
    <mergeCell ref="AH78:AN78"/>
    <mergeCell ref="AO78:AU79"/>
    <mergeCell ref="AH79:AN81"/>
    <mergeCell ref="AO80:AU81"/>
    <mergeCell ref="AI82:AM82"/>
    <mergeCell ref="AG84:AI84"/>
    <mergeCell ref="AJ84:AK84"/>
    <mergeCell ref="AL84:AN84"/>
    <mergeCell ref="AN85:AO85"/>
    <mergeCell ref="AP85:AT85"/>
    <mergeCell ref="AO68:AU68"/>
    <mergeCell ref="AG69:AM72"/>
    <mergeCell ref="AO69:AU73"/>
    <mergeCell ref="AG73:AM74"/>
    <mergeCell ref="AO74:AU74"/>
    <mergeCell ref="AO75:AU76"/>
    <mergeCell ref="AH77:AK77"/>
    <mergeCell ref="AO77:AU77"/>
    <mergeCell ref="AH105:AI105"/>
    <mergeCell ref="AJ105:AL105"/>
    <mergeCell ref="AM105:AN105"/>
    <mergeCell ref="AO105:AP105"/>
    <mergeCell ref="AQ105:AU105"/>
    <mergeCell ref="AI100:AJ100"/>
    <mergeCell ref="AK100:AL100"/>
    <mergeCell ref="AM100:AN100"/>
    <mergeCell ref="AH106:AI106"/>
    <mergeCell ref="AJ106:AL106"/>
    <mergeCell ref="AM106:AN106"/>
    <mergeCell ref="AO106:AQ106"/>
    <mergeCell ref="AS106:AU106"/>
    <mergeCell ref="AG102:AH102"/>
    <mergeCell ref="AI102:AJ102"/>
    <mergeCell ref="AK102:AL102"/>
    <mergeCell ref="AM102:AN102"/>
    <mergeCell ref="AO102:AQ102"/>
    <mergeCell ref="AS102:AU102"/>
    <mergeCell ref="AM104:AN104"/>
    <mergeCell ref="AO116:AU117"/>
    <mergeCell ref="AH118:AK118"/>
    <mergeCell ref="AO118:AU118"/>
    <mergeCell ref="AH119:AN119"/>
    <mergeCell ref="AO119:AU120"/>
    <mergeCell ref="AH120:AN122"/>
    <mergeCell ref="AO121:AU122"/>
    <mergeCell ref="AI123:AM123"/>
    <mergeCell ref="AG125:AI125"/>
    <mergeCell ref="AJ125:AK125"/>
    <mergeCell ref="AL125:AN125"/>
    <mergeCell ref="AH107:AI107"/>
    <mergeCell ref="AJ107:AL107"/>
    <mergeCell ref="AM107:AN107"/>
    <mergeCell ref="AO107:AU107"/>
    <mergeCell ref="AG109:AJ109"/>
    <mergeCell ref="AO109:AU109"/>
    <mergeCell ref="AG110:AM113"/>
    <mergeCell ref="AO110:AU114"/>
    <mergeCell ref="AG114:AM115"/>
    <mergeCell ref="AO115:AU115"/>
    <mergeCell ref="AH147:AI147"/>
    <mergeCell ref="AJ147:AL147"/>
    <mergeCell ref="AM147:AN147"/>
    <mergeCell ref="AO147:AQ147"/>
    <mergeCell ref="AS147:AU147"/>
    <mergeCell ref="AN126:AO126"/>
    <mergeCell ref="AP126:AT126"/>
    <mergeCell ref="AH127:AH128"/>
    <mergeCell ref="AI127:AJ127"/>
    <mergeCell ref="AK127:AL127"/>
    <mergeCell ref="AM127:AN127"/>
    <mergeCell ref="AO127:AQ127"/>
    <mergeCell ref="AS127:AU127"/>
    <mergeCell ref="AT128:AU128"/>
    <mergeCell ref="AT132:AU132"/>
    <mergeCell ref="AT137:AU137"/>
    <mergeCell ref="AG138:AH138"/>
    <mergeCell ref="AI138:AM138"/>
    <mergeCell ref="AP138:AQ138"/>
    <mergeCell ref="AG143:AH143"/>
    <mergeCell ref="AI143:AJ143"/>
    <mergeCell ref="AK143:AL143"/>
    <mergeCell ref="AM143:AN143"/>
    <mergeCell ref="AO143:AQ143"/>
    <mergeCell ref="AS143:AU143"/>
    <mergeCell ref="AI141:AJ141"/>
    <mergeCell ref="AK141:AL141"/>
    <mergeCell ref="AM141:AN141"/>
    <mergeCell ref="AO141:AQ141"/>
    <mergeCell ref="AO142:AQ142"/>
    <mergeCell ref="AO140:AQ140"/>
    <mergeCell ref="AS142:AU142"/>
    <mergeCell ref="AN167:AO167"/>
    <mergeCell ref="AP167:AT167"/>
    <mergeCell ref="AI168:AJ168"/>
    <mergeCell ref="AK168:AL168"/>
    <mergeCell ref="AM168:AN168"/>
    <mergeCell ref="AO168:AQ168"/>
    <mergeCell ref="AS168:AU168"/>
    <mergeCell ref="AT169:AU169"/>
    <mergeCell ref="AT178:AU178"/>
    <mergeCell ref="AI205:AM205"/>
    <mergeCell ref="AW1:AY1"/>
    <mergeCell ref="AW21:AX21"/>
    <mergeCell ref="AY21:AZ21"/>
    <mergeCell ref="AX25:AY25"/>
    <mergeCell ref="AZ25:BB25"/>
    <mergeCell ref="AW29:BC32"/>
    <mergeCell ref="AY42:BC42"/>
    <mergeCell ref="AW44:AY44"/>
    <mergeCell ref="AZ44:BA44"/>
    <mergeCell ref="BB44:BD44"/>
    <mergeCell ref="BD45:BE45"/>
    <mergeCell ref="AH189:AI189"/>
    <mergeCell ref="AJ189:AL189"/>
    <mergeCell ref="AM189:AN189"/>
    <mergeCell ref="AO189:AU189"/>
    <mergeCell ref="AG191:AJ191"/>
    <mergeCell ref="AO191:AU191"/>
    <mergeCell ref="AG192:AM195"/>
    <mergeCell ref="AO192:AU196"/>
    <mergeCell ref="AM144:AN144"/>
    <mergeCell ref="AO144:AQ144"/>
    <mergeCell ref="AG196:AM197"/>
    <mergeCell ref="AO197:AU197"/>
    <mergeCell ref="AH187:AI187"/>
    <mergeCell ref="AJ187:AL187"/>
    <mergeCell ref="AM187:AN187"/>
    <mergeCell ref="AO187:AP187"/>
    <mergeCell ref="AQ187:AU187"/>
    <mergeCell ref="AO198:AU199"/>
    <mergeCell ref="AZ1:BA1"/>
    <mergeCell ref="BB1:BD1"/>
    <mergeCell ref="BD2:BE2"/>
    <mergeCell ref="BF2:BJ2"/>
    <mergeCell ref="AH200:AK200"/>
    <mergeCell ref="AO200:AU200"/>
    <mergeCell ref="AH201:AN201"/>
    <mergeCell ref="AO201:AU202"/>
    <mergeCell ref="AH202:AN204"/>
    <mergeCell ref="AO203:AU204"/>
    <mergeCell ref="AH188:AI188"/>
    <mergeCell ref="AJ188:AL188"/>
    <mergeCell ref="AM188:AN188"/>
    <mergeCell ref="AO188:AQ188"/>
    <mergeCell ref="AS188:AU188"/>
    <mergeCell ref="AG184:AH184"/>
    <mergeCell ref="AI184:AJ184"/>
    <mergeCell ref="AK184:AL184"/>
    <mergeCell ref="AM184:AN184"/>
    <mergeCell ref="AO184:AQ184"/>
    <mergeCell ref="AS184:AU184"/>
    <mergeCell ref="AM186:AN186"/>
    <mergeCell ref="AI182:AJ182"/>
    <mergeCell ref="AK182:AL182"/>
    <mergeCell ref="AX2:BC2"/>
    <mergeCell ref="BA21:BB21"/>
    <mergeCell ref="BC21:BD21"/>
    <mergeCell ref="BE21:BG21"/>
    <mergeCell ref="BI21:BK21"/>
    <mergeCell ref="AX23:AY23"/>
    <mergeCell ref="AZ23:BB23"/>
    <mergeCell ref="BC23:BD23"/>
    <mergeCell ref="BE23:BK23"/>
    <mergeCell ref="AY15:AZ15"/>
    <mergeCell ref="BA15:BB15"/>
    <mergeCell ref="BC15:BD15"/>
    <mergeCell ref="BE15:BG15"/>
    <mergeCell ref="AY16:AZ16"/>
    <mergeCell ref="BA16:BB16"/>
    <mergeCell ref="BC16:BD16"/>
    <mergeCell ref="BE16:BG16"/>
    <mergeCell ref="BJ13:BK13"/>
    <mergeCell ref="BE18:BG18"/>
    <mergeCell ref="BI19:BK19"/>
    <mergeCell ref="BA19:BB19"/>
    <mergeCell ref="BJ8:BK8"/>
    <mergeCell ref="BC19:BD19"/>
    <mergeCell ref="BE19:BG19"/>
    <mergeCell ref="AW20:AX20"/>
    <mergeCell ref="AY20:AZ20"/>
    <mergeCell ref="BA20:BB20"/>
    <mergeCell ref="BC20:BD20"/>
    <mergeCell ref="BE20:BG20"/>
    <mergeCell ref="BI20:BK20"/>
    <mergeCell ref="AM182:AN182"/>
    <mergeCell ref="AO182:AQ182"/>
    <mergeCell ref="AX3:AX4"/>
    <mergeCell ref="AY3:AZ3"/>
    <mergeCell ref="BA3:BB3"/>
    <mergeCell ref="BC3:BD3"/>
    <mergeCell ref="BE3:BG3"/>
    <mergeCell ref="BI3:BK3"/>
    <mergeCell ref="BJ4:BK4"/>
    <mergeCell ref="AW14:AX14"/>
    <mergeCell ref="AY14:BC14"/>
    <mergeCell ref="AO180:AQ180"/>
    <mergeCell ref="AO181:AQ181"/>
    <mergeCell ref="AL166:AN166"/>
    <mergeCell ref="AJ148:AL148"/>
    <mergeCell ref="AM148:AN148"/>
    <mergeCell ref="AO148:AU148"/>
    <mergeCell ref="AG150:AJ150"/>
    <mergeCell ref="AO150:AU150"/>
    <mergeCell ref="AG151:AM154"/>
    <mergeCell ref="AO151:AU155"/>
    <mergeCell ref="AG155:AM156"/>
    <mergeCell ref="AO156:AU156"/>
    <mergeCell ref="AH146:AI146"/>
    <mergeCell ref="BE29:BK33"/>
    <mergeCell ref="AW33:BC34"/>
    <mergeCell ref="BE34:BK34"/>
    <mergeCell ref="BE35:BK36"/>
    <mergeCell ref="AX37:BA37"/>
    <mergeCell ref="BE37:BK37"/>
    <mergeCell ref="AX38:BD38"/>
    <mergeCell ref="BE38:BK39"/>
    <mergeCell ref="AX39:BD41"/>
    <mergeCell ref="BE40:BK41"/>
    <mergeCell ref="BE61:BG61"/>
    <mergeCell ref="BI61:BK61"/>
    <mergeCell ref="BC64:BD64"/>
    <mergeCell ref="BF14:BG14"/>
    <mergeCell ref="BC25:BD25"/>
    <mergeCell ref="BE25:BG25"/>
    <mergeCell ref="BI25:BK25"/>
    <mergeCell ref="AX26:AY26"/>
    <mergeCell ref="AZ26:BB26"/>
    <mergeCell ref="BC26:BD26"/>
    <mergeCell ref="BE26:BK26"/>
    <mergeCell ref="AW28:AZ28"/>
    <mergeCell ref="BE28:BK28"/>
    <mergeCell ref="AX24:AY24"/>
    <mergeCell ref="AZ24:BB24"/>
    <mergeCell ref="BC24:BD24"/>
    <mergeCell ref="BE24:BF24"/>
    <mergeCell ref="BG24:BK24"/>
    <mergeCell ref="BI18:BK18"/>
    <mergeCell ref="AW19:AX19"/>
    <mergeCell ref="AY19:AZ19"/>
    <mergeCell ref="BE65:BF65"/>
    <mergeCell ref="BG65:BK65"/>
    <mergeCell ref="BE66:BG66"/>
    <mergeCell ref="BI66:BK66"/>
    <mergeCell ref="AX67:AY67"/>
    <mergeCell ref="AZ67:BB67"/>
    <mergeCell ref="BC67:BD67"/>
    <mergeCell ref="BE67:BK67"/>
    <mergeCell ref="BA62:BB62"/>
    <mergeCell ref="BF45:BJ45"/>
    <mergeCell ref="AX46:AX47"/>
    <mergeCell ref="AY46:AZ46"/>
    <mergeCell ref="BA46:BB46"/>
    <mergeCell ref="BC46:BD46"/>
    <mergeCell ref="BE46:BG46"/>
    <mergeCell ref="BI46:BK46"/>
    <mergeCell ref="BJ47:BK47"/>
    <mergeCell ref="BC62:BD62"/>
    <mergeCell ref="BE62:BG62"/>
    <mergeCell ref="BI62:BK62"/>
    <mergeCell ref="BE59:BG59"/>
    <mergeCell ref="AY60:AZ60"/>
    <mergeCell ref="BA60:BB60"/>
    <mergeCell ref="BC60:BD60"/>
    <mergeCell ref="BE60:BG60"/>
    <mergeCell ref="AW62:AX62"/>
    <mergeCell ref="AY62:AZ62"/>
    <mergeCell ref="AX45:BC45"/>
    <mergeCell ref="BJ51:BK51"/>
    <mergeCell ref="AX65:AY65"/>
    <mergeCell ref="AZ65:BB65"/>
    <mergeCell ref="BC65:BD65"/>
    <mergeCell ref="BE99:BG99"/>
    <mergeCell ref="BI101:BK101"/>
    <mergeCell ref="AY99:AZ99"/>
    <mergeCell ref="BA99:BB99"/>
    <mergeCell ref="BC99:BD99"/>
    <mergeCell ref="AW103:AX103"/>
    <mergeCell ref="AY103:AZ103"/>
    <mergeCell ref="BA103:BB103"/>
    <mergeCell ref="BC103:BD103"/>
    <mergeCell ref="BE103:BG103"/>
    <mergeCell ref="AY98:AZ98"/>
    <mergeCell ref="BA98:BB98"/>
    <mergeCell ref="BC98:BD98"/>
    <mergeCell ref="BE98:BG98"/>
    <mergeCell ref="BE78:BK79"/>
    <mergeCell ref="AX79:BD81"/>
    <mergeCell ref="BE80:BK81"/>
    <mergeCell ref="AY82:BC82"/>
    <mergeCell ref="AW84:AY84"/>
    <mergeCell ref="AZ84:BA84"/>
    <mergeCell ref="BB84:BD84"/>
    <mergeCell ref="BD85:BE85"/>
    <mergeCell ref="BF85:BJ85"/>
    <mergeCell ref="BJ96:BK96"/>
    <mergeCell ref="AW97:AX97"/>
    <mergeCell ref="AY97:BC97"/>
    <mergeCell ref="BF97:BG97"/>
    <mergeCell ref="BI103:BK103"/>
    <mergeCell ref="AX78:BD78"/>
    <mergeCell ref="AW102:AX102"/>
    <mergeCell ref="AY102:AZ102"/>
    <mergeCell ref="BA102:BB102"/>
    <mergeCell ref="BC102:BD102"/>
    <mergeCell ref="BE102:BG102"/>
    <mergeCell ref="BI102:BK102"/>
    <mergeCell ref="BC104:BD104"/>
    <mergeCell ref="AY100:AZ100"/>
    <mergeCell ref="BA100:BB100"/>
    <mergeCell ref="BC100:BD100"/>
    <mergeCell ref="BE100:BG100"/>
    <mergeCell ref="BE101:BG101"/>
    <mergeCell ref="AW104:AX104"/>
    <mergeCell ref="AY104:AZ104"/>
    <mergeCell ref="BA104:BB104"/>
    <mergeCell ref="BE104:BG104"/>
    <mergeCell ref="BI104:BK104"/>
    <mergeCell ref="AW109:AZ109"/>
    <mergeCell ref="BE109:BK109"/>
    <mergeCell ref="AW110:BC113"/>
    <mergeCell ref="BE110:BK114"/>
    <mergeCell ref="AW114:BC115"/>
    <mergeCell ref="BE115:BK115"/>
    <mergeCell ref="BJ137:BK137"/>
    <mergeCell ref="AW138:AX138"/>
    <mergeCell ref="AY138:BC138"/>
    <mergeCell ref="BF138:BG138"/>
    <mergeCell ref="BE105:BF105"/>
    <mergeCell ref="BG105:BK105"/>
    <mergeCell ref="AX106:AY106"/>
    <mergeCell ref="AZ106:BB106"/>
    <mergeCell ref="BC106:BD106"/>
    <mergeCell ref="BE106:BG106"/>
    <mergeCell ref="BI106:BK106"/>
    <mergeCell ref="AX105:AY105"/>
    <mergeCell ref="AZ105:BB105"/>
    <mergeCell ref="BC105:BD105"/>
    <mergeCell ref="AY180:AZ180"/>
    <mergeCell ref="BA180:BB180"/>
    <mergeCell ref="BC180:BD180"/>
    <mergeCell ref="BE180:BG180"/>
    <mergeCell ref="AX146:AY146"/>
    <mergeCell ref="AZ146:BB146"/>
    <mergeCell ref="AZ148:BB148"/>
    <mergeCell ref="BC148:BD148"/>
    <mergeCell ref="BE148:BK148"/>
    <mergeCell ref="AW150:AZ150"/>
    <mergeCell ref="BE150:BK150"/>
    <mergeCell ref="AW151:BC154"/>
    <mergeCell ref="BE151:BK155"/>
    <mergeCell ref="AW155:BC156"/>
    <mergeCell ref="BE156:BK156"/>
    <mergeCell ref="AX147:AY147"/>
    <mergeCell ref="AZ147:BB147"/>
    <mergeCell ref="BC147:BD147"/>
    <mergeCell ref="BE147:BG147"/>
    <mergeCell ref="BI147:BK147"/>
    <mergeCell ref="BC146:BD146"/>
    <mergeCell ref="BE146:BF146"/>
    <mergeCell ref="BG146:BK146"/>
    <mergeCell ref="BJ178:BK178"/>
    <mergeCell ref="AW179:AX179"/>
    <mergeCell ref="AY179:BC179"/>
    <mergeCell ref="BF179:BG179"/>
    <mergeCell ref="AX201:BD201"/>
    <mergeCell ref="BE201:BK202"/>
    <mergeCell ref="AX202:BD204"/>
    <mergeCell ref="BE203:BK204"/>
    <mergeCell ref="AY205:BC205"/>
    <mergeCell ref="AX189:AY189"/>
    <mergeCell ref="AZ189:BB189"/>
    <mergeCell ref="BC189:BD189"/>
    <mergeCell ref="BE189:BK189"/>
    <mergeCell ref="AW191:AZ191"/>
    <mergeCell ref="BE191:BK191"/>
    <mergeCell ref="AW192:BC195"/>
    <mergeCell ref="BE192:BK196"/>
    <mergeCell ref="AW196:BC197"/>
    <mergeCell ref="BE197:BK197"/>
    <mergeCell ref="AX187:AY187"/>
    <mergeCell ref="AZ187:BB187"/>
    <mergeCell ref="BC187:BD187"/>
    <mergeCell ref="BE187:BF187"/>
    <mergeCell ref="BG187:BK187"/>
    <mergeCell ref="BE198:BK199"/>
    <mergeCell ref="AX200:BA200"/>
    <mergeCell ref="BE200:BK200"/>
    <mergeCell ref="N173:O173"/>
    <mergeCell ref="AD173:AE173"/>
    <mergeCell ref="BE157:BK158"/>
    <mergeCell ref="AX159:BA159"/>
    <mergeCell ref="BE159:BK159"/>
    <mergeCell ref="AX160:BD160"/>
    <mergeCell ref="BE160:BK161"/>
    <mergeCell ref="AX161:BD163"/>
    <mergeCell ref="BE162:BK163"/>
    <mergeCell ref="AY164:BC164"/>
    <mergeCell ref="AW166:AY166"/>
    <mergeCell ref="AZ166:BA166"/>
    <mergeCell ref="BB166:BD166"/>
    <mergeCell ref="AX148:AY148"/>
    <mergeCell ref="AW143:AX143"/>
    <mergeCell ref="AY143:AZ143"/>
    <mergeCell ref="BA143:BB143"/>
    <mergeCell ref="BC143:BD143"/>
    <mergeCell ref="BE143:BG143"/>
    <mergeCell ref="BI143:BK143"/>
    <mergeCell ref="BC145:BD145"/>
    <mergeCell ref="AH168:AH169"/>
    <mergeCell ref="AO157:AU158"/>
    <mergeCell ref="AH159:AK159"/>
    <mergeCell ref="AI164:AM164"/>
    <mergeCell ref="AG166:AI166"/>
    <mergeCell ref="AJ166:AK166"/>
    <mergeCell ref="AH148:AI148"/>
    <mergeCell ref="AJ146:AL146"/>
    <mergeCell ref="AM146:AN146"/>
    <mergeCell ref="AO146:AP146"/>
    <mergeCell ref="AQ146:AU146"/>
    <mergeCell ref="BC66:BD66"/>
    <mergeCell ref="AO159:AU159"/>
    <mergeCell ref="AH160:AN160"/>
    <mergeCell ref="AO160:AU161"/>
    <mergeCell ref="AH161:AN163"/>
    <mergeCell ref="AO162:AU163"/>
    <mergeCell ref="BD126:BE126"/>
    <mergeCell ref="BE116:BK117"/>
    <mergeCell ref="AX118:BA118"/>
    <mergeCell ref="BE118:BK118"/>
    <mergeCell ref="AX119:BD119"/>
    <mergeCell ref="BE119:BK120"/>
    <mergeCell ref="AX120:BD122"/>
    <mergeCell ref="BE121:BK122"/>
    <mergeCell ref="BI86:BK86"/>
    <mergeCell ref="BJ87:BK87"/>
    <mergeCell ref="BE74:BK74"/>
    <mergeCell ref="BE75:BK76"/>
    <mergeCell ref="AX77:BA77"/>
    <mergeCell ref="BE77:BK77"/>
    <mergeCell ref="AH86:AH87"/>
    <mergeCell ref="AI86:AJ86"/>
    <mergeCell ref="AT91:AU91"/>
    <mergeCell ref="BJ91:BK91"/>
    <mergeCell ref="AY123:BC123"/>
    <mergeCell ref="AW125:AY125"/>
    <mergeCell ref="AZ125:BA125"/>
    <mergeCell ref="BB125:BD125"/>
    <mergeCell ref="AX107:AY107"/>
    <mergeCell ref="AZ107:BB107"/>
    <mergeCell ref="BC107:BD107"/>
    <mergeCell ref="BE107:BK107"/>
    <mergeCell ref="AW184:AX184"/>
    <mergeCell ref="AY184:AZ184"/>
    <mergeCell ref="BA184:BB184"/>
    <mergeCell ref="BC184:BD184"/>
    <mergeCell ref="BE184:BG184"/>
    <mergeCell ref="BI184:BK184"/>
    <mergeCell ref="BC186:BD186"/>
    <mergeCell ref="AY182:AZ182"/>
    <mergeCell ref="BA182:BB182"/>
    <mergeCell ref="BC182:BD182"/>
    <mergeCell ref="AX188:AY188"/>
    <mergeCell ref="AZ188:BB188"/>
    <mergeCell ref="BC188:BD188"/>
    <mergeCell ref="BE188:BG188"/>
    <mergeCell ref="BI188:BK188"/>
    <mergeCell ref="BE182:BG182"/>
    <mergeCell ref="BE183:BG183"/>
    <mergeCell ref="BI183:BK183"/>
    <mergeCell ref="AW185:AX185"/>
    <mergeCell ref="AY185:AZ185"/>
    <mergeCell ref="BA185:BB185"/>
    <mergeCell ref="BC185:BD185"/>
    <mergeCell ref="BE185:BG185"/>
    <mergeCell ref="BI185:BK185"/>
    <mergeCell ref="AW186:AX186"/>
    <mergeCell ref="AY186:AZ186"/>
    <mergeCell ref="BA186:BB186"/>
    <mergeCell ref="BE186:BG186"/>
    <mergeCell ref="BI186:BK186"/>
    <mergeCell ref="BE181:BG181"/>
    <mergeCell ref="AY181:AZ181"/>
    <mergeCell ref="BA181:BB181"/>
    <mergeCell ref="BC181:BD181"/>
    <mergeCell ref="AA65:AE65"/>
    <mergeCell ref="B66:C66"/>
    <mergeCell ref="D66:F66"/>
    <mergeCell ref="G66:H66"/>
    <mergeCell ref="N91:O91"/>
    <mergeCell ref="AO65:AP65"/>
    <mergeCell ref="AQ65:AU65"/>
    <mergeCell ref="AO66:AQ66"/>
    <mergeCell ref="AS66:AU66"/>
    <mergeCell ref="AH67:AI67"/>
    <mergeCell ref="AJ67:AL67"/>
    <mergeCell ref="R67:S67"/>
    <mergeCell ref="T67:V67"/>
    <mergeCell ref="W67:X67"/>
    <mergeCell ref="Y67:AE67"/>
    <mergeCell ref="R66:S66"/>
    <mergeCell ref="AX86:AX87"/>
    <mergeCell ref="AY86:AZ86"/>
    <mergeCell ref="BA86:BB86"/>
    <mergeCell ref="BC86:BD86"/>
    <mergeCell ref="BE86:BG86"/>
    <mergeCell ref="AM67:AN67"/>
    <mergeCell ref="AO67:AU67"/>
    <mergeCell ref="AW68:AZ68"/>
    <mergeCell ref="BE68:BK68"/>
    <mergeCell ref="AW69:BC72"/>
    <mergeCell ref="BE69:BK73"/>
    <mergeCell ref="AW73:BC74"/>
    <mergeCell ref="Y66:AA66"/>
    <mergeCell ref="AT173:AU173"/>
    <mergeCell ref="BJ173:BK173"/>
    <mergeCell ref="BD167:BE167"/>
    <mergeCell ref="BF167:BJ167"/>
    <mergeCell ref="AX168:AX169"/>
    <mergeCell ref="AY168:AZ168"/>
    <mergeCell ref="BA168:BB168"/>
    <mergeCell ref="BC168:BD168"/>
    <mergeCell ref="BE168:BG168"/>
    <mergeCell ref="BI168:BK168"/>
    <mergeCell ref="BJ169:BK169"/>
    <mergeCell ref="X167:Y167"/>
    <mergeCell ref="Z167:AD167"/>
    <mergeCell ref="AC66:AE66"/>
    <mergeCell ref="BF126:BJ126"/>
    <mergeCell ref="AX127:AX128"/>
    <mergeCell ref="AY127:AZ127"/>
    <mergeCell ref="BA127:BB127"/>
    <mergeCell ref="BC127:BD127"/>
    <mergeCell ref="BE127:BG127"/>
    <mergeCell ref="BI127:BK127"/>
    <mergeCell ref="BJ128:BK128"/>
    <mergeCell ref="BJ132:BK132"/>
    <mergeCell ref="BE140:BG140"/>
    <mergeCell ref="AY141:AZ141"/>
    <mergeCell ref="BA141:BB141"/>
    <mergeCell ref="BI142:BK142"/>
    <mergeCell ref="BE142:BG142"/>
    <mergeCell ref="AY139:AZ139"/>
    <mergeCell ref="AX66:AY66"/>
    <mergeCell ref="AZ66:BB66"/>
  </mergeCells>
  <conditionalFormatting sqref="K5:K12">
    <cfRule type="cellIs" dxfId="177" priority="306" operator="lessThan">
      <formula>J5</formula>
    </cfRule>
    <cfRule type="cellIs" dxfId="176" priority="307" operator="lessThan">
      <formula>K5</formula>
    </cfRule>
  </conditionalFormatting>
  <conditionalFormatting sqref="K129:K136 AA129:AA136 AQ129:AQ136 BG129:BG136">
    <cfRule type="cellIs" dxfId="175" priority="1" operator="lessThan">
      <formula>J129</formula>
    </cfRule>
    <cfRule type="cellIs" dxfId="174" priority="2" operator="lessThan">
      <formula>K129</formula>
    </cfRule>
  </conditionalFormatting>
  <conditionalFormatting sqref="K170:K177 AA170:AA177 AQ170:AQ177 BG170:BG177">
    <cfRule type="cellIs" dxfId="173" priority="7" operator="lessThan">
      <formula>J170</formula>
    </cfRule>
    <cfRule type="cellIs" dxfId="172" priority="8" operator="lessThan">
      <formula>K170</formula>
    </cfRule>
  </conditionalFormatting>
  <conditionalFormatting sqref="AA5:AA12">
    <cfRule type="cellIs" dxfId="171" priority="5" operator="lessThan">
      <formula>Z5</formula>
    </cfRule>
    <cfRule type="cellIs" dxfId="170" priority="6" operator="lessThan">
      <formula>AA5</formula>
    </cfRule>
  </conditionalFormatting>
  <conditionalFormatting sqref="AQ5:AQ12 BG5:BG12 K48:K55 AA48:AA55 AQ48:AQ55 BG48:BG55 K88:K95 AA88:AA95 AQ88:AQ95 BG88:BG95">
    <cfRule type="cellIs" dxfId="169" priority="3" operator="lessThan">
      <formula>J5</formula>
    </cfRule>
    <cfRule type="cellIs" dxfId="168" priority="4" operator="lessThan">
      <formula>K5</formula>
    </cfRule>
  </conditionalFormatting>
  <dataValidations count="1">
    <dataValidation type="list" showDropDown="1" showInputMessage="1" showErrorMessage="1" sqref="P1:P1048576 AG187:AU1048576 A187:O1048576 Q187:AE1048576 AW187:BK1048576 Q1:AE2 AF1:AF1048576 AG1:AU2 AV1:AV1048576 AW1:BK2 BL1:BX1048576 A22:O45 Q22:AE45 AG22:AU45 AW22:BK45 A65:O85 Q65:AE85 AG65:AU85 AW65:BK85 A105:O126 Q105:AE126 AG105:AU126 AW105:BK126 A146:O167 Q146:AE167 AG146:AU167 AW146:BK167 A1:C1">
      <formula1>"&amp;&amp;&amp;&amp;&amp;&amp;&amp;&amp;&amp;&amp;&amp;&amp;&amp;&amp;&amp;########@@@@@@@@@@@@@"</formula1>
    </dataValidation>
  </dataValidations>
  <printOptions horizontalCentered="1" verticalCentered="1"/>
  <pageMargins left="0" right="0" top="3.937007874015748E-2" bottom="3.937007874015748E-2" header="0" footer="0.11811023622047245"/>
  <pageSetup paperSize="9" orientation="portrait" horizontalDpi="300" verticalDpi="300" r:id="rId1"/>
  <colBreaks count="2" manualBreakCount="2">
    <brk id="15" max="1048575" man="1"/>
    <brk id="3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S980"/>
  <sheetViews>
    <sheetView showZeros="0" rightToLeft="1" view="pageBreakPreview" zoomScale="95" zoomScaleSheetLayoutView="95" workbookViewId="0">
      <selection activeCell="L75" sqref="L75:M75"/>
    </sheetView>
  </sheetViews>
  <sheetFormatPr defaultColWidth="8.85546875" defaultRowHeight="15" x14ac:dyDescent="0.25"/>
  <cols>
    <col min="1" max="1" width="3.42578125" style="4" customWidth="1"/>
    <col min="2" max="2" width="12.85546875" style="204" customWidth="1"/>
    <col min="3" max="3" width="6.140625" style="287" customWidth="1"/>
    <col min="4" max="4" width="8.140625" style="17" customWidth="1"/>
    <col min="5" max="5" width="3.140625" style="73" customWidth="1"/>
    <col min="6" max="6" width="2.7109375" style="1" customWidth="1"/>
    <col min="7" max="7" width="2.85546875" style="18" customWidth="1"/>
    <col min="8" max="8" width="2.7109375" style="1" customWidth="1"/>
    <col min="9" max="9" width="3.140625" style="18" customWidth="1"/>
    <col min="10" max="10" width="2.7109375" style="1" customWidth="1"/>
    <col min="11" max="11" width="3.42578125" style="18" customWidth="1"/>
    <col min="12" max="12" width="2.7109375" style="1" customWidth="1"/>
    <col min="13" max="15" width="3.42578125" style="18" customWidth="1"/>
    <col min="16" max="16" width="2.7109375" style="1" customWidth="1"/>
    <col min="17" max="17" width="3.140625" style="18" customWidth="1"/>
    <col min="18" max="18" width="2.7109375" style="1" customWidth="1"/>
    <col min="19" max="19" width="3.140625" style="18" customWidth="1"/>
    <col min="20" max="20" width="2.7109375" style="1" customWidth="1"/>
    <col min="21" max="21" width="3.140625" style="18" customWidth="1"/>
    <col min="22" max="22" width="5.42578125" style="1" customWidth="1"/>
    <col min="23" max="24" width="4.140625" style="1" customWidth="1"/>
    <col min="25" max="25" width="4.140625" style="363" customWidth="1"/>
    <col min="26" max="26" width="8" style="1" customWidth="1"/>
    <col min="27" max="27" width="6" style="268" customWidth="1"/>
    <col min="28" max="28" width="7.5703125" style="9" customWidth="1"/>
    <col min="29" max="42" width="8.85546875" style="1" customWidth="1"/>
    <col min="43" max="44" width="8.85546875" style="1"/>
    <col min="45" max="45" width="23.7109375" style="1" customWidth="1"/>
    <col min="46" max="46" width="8.85546875" style="1" customWidth="1"/>
    <col min="47" max="16384" width="8.85546875" style="1"/>
  </cols>
  <sheetData>
    <row r="1" spans="1:45" ht="19.899999999999999" customHeight="1" x14ac:dyDescent="0.25">
      <c r="A1" s="676" t="str">
        <f>ادخال1!A2</f>
        <v>دولة ليبيا</v>
      </c>
      <c r="B1" s="676"/>
      <c r="C1" s="676"/>
      <c r="D1" s="676" t="str">
        <f>ادخال1!D2</f>
        <v xml:space="preserve">كشف رصد النتائج النهائية للصف الرابع من مرحلة التعليم الاساسي  </v>
      </c>
      <c r="E1" s="676"/>
      <c r="F1" s="676"/>
      <c r="G1" s="676"/>
      <c r="H1" s="676"/>
      <c r="I1" s="676"/>
      <c r="J1" s="676"/>
      <c r="K1" s="676"/>
      <c r="L1" s="676"/>
      <c r="M1" s="676"/>
      <c r="N1" s="676"/>
      <c r="O1" s="676"/>
      <c r="P1" s="676"/>
      <c r="Q1" s="676"/>
      <c r="R1" s="676"/>
      <c r="S1" s="676"/>
      <c r="T1" s="676"/>
      <c r="U1" s="676"/>
      <c r="V1" s="676"/>
      <c r="W1" s="676"/>
      <c r="X1" s="676"/>
      <c r="Y1" s="676"/>
      <c r="Z1" s="676"/>
      <c r="AA1" s="676"/>
      <c r="AB1" s="24"/>
      <c r="AC1" s="24"/>
      <c r="AF1" s="1">
        <f>SUM(G7,I7,K7,O7,U7,M7,Q7,S7)</f>
        <v>276</v>
      </c>
    </row>
    <row r="2" spans="1:45" ht="19.899999999999999" customHeight="1" x14ac:dyDescent="0.25">
      <c r="A2" s="676" t="str">
        <f>ادخال1!A3</f>
        <v>وزارة التعليم</v>
      </c>
      <c r="B2" s="676"/>
      <c r="C2" s="676"/>
      <c r="D2" s="147">
        <f>ادخال1!D3</f>
        <v>0</v>
      </c>
      <c r="E2" s="19">
        <f>ادخال1!E3</f>
        <v>0</v>
      </c>
      <c r="F2" s="19">
        <f>ادخال1!F3</f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677" t="str">
        <f>ادخال1!O3</f>
        <v>مكتب الامتحانات بمنطقة / تاجوراء</v>
      </c>
      <c r="X2" s="677"/>
      <c r="Y2" s="677"/>
      <c r="Z2" s="677"/>
      <c r="AA2" s="677"/>
      <c r="AF2" s="1">
        <f>SUM(G8,I8,K8,O8,U8,M8,Q8,S8)</f>
        <v>368</v>
      </c>
    </row>
    <row r="3" spans="1:45" ht="19.899999999999999" customHeight="1" x14ac:dyDescent="0.25">
      <c r="A3" s="676" t="str">
        <f>ادخال1!A4</f>
        <v>إدارة الامتحانات</v>
      </c>
      <c r="B3" s="676"/>
      <c r="C3" s="676"/>
      <c r="D3" s="678" t="str">
        <f>ادخال1!D4</f>
        <v>المرحلة/</v>
      </c>
      <c r="E3" s="678"/>
      <c r="F3" s="676" t="str">
        <f>ادخال1!E4</f>
        <v>التعليم الاساسي</v>
      </c>
      <c r="G3" s="676"/>
      <c r="H3" s="676"/>
      <c r="I3" s="676"/>
      <c r="J3" s="26">
        <f>ادخال1!G4</f>
        <v>0</v>
      </c>
      <c r="K3" s="26"/>
      <c r="L3" s="26">
        <f>ادخال1!I4</f>
        <v>0</v>
      </c>
      <c r="M3" s="26"/>
      <c r="N3" s="26"/>
      <c r="O3" s="26"/>
      <c r="P3" s="26"/>
      <c r="Q3" s="26"/>
      <c r="R3" s="26"/>
      <c r="S3" s="26"/>
      <c r="T3" s="26"/>
      <c r="U3" s="26"/>
      <c r="V3" s="679" t="s">
        <v>159</v>
      </c>
      <c r="W3" s="679"/>
      <c r="X3" s="679"/>
      <c r="Y3" s="680" t="str">
        <f>ادخال1!N4</f>
        <v>الرابع</v>
      </c>
      <c r="Z3" s="680"/>
      <c r="AA3" s="265"/>
      <c r="AB3" s="25"/>
      <c r="AC3" s="25"/>
      <c r="AF3" s="1">
        <f>SUM(G9,I9,K9,O9,U9,M9,Q9,S9)</f>
        <v>920</v>
      </c>
    </row>
    <row r="4" spans="1:45" ht="19.899999999999999" customHeight="1" thickBot="1" x14ac:dyDescent="0.3">
      <c r="A4" s="277" t="str">
        <f>ادخال1!A5</f>
        <v>المدرسة/</v>
      </c>
      <c r="B4" s="681" t="str">
        <f>ادخال1!B5</f>
        <v xml:space="preserve">سهول العلم للتعليم الخاص </v>
      </c>
      <c r="C4" s="681"/>
      <c r="D4" s="681"/>
      <c r="E4" s="682" t="str">
        <f>ادخال1!E5</f>
        <v>العام الدراسي 1447 - 1448 هجرية/ الموافق :  2025 - 2026 ميلادية   مكتب الامتحانات بمنطقة / تاجوراء</v>
      </c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25"/>
      <c r="AC4" s="25"/>
    </row>
    <row r="5" spans="1:45" ht="17.100000000000001" customHeight="1" thickBot="1" x14ac:dyDescent="0.3">
      <c r="A5" s="683" t="s">
        <v>1</v>
      </c>
      <c r="B5" s="686" t="s">
        <v>0</v>
      </c>
      <c r="C5" s="689" t="s">
        <v>27</v>
      </c>
      <c r="D5" s="691" t="s">
        <v>28</v>
      </c>
      <c r="E5" s="128" t="s">
        <v>13</v>
      </c>
      <c r="F5" s="693" t="s">
        <v>2</v>
      </c>
      <c r="G5" s="694"/>
      <c r="H5" s="695"/>
      <c r="I5" s="694"/>
      <c r="J5" s="694"/>
      <c r="K5" s="694"/>
      <c r="L5" s="695"/>
      <c r="M5" s="694"/>
      <c r="N5" s="694"/>
      <c r="O5" s="694"/>
      <c r="P5" s="695"/>
      <c r="Q5" s="694"/>
      <c r="R5" s="695"/>
      <c r="S5" s="694"/>
      <c r="T5" s="694"/>
      <c r="U5" s="694"/>
      <c r="V5" s="695"/>
      <c r="W5" s="696"/>
      <c r="X5" s="696"/>
      <c r="Y5" s="361"/>
      <c r="Z5" s="14"/>
      <c r="AA5" s="266"/>
      <c r="AB5" s="11"/>
      <c r="AC5" s="662" t="s">
        <v>90</v>
      </c>
      <c r="AQ5" s="614" t="s">
        <v>112</v>
      </c>
      <c r="AR5" s="614"/>
      <c r="AS5" s="614"/>
    </row>
    <row r="6" spans="1:45" ht="18" customHeight="1" x14ac:dyDescent="0.25">
      <c r="A6" s="684"/>
      <c r="B6" s="687"/>
      <c r="C6" s="690"/>
      <c r="D6" s="692"/>
      <c r="E6" s="129" t="s">
        <v>21</v>
      </c>
      <c r="F6" s="16">
        <f>ادخال1!F7</f>
        <v>3</v>
      </c>
      <c r="G6" s="98">
        <f>F6*0.3*40</f>
        <v>36</v>
      </c>
      <c r="H6" s="16">
        <f>ادخال1!G7</f>
        <v>4</v>
      </c>
      <c r="I6" s="98">
        <f>H6*0.3*40</f>
        <v>48</v>
      </c>
      <c r="J6" s="16">
        <f>ادخال1!H7</f>
        <v>2</v>
      </c>
      <c r="K6" s="98">
        <f>J6*0.3*40</f>
        <v>24</v>
      </c>
      <c r="L6" s="16">
        <f>ادخال1!I7</f>
        <v>3</v>
      </c>
      <c r="M6" s="98">
        <f>L6*0.3*40</f>
        <v>36</v>
      </c>
      <c r="N6" s="16">
        <f>ادخال1!J7</f>
        <v>1</v>
      </c>
      <c r="O6" s="98">
        <f>N6*0.3*40</f>
        <v>12</v>
      </c>
      <c r="P6" s="16">
        <f>ادخال1!K7</f>
        <v>5</v>
      </c>
      <c r="Q6" s="98">
        <f>P6*0.3*40</f>
        <v>60</v>
      </c>
      <c r="R6" s="16">
        <f>ادخال1!L7</f>
        <v>3</v>
      </c>
      <c r="S6" s="98">
        <f>R6*0.3*40</f>
        <v>36</v>
      </c>
      <c r="T6" s="16">
        <f>ادخال1!M7</f>
        <v>2</v>
      </c>
      <c r="U6" s="98">
        <f>T6*0.3*40</f>
        <v>24</v>
      </c>
      <c r="V6" s="663" t="str">
        <f>ادخال1!N7</f>
        <v xml:space="preserve">المجموع </v>
      </c>
      <c r="W6" s="15">
        <f>ادخال1!O7</f>
        <v>1</v>
      </c>
      <c r="X6" s="7">
        <f>ادخال1!P7</f>
        <v>2</v>
      </c>
      <c r="Y6" s="666" t="s">
        <v>29</v>
      </c>
      <c r="Z6" s="668" t="s">
        <v>3</v>
      </c>
      <c r="AA6" s="670" t="s">
        <v>26</v>
      </c>
      <c r="AB6" s="11"/>
      <c r="AC6" s="662"/>
      <c r="AF6" s="1">
        <v>0</v>
      </c>
      <c r="AG6" s="1" t="s">
        <v>7</v>
      </c>
      <c r="AI6" s="1">
        <v>0</v>
      </c>
      <c r="AJ6" s="1" t="s">
        <v>7</v>
      </c>
      <c r="AL6" s="1">
        <v>0</v>
      </c>
      <c r="AM6" s="1" t="s">
        <v>7</v>
      </c>
      <c r="AQ6" s="614"/>
      <c r="AR6" s="614"/>
      <c r="AS6" s="614"/>
    </row>
    <row r="7" spans="1:45" ht="21" customHeight="1" x14ac:dyDescent="0.25">
      <c r="A7" s="684"/>
      <c r="B7" s="687"/>
      <c r="C7" s="690"/>
      <c r="D7" s="692"/>
      <c r="E7" s="130" t="s">
        <v>22</v>
      </c>
      <c r="F7" s="674" t="str">
        <f>ادخال1!F9</f>
        <v>التربية الإسلامية</v>
      </c>
      <c r="G7" s="98">
        <f>F6*0.3*40</f>
        <v>36</v>
      </c>
      <c r="H7" s="697" t="str">
        <f>ادخال1!G9</f>
        <v>اللغة العربية</v>
      </c>
      <c r="I7" s="98">
        <f>H6*0.3*40</f>
        <v>48</v>
      </c>
      <c r="J7" s="672" t="str">
        <f>ادخال1!H9</f>
        <v>الكتابة</v>
      </c>
      <c r="K7" s="98">
        <f>J6*0.3*40</f>
        <v>24</v>
      </c>
      <c r="L7" s="672" t="str">
        <f>ادخال1!I9</f>
        <v>اللغة الإنجليزية</v>
      </c>
      <c r="M7" s="98">
        <f>L6*0.3*40</f>
        <v>36</v>
      </c>
      <c r="N7" s="672" t="str">
        <f>ادخال1!J9</f>
        <v>الحاسوب</v>
      </c>
      <c r="O7" s="98">
        <f>N6*0.3*40</f>
        <v>12</v>
      </c>
      <c r="P7" s="674" t="str">
        <f>ادخال1!K9</f>
        <v>الرياضيات</v>
      </c>
      <c r="Q7" s="98">
        <f>P6*0.3*40</f>
        <v>60</v>
      </c>
      <c r="R7" s="674" t="str">
        <f>ادخال1!L9</f>
        <v>العلوم</v>
      </c>
      <c r="S7" s="98">
        <f>R6*0.3*40</f>
        <v>36</v>
      </c>
      <c r="T7" s="674" t="str">
        <f>ادخال1!M9</f>
        <v>الاجتماعيات</v>
      </c>
      <c r="U7" s="98">
        <f>T6*0.3*40</f>
        <v>24</v>
      </c>
      <c r="V7" s="664"/>
      <c r="W7" s="674" t="str">
        <f>ادخال1!O8</f>
        <v>التربية الفنية</v>
      </c>
      <c r="X7" s="700" t="str">
        <f>ادخال1!P8</f>
        <v>التربية البدنية</v>
      </c>
      <c r="Y7" s="667"/>
      <c r="Z7" s="669"/>
      <c r="AA7" s="671"/>
      <c r="AB7" s="11"/>
      <c r="AC7" s="662"/>
      <c r="AF7" s="1">
        <f>0.4*AF1</f>
        <v>110.4</v>
      </c>
      <c r="AG7" s="1" t="s">
        <v>4</v>
      </c>
      <c r="AI7" s="1">
        <f>0.4*AF2</f>
        <v>147.20000000000002</v>
      </c>
      <c r="AJ7" s="1" t="s">
        <v>4</v>
      </c>
      <c r="AL7" s="1">
        <f>0.4*AF3</f>
        <v>368</v>
      </c>
      <c r="AM7" s="1" t="s">
        <v>4</v>
      </c>
      <c r="AQ7" s="614"/>
      <c r="AR7" s="614"/>
      <c r="AS7" s="614"/>
    </row>
    <row r="8" spans="1:45" ht="21" customHeight="1" x14ac:dyDescent="0.25">
      <c r="A8" s="684"/>
      <c r="B8" s="687"/>
      <c r="C8" s="690"/>
      <c r="D8" s="692"/>
      <c r="E8" s="130" t="s">
        <v>23</v>
      </c>
      <c r="F8" s="675"/>
      <c r="G8" s="98">
        <f>F6*0.4*40</f>
        <v>48.000000000000007</v>
      </c>
      <c r="H8" s="698"/>
      <c r="I8" s="98">
        <f>H6*0.4*40</f>
        <v>64</v>
      </c>
      <c r="J8" s="673"/>
      <c r="K8" s="98">
        <f>J6*0.4*40</f>
        <v>32</v>
      </c>
      <c r="L8" s="673"/>
      <c r="M8" s="98">
        <f>L6*0.4*40</f>
        <v>48.000000000000007</v>
      </c>
      <c r="N8" s="673"/>
      <c r="O8" s="98">
        <f>N6*0.4*40</f>
        <v>16</v>
      </c>
      <c r="P8" s="675"/>
      <c r="Q8" s="98">
        <f>P6*0.4*40</f>
        <v>80</v>
      </c>
      <c r="R8" s="675"/>
      <c r="S8" s="98">
        <f>R6*0.4*40</f>
        <v>48.000000000000007</v>
      </c>
      <c r="T8" s="675"/>
      <c r="U8" s="98">
        <f>T6*0.4*40</f>
        <v>32</v>
      </c>
      <c r="V8" s="664"/>
      <c r="W8" s="699"/>
      <c r="X8" s="700"/>
      <c r="Y8" s="667"/>
      <c r="Z8" s="669"/>
      <c r="AA8" s="671"/>
      <c r="AB8" s="11"/>
      <c r="AC8" s="662"/>
      <c r="AF8" s="1">
        <f>0.65*AF1</f>
        <v>179.4</v>
      </c>
      <c r="AG8" s="1" t="s">
        <v>5</v>
      </c>
      <c r="AI8" s="1">
        <f>0.65*AF2</f>
        <v>239.20000000000002</v>
      </c>
      <c r="AJ8" s="1" t="s">
        <v>5</v>
      </c>
      <c r="AL8" s="1">
        <f>0.65*AF3</f>
        <v>598</v>
      </c>
      <c r="AM8" s="1" t="s">
        <v>5</v>
      </c>
      <c r="AQ8" s="614"/>
      <c r="AR8" s="614"/>
      <c r="AS8" s="614"/>
    </row>
    <row r="9" spans="1:45" ht="12.75" customHeight="1" thickBot="1" x14ac:dyDescent="0.3">
      <c r="A9" s="685"/>
      <c r="B9" s="688"/>
      <c r="C9" s="690"/>
      <c r="D9" s="692"/>
      <c r="E9" s="131" t="s">
        <v>24</v>
      </c>
      <c r="F9" s="675"/>
      <c r="G9" s="99">
        <f>SUM(G6:G8)</f>
        <v>120</v>
      </c>
      <c r="H9" s="698"/>
      <c r="I9" s="99">
        <f>SUM(I6:I8)</f>
        <v>160</v>
      </c>
      <c r="J9" s="673"/>
      <c r="K9" s="99">
        <f>SUM(K6:K8)</f>
        <v>80</v>
      </c>
      <c r="L9" s="673"/>
      <c r="M9" s="99">
        <f>SUM(M6:M8)</f>
        <v>120</v>
      </c>
      <c r="N9" s="673"/>
      <c r="O9" s="99">
        <f>SUM(O6:O8)</f>
        <v>40</v>
      </c>
      <c r="P9" s="675"/>
      <c r="Q9" s="99">
        <f>SUM(Q6:Q8)</f>
        <v>200</v>
      </c>
      <c r="R9" s="675"/>
      <c r="S9" s="99">
        <f>SUM(S6:S8)</f>
        <v>120</v>
      </c>
      <c r="T9" s="675"/>
      <c r="U9" s="99">
        <f>SUM(U6:U8)</f>
        <v>80</v>
      </c>
      <c r="V9" s="665"/>
      <c r="W9" s="5" t="str">
        <f>ادخال1!O10</f>
        <v>تقديرات</v>
      </c>
      <c r="X9" s="6" t="str">
        <f>ادخال1!Q10</f>
        <v>تقديرات</v>
      </c>
      <c r="Y9" s="667"/>
      <c r="Z9" s="669"/>
      <c r="AA9" s="671"/>
      <c r="AB9" s="11"/>
      <c r="AC9" s="662"/>
      <c r="AF9" s="1">
        <f>0.75*AF1</f>
        <v>207</v>
      </c>
      <c r="AG9" s="1" t="s">
        <v>105</v>
      </c>
      <c r="AI9" s="1">
        <f>0.75*AF2</f>
        <v>276</v>
      </c>
      <c r="AJ9" s="1" t="s">
        <v>105</v>
      </c>
      <c r="AL9" s="1">
        <f>0.75*AF3</f>
        <v>690</v>
      </c>
      <c r="AM9" s="1" t="s">
        <v>105</v>
      </c>
      <c r="AQ9" s="614"/>
      <c r="AR9" s="614"/>
      <c r="AS9" s="614"/>
    </row>
    <row r="10" spans="1:45" ht="15" customHeight="1" thickBot="1" x14ac:dyDescent="0.3">
      <c r="A10" s="632">
        <v>1</v>
      </c>
      <c r="B10" s="629" t="str">
        <f>VLOOKUP(A10,مسلسل,2,0)</f>
        <v>أحمد نورالدين أحمد الذيب</v>
      </c>
      <c r="C10" s="621">
        <f>IFERROR(VLOOKUP(B10,اسماء,2,0),"")</f>
        <v>42388</v>
      </c>
      <c r="D10" s="624" t="str">
        <f>IFERROR(VLOOKUP($B10,اسماء,3,0),"")</f>
        <v>امنه صالح المعداني</v>
      </c>
      <c r="E10" s="132" t="s">
        <v>30</v>
      </c>
      <c r="F10" s="627">
        <f>IFERROR(VLOOKUP($B10,اسماء,5,0),0)</f>
        <v>36</v>
      </c>
      <c r="G10" s="606"/>
      <c r="H10" s="628">
        <f>IFERROR(VLOOKUP($B10,اسماء,6,0),0)</f>
        <v>48</v>
      </c>
      <c r="I10" s="605"/>
      <c r="J10" s="587">
        <f>IFERROR(VLOOKUP($B10,اسماء,7,0),0)</f>
        <v>23</v>
      </c>
      <c r="K10" s="591"/>
      <c r="L10" s="587">
        <f>IFERROR(VLOOKUP($B10,اسماء,8,0),0)</f>
        <v>36</v>
      </c>
      <c r="M10" s="588"/>
      <c r="N10" s="587">
        <f>IFERROR(VLOOKUP($B10,اسماء,9,0),0)</f>
        <v>12</v>
      </c>
      <c r="O10" s="605"/>
      <c r="P10" s="587">
        <f>IFERROR(VLOOKUP($B10,اسماء,10,0),0)</f>
        <v>57</v>
      </c>
      <c r="Q10" s="605"/>
      <c r="R10" s="606">
        <f>IFERROR(VLOOKUP($B10,اسماء,11,0),0)</f>
        <v>36</v>
      </c>
      <c r="S10" s="591"/>
      <c r="T10" s="587">
        <f>IFERROR(VLOOKUP($B10,اسماء,12,0),0)</f>
        <v>24</v>
      </c>
      <c r="U10" s="591"/>
      <c r="V10" s="263">
        <f>SUM(F10:U10)</f>
        <v>272</v>
      </c>
      <c r="W10" s="373" t="str">
        <f>IFERROR(VLOOKUP($B10,اسماء,14,0),0)</f>
        <v>جيد جداً</v>
      </c>
      <c r="X10" s="373" t="str">
        <f>IFERROR(VLOOKUP($B10,اسماء,15,0),0)</f>
        <v>جيد جداً</v>
      </c>
      <c r="Y10" s="595" t="str">
        <f>IF(AC10="غائب","راسب",IF(AND(F13&gt;=$G$8,H13&gt;=$I$8,J13&gt;=$K$8,L13&gt;=$M$8,N13&gt;=$O$8,P13&gt;=$Q$8,R13&gt;=$S$8,T13&gt;=$U$8),"ناجح","له دور ثان"))</f>
        <v>له دور ثان</v>
      </c>
      <c r="Z10" s="21" t="str">
        <f>LOOKUP(V10,$AF$6:$AG$10)</f>
        <v>ممتاز</v>
      </c>
      <c r="AA10" s="656">
        <f>V13/$AF$3</f>
        <v>0</v>
      </c>
      <c r="AB10" s="72"/>
      <c r="AC10" s="653">
        <f>IFERROR(VLOOKUP($B10,اسماء,54,0),"")</f>
        <v>0</v>
      </c>
      <c r="AF10" s="1">
        <f>0.85*AF1</f>
        <v>234.6</v>
      </c>
      <c r="AG10" s="1" t="s">
        <v>6</v>
      </c>
      <c r="AI10" s="1">
        <f>0.85*AF2</f>
        <v>312.8</v>
      </c>
      <c r="AJ10" s="1" t="s">
        <v>6</v>
      </c>
      <c r="AL10" s="1">
        <f>0.85*AF3</f>
        <v>782</v>
      </c>
      <c r="AM10" s="1" t="s">
        <v>6</v>
      </c>
      <c r="AN10" s="610" t="str">
        <f>IF(V13=0,"",V13/1+ROW()*0.00001)</f>
        <v/>
      </c>
      <c r="AO10" s="610" t="str">
        <f>B10</f>
        <v>أحمد نورالدين أحمد الذيب</v>
      </c>
      <c r="AP10" s="613"/>
      <c r="AQ10" s="612">
        <v>1</v>
      </c>
      <c r="AR10" s="611" t="str">
        <f>IFERROR(LARGE($AN$10:$AN$1006,AQ10),"")</f>
        <v/>
      </c>
      <c r="AS10" s="612" t="str">
        <f>VLOOKUP(AR10,$AN$10:$AO$1116,2,0)</f>
        <v>أحمد نورالدين أحمد الذيب</v>
      </c>
    </row>
    <row r="11" spans="1:45" ht="15" customHeight="1" thickBot="1" x14ac:dyDescent="0.3">
      <c r="A11" s="633"/>
      <c r="B11" s="630"/>
      <c r="C11" s="622"/>
      <c r="D11" s="625"/>
      <c r="E11" s="133" t="s">
        <v>31</v>
      </c>
      <c r="F11" s="589">
        <f>IFERROR(VLOOKUP($B10,اسماء,18,0),0)</f>
        <v>0</v>
      </c>
      <c r="G11" s="592"/>
      <c r="H11" s="608">
        <f>IFERROR(VLOOKUP($B10,اسماء,19,0),0)</f>
        <v>0</v>
      </c>
      <c r="I11" s="609"/>
      <c r="J11" s="589">
        <f>IFERROR(VLOOKUP($B10,اسماء,20,0),0)</f>
        <v>0</v>
      </c>
      <c r="K11" s="592"/>
      <c r="L11" s="589">
        <f>IFERROR(VLOOKUP($B10,اسماء,21,0),0)</f>
        <v>0</v>
      </c>
      <c r="M11" s="590"/>
      <c r="N11" s="589">
        <f>IFERROR(VLOOKUP($B10,اسماء,22,0),0)</f>
        <v>0</v>
      </c>
      <c r="O11" s="590"/>
      <c r="P11" s="589">
        <f>IFERROR(VLOOKUP($B10,اسماء,23,0),0)</f>
        <v>0</v>
      </c>
      <c r="Q11" s="609"/>
      <c r="R11" s="603">
        <f>IFERROR(VLOOKUP($B10,اسماء,24,0),0)</f>
        <v>0</v>
      </c>
      <c r="S11" s="592"/>
      <c r="T11" s="589">
        <f>IFERROR(VLOOKUP($B10,اسماء,25,0),0)</f>
        <v>0</v>
      </c>
      <c r="U11" s="592"/>
      <c r="V11" s="263">
        <f t="shared" ref="V11:V12" si="0">SUM(F11:U11)</f>
        <v>0</v>
      </c>
      <c r="W11" s="373">
        <f>IFERROR(VLOOKUP($B10,اسماء,27,0),0)</f>
        <v>0</v>
      </c>
      <c r="X11" s="373">
        <f>IFERROR(VLOOKUP($B10,اسماء,28,0),0)</f>
        <v>0</v>
      </c>
      <c r="Y11" s="596"/>
      <c r="Z11" s="22" t="str">
        <f>LOOKUP(V11,$AF$6:$AG$10)</f>
        <v>ضعيف</v>
      </c>
      <c r="AA11" s="657"/>
      <c r="AB11" s="10"/>
      <c r="AC11" s="654"/>
      <c r="AN11" s="610"/>
      <c r="AO11" s="610"/>
      <c r="AP11" s="613"/>
      <c r="AQ11" s="612"/>
      <c r="AR11" s="611"/>
      <c r="AS11" s="612"/>
    </row>
    <row r="12" spans="1:45" ht="15" customHeight="1" x14ac:dyDescent="0.25">
      <c r="A12" s="633"/>
      <c r="B12" s="630"/>
      <c r="C12" s="622"/>
      <c r="D12" s="625"/>
      <c r="E12" s="133" t="s">
        <v>32</v>
      </c>
      <c r="F12" s="589">
        <f>IFERROR(VLOOKUP($B10,اسماء,31,0),0)</f>
        <v>0</v>
      </c>
      <c r="G12" s="592"/>
      <c r="H12" s="608">
        <f>IFERROR(VLOOKUP($B10,اسماء,32,0),0)</f>
        <v>0</v>
      </c>
      <c r="I12" s="609"/>
      <c r="J12" s="589">
        <f>IFERROR(VLOOKUP($B10,اسماء,33,0),0)</f>
        <v>0</v>
      </c>
      <c r="K12" s="592"/>
      <c r="L12" s="589">
        <f>IFERROR(VLOOKUP($B10,اسماء,34,0),0)</f>
        <v>0</v>
      </c>
      <c r="M12" s="590"/>
      <c r="N12" s="589">
        <f>IFERROR(VLOOKUP($B10,اسماء,35,0),0)</f>
        <v>0</v>
      </c>
      <c r="O12" s="590"/>
      <c r="P12" s="589">
        <f>IFERROR(VLOOKUP($B10,اسماء,36,0),0)</f>
        <v>0</v>
      </c>
      <c r="Q12" s="609"/>
      <c r="R12" s="603">
        <f>IFERROR(VLOOKUP($B10,اسماء,37,0),0)</f>
        <v>0</v>
      </c>
      <c r="S12" s="592"/>
      <c r="T12" s="589">
        <f>IFERROR(VLOOKUP($B10,اسماء,38,0),0)</f>
        <v>0</v>
      </c>
      <c r="U12" s="592"/>
      <c r="V12" s="263">
        <f t="shared" si="0"/>
        <v>0</v>
      </c>
      <c r="W12" s="373">
        <f>IFERROR(VLOOKUP($B10,اسماء,40,0),0)</f>
        <v>0</v>
      </c>
      <c r="X12" s="373">
        <f>IFERROR(VLOOKUP($B10,اسماء,41,0),0)</f>
        <v>0</v>
      </c>
      <c r="Y12" s="596"/>
      <c r="Z12" s="22" t="str">
        <f>LOOKUP(V12,$AI$6:$AJ$10)</f>
        <v>ضعيف</v>
      </c>
      <c r="AA12" s="657"/>
      <c r="AB12" s="72"/>
      <c r="AC12" s="654"/>
      <c r="AN12" s="610"/>
      <c r="AO12" s="610"/>
      <c r="AP12" s="613"/>
      <c r="AQ12" s="612"/>
      <c r="AR12" s="611"/>
      <c r="AS12" s="612"/>
    </row>
    <row r="13" spans="1:45" ht="15" customHeight="1" thickBot="1" x14ac:dyDescent="0.3">
      <c r="A13" s="634"/>
      <c r="B13" s="631"/>
      <c r="C13" s="623"/>
      <c r="D13" s="626"/>
      <c r="E13" s="127" t="s">
        <v>33</v>
      </c>
      <c r="F13" s="585">
        <f>SUM(F10:G12)</f>
        <v>36</v>
      </c>
      <c r="G13" s="593"/>
      <c r="H13" s="604">
        <f>SUM(H10:I12)</f>
        <v>48</v>
      </c>
      <c r="I13" s="601"/>
      <c r="J13" s="585">
        <f>SUM(J10:K12)</f>
        <v>23</v>
      </c>
      <c r="K13" s="593"/>
      <c r="L13" s="585">
        <f>SUM(L10:M12)</f>
        <v>36</v>
      </c>
      <c r="M13" s="586"/>
      <c r="N13" s="585">
        <f>SUM(N10:O12)</f>
        <v>12</v>
      </c>
      <c r="O13" s="586"/>
      <c r="P13" s="585">
        <f>SUM(P10:Q12)</f>
        <v>57</v>
      </c>
      <c r="Q13" s="601"/>
      <c r="R13" s="602">
        <f>SUM(R10:S12)</f>
        <v>36</v>
      </c>
      <c r="S13" s="593"/>
      <c r="T13" s="585">
        <f>SUM(T10:U12)</f>
        <v>24</v>
      </c>
      <c r="U13" s="593"/>
      <c r="V13" s="210">
        <f>IF(AND(F13&gt;=$G$8,H13&gt;=$I$8,L13&gt;=$M$8,P13&gt;=$Q$8,R13&gt;=$S$8,T13&gt;=$U$8),SUM(F13:U13),0)</f>
        <v>0</v>
      </c>
      <c r="W13" s="264"/>
      <c r="X13" s="97"/>
      <c r="Y13" s="597"/>
      <c r="Z13" s="91" t="str">
        <f>LOOKUP(V13,$AL$6:$AM$10)</f>
        <v>ضعيف</v>
      </c>
      <c r="AA13" s="658"/>
      <c r="AB13" s="72"/>
      <c r="AC13" s="655"/>
      <c r="AN13" s="610"/>
      <c r="AO13" s="610"/>
      <c r="AP13" s="613"/>
      <c r="AQ13" s="612"/>
      <c r="AR13" s="611"/>
      <c r="AS13" s="612"/>
    </row>
    <row r="14" spans="1:45" ht="15" customHeight="1" thickBot="1" x14ac:dyDescent="0.3">
      <c r="A14" s="632">
        <v>2</v>
      </c>
      <c r="B14" s="629" t="str">
        <f>VLOOKUP(A14,مسلسل,2,0)</f>
        <v>أدم أحمد الفرجاني الترهوني</v>
      </c>
      <c r="C14" s="621">
        <f>IFERROR(VLOOKUP(B14,اسماء,2,0),"")</f>
        <v>42371</v>
      </c>
      <c r="D14" s="624" t="str">
        <f>IFERROR(VLOOKUP($B14,اسماء,3,0),"")</f>
        <v>ريمة عثمان احمد مسعود</v>
      </c>
      <c r="E14" s="132" t="s">
        <v>30</v>
      </c>
      <c r="F14" s="627">
        <f>IFERROR(VLOOKUP($B14,اسماء,5,0),0)</f>
        <v>36</v>
      </c>
      <c r="G14" s="606"/>
      <c r="H14" s="628">
        <f>IFERROR(VLOOKUP($B14,اسماء,6,0),0)</f>
        <v>48</v>
      </c>
      <c r="I14" s="605"/>
      <c r="J14" s="587">
        <f>IFERROR(VLOOKUP($B14,اسماء,7,0),0)</f>
        <v>23</v>
      </c>
      <c r="K14" s="591"/>
      <c r="L14" s="587">
        <f>IFERROR(VLOOKUP($B14,اسماء,8,0),0)</f>
        <v>36</v>
      </c>
      <c r="M14" s="588"/>
      <c r="N14" s="587">
        <f>IFERROR(VLOOKUP($B14,اسماء,9,0),0)</f>
        <v>12</v>
      </c>
      <c r="O14" s="605"/>
      <c r="P14" s="587">
        <f>IFERROR(VLOOKUP($B14,اسماء,10,0),0)</f>
        <v>59</v>
      </c>
      <c r="Q14" s="605"/>
      <c r="R14" s="606">
        <f>IFERROR(VLOOKUP($B14,اسماء,11,0),0)</f>
        <v>36</v>
      </c>
      <c r="S14" s="591"/>
      <c r="T14" s="587">
        <f>IFERROR(VLOOKUP($B14,اسماء,12,0),0)</f>
        <v>24</v>
      </c>
      <c r="U14" s="591"/>
      <c r="V14" s="263">
        <f t="shared" ref="V14:V16" si="1">SUM(F14:U14)</f>
        <v>274</v>
      </c>
      <c r="W14" s="373" t="str">
        <f>IFERROR(VLOOKUP($B14,اسماء,14,0),0)</f>
        <v>جيد جداً</v>
      </c>
      <c r="X14" s="373" t="str">
        <f>IFERROR(VLOOKUP($B14,اسماء,15,0),0)</f>
        <v>جيد جداً</v>
      </c>
      <c r="Y14" s="595" t="str">
        <f t="shared" ref="Y14" si="2">IF(AC14="غائب","راسب",IF(AND(F17&gt;=$G$8,H17&gt;=$I$8,J17&gt;=$K$8,L17&gt;=$M$8,N17&gt;=$O$8,P17&gt;=$Q$8,R17&gt;=$S$8,T17&gt;=$U$8),"ناجح","له دور ثان"))</f>
        <v>له دور ثان</v>
      </c>
      <c r="Z14" s="21" t="str">
        <f>LOOKUP(V14,$AF$6:$AG$10)</f>
        <v>ممتاز</v>
      </c>
      <c r="AA14" s="656">
        <f>V17/$AF$3</f>
        <v>0</v>
      </c>
      <c r="AB14" s="10"/>
      <c r="AC14" s="653">
        <f>IFERROR(VLOOKUP($B14,اسماء,54,0),"")</f>
        <v>0</v>
      </c>
      <c r="AN14" s="607" t="str">
        <f t="shared" ref="AN14" si="3">IF(V17=0,"",V17/1+ROW()*0.00001)</f>
        <v/>
      </c>
      <c r="AO14" s="607" t="str">
        <f>B14</f>
        <v>أدم أحمد الفرجاني الترهوني</v>
      </c>
      <c r="AP14" s="613"/>
      <c r="AQ14" s="612">
        <v>2</v>
      </c>
      <c r="AR14" s="611" t="str">
        <f>IFERROR(LARGE($AN$10:$AN$1006,AQ14),"")</f>
        <v/>
      </c>
      <c r="AS14" s="612" t="str">
        <f>VLOOKUP(AR14,$AN$10:$AO$1116,2,0)</f>
        <v>أحمد نورالدين أحمد الذيب</v>
      </c>
    </row>
    <row r="15" spans="1:45" ht="15" customHeight="1" thickBot="1" x14ac:dyDescent="0.3">
      <c r="A15" s="633"/>
      <c r="B15" s="630"/>
      <c r="C15" s="622"/>
      <c r="D15" s="625"/>
      <c r="E15" s="133" t="s">
        <v>31</v>
      </c>
      <c r="F15" s="589">
        <f>IFERROR(VLOOKUP($B14,اسماء,18,0),0)</f>
        <v>0</v>
      </c>
      <c r="G15" s="592"/>
      <c r="H15" s="608">
        <f>IFERROR(VLOOKUP($B14,اسماء,19,0),0)</f>
        <v>0</v>
      </c>
      <c r="I15" s="609"/>
      <c r="J15" s="589">
        <f>IFERROR(VLOOKUP($B14,اسماء,20,0),0)</f>
        <v>0</v>
      </c>
      <c r="K15" s="592"/>
      <c r="L15" s="589">
        <f>IFERROR(VLOOKUP($B14,اسماء,21,0),0)</f>
        <v>0</v>
      </c>
      <c r="M15" s="590"/>
      <c r="N15" s="589">
        <f>IFERROR(VLOOKUP($B14,اسماء,22,0),0)</f>
        <v>0</v>
      </c>
      <c r="O15" s="590"/>
      <c r="P15" s="589">
        <f>IFERROR(VLOOKUP($B14,اسماء,23,0),0)</f>
        <v>0</v>
      </c>
      <c r="Q15" s="609"/>
      <c r="R15" s="603">
        <f>IFERROR(VLOOKUP($B14,اسماء,24,0),0)</f>
        <v>0</v>
      </c>
      <c r="S15" s="592"/>
      <c r="T15" s="589">
        <f>IFERROR(VLOOKUP($B14,اسماء,25,0),0)</f>
        <v>0</v>
      </c>
      <c r="U15" s="592"/>
      <c r="V15" s="263">
        <f t="shared" si="1"/>
        <v>0</v>
      </c>
      <c r="W15" s="373">
        <f>IFERROR(VLOOKUP($B14,اسماء,27,0),0)</f>
        <v>0</v>
      </c>
      <c r="X15" s="373">
        <f>IFERROR(VLOOKUP($B14,اسماء,28,0),0)</f>
        <v>0</v>
      </c>
      <c r="Y15" s="596"/>
      <c r="Z15" s="22" t="str">
        <f>LOOKUP(V15,$AF$6:$AG$10)</f>
        <v>ضعيف</v>
      </c>
      <c r="AA15" s="657"/>
      <c r="AB15" s="72"/>
      <c r="AC15" s="654"/>
      <c r="AN15" s="607"/>
      <c r="AO15" s="607"/>
      <c r="AP15" s="613"/>
      <c r="AQ15" s="612"/>
      <c r="AR15" s="611"/>
      <c r="AS15" s="612"/>
    </row>
    <row r="16" spans="1:45" ht="15" customHeight="1" x14ac:dyDescent="0.25">
      <c r="A16" s="633"/>
      <c r="B16" s="630"/>
      <c r="C16" s="622"/>
      <c r="D16" s="625"/>
      <c r="E16" s="133" t="s">
        <v>32</v>
      </c>
      <c r="F16" s="589">
        <f>IFERROR(VLOOKUP($B14,اسماء,31,0),0)</f>
        <v>0</v>
      </c>
      <c r="G16" s="592"/>
      <c r="H16" s="608">
        <f>IFERROR(VLOOKUP($B14,اسماء,32,0),0)</f>
        <v>0</v>
      </c>
      <c r="I16" s="609"/>
      <c r="J16" s="589">
        <f>IFERROR(VLOOKUP($B14,اسماء,33,0),0)</f>
        <v>0</v>
      </c>
      <c r="K16" s="592"/>
      <c r="L16" s="589">
        <f>IFERROR(VLOOKUP($B14,اسماء,34,0),0)</f>
        <v>0</v>
      </c>
      <c r="M16" s="590"/>
      <c r="N16" s="589">
        <f>IFERROR(VLOOKUP($B14,اسماء,35,0),0)</f>
        <v>0</v>
      </c>
      <c r="O16" s="590"/>
      <c r="P16" s="589">
        <f>IFERROR(VLOOKUP($B14,اسماء,36,0),0)</f>
        <v>0</v>
      </c>
      <c r="Q16" s="609"/>
      <c r="R16" s="603">
        <f>IFERROR(VLOOKUP($B14,اسماء,37,0),0)</f>
        <v>0</v>
      </c>
      <c r="S16" s="592"/>
      <c r="T16" s="589">
        <f>IFERROR(VLOOKUP($B14,اسماء,38,0),0)</f>
        <v>0</v>
      </c>
      <c r="U16" s="592"/>
      <c r="V16" s="263">
        <f t="shared" si="1"/>
        <v>0</v>
      </c>
      <c r="W16" s="373">
        <f>IFERROR(VLOOKUP($B14,اسماء,40,0),0)</f>
        <v>0</v>
      </c>
      <c r="X16" s="373">
        <f>IFERROR(VLOOKUP($B14,اسماء,41,0),0)</f>
        <v>0</v>
      </c>
      <c r="Y16" s="596"/>
      <c r="Z16" s="22" t="str">
        <f>LOOKUP(V16,$AI$6:$AJ$10)</f>
        <v>ضعيف</v>
      </c>
      <c r="AA16" s="657"/>
      <c r="AB16" s="72"/>
      <c r="AC16" s="654"/>
      <c r="AN16" s="607"/>
      <c r="AO16" s="607"/>
      <c r="AP16" s="613"/>
      <c r="AQ16" s="612"/>
      <c r="AR16" s="611"/>
      <c r="AS16" s="612"/>
    </row>
    <row r="17" spans="1:45" ht="15" customHeight="1" thickBot="1" x14ac:dyDescent="0.3">
      <c r="A17" s="634"/>
      <c r="B17" s="631"/>
      <c r="C17" s="623"/>
      <c r="D17" s="626"/>
      <c r="E17" s="127" t="s">
        <v>33</v>
      </c>
      <c r="F17" s="585">
        <f t="shared" ref="F17" si="4">SUM(F14:G16)</f>
        <v>36</v>
      </c>
      <c r="G17" s="593"/>
      <c r="H17" s="604">
        <f t="shared" ref="H17" si="5">SUM(H14:I16)</f>
        <v>48</v>
      </c>
      <c r="I17" s="601"/>
      <c r="J17" s="585">
        <f t="shared" ref="J17" si="6">SUM(J14:K16)</f>
        <v>23</v>
      </c>
      <c r="K17" s="593"/>
      <c r="L17" s="585">
        <f t="shared" ref="L17" si="7">SUM(L14:M16)</f>
        <v>36</v>
      </c>
      <c r="M17" s="586"/>
      <c r="N17" s="585">
        <f t="shared" ref="N17" si="8">SUM(N14:O16)</f>
        <v>12</v>
      </c>
      <c r="O17" s="586"/>
      <c r="P17" s="585">
        <f t="shared" ref="P17" si="9">SUM(P14:Q16)</f>
        <v>59</v>
      </c>
      <c r="Q17" s="601"/>
      <c r="R17" s="602">
        <f t="shared" ref="R17" si="10">SUM(R14:S16)</f>
        <v>36</v>
      </c>
      <c r="S17" s="593"/>
      <c r="T17" s="585">
        <f t="shared" ref="T17" si="11">SUM(T14:U16)</f>
        <v>24</v>
      </c>
      <c r="U17" s="593"/>
      <c r="V17" s="210">
        <f t="shared" ref="V17" si="12">IF(AND(F17&gt;=$G$8,H17&gt;=$I$8,L17&gt;=$M$8,P17&gt;=$Q$8,R17&gt;=$S$8,T17&gt;=$U$8),SUM(F17:U17),0)</f>
        <v>0</v>
      </c>
      <c r="W17" s="264"/>
      <c r="X17" s="97"/>
      <c r="Y17" s="597"/>
      <c r="Z17" s="91" t="str">
        <f>LOOKUP(V17,$AL$6:$AM$10)</f>
        <v>ضعيف</v>
      </c>
      <c r="AA17" s="658"/>
      <c r="AB17" s="10"/>
      <c r="AC17" s="655"/>
      <c r="AN17" s="607"/>
      <c r="AO17" s="607"/>
      <c r="AP17" s="613"/>
      <c r="AQ17" s="612"/>
      <c r="AR17" s="611"/>
      <c r="AS17" s="612"/>
    </row>
    <row r="18" spans="1:45" ht="15" customHeight="1" thickBot="1" x14ac:dyDescent="0.3">
      <c r="A18" s="632">
        <v>3</v>
      </c>
      <c r="B18" s="629" t="str">
        <f>VLOOKUP(A18,مسلسل,2,0)</f>
        <v>إلين محمد النفاتي الهليب</v>
      </c>
      <c r="C18" s="621">
        <f>IFERROR(VLOOKUP(B18,اسماء,2,0),"")</f>
        <v>42436</v>
      </c>
      <c r="D18" s="624" t="str">
        <f>IFERROR(VLOOKUP($B18,اسماء,3,0),"")</f>
        <v>فاطمة النفاتي الهروال</v>
      </c>
      <c r="E18" s="132" t="s">
        <v>30</v>
      </c>
      <c r="F18" s="627">
        <f>IFERROR(VLOOKUP($B18,اسماء,5,0),0)</f>
        <v>36</v>
      </c>
      <c r="G18" s="606"/>
      <c r="H18" s="628">
        <f>IFERROR(VLOOKUP($B18,اسماء,6,0),0)</f>
        <v>39</v>
      </c>
      <c r="I18" s="605"/>
      <c r="J18" s="587">
        <f>IFERROR(VLOOKUP($B18,اسماء,7,0),0)</f>
        <v>17</v>
      </c>
      <c r="K18" s="591"/>
      <c r="L18" s="587">
        <f>IFERROR(VLOOKUP($B18,اسماء,8,0),0)</f>
        <v>32</v>
      </c>
      <c r="M18" s="588"/>
      <c r="N18" s="587">
        <f>IFERROR(VLOOKUP($B18,اسماء,9,0),0)</f>
        <v>12</v>
      </c>
      <c r="O18" s="605"/>
      <c r="P18" s="587">
        <f>IFERROR(VLOOKUP($B18,اسماء,10,0),0)</f>
        <v>50</v>
      </c>
      <c r="Q18" s="605"/>
      <c r="R18" s="606">
        <f>IFERROR(VLOOKUP($B18,اسماء,11,0),0)</f>
        <v>31</v>
      </c>
      <c r="S18" s="591"/>
      <c r="T18" s="587">
        <f>IFERROR(VLOOKUP($B18,اسماء,12,0),0)</f>
        <v>20</v>
      </c>
      <c r="U18" s="591"/>
      <c r="V18" s="263">
        <f t="shared" ref="V18:V20" si="13">SUM(F18:U18)</f>
        <v>237</v>
      </c>
      <c r="W18" s="373" t="str">
        <f>IFERROR(VLOOKUP($B18,اسماء,14,0),0)</f>
        <v>جيد جداً</v>
      </c>
      <c r="X18" s="373" t="str">
        <f>IFERROR(VLOOKUP($B18,اسماء,15,0),0)</f>
        <v>جيد جداً</v>
      </c>
      <c r="Y18" s="595" t="str">
        <f t="shared" ref="Y18" si="14">IF(AC18="غائب","راسب",IF(AND(F21&gt;=$G$8,H21&gt;=$I$8,J21&gt;=$K$8,L21&gt;=$M$8,N21&gt;=$O$8,P21&gt;=$Q$8,R21&gt;=$S$8,T21&gt;=$U$8),"ناجح","له دور ثان"))</f>
        <v>له دور ثان</v>
      </c>
      <c r="Z18" s="21" t="str">
        <f>LOOKUP(V18,$AF$6:$AG$10)</f>
        <v>ممتاز</v>
      </c>
      <c r="AA18" s="656">
        <f>V21/$AF$3</f>
        <v>0</v>
      </c>
      <c r="AB18" s="72"/>
      <c r="AC18" s="653">
        <f>IFERROR(VLOOKUP($B18,اسماء,54,0),"")</f>
        <v>0</v>
      </c>
      <c r="AN18" s="607" t="str">
        <f t="shared" ref="AN18" si="15">IF(V21=0,"",V21/1+ROW()*0.00001)</f>
        <v/>
      </c>
      <c r="AO18" s="607" t="str">
        <f>B18</f>
        <v>إلين محمد النفاتي الهليب</v>
      </c>
      <c r="AP18" s="613"/>
      <c r="AQ18" s="612">
        <v>3</v>
      </c>
      <c r="AR18" s="611" t="str">
        <f>IFERROR(LARGE($AN$10:$AN$1006,AQ18),"")</f>
        <v/>
      </c>
      <c r="AS18" s="612" t="str">
        <f>VLOOKUP(AR18,$AN$10:$AO$1116,2,0)</f>
        <v>أحمد نورالدين أحمد الذيب</v>
      </c>
    </row>
    <row r="19" spans="1:45" ht="15" customHeight="1" thickBot="1" x14ac:dyDescent="0.3">
      <c r="A19" s="633"/>
      <c r="B19" s="630"/>
      <c r="C19" s="622"/>
      <c r="D19" s="625"/>
      <c r="E19" s="133" t="s">
        <v>31</v>
      </c>
      <c r="F19" s="589">
        <f>IFERROR(VLOOKUP($B18,اسماء,18,0),0)</f>
        <v>0</v>
      </c>
      <c r="G19" s="592"/>
      <c r="H19" s="608">
        <f>IFERROR(VLOOKUP($B18,اسماء,19,0),0)</f>
        <v>0</v>
      </c>
      <c r="I19" s="609"/>
      <c r="J19" s="589">
        <f>IFERROR(VLOOKUP($B18,اسماء,20,0),0)</f>
        <v>0</v>
      </c>
      <c r="K19" s="592"/>
      <c r="L19" s="589">
        <f>IFERROR(VLOOKUP($B18,اسماء,21,0),0)</f>
        <v>0</v>
      </c>
      <c r="M19" s="590"/>
      <c r="N19" s="589">
        <f>IFERROR(VLOOKUP($B18,اسماء,22,0),0)</f>
        <v>0</v>
      </c>
      <c r="O19" s="590"/>
      <c r="P19" s="589">
        <f>IFERROR(VLOOKUP($B18,اسماء,23,0),0)</f>
        <v>0</v>
      </c>
      <c r="Q19" s="609"/>
      <c r="R19" s="603">
        <f>IFERROR(VLOOKUP($B18,اسماء,24,0),0)</f>
        <v>0</v>
      </c>
      <c r="S19" s="592"/>
      <c r="T19" s="589">
        <f>IFERROR(VLOOKUP($B18,اسماء,25,0),0)</f>
        <v>0</v>
      </c>
      <c r="U19" s="592"/>
      <c r="V19" s="263">
        <f t="shared" si="13"/>
        <v>0</v>
      </c>
      <c r="W19" s="373">
        <f>IFERROR(VLOOKUP($B18,اسماء,27,0),0)</f>
        <v>0</v>
      </c>
      <c r="X19" s="373">
        <f>IFERROR(VLOOKUP($B18,اسماء,28,0),0)</f>
        <v>0</v>
      </c>
      <c r="Y19" s="596"/>
      <c r="Z19" s="22" t="str">
        <f>LOOKUP(V19,$AF$6:$AG$10)</f>
        <v>ضعيف</v>
      </c>
      <c r="AA19" s="657"/>
      <c r="AB19" s="72"/>
      <c r="AC19" s="654"/>
      <c r="AN19" s="607"/>
      <c r="AO19" s="607"/>
      <c r="AP19" s="613"/>
      <c r="AQ19" s="612"/>
      <c r="AR19" s="611"/>
      <c r="AS19" s="612"/>
    </row>
    <row r="20" spans="1:45" ht="15" customHeight="1" x14ac:dyDescent="0.25">
      <c r="A20" s="633"/>
      <c r="B20" s="630"/>
      <c r="C20" s="622"/>
      <c r="D20" s="625"/>
      <c r="E20" s="133" t="s">
        <v>32</v>
      </c>
      <c r="F20" s="589">
        <f>IFERROR(VLOOKUP($B18,اسماء,31,0),0)</f>
        <v>0</v>
      </c>
      <c r="G20" s="592"/>
      <c r="H20" s="608">
        <f>IFERROR(VLOOKUP($B18,اسماء,32,0),0)</f>
        <v>0</v>
      </c>
      <c r="I20" s="609"/>
      <c r="J20" s="589">
        <f>IFERROR(VLOOKUP($B18,اسماء,33,0),0)</f>
        <v>0</v>
      </c>
      <c r="K20" s="592"/>
      <c r="L20" s="589">
        <f>IFERROR(VLOOKUP($B18,اسماء,34,0),0)</f>
        <v>0</v>
      </c>
      <c r="M20" s="590"/>
      <c r="N20" s="589">
        <f>IFERROR(VLOOKUP($B18,اسماء,35,0),0)</f>
        <v>0</v>
      </c>
      <c r="O20" s="590"/>
      <c r="P20" s="589">
        <f>IFERROR(VLOOKUP($B18,اسماء,36,0),0)</f>
        <v>0</v>
      </c>
      <c r="Q20" s="609"/>
      <c r="R20" s="603">
        <f>IFERROR(VLOOKUP($B18,اسماء,37,0),0)</f>
        <v>0</v>
      </c>
      <c r="S20" s="592"/>
      <c r="T20" s="589">
        <f>IFERROR(VLOOKUP($B18,اسماء,38,0),0)</f>
        <v>0</v>
      </c>
      <c r="U20" s="592"/>
      <c r="V20" s="263">
        <f t="shared" si="13"/>
        <v>0</v>
      </c>
      <c r="W20" s="373">
        <f>IFERROR(VLOOKUP($B18,اسماء,40,0),0)</f>
        <v>0</v>
      </c>
      <c r="X20" s="373">
        <f>IFERROR(VLOOKUP($B18,اسماء,41,0),0)</f>
        <v>0</v>
      </c>
      <c r="Y20" s="596"/>
      <c r="Z20" s="22" t="str">
        <f>LOOKUP(V20,$AI$6:$AJ$10)</f>
        <v>ضعيف</v>
      </c>
      <c r="AA20" s="657"/>
      <c r="AB20" s="10"/>
      <c r="AC20" s="654"/>
      <c r="AN20" s="607"/>
      <c r="AO20" s="607"/>
      <c r="AP20" s="613"/>
      <c r="AQ20" s="612"/>
      <c r="AR20" s="611"/>
      <c r="AS20" s="612"/>
    </row>
    <row r="21" spans="1:45" ht="15" customHeight="1" thickBot="1" x14ac:dyDescent="0.3">
      <c r="A21" s="634"/>
      <c r="B21" s="631"/>
      <c r="C21" s="623"/>
      <c r="D21" s="626"/>
      <c r="E21" s="127" t="s">
        <v>33</v>
      </c>
      <c r="F21" s="585">
        <f t="shared" ref="F21" si="16">SUM(F18:G20)</f>
        <v>36</v>
      </c>
      <c r="G21" s="593"/>
      <c r="H21" s="604">
        <f t="shared" ref="H21" si="17">SUM(H18:I20)</f>
        <v>39</v>
      </c>
      <c r="I21" s="601"/>
      <c r="J21" s="585">
        <f t="shared" ref="J21" si="18">SUM(J18:K20)</f>
        <v>17</v>
      </c>
      <c r="K21" s="593"/>
      <c r="L21" s="585">
        <f t="shared" ref="L21" si="19">SUM(L18:M20)</f>
        <v>32</v>
      </c>
      <c r="M21" s="586"/>
      <c r="N21" s="585">
        <f t="shared" ref="N21" si="20">SUM(N18:O20)</f>
        <v>12</v>
      </c>
      <c r="O21" s="586"/>
      <c r="P21" s="585">
        <f t="shared" ref="P21" si="21">SUM(P18:Q20)</f>
        <v>50</v>
      </c>
      <c r="Q21" s="601"/>
      <c r="R21" s="602">
        <f t="shared" ref="R21" si="22">SUM(R18:S20)</f>
        <v>31</v>
      </c>
      <c r="S21" s="593"/>
      <c r="T21" s="585">
        <f t="shared" ref="T21" si="23">SUM(T18:U20)</f>
        <v>20</v>
      </c>
      <c r="U21" s="593"/>
      <c r="V21" s="210">
        <f t="shared" ref="V21" si="24">IF(AND(F21&gt;=$G$8,H21&gt;=$I$8,L21&gt;=$M$8,P21&gt;=$Q$8,R21&gt;=$S$8,T21&gt;=$U$8),SUM(F21:U21),0)</f>
        <v>0</v>
      </c>
      <c r="W21" s="264"/>
      <c r="X21" s="97"/>
      <c r="Y21" s="597"/>
      <c r="Z21" s="91" t="str">
        <f>LOOKUP(V21,$AL$6:$AM$10)</f>
        <v>ضعيف</v>
      </c>
      <c r="AA21" s="658"/>
      <c r="AB21" s="72"/>
      <c r="AC21" s="655"/>
      <c r="AN21" s="607"/>
      <c r="AO21" s="607"/>
      <c r="AP21" s="613"/>
      <c r="AQ21" s="612"/>
      <c r="AR21" s="611"/>
      <c r="AS21" s="612"/>
    </row>
    <row r="22" spans="1:45" ht="15" customHeight="1" thickBot="1" x14ac:dyDescent="0.3">
      <c r="A22" s="632">
        <v>4</v>
      </c>
      <c r="B22" s="629" t="str">
        <f>VLOOKUP(A22,مسلسل,2,0)</f>
        <v>جنان عبدالسلام محمد الجوادي</v>
      </c>
      <c r="C22" s="621">
        <f>IFERROR(VLOOKUP(B22,اسماء,2,0),"")</f>
        <v>42705</v>
      </c>
      <c r="D22" s="624" t="str">
        <f>IFERROR(VLOOKUP($B22,اسماء,3,0),"")</f>
        <v>هدى زيدام علي الجماعي</v>
      </c>
      <c r="E22" s="132" t="s">
        <v>30</v>
      </c>
      <c r="F22" s="627">
        <f>IFERROR(VLOOKUP($B22,اسماء,5,0),0)</f>
        <v>27</v>
      </c>
      <c r="G22" s="606"/>
      <c r="H22" s="628">
        <f>IFERROR(VLOOKUP($B22,اسماء,6,0),0)</f>
        <v>24</v>
      </c>
      <c r="I22" s="605"/>
      <c r="J22" s="587">
        <f>IFERROR(VLOOKUP($B22,اسماء,7,0),0)</f>
        <v>14</v>
      </c>
      <c r="K22" s="591"/>
      <c r="L22" s="587">
        <f>IFERROR(VLOOKUP($B22,اسماء,8,0),0)</f>
        <v>24</v>
      </c>
      <c r="M22" s="588"/>
      <c r="N22" s="587">
        <f>IFERROR(VLOOKUP($B22,اسماء,9,0),0)</f>
        <v>9</v>
      </c>
      <c r="O22" s="605"/>
      <c r="P22" s="587">
        <f>IFERROR(VLOOKUP($B22,اسماء,10,0),0)</f>
        <v>40</v>
      </c>
      <c r="Q22" s="605"/>
      <c r="R22" s="606">
        <f>IFERROR(VLOOKUP($B22,اسماء,11,0),0)</f>
        <v>33</v>
      </c>
      <c r="S22" s="591"/>
      <c r="T22" s="587">
        <f>IFERROR(VLOOKUP($B22,اسماء,12,0),0)</f>
        <v>15</v>
      </c>
      <c r="U22" s="591"/>
      <c r="V22" s="263">
        <f t="shared" ref="V22:V24" si="25">SUM(F22:U22)</f>
        <v>186</v>
      </c>
      <c r="W22" s="373" t="str">
        <f>IFERROR(VLOOKUP($B22,اسماء,14,0),0)</f>
        <v>جيد جداً</v>
      </c>
      <c r="X22" s="373" t="str">
        <f>IFERROR(VLOOKUP($B22,اسماء,15,0),0)</f>
        <v>جيد جداً</v>
      </c>
      <c r="Y22" s="595" t="str">
        <f t="shared" ref="Y22" si="26">IF(AC22="غائب","راسب",IF(AND(F25&gt;=$G$8,H25&gt;=$I$8,J25&gt;=$K$8,L25&gt;=$M$8,N25&gt;=$O$8,P25&gt;=$Q$8,R25&gt;=$S$8,T25&gt;=$U$8),"ناجح","له دور ثان"))</f>
        <v>له دور ثان</v>
      </c>
      <c r="Z22" s="21" t="str">
        <f>LOOKUP(V22,$AF$6:$AG$10)</f>
        <v>جيد</v>
      </c>
      <c r="AA22" s="656">
        <f>V25/$AF$3</f>
        <v>0</v>
      </c>
      <c r="AB22" s="72"/>
      <c r="AC22" s="653">
        <f>IFERROR(VLOOKUP($B22,اسماء,54,0),"")</f>
        <v>0</v>
      </c>
      <c r="AN22" s="607" t="str">
        <f t="shared" ref="AN22" si="27">IF(V25=0,"",V25/1+ROW()*0.00001)</f>
        <v/>
      </c>
      <c r="AO22" s="607" t="str">
        <f>B22</f>
        <v>جنان عبدالسلام محمد الجوادي</v>
      </c>
      <c r="AP22" s="613"/>
      <c r="AQ22" s="612">
        <v>4</v>
      </c>
      <c r="AR22" s="611" t="str">
        <f>IFERROR(LARGE($AN$10:$AN$1006,AQ22),"")</f>
        <v/>
      </c>
      <c r="AS22" s="612" t="str">
        <f>VLOOKUP(AR22,$AN$10:$AO$1116,2,0)</f>
        <v>أحمد نورالدين أحمد الذيب</v>
      </c>
    </row>
    <row r="23" spans="1:45" ht="15" customHeight="1" thickBot="1" x14ac:dyDescent="0.3">
      <c r="A23" s="633"/>
      <c r="B23" s="630"/>
      <c r="C23" s="622"/>
      <c r="D23" s="625"/>
      <c r="E23" s="133" t="s">
        <v>31</v>
      </c>
      <c r="F23" s="589">
        <f>IFERROR(VLOOKUP($B22,اسماء,18,0),0)</f>
        <v>0</v>
      </c>
      <c r="G23" s="592"/>
      <c r="H23" s="608">
        <f>IFERROR(VLOOKUP($B22,اسماء,19,0),0)</f>
        <v>0</v>
      </c>
      <c r="I23" s="609"/>
      <c r="J23" s="589">
        <f>IFERROR(VLOOKUP($B22,اسماء,20,0),0)</f>
        <v>0</v>
      </c>
      <c r="K23" s="592"/>
      <c r="L23" s="589">
        <f>IFERROR(VLOOKUP($B22,اسماء,21,0),0)</f>
        <v>0</v>
      </c>
      <c r="M23" s="590"/>
      <c r="N23" s="589">
        <f>IFERROR(VLOOKUP($B22,اسماء,22,0),0)</f>
        <v>0</v>
      </c>
      <c r="O23" s="590"/>
      <c r="P23" s="589">
        <f>IFERROR(VLOOKUP($B22,اسماء,23,0),0)</f>
        <v>0</v>
      </c>
      <c r="Q23" s="609"/>
      <c r="R23" s="603">
        <f>IFERROR(VLOOKUP($B22,اسماء,24,0),0)</f>
        <v>0</v>
      </c>
      <c r="S23" s="592"/>
      <c r="T23" s="589">
        <f>IFERROR(VLOOKUP($B22,اسماء,25,0),0)</f>
        <v>0</v>
      </c>
      <c r="U23" s="592"/>
      <c r="V23" s="263">
        <f t="shared" si="25"/>
        <v>0</v>
      </c>
      <c r="W23" s="373">
        <f>IFERROR(VLOOKUP($B22,اسماء,27,0),0)</f>
        <v>0</v>
      </c>
      <c r="X23" s="373">
        <f>IFERROR(VLOOKUP($B22,اسماء,28,0),0)</f>
        <v>0</v>
      </c>
      <c r="Y23" s="596"/>
      <c r="Z23" s="22" t="str">
        <f>LOOKUP(V23,$AF$6:$AG$10)</f>
        <v>ضعيف</v>
      </c>
      <c r="AA23" s="657"/>
      <c r="AB23" s="10"/>
      <c r="AC23" s="654"/>
      <c r="AN23" s="607"/>
      <c r="AO23" s="607"/>
      <c r="AP23" s="613"/>
      <c r="AQ23" s="612"/>
      <c r="AR23" s="611"/>
      <c r="AS23" s="612"/>
    </row>
    <row r="24" spans="1:45" ht="15" customHeight="1" x14ac:dyDescent="0.25">
      <c r="A24" s="633"/>
      <c r="B24" s="630"/>
      <c r="C24" s="622"/>
      <c r="D24" s="625"/>
      <c r="E24" s="133" t="s">
        <v>32</v>
      </c>
      <c r="F24" s="589">
        <f>IFERROR(VLOOKUP($B22,اسماء,31,0),0)</f>
        <v>0</v>
      </c>
      <c r="G24" s="592"/>
      <c r="H24" s="608">
        <f>IFERROR(VLOOKUP($B22,اسماء,32,0),0)</f>
        <v>0</v>
      </c>
      <c r="I24" s="609"/>
      <c r="J24" s="589">
        <f>IFERROR(VLOOKUP($B22,اسماء,33,0),0)</f>
        <v>0</v>
      </c>
      <c r="K24" s="592"/>
      <c r="L24" s="589">
        <f>IFERROR(VLOOKUP($B22,اسماء,34,0),0)</f>
        <v>0</v>
      </c>
      <c r="M24" s="590"/>
      <c r="N24" s="589">
        <f>IFERROR(VLOOKUP($B22,اسماء,35,0),0)</f>
        <v>0</v>
      </c>
      <c r="O24" s="590"/>
      <c r="P24" s="589">
        <f>IFERROR(VLOOKUP($B22,اسماء,36,0),0)</f>
        <v>0</v>
      </c>
      <c r="Q24" s="609"/>
      <c r="R24" s="603">
        <f>IFERROR(VLOOKUP($B22,اسماء,37,0),0)</f>
        <v>0</v>
      </c>
      <c r="S24" s="592"/>
      <c r="T24" s="589">
        <f>IFERROR(VLOOKUP($B22,اسماء,38,0),0)</f>
        <v>0</v>
      </c>
      <c r="U24" s="592"/>
      <c r="V24" s="263">
        <f t="shared" si="25"/>
        <v>0</v>
      </c>
      <c r="W24" s="373">
        <f>IFERROR(VLOOKUP($B22,اسماء,40,0),0)</f>
        <v>0</v>
      </c>
      <c r="X24" s="373">
        <f>IFERROR(VLOOKUP($B22,اسماء,41,0),0)</f>
        <v>0</v>
      </c>
      <c r="Y24" s="596"/>
      <c r="Z24" s="22" t="str">
        <f>LOOKUP(V24,$AI$6:$AJ$10)</f>
        <v>ضعيف</v>
      </c>
      <c r="AA24" s="657"/>
      <c r="AB24" s="72"/>
      <c r="AC24" s="654"/>
      <c r="AN24" s="607"/>
      <c r="AO24" s="607"/>
      <c r="AP24" s="613"/>
      <c r="AQ24" s="612"/>
      <c r="AR24" s="611"/>
      <c r="AS24" s="612"/>
    </row>
    <row r="25" spans="1:45" ht="15" customHeight="1" thickBot="1" x14ac:dyDescent="0.3">
      <c r="A25" s="634"/>
      <c r="B25" s="631"/>
      <c r="C25" s="623"/>
      <c r="D25" s="626"/>
      <c r="E25" s="127" t="s">
        <v>33</v>
      </c>
      <c r="F25" s="585">
        <f t="shared" ref="F25" si="28">SUM(F22:G24)</f>
        <v>27</v>
      </c>
      <c r="G25" s="593"/>
      <c r="H25" s="604">
        <f t="shared" ref="H25" si="29">SUM(H22:I24)</f>
        <v>24</v>
      </c>
      <c r="I25" s="601"/>
      <c r="J25" s="585">
        <f t="shared" ref="J25" si="30">SUM(J22:K24)</f>
        <v>14</v>
      </c>
      <c r="K25" s="593"/>
      <c r="L25" s="585">
        <f t="shared" ref="L25" si="31">SUM(L22:M24)</f>
        <v>24</v>
      </c>
      <c r="M25" s="586"/>
      <c r="N25" s="585">
        <f t="shared" ref="N25" si="32">SUM(N22:O24)</f>
        <v>9</v>
      </c>
      <c r="O25" s="586"/>
      <c r="P25" s="585">
        <f t="shared" ref="P25" si="33">SUM(P22:Q24)</f>
        <v>40</v>
      </c>
      <c r="Q25" s="601"/>
      <c r="R25" s="602">
        <f t="shared" ref="R25" si="34">SUM(R22:S24)</f>
        <v>33</v>
      </c>
      <c r="S25" s="593"/>
      <c r="T25" s="585">
        <f t="shared" ref="T25" si="35">SUM(T22:U24)</f>
        <v>15</v>
      </c>
      <c r="U25" s="593"/>
      <c r="V25" s="210">
        <f t="shared" ref="V25" si="36">IF(AND(F25&gt;=$G$8,H25&gt;=$I$8,L25&gt;=$M$8,P25&gt;=$Q$8,R25&gt;=$S$8,T25&gt;=$U$8),SUM(F25:U25),0)</f>
        <v>0</v>
      </c>
      <c r="W25" s="264"/>
      <c r="X25" s="97"/>
      <c r="Y25" s="597"/>
      <c r="Z25" s="91" t="str">
        <f>LOOKUP(V25,$AL$6:$AM$10)</f>
        <v>ضعيف</v>
      </c>
      <c r="AA25" s="658"/>
      <c r="AB25" s="72"/>
      <c r="AC25" s="655"/>
      <c r="AN25" s="607"/>
      <c r="AO25" s="607"/>
      <c r="AP25" s="613"/>
      <c r="AQ25" s="612"/>
      <c r="AR25" s="611"/>
      <c r="AS25" s="612"/>
    </row>
    <row r="26" spans="1:45" ht="15" customHeight="1" thickBot="1" x14ac:dyDescent="0.3">
      <c r="A26" s="632">
        <v>5</v>
      </c>
      <c r="B26" s="629" t="str">
        <f>VLOOKUP(A26,مسلسل,2,0)</f>
        <v>حور حمدي عبدالهادي ديهوم</v>
      </c>
      <c r="C26" s="621">
        <f>IFERROR(VLOOKUP(B26,اسماء,2,0),"")</f>
        <v>42569</v>
      </c>
      <c r="D26" s="624" t="str">
        <f>IFERROR(VLOOKUP($B26,اسماء,3,0),"")</f>
        <v>هدى حسين مسعود</v>
      </c>
      <c r="E26" s="132" t="s">
        <v>30</v>
      </c>
      <c r="F26" s="627">
        <f>IFERROR(VLOOKUP($B26,اسماء,5,0),0)</f>
        <v>32</v>
      </c>
      <c r="G26" s="606"/>
      <c r="H26" s="628">
        <f>IFERROR(VLOOKUP($B26,اسماء,6,0),0)</f>
        <v>41</v>
      </c>
      <c r="I26" s="605"/>
      <c r="J26" s="587">
        <f>IFERROR(VLOOKUP($B26,اسماء,7,0),0)</f>
        <v>18</v>
      </c>
      <c r="K26" s="591"/>
      <c r="L26" s="587">
        <f>IFERROR(VLOOKUP($B26,اسماء,8,0),0)</f>
        <v>31</v>
      </c>
      <c r="M26" s="588"/>
      <c r="N26" s="587">
        <f>IFERROR(VLOOKUP($B26,اسماء,9,0),0)</f>
        <v>10</v>
      </c>
      <c r="O26" s="605"/>
      <c r="P26" s="587">
        <f>IFERROR(VLOOKUP($B26,اسماء,10,0),0)</f>
        <v>52</v>
      </c>
      <c r="Q26" s="605"/>
      <c r="R26" s="606">
        <f>IFERROR(VLOOKUP($B26,اسماء,11,0),0)</f>
        <v>33</v>
      </c>
      <c r="S26" s="591"/>
      <c r="T26" s="587">
        <f>IFERROR(VLOOKUP($B26,اسماء,12,0),0)</f>
        <v>20</v>
      </c>
      <c r="U26" s="591"/>
      <c r="V26" s="263">
        <f t="shared" ref="V26:V28" si="37">SUM(F26:U26)</f>
        <v>237</v>
      </c>
      <c r="W26" s="373" t="str">
        <f>IFERROR(VLOOKUP($B26,اسماء,14,0),0)</f>
        <v>جيد جداً</v>
      </c>
      <c r="X26" s="373" t="str">
        <f>IFERROR(VLOOKUP($B26,اسماء,15,0),0)</f>
        <v>جيد جداً</v>
      </c>
      <c r="Y26" s="595" t="str">
        <f t="shared" ref="Y26" si="38">IF(AC26="غائب","راسب",IF(AND(F29&gt;=$G$8,H29&gt;=$I$8,J29&gt;=$K$8,L29&gt;=$M$8,N29&gt;=$O$8,P29&gt;=$Q$8,R29&gt;=$S$8,T29&gt;=$U$8),"ناجح","له دور ثان"))</f>
        <v>له دور ثان</v>
      </c>
      <c r="Z26" s="21" t="str">
        <f t="shared" ref="Z26:Z27" si="39">LOOKUP(V26,$AF$6:$AG$10)</f>
        <v>ممتاز</v>
      </c>
      <c r="AA26" s="656">
        <f t="shared" ref="AA26" si="40">V29/$AF$3</f>
        <v>0</v>
      </c>
      <c r="AB26" s="10"/>
      <c r="AC26" s="653">
        <f>IFERROR(VLOOKUP($B26,اسماء,54,0),"")</f>
        <v>0</v>
      </c>
      <c r="AN26" s="607" t="str">
        <f t="shared" ref="AN26" si="41">IF(V29=0,"",V29/1+ROW()*0.00001)</f>
        <v/>
      </c>
      <c r="AO26" s="607" t="str">
        <f>B26</f>
        <v>حور حمدي عبدالهادي ديهوم</v>
      </c>
      <c r="AP26" s="613"/>
      <c r="AQ26" s="612">
        <v>5</v>
      </c>
      <c r="AR26" s="611" t="str">
        <f>IFERROR(LARGE($AN$10:$AN$1006,AQ26),"")</f>
        <v/>
      </c>
      <c r="AS26" s="612" t="str">
        <f>VLOOKUP(AR26,$AN$10:$AO$1116,2,0)</f>
        <v>أحمد نورالدين أحمد الذيب</v>
      </c>
    </row>
    <row r="27" spans="1:45" ht="15" customHeight="1" thickBot="1" x14ac:dyDescent="0.3">
      <c r="A27" s="633"/>
      <c r="B27" s="630"/>
      <c r="C27" s="622"/>
      <c r="D27" s="625"/>
      <c r="E27" s="133" t="s">
        <v>31</v>
      </c>
      <c r="F27" s="589">
        <f>IFERROR(VLOOKUP($B26,اسماء,18,0),0)</f>
        <v>0</v>
      </c>
      <c r="G27" s="592"/>
      <c r="H27" s="608">
        <f>IFERROR(VLOOKUP($B26,اسماء,19,0),0)</f>
        <v>0</v>
      </c>
      <c r="I27" s="609"/>
      <c r="J27" s="589">
        <f>IFERROR(VLOOKUP($B26,اسماء,20,0),0)</f>
        <v>0</v>
      </c>
      <c r="K27" s="592"/>
      <c r="L27" s="589">
        <f>IFERROR(VLOOKUP($B26,اسماء,21,0),0)</f>
        <v>0</v>
      </c>
      <c r="M27" s="590"/>
      <c r="N27" s="589">
        <f>IFERROR(VLOOKUP($B26,اسماء,22,0),0)</f>
        <v>0</v>
      </c>
      <c r="O27" s="590"/>
      <c r="P27" s="589">
        <f>IFERROR(VLOOKUP($B26,اسماء,23,0),0)</f>
        <v>0</v>
      </c>
      <c r="Q27" s="609"/>
      <c r="R27" s="603">
        <f>IFERROR(VLOOKUP($B26,اسماء,24,0),0)</f>
        <v>0</v>
      </c>
      <c r="S27" s="592"/>
      <c r="T27" s="589">
        <f>IFERROR(VLOOKUP($B26,اسماء,25,0),0)</f>
        <v>0</v>
      </c>
      <c r="U27" s="592"/>
      <c r="V27" s="263">
        <f t="shared" si="37"/>
        <v>0</v>
      </c>
      <c r="W27" s="373">
        <f>IFERROR(VLOOKUP($B26,اسماء,27,0),0)</f>
        <v>0</v>
      </c>
      <c r="X27" s="373">
        <f>IFERROR(VLOOKUP($B26,اسماء,28,0),0)</f>
        <v>0</v>
      </c>
      <c r="Y27" s="596"/>
      <c r="Z27" s="22" t="str">
        <f t="shared" si="39"/>
        <v>ضعيف</v>
      </c>
      <c r="AA27" s="657"/>
      <c r="AB27" s="72"/>
      <c r="AC27" s="654"/>
      <c r="AN27" s="607"/>
      <c r="AO27" s="607"/>
      <c r="AP27" s="613"/>
      <c r="AQ27" s="612"/>
      <c r="AR27" s="611"/>
      <c r="AS27" s="612"/>
    </row>
    <row r="28" spans="1:45" ht="15" customHeight="1" x14ac:dyDescent="0.25">
      <c r="A28" s="633"/>
      <c r="B28" s="630"/>
      <c r="C28" s="622"/>
      <c r="D28" s="625"/>
      <c r="E28" s="133" t="s">
        <v>32</v>
      </c>
      <c r="F28" s="589">
        <f>IFERROR(VLOOKUP($B26,اسماء,31,0),0)</f>
        <v>0</v>
      </c>
      <c r="G28" s="592"/>
      <c r="H28" s="608">
        <f>IFERROR(VLOOKUP($B26,اسماء,32,0),0)</f>
        <v>0</v>
      </c>
      <c r="I28" s="609"/>
      <c r="J28" s="589">
        <f>IFERROR(VLOOKUP($B26,اسماء,33,0),0)</f>
        <v>0</v>
      </c>
      <c r="K28" s="592"/>
      <c r="L28" s="589">
        <f>IFERROR(VLOOKUP($B26,اسماء,34,0),0)</f>
        <v>0</v>
      </c>
      <c r="M28" s="590"/>
      <c r="N28" s="589">
        <f>IFERROR(VLOOKUP($B26,اسماء,35,0),0)</f>
        <v>0</v>
      </c>
      <c r="O28" s="590"/>
      <c r="P28" s="589">
        <f>IFERROR(VLOOKUP($B26,اسماء,36,0),0)</f>
        <v>0</v>
      </c>
      <c r="Q28" s="609"/>
      <c r="R28" s="603">
        <f>IFERROR(VLOOKUP($B26,اسماء,37,0),0)</f>
        <v>0</v>
      </c>
      <c r="S28" s="592"/>
      <c r="T28" s="589">
        <f>IFERROR(VLOOKUP($B26,اسماء,38,0),0)</f>
        <v>0</v>
      </c>
      <c r="U28" s="592"/>
      <c r="V28" s="263">
        <f t="shared" si="37"/>
        <v>0</v>
      </c>
      <c r="W28" s="373">
        <f>IFERROR(VLOOKUP($B26,اسماء,40,0),0)</f>
        <v>0</v>
      </c>
      <c r="X28" s="373">
        <f>IFERROR(VLOOKUP($B26,اسماء,41,0),0)</f>
        <v>0</v>
      </c>
      <c r="Y28" s="596"/>
      <c r="Z28" s="22" t="str">
        <f t="shared" ref="Z28" si="42">LOOKUP(V28,$AI$6:$AJ$10)</f>
        <v>ضعيف</v>
      </c>
      <c r="AA28" s="657"/>
      <c r="AB28" s="72"/>
      <c r="AC28" s="654"/>
      <c r="AN28" s="607"/>
      <c r="AO28" s="607"/>
      <c r="AP28" s="613"/>
      <c r="AQ28" s="612"/>
      <c r="AR28" s="611"/>
      <c r="AS28" s="612"/>
    </row>
    <row r="29" spans="1:45" ht="15" customHeight="1" thickBot="1" x14ac:dyDescent="0.3">
      <c r="A29" s="634"/>
      <c r="B29" s="631"/>
      <c r="C29" s="623"/>
      <c r="D29" s="626"/>
      <c r="E29" s="127" t="s">
        <v>33</v>
      </c>
      <c r="F29" s="585">
        <f t="shared" ref="F29" si="43">SUM(F26:G28)</f>
        <v>32</v>
      </c>
      <c r="G29" s="593"/>
      <c r="H29" s="604">
        <f t="shared" ref="H29" si="44">SUM(H26:I28)</f>
        <v>41</v>
      </c>
      <c r="I29" s="601"/>
      <c r="J29" s="585">
        <f t="shared" ref="J29" si="45">SUM(J26:K28)</f>
        <v>18</v>
      </c>
      <c r="K29" s="593"/>
      <c r="L29" s="585">
        <f t="shared" ref="L29" si="46">SUM(L26:M28)</f>
        <v>31</v>
      </c>
      <c r="M29" s="586"/>
      <c r="N29" s="585">
        <f t="shared" ref="N29" si="47">SUM(N26:O28)</f>
        <v>10</v>
      </c>
      <c r="O29" s="586"/>
      <c r="P29" s="585">
        <f t="shared" ref="P29" si="48">SUM(P26:Q28)</f>
        <v>52</v>
      </c>
      <c r="Q29" s="601"/>
      <c r="R29" s="602">
        <f t="shared" ref="R29" si="49">SUM(R26:S28)</f>
        <v>33</v>
      </c>
      <c r="S29" s="593"/>
      <c r="T29" s="585">
        <f t="shared" ref="T29" si="50">SUM(T26:U28)</f>
        <v>20</v>
      </c>
      <c r="U29" s="593"/>
      <c r="V29" s="210">
        <f t="shared" ref="V29" si="51">IF(AND(F29&gt;=$G$8,H29&gt;=$I$8,L29&gt;=$M$8,P29&gt;=$Q$8,R29&gt;=$S$8,T29&gt;=$U$8),SUM(F29:U29),0)</f>
        <v>0</v>
      </c>
      <c r="W29" s="264"/>
      <c r="X29" s="97"/>
      <c r="Y29" s="597"/>
      <c r="Z29" s="91" t="str">
        <f t="shared" ref="Z29" si="52">LOOKUP(V29,$AL$6:$AM$10)</f>
        <v>ضعيف</v>
      </c>
      <c r="AA29" s="658"/>
      <c r="AB29" s="10"/>
      <c r="AC29" s="655"/>
      <c r="AN29" s="607"/>
      <c r="AO29" s="607"/>
      <c r="AP29" s="613"/>
      <c r="AQ29" s="612"/>
      <c r="AR29" s="611"/>
      <c r="AS29" s="612"/>
    </row>
    <row r="30" spans="1:45" ht="15" customHeight="1" thickBot="1" x14ac:dyDescent="0.3">
      <c r="A30" s="632">
        <v>6</v>
      </c>
      <c r="B30" s="629" t="str">
        <f>VLOOKUP(A30,مسلسل,2,0)</f>
        <v>خديجة خليل محمد علي</v>
      </c>
      <c r="C30" s="621">
        <f>IFERROR(VLOOKUP(B30,اسماء,2,0),"")</f>
        <v>42564</v>
      </c>
      <c r="D30" s="624" t="str">
        <f>IFERROR(VLOOKUP($B30,اسماء,3,0),"")</f>
        <v>انتصار على على</v>
      </c>
      <c r="E30" s="132" t="s">
        <v>30</v>
      </c>
      <c r="F30" s="627">
        <f>IFERROR(VLOOKUP($B30,اسماء,5,0),0)</f>
        <v>30</v>
      </c>
      <c r="G30" s="606"/>
      <c r="H30" s="628">
        <f>IFERROR(VLOOKUP($B30,اسماء,6,0),0)</f>
        <v>47</v>
      </c>
      <c r="I30" s="605"/>
      <c r="J30" s="587">
        <f>IFERROR(VLOOKUP($B30,اسماء,7,0),0)</f>
        <v>19</v>
      </c>
      <c r="K30" s="591"/>
      <c r="L30" s="587">
        <f>IFERROR(VLOOKUP($B30,اسماء,8,0),0)</f>
        <v>31</v>
      </c>
      <c r="M30" s="588"/>
      <c r="N30" s="587">
        <f>IFERROR(VLOOKUP($B30,اسماء,9,0),0)</f>
        <v>11</v>
      </c>
      <c r="O30" s="605"/>
      <c r="P30" s="587">
        <f>IFERROR(VLOOKUP($B30,اسماء,10,0),0)</f>
        <v>52</v>
      </c>
      <c r="Q30" s="605"/>
      <c r="R30" s="606">
        <f>IFERROR(VLOOKUP($B30,اسماء,11,0),0)</f>
        <v>30</v>
      </c>
      <c r="S30" s="591"/>
      <c r="T30" s="587">
        <f>IFERROR(VLOOKUP($B30,اسماء,12,0),0)</f>
        <v>24</v>
      </c>
      <c r="U30" s="591"/>
      <c r="V30" s="263">
        <f t="shared" ref="V30:V32" si="53">SUM(F30:U30)</f>
        <v>244</v>
      </c>
      <c r="W30" s="373" t="str">
        <f>IFERROR(VLOOKUP($B30,اسماء,14,0),0)</f>
        <v>جيد جداً</v>
      </c>
      <c r="X30" s="373" t="str">
        <f>IFERROR(VLOOKUP($B30,اسماء,15,0),0)</f>
        <v>جيد جداً</v>
      </c>
      <c r="Y30" s="595" t="str">
        <f t="shared" ref="Y30" si="54">IF(AC30="غائب","راسب",IF(AND(F33&gt;=$G$8,H33&gt;=$I$8,J33&gt;=$K$8,L33&gt;=$M$8,N33&gt;=$O$8,P33&gt;=$Q$8,R33&gt;=$S$8,T33&gt;=$U$8),"ناجح","له دور ثان"))</f>
        <v>له دور ثان</v>
      </c>
      <c r="Z30" s="21" t="str">
        <f t="shared" ref="Z30:Z31" si="55">LOOKUP(V30,$AF$6:$AG$10)</f>
        <v>ممتاز</v>
      </c>
      <c r="AA30" s="656">
        <f t="shared" ref="AA30" si="56">V33/$AF$3</f>
        <v>0</v>
      </c>
      <c r="AB30" s="72"/>
      <c r="AC30" s="653">
        <f>IFERROR(VLOOKUP($B30,اسماء,54,0),"")</f>
        <v>0</v>
      </c>
      <c r="AN30" s="607" t="str">
        <f t="shared" ref="AN30" si="57">IF(V33=0,"",V33/1+ROW()*0.00001)</f>
        <v/>
      </c>
      <c r="AO30" s="607" t="str">
        <f>B30</f>
        <v>خديجة خليل محمد علي</v>
      </c>
      <c r="AP30" s="613"/>
      <c r="AQ30" s="612">
        <v>6</v>
      </c>
      <c r="AR30" s="611" t="str">
        <f>IFERROR(LARGE($AN$10:$AN$1006,AQ30),"")</f>
        <v/>
      </c>
      <c r="AS30" s="612" t="str">
        <f>VLOOKUP(AR30,$AN$10:$AO$1116,2,0)</f>
        <v>أحمد نورالدين أحمد الذيب</v>
      </c>
    </row>
    <row r="31" spans="1:45" ht="15" customHeight="1" thickBot="1" x14ac:dyDescent="0.3">
      <c r="A31" s="633"/>
      <c r="B31" s="630"/>
      <c r="C31" s="622"/>
      <c r="D31" s="625"/>
      <c r="E31" s="133" t="s">
        <v>31</v>
      </c>
      <c r="F31" s="589">
        <f>IFERROR(VLOOKUP($B30,اسماء,18,0),0)</f>
        <v>0</v>
      </c>
      <c r="G31" s="592"/>
      <c r="H31" s="608">
        <f>IFERROR(VLOOKUP($B30,اسماء,19,0),0)</f>
        <v>0</v>
      </c>
      <c r="I31" s="609"/>
      <c r="J31" s="589">
        <f>IFERROR(VLOOKUP($B30,اسماء,20,0),0)</f>
        <v>0</v>
      </c>
      <c r="K31" s="592"/>
      <c r="L31" s="589">
        <f>IFERROR(VLOOKUP($B30,اسماء,21,0),0)</f>
        <v>0</v>
      </c>
      <c r="M31" s="590"/>
      <c r="N31" s="589">
        <f>IFERROR(VLOOKUP($B30,اسماء,22,0),0)</f>
        <v>0</v>
      </c>
      <c r="O31" s="590"/>
      <c r="P31" s="589">
        <f>IFERROR(VLOOKUP($B30,اسماء,23,0),0)</f>
        <v>0</v>
      </c>
      <c r="Q31" s="609"/>
      <c r="R31" s="603">
        <f>IFERROR(VLOOKUP($B30,اسماء,24,0),0)</f>
        <v>0</v>
      </c>
      <c r="S31" s="592"/>
      <c r="T31" s="589">
        <f>IFERROR(VLOOKUP($B30,اسماء,25,0),0)</f>
        <v>0</v>
      </c>
      <c r="U31" s="592"/>
      <c r="V31" s="263">
        <f t="shared" si="53"/>
        <v>0</v>
      </c>
      <c r="W31" s="373">
        <f>IFERROR(VLOOKUP($B30,اسماء,27,0),0)</f>
        <v>0</v>
      </c>
      <c r="X31" s="373">
        <f>IFERROR(VLOOKUP($B30,اسماء,28,0),0)</f>
        <v>0</v>
      </c>
      <c r="Y31" s="596"/>
      <c r="Z31" s="22" t="str">
        <f t="shared" si="55"/>
        <v>ضعيف</v>
      </c>
      <c r="AA31" s="657"/>
      <c r="AB31" s="72"/>
      <c r="AC31" s="654"/>
      <c r="AN31" s="607"/>
      <c r="AO31" s="607"/>
      <c r="AP31" s="613"/>
      <c r="AQ31" s="612"/>
      <c r="AR31" s="611"/>
      <c r="AS31" s="612"/>
    </row>
    <row r="32" spans="1:45" ht="15" customHeight="1" x14ac:dyDescent="0.25">
      <c r="A32" s="633"/>
      <c r="B32" s="630"/>
      <c r="C32" s="622"/>
      <c r="D32" s="625"/>
      <c r="E32" s="133" t="s">
        <v>32</v>
      </c>
      <c r="F32" s="589">
        <f>IFERROR(VLOOKUP($B30,اسماء,31,0),0)</f>
        <v>0</v>
      </c>
      <c r="G32" s="592"/>
      <c r="H32" s="608">
        <f>IFERROR(VLOOKUP($B30,اسماء,32,0),0)</f>
        <v>0</v>
      </c>
      <c r="I32" s="609"/>
      <c r="J32" s="589">
        <f>IFERROR(VLOOKUP($B30,اسماء,33,0),0)</f>
        <v>0</v>
      </c>
      <c r="K32" s="592"/>
      <c r="L32" s="589">
        <f>IFERROR(VLOOKUP($B30,اسماء,34,0),0)</f>
        <v>0</v>
      </c>
      <c r="M32" s="590"/>
      <c r="N32" s="589">
        <f>IFERROR(VLOOKUP($B30,اسماء,35,0),0)</f>
        <v>0</v>
      </c>
      <c r="O32" s="590"/>
      <c r="P32" s="589">
        <f>IFERROR(VLOOKUP($B30,اسماء,36,0),0)</f>
        <v>0</v>
      </c>
      <c r="Q32" s="609"/>
      <c r="R32" s="603">
        <f>IFERROR(VLOOKUP($B30,اسماء,37,0),0)</f>
        <v>0</v>
      </c>
      <c r="S32" s="592"/>
      <c r="T32" s="589">
        <f>IFERROR(VLOOKUP($B30,اسماء,38,0),0)</f>
        <v>0</v>
      </c>
      <c r="U32" s="592"/>
      <c r="V32" s="263">
        <f t="shared" si="53"/>
        <v>0</v>
      </c>
      <c r="W32" s="373">
        <f>IFERROR(VLOOKUP($B30,اسماء,40,0),0)</f>
        <v>0</v>
      </c>
      <c r="X32" s="373">
        <f>IFERROR(VLOOKUP($B30,اسماء,41,0),0)</f>
        <v>0</v>
      </c>
      <c r="Y32" s="596"/>
      <c r="Z32" s="22" t="str">
        <f t="shared" ref="Z32" si="58">LOOKUP(V32,$AI$6:$AJ$10)</f>
        <v>ضعيف</v>
      </c>
      <c r="AA32" s="657"/>
      <c r="AB32" s="10"/>
      <c r="AC32" s="654"/>
      <c r="AN32" s="607"/>
      <c r="AO32" s="607"/>
      <c r="AP32" s="613"/>
      <c r="AQ32" s="612"/>
      <c r="AR32" s="611"/>
      <c r="AS32" s="612"/>
    </row>
    <row r="33" spans="1:45" ht="15" customHeight="1" thickBot="1" x14ac:dyDescent="0.3">
      <c r="A33" s="634"/>
      <c r="B33" s="631"/>
      <c r="C33" s="623"/>
      <c r="D33" s="626"/>
      <c r="E33" s="127" t="s">
        <v>33</v>
      </c>
      <c r="F33" s="585">
        <f t="shared" ref="F33" si="59">SUM(F30:G32)</f>
        <v>30</v>
      </c>
      <c r="G33" s="593"/>
      <c r="H33" s="604">
        <f t="shared" ref="H33" si="60">SUM(H30:I32)</f>
        <v>47</v>
      </c>
      <c r="I33" s="601"/>
      <c r="J33" s="585">
        <f t="shared" ref="J33" si="61">SUM(J30:K32)</f>
        <v>19</v>
      </c>
      <c r="K33" s="593"/>
      <c r="L33" s="585">
        <f t="shared" ref="L33" si="62">SUM(L30:M32)</f>
        <v>31</v>
      </c>
      <c r="M33" s="586"/>
      <c r="N33" s="585">
        <f t="shared" ref="N33" si="63">SUM(N30:O32)</f>
        <v>11</v>
      </c>
      <c r="O33" s="586"/>
      <c r="P33" s="585">
        <f t="shared" ref="P33" si="64">SUM(P30:Q32)</f>
        <v>52</v>
      </c>
      <c r="Q33" s="601"/>
      <c r="R33" s="602">
        <f t="shared" ref="R33" si="65">SUM(R30:S32)</f>
        <v>30</v>
      </c>
      <c r="S33" s="593"/>
      <c r="T33" s="585">
        <f t="shared" ref="T33" si="66">SUM(T30:U32)</f>
        <v>24</v>
      </c>
      <c r="U33" s="593"/>
      <c r="V33" s="210">
        <f t="shared" ref="V33" si="67">IF(AND(F33&gt;=$G$8,H33&gt;=$I$8,L33&gt;=$M$8,P33&gt;=$Q$8,R33&gt;=$S$8,T33&gt;=$U$8),SUM(F33:U33),0)</f>
        <v>0</v>
      </c>
      <c r="W33" s="264"/>
      <c r="X33" s="97"/>
      <c r="Y33" s="597"/>
      <c r="Z33" s="91" t="str">
        <f t="shared" ref="Z33" si="68">LOOKUP(V33,$AL$6:$AM$10)</f>
        <v>ضعيف</v>
      </c>
      <c r="AA33" s="658"/>
      <c r="AB33" s="72"/>
      <c r="AC33" s="655"/>
      <c r="AN33" s="607"/>
      <c r="AO33" s="607"/>
      <c r="AP33" s="613"/>
      <c r="AQ33" s="612"/>
      <c r="AR33" s="611"/>
      <c r="AS33" s="612"/>
    </row>
    <row r="34" spans="1:45" ht="15" customHeight="1" thickBot="1" x14ac:dyDescent="0.3">
      <c r="A34" s="632">
        <v>7</v>
      </c>
      <c r="B34" s="629" t="str">
        <f>VLOOKUP(A34,مسلسل,2,0)</f>
        <v xml:space="preserve">سالم عمر سالم التائب </v>
      </c>
      <c r="C34" s="621">
        <f>IFERROR(VLOOKUP(B34,اسماء,2,0),"")</f>
        <v>42537</v>
      </c>
      <c r="D34" s="624" t="str">
        <f>IFERROR(VLOOKUP($B34,اسماء,3,0),"")</f>
        <v>منية حسن عويدات</v>
      </c>
      <c r="E34" s="132" t="s">
        <v>30</v>
      </c>
      <c r="F34" s="627">
        <f>IFERROR(VLOOKUP($B34,اسماء,5,0),0)</f>
        <v>36</v>
      </c>
      <c r="G34" s="606"/>
      <c r="H34" s="628">
        <f>IFERROR(VLOOKUP($B34,اسماء,6,0),0)</f>
        <v>35</v>
      </c>
      <c r="I34" s="605"/>
      <c r="J34" s="587">
        <f>IFERROR(VLOOKUP($B34,اسماء,7,0),0)</f>
        <v>16</v>
      </c>
      <c r="K34" s="591"/>
      <c r="L34" s="587">
        <f>IFERROR(VLOOKUP($B34,اسماء,8,0),0)</f>
        <v>27</v>
      </c>
      <c r="M34" s="588"/>
      <c r="N34" s="587">
        <f>IFERROR(VLOOKUP($B34,اسماء,9,0),0)</f>
        <v>11</v>
      </c>
      <c r="O34" s="605"/>
      <c r="P34" s="587">
        <f>IFERROR(VLOOKUP($B34,اسماء,10,0),0)</f>
        <v>51</v>
      </c>
      <c r="Q34" s="605"/>
      <c r="R34" s="606">
        <f>IFERROR(VLOOKUP($B34,اسماء,11,0),0)</f>
        <v>36</v>
      </c>
      <c r="S34" s="591"/>
      <c r="T34" s="587">
        <f>IFERROR(VLOOKUP($B34,اسماء,12,0),0)</f>
        <v>18</v>
      </c>
      <c r="U34" s="591"/>
      <c r="V34" s="263">
        <f t="shared" ref="V34:V36" si="69">SUM(F34:U34)</f>
        <v>230</v>
      </c>
      <c r="W34" s="373" t="str">
        <f>IFERROR(VLOOKUP($B34,اسماء,14,0),0)</f>
        <v>جيد جداً</v>
      </c>
      <c r="X34" s="373" t="str">
        <f>IFERROR(VLOOKUP($B34,اسماء,15,0),0)</f>
        <v>جيد جداً</v>
      </c>
      <c r="Y34" s="595" t="str">
        <f t="shared" ref="Y34" si="70">IF(AC34="غائب","راسب",IF(AND(F37&gt;=$G$8,H37&gt;=$I$8,J37&gt;=$K$8,L37&gt;=$M$8,N37&gt;=$O$8,P37&gt;=$Q$8,R37&gt;=$S$8,T37&gt;=$U$8),"ناجح","له دور ثان"))</f>
        <v>له دور ثان</v>
      </c>
      <c r="Z34" s="21" t="str">
        <f t="shared" ref="Z34:Z35" si="71">LOOKUP(V34,$AF$6:$AG$10)</f>
        <v>جيدجداً</v>
      </c>
      <c r="AA34" s="656">
        <f t="shared" ref="AA34" si="72">V37/$AF$3</f>
        <v>0</v>
      </c>
      <c r="AB34" s="72"/>
      <c r="AC34" s="653">
        <f>IFERROR(VLOOKUP($B34,اسماء,54,0),"")</f>
        <v>0</v>
      </c>
      <c r="AN34" s="607" t="str">
        <f t="shared" ref="AN34" si="73">IF(V37=0,"",V37/1+ROW()*0.00001)</f>
        <v/>
      </c>
      <c r="AO34" s="607" t="str">
        <f>B34</f>
        <v xml:space="preserve">سالم عمر سالم التائب </v>
      </c>
      <c r="AP34" s="613"/>
      <c r="AQ34" s="612">
        <v>7</v>
      </c>
      <c r="AR34" s="611" t="str">
        <f>IFERROR(LARGE($AN$10:$AN$1006,AQ34),"")</f>
        <v/>
      </c>
      <c r="AS34" s="612" t="str">
        <f>VLOOKUP(AR34,$AN$10:$AO$1116,2,0)</f>
        <v>أحمد نورالدين أحمد الذيب</v>
      </c>
    </row>
    <row r="35" spans="1:45" ht="15" customHeight="1" thickBot="1" x14ac:dyDescent="0.3">
      <c r="A35" s="633"/>
      <c r="B35" s="630"/>
      <c r="C35" s="622"/>
      <c r="D35" s="625"/>
      <c r="E35" s="133" t="s">
        <v>31</v>
      </c>
      <c r="F35" s="589">
        <f>IFERROR(VLOOKUP($B34,اسماء,18,0),0)</f>
        <v>0</v>
      </c>
      <c r="G35" s="592"/>
      <c r="H35" s="608">
        <f>IFERROR(VLOOKUP($B34,اسماء,19,0),0)</f>
        <v>0</v>
      </c>
      <c r="I35" s="609"/>
      <c r="J35" s="589">
        <f>IFERROR(VLOOKUP($B34,اسماء,20,0),0)</f>
        <v>0</v>
      </c>
      <c r="K35" s="592"/>
      <c r="L35" s="589">
        <f>IFERROR(VLOOKUP($B34,اسماء,21,0),0)</f>
        <v>0</v>
      </c>
      <c r="M35" s="590"/>
      <c r="N35" s="589">
        <f>IFERROR(VLOOKUP($B34,اسماء,22,0),0)</f>
        <v>0</v>
      </c>
      <c r="O35" s="590"/>
      <c r="P35" s="589">
        <f>IFERROR(VLOOKUP($B34,اسماء,23,0),0)</f>
        <v>0</v>
      </c>
      <c r="Q35" s="609"/>
      <c r="R35" s="603">
        <f>IFERROR(VLOOKUP($B34,اسماء,24,0),0)</f>
        <v>0</v>
      </c>
      <c r="S35" s="592"/>
      <c r="T35" s="589">
        <f>IFERROR(VLOOKUP($B34,اسماء,25,0),0)</f>
        <v>0</v>
      </c>
      <c r="U35" s="592"/>
      <c r="V35" s="263">
        <f t="shared" si="69"/>
        <v>0</v>
      </c>
      <c r="W35" s="373">
        <f>IFERROR(VLOOKUP($B34,اسماء,27,0),0)</f>
        <v>0</v>
      </c>
      <c r="X35" s="373">
        <f>IFERROR(VLOOKUP($B34,اسماء,28,0),0)</f>
        <v>0</v>
      </c>
      <c r="Y35" s="596"/>
      <c r="Z35" s="22" t="str">
        <f t="shared" si="71"/>
        <v>ضعيف</v>
      </c>
      <c r="AA35" s="657"/>
      <c r="AB35" s="10"/>
      <c r="AC35" s="654"/>
      <c r="AN35" s="607"/>
      <c r="AO35" s="607"/>
      <c r="AP35" s="613"/>
      <c r="AQ35" s="612"/>
      <c r="AR35" s="611"/>
      <c r="AS35" s="612"/>
    </row>
    <row r="36" spans="1:45" ht="15" customHeight="1" x14ac:dyDescent="0.25">
      <c r="A36" s="633"/>
      <c r="B36" s="630"/>
      <c r="C36" s="622"/>
      <c r="D36" s="625"/>
      <c r="E36" s="133" t="s">
        <v>32</v>
      </c>
      <c r="F36" s="589">
        <f>IFERROR(VLOOKUP($B34,اسماء,31,0),0)</f>
        <v>0</v>
      </c>
      <c r="G36" s="592"/>
      <c r="H36" s="608">
        <f>IFERROR(VLOOKUP($B34,اسماء,32,0),0)</f>
        <v>0</v>
      </c>
      <c r="I36" s="609"/>
      <c r="J36" s="589">
        <f>IFERROR(VLOOKUP($B34,اسماء,33,0),0)</f>
        <v>0</v>
      </c>
      <c r="K36" s="592"/>
      <c r="L36" s="589">
        <f>IFERROR(VLOOKUP($B34,اسماء,34,0),0)</f>
        <v>0</v>
      </c>
      <c r="M36" s="590"/>
      <c r="N36" s="589">
        <f>IFERROR(VLOOKUP($B34,اسماء,35,0),0)</f>
        <v>0</v>
      </c>
      <c r="O36" s="590"/>
      <c r="P36" s="589">
        <f>IFERROR(VLOOKUP($B34,اسماء,36,0),0)</f>
        <v>0</v>
      </c>
      <c r="Q36" s="609"/>
      <c r="R36" s="603">
        <f>IFERROR(VLOOKUP($B34,اسماء,37,0),0)</f>
        <v>0</v>
      </c>
      <c r="S36" s="592"/>
      <c r="T36" s="589">
        <f>IFERROR(VLOOKUP($B34,اسماء,38,0),0)</f>
        <v>0</v>
      </c>
      <c r="U36" s="592"/>
      <c r="V36" s="263">
        <f t="shared" si="69"/>
        <v>0</v>
      </c>
      <c r="W36" s="373">
        <f>IFERROR(VLOOKUP($B34,اسماء,40,0),0)</f>
        <v>0</v>
      </c>
      <c r="X36" s="373">
        <f>IFERROR(VLOOKUP($B34,اسماء,41,0),0)</f>
        <v>0</v>
      </c>
      <c r="Y36" s="596"/>
      <c r="Z36" s="22" t="str">
        <f t="shared" ref="Z36" si="74">LOOKUP(V36,$AI$6:$AJ$10)</f>
        <v>ضعيف</v>
      </c>
      <c r="AA36" s="657"/>
      <c r="AB36" s="72"/>
      <c r="AC36" s="654"/>
      <c r="AN36" s="607"/>
      <c r="AO36" s="607"/>
      <c r="AP36" s="613"/>
      <c r="AQ36" s="612"/>
      <c r="AR36" s="611"/>
      <c r="AS36" s="612"/>
    </row>
    <row r="37" spans="1:45" ht="15" customHeight="1" thickBot="1" x14ac:dyDescent="0.3">
      <c r="A37" s="634"/>
      <c r="B37" s="631"/>
      <c r="C37" s="623"/>
      <c r="D37" s="626"/>
      <c r="E37" s="127" t="s">
        <v>33</v>
      </c>
      <c r="F37" s="585">
        <f t="shared" ref="F37" si="75">SUM(F34:G36)</f>
        <v>36</v>
      </c>
      <c r="G37" s="593"/>
      <c r="H37" s="604">
        <f t="shared" ref="H37" si="76">SUM(H34:I36)</f>
        <v>35</v>
      </c>
      <c r="I37" s="601"/>
      <c r="J37" s="585">
        <f t="shared" ref="J37" si="77">SUM(J34:K36)</f>
        <v>16</v>
      </c>
      <c r="K37" s="593"/>
      <c r="L37" s="585">
        <f t="shared" ref="L37" si="78">SUM(L34:M36)</f>
        <v>27</v>
      </c>
      <c r="M37" s="586"/>
      <c r="N37" s="585">
        <f t="shared" ref="N37" si="79">SUM(N34:O36)</f>
        <v>11</v>
      </c>
      <c r="O37" s="586"/>
      <c r="P37" s="585">
        <f t="shared" ref="P37" si="80">SUM(P34:Q36)</f>
        <v>51</v>
      </c>
      <c r="Q37" s="601"/>
      <c r="R37" s="602">
        <f t="shared" ref="R37" si="81">SUM(R34:S36)</f>
        <v>36</v>
      </c>
      <c r="S37" s="593"/>
      <c r="T37" s="585">
        <f t="shared" ref="T37" si="82">SUM(T34:U36)</f>
        <v>18</v>
      </c>
      <c r="U37" s="593"/>
      <c r="V37" s="210">
        <f t="shared" ref="V37" si="83">IF(AND(F37&gt;=$G$8,H37&gt;=$I$8,L37&gt;=$M$8,P37&gt;=$Q$8,R37&gt;=$S$8,T37&gt;=$U$8),SUM(F37:U37),0)</f>
        <v>0</v>
      </c>
      <c r="W37" s="264"/>
      <c r="X37" s="97"/>
      <c r="Y37" s="597"/>
      <c r="Z37" s="91" t="str">
        <f t="shared" ref="Z37" si="84">LOOKUP(V37,$AL$6:$AM$10)</f>
        <v>ضعيف</v>
      </c>
      <c r="AA37" s="658"/>
      <c r="AB37" s="72"/>
      <c r="AC37" s="655"/>
      <c r="AN37" s="607"/>
      <c r="AO37" s="607"/>
      <c r="AP37" s="613"/>
      <c r="AQ37" s="612"/>
      <c r="AR37" s="611"/>
      <c r="AS37" s="612"/>
    </row>
    <row r="38" spans="1:45" ht="15" customHeight="1" thickBot="1" x14ac:dyDescent="0.3">
      <c r="A38" s="632">
        <v>8</v>
      </c>
      <c r="B38" s="629" t="str">
        <f>VLOOKUP(A38,مسلسل,2,0)</f>
        <v>سفيان عبدالباسط اللافي محمد</v>
      </c>
      <c r="C38" s="621">
        <f>IFERROR(VLOOKUP(B38,اسماء,2,0),"")</f>
        <v>42418</v>
      </c>
      <c r="D38" s="624" t="str">
        <f>IFERROR(VLOOKUP($B38,اسماء,3,0),"")</f>
        <v>حليمة علي محمد زريق</v>
      </c>
      <c r="E38" s="132" t="s">
        <v>30</v>
      </c>
      <c r="F38" s="627">
        <f>IFERROR(VLOOKUP($B38,اسماء,5,0),0)</f>
        <v>36</v>
      </c>
      <c r="G38" s="606"/>
      <c r="H38" s="628">
        <f>IFERROR(VLOOKUP($B38,اسماء,6,0),0)</f>
        <v>48</v>
      </c>
      <c r="I38" s="605"/>
      <c r="J38" s="587">
        <f>IFERROR(VLOOKUP($B38,اسماء,7,0),0)</f>
        <v>23</v>
      </c>
      <c r="K38" s="591"/>
      <c r="L38" s="587">
        <f>IFERROR(VLOOKUP($B38,اسماء,8,0),0)</f>
        <v>36</v>
      </c>
      <c r="M38" s="588"/>
      <c r="N38" s="587">
        <f>IFERROR(VLOOKUP($B38,اسماء,9,0),0)</f>
        <v>12</v>
      </c>
      <c r="O38" s="605"/>
      <c r="P38" s="587">
        <f>IFERROR(VLOOKUP($B38,اسماء,10,0),0)</f>
        <v>56</v>
      </c>
      <c r="Q38" s="605"/>
      <c r="R38" s="606">
        <f>IFERROR(VLOOKUP($B38,اسماء,11,0),0)</f>
        <v>36</v>
      </c>
      <c r="S38" s="591"/>
      <c r="T38" s="587">
        <f>IFERROR(VLOOKUP($B38,اسماء,12,0),0)</f>
        <v>15</v>
      </c>
      <c r="U38" s="591"/>
      <c r="V38" s="263">
        <f t="shared" ref="V38:V40" si="85">SUM(F38:U38)</f>
        <v>262</v>
      </c>
      <c r="W38" s="373" t="str">
        <f>IFERROR(VLOOKUP($B38,اسماء,14,0),0)</f>
        <v>جيد جداً</v>
      </c>
      <c r="X38" s="373" t="str">
        <f>IFERROR(VLOOKUP($B38,اسماء,15,0),0)</f>
        <v>جيد جداً</v>
      </c>
      <c r="Y38" s="595" t="str">
        <f t="shared" ref="Y38" si="86">IF(AC38="غائب","راسب",IF(AND(F41&gt;=$G$8,H41&gt;=$I$8,J41&gt;=$K$8,L41&gt;=$M$8,N41&gt;=$O$8,P41&gt;=$Q$8,R41&gt;=$S$8,T41&gt;=$U$8),"ناجح","له دور ثان"))</f>
        <v>له دور ثان</v>
      </c>
      <c r="Z38" s="21" t="str">
        <f t="shared" ref="Z38:Z39" si="87">LOOKUP(V38,$AF$6:$AG$10)</f>
        <v>ممتاز</v>
      </c>
      <c r="AA38" s="656">
        <f t="shared" ref="AA38" si="88">V41/$AF$3</f>
        <v>0</v>
      </c>
      <c r="AB38" s="10"/>
      <c r="AC38" s="653">
        <f>IFERROR(VLOOKUP($B38,اسماء,54,0),"")</f>
        <v>0</v>
      </c>
      <c r="AN38" s="607" t="str">
        <f t="shared" ref="AN38" si="89">IF(V41=0,"",V41/1+ROW()*0.00001)</f>
        <v/>
      </c>
      <c r="AO38" s="607" t="str">
        <f>B38</f>
        <v>سفيان عبدالباسط اللافي محمد</v>
      </c>
      <c r="AP38" s="613"/>
      <c r="AQ38" s="612">
        <v>8</v>
      </c>
      <c r="AR38" s="611" t="str">
        <f>IFERROR(LARGE($AN$10:$AN$1006,AQ38),"")</f>
        <v/>
      </c>
      <c r="AS38" s="612" t="str">
        <f>VLOOKUP(AR38,$AN$10:$AO$1116,2,0)</f>
        <v>أحمد نورالدين أحمد الذيب</v>
      </c>
    </row>
    <row r="39" spans="1:45" ht="15" customHeight="1" thickBot="1" x14ac:dyDescent="0.3">
      <c r="A39" s="633"/>
      <c r="B39" s="630"/>
      <c r="C39" s="622"/>
      <c r="D39" s="625"/>
      <c r="E39" s="133" t="s">
        <v>31</v>
      </c>
      <c r="F39" s="589">
        <f>IFERROR(VLOOKUP($B38,اسماء,18,0),0)</f>
        <v>0</v>
      </c>
      <c r="G39" s="592"/>
      <c r="H39" s="608">
        <f>IFERROR(VLOOKUP($B38,اسماء,19,0),0)</f>
        <v>0</v>
      </c>
      <c r="I39" s="609"/>
      <c r="J39" s="589">
        <f>IFERROR(VLOOKUP($B38,اسماء,20,0),0)</f>
        <v>0</v>
      </c>
      <c r="K39" s="592"/>
      <c r="L39" s="589">
        <f>IFERROR(VLOOKUP($B38,اسماء,21,0),0)</f>
        <v>0</v>
      </c>
      <c r="M39" s="590"/>
      <c r="N39" s="589">
        <f>IFERROR(VLOOKUP($B38,اسماء,22,0),0)</f>
        <v>0</v>
      </c>
      <c r="O39" s="590"/>
      <c r="P39" s="589">
        <f>IFERROR(VLOOKUP($B38,اسماء,23,0),0)</f>
        <v>0</v>
      </c>
      <c r="Q39" s="609"/>
      <c r="R39" s="603">
        <f>IFERROR(VLOOKUP($B38,اسماء,24,0),0)</f>
        <v>0</v>
      </c>
      <c r="S39" s="592"/>
      <c r="T39" s="589">
        <f>IFERROR(VLOOKUP($B38,اسماء,25,0),0)</f>
        <v>0</v>
      </c>
      <c r="U39" s="592"/>
      <c r="V39" s="263">
        <f t="shared" si="85"/>
        <v>0</v>
      </c>
      <c r="W39" s="373">
        <f>IFERROR(VLOOKUP($B38,اسماء,27,0),0)</f>
        <v>0</v>
      </c>
      <c r="X39" s="373">
        <f>IFERROR(VLOOKUP($B38,اسماء,28,0),0)</f>
        <v>0</v>
      </c>
      <c r="Y39" s="596"/>
      <c r="Z39" s="22" t="str">
        <f t="shared" si="87"/>
        <v>ضعيف</v>
      </c>
      <c r="AA39" s="657"/>
      <c r="AB39" s="72"/>
      <c r="AC39" s="654"/>
      <c r="AN39" s="607"/>
      <c r="AO39" s="607"/>
      <c r="AP39" s="613"/>
      <c r="AQ39" s="612"/>
      <c r="AR39" s="611"/>
      <c r="AS39" s="612"/>
    </row>
    <row r="40" spans="1:45" ht="15" customHeight="1" x14ac:dyDescent="0.25">
      <c r="A40" s="633"/>
      <c r="B40" s="630"/>
      <c r="C40" s="622"/>
      <c r="D40" s="625"/>
      <c r="E40" s="133" t="s">
        <v>32</v>
      </c>
      <c r="F40" s="589">
        <f>IFERROR(VLOOKUP($B38,اسماء,31,0),0)</f>
        <v>0</v>
      </c>
      <c r="G40" s="592"/>
      <c r="H40" s="608">
        <f>IFERROR(VLOOKUP($B38,اسماء,32,0),0)</f>
        <v>0</v>
      </c>
      <c r="I40" s="609"/>
      <c r="J40" s="589">
        <f>IFERROR(VLOOKUP($B38,اسماء,33,0),0)</f>
        <v>0</v>
      </c>
      <c r="K40" s="592"/>
      <c r="L40" s="589">
        <f>IFERROR(VLOOKUP($B38,اسماء,34,0),0)</f>
        <v>0</v>
      </c>
      <c r="M40" s="590"/>
      <c r="N40" s="589">
        <f>IFERROR(VLOOKUP($B38,اسماء,35,0),0)</f>
        <v>0</v>
      </c>
      <c r="O40" s="590"/>
      <c r="P40" s="589">
        <f>IFERROR(VLOOKUP($B38,اسماء,36,0),0)</f>
        <v>0</v>
      </c>
      <c r="Q40" s="609"/>
      <c r="R40" s="603">
        <f>IFERROR(VLOOKUP($B38,اسماء,37,0),0)</f>
        <v>0</v>
      </c>
      <c r="S40" s="592"/>
      <c r="T40" s="589">
        <f>IFERROR(VLOOKUP($B38,اسماء,38,0),0)</f>
        <v>0</v>
      </c>
      <c r="U40" s="592"/>
      <c r="V40" s="263">
        <f t="shared" si="85"/>
        <v>0</v>
      </c>
      <c r="W40" s="373">
        <f>IFERROR(VLOOKUP($B38,اسماء,40,0),0)</f>
        <v>0</v>
      </c>
      <c r="X40" s="373">
        <f>IFERROR(VLOOKUP($B38,اسماء,41,0),0)</f>
        <v>0</v>
      </c>
      <c r="Y40" s="596"/>
      <c r="Z40" s="22" t="str">
        <f t="shared" ref="Z40" si="90">LOOKUP(V40,$AI$6:$AJ$10)</f>
        <v>ضعيف</v>
      </c>
      <c r="AA40" s="657"/>
      <c r="AB40" s="72"/>
      <c r="AC40" s="654"/>
      <c r="AN40" s="607"/>
      <c r="AO40" s="607"/>
      <c r="AP40" s="613"/>
      <c r="AQ40" s="612"/>
      <c r="AR40" s="611"/>
      <c r="AS40" s="612"/>
    </row>
    <row r="41" spans="1:45" ht="15" customHeight="1" thickBot="1" x14ac:dyDescent="0.3">
      <c r="A41" s="634"/>
      <c r="B41" s="631"/>
      <c r="C41" s="623"/>
      <c r="D41" s="626"/>
      <c r="E41" s="127" t="s">
        <v>33</v>
      </c>
      <c r="F41" s="585">
        <f t="shared" ref="F41" si="91">SUM(F38:G40)</f>
        <v>36</v>
      </c>
      <c r="G41" s="593"/>
      <c r="H41" s="604">
        <f t="shared" ref="H41" si="92">SUM(H38:I40)</f>
        <v>48</v>
      </c>
      <c r="I41" s="601"/>
      <c r="J41" s="585">
        <f t="shared" ref="J41" si="93">SUM(J38:K40)</f>
        <v>23</v>
      </c>
      <c r="K41" s="593"/>
      <c r="L41" s="585">
        <f t="shared" ref="L41" si="94">SUM(L38:M40)</f>
        <v>36</v>
      </c>
      <c r="M41" s="586"/>
      <c r="N41" s="585">
        <f t="shared" ref="N41" si="95">SUM(N38:O40)</f>
        <v>12</v>
      </c>
      <c r="O41" s="586"/>
      <c r="P41" s="585">
        <f t="shared" ref="P41" si="96">SUM(P38:Q40)</f>
        <v>56</v>
      </c>
      <c r="Q41" s="601"/>
      <c r="R41" s="602">
        <f t="shared" ref="R41" si="97">SUM(R38:S40)</f>
        <v>36</v>
      </c>
      <c r="S41" s="593"/>
      <c r="T41" s="585">
        <f t="shared" ref="T41" si="98">SUM(T38:U40)</f>
        <v>15</v>
      </c>
      <c r="U41" s="593"/>
      <c r="V41" s="210">
        <f t="shared" ref="V41" si="99">IF(AND(F41&gt;=$G$8,H41&gt;=$I$8,L41&gt;=$M$8,P41&gt;=$Q$8,R41&gt;=$S$8,T41&gt;=$U$8),SUM(F41:U41),0)</f>
        <v>0</v>
      </c>
      <c r="W41" s="264"/>
      <c r="X41" s="97"/>
      <c r="Y41" s="597"/>
      <c r="Z41" s="91" t="str">
        <f t="shared" ref="Z41" si="100">LOOKUP(V41,$AL$6:$AM$10)</f>
        <v>ضعيف</v>
      </c>
      <c r="AA41" s="658"/>
      <c r="AB41" s="10"/>
      <c r="AC41" s="655"/>
      <c r="AN41" s="607"/>
      <c r="AO41" s="607"/>
      <c r="AP41" s="613"/>
      <c r="AQ41" s="612"/>
      <c r="AR41" s="611"/>
      <c r="AS41" s="612"/>
    </row>
    <row r="42" spans="1:45" ht="15" customHeight="1" thickBot="1" x14ac:dyDescent="0.3">
      <c r="A42" s="632">
        <v>9</v>
      </c>
      <c r="B42" s="629" t="str">
        <f>VLOOKUP(A42,مسلسل,2,0)</f>
        <v>سوار وليد مصطفي الورشفاني</v>
      </c>
      <c r="C42" s="621">
        <f>IFERROR(VLOOKUP(B42,اسماء,2,0),"")</f>
        <v>42527</v>
      </c>
      <c r="D42" s="624" t="str">
        <f>IFERROR(VLOOKUP($B42,اسماء,3,0),"")</f>
        <v>إيمان علي سالم</v>
      </c>
      <c r="E42" s="132" t="s">
        <v>30</v>
      </c>
      <c r="F42" s="627">
        <f>IFERROR(VLOOKUP($B42,اسماء,5,0),0)</f>
        <v>31</v>
      </c>
      <c r="G42" s="606"/>
      <c r="H42" s="628">
        <f>IFERROR(VLOOKUP($B42,اسماء,6,0),0)</f>
        <v>43</v>
      </c>
      <c r="I42" s="605"/>
      <c r="J42" s="587">
        <f>IFERROR(VLOOKUP($B42,اسماء,7,0),0)</f>
        <v>19</v>
      </c>
      <c r="K42" s="591"/>
      <c r="L42" s="587">
        <f>IFERROR(VLOOKUP($B42,اسماء,8,0),0)</f>
        <v>31</v>
      </c>
      <c r="M42" s="588"/>
      <c r="N42" s="587">
        <f>IFERROR(VLOOKUP($B42,اسماء,9,0),0)</f>
        <v>10</v>
      </c>
      <c r="O42" s="605"/>
      <c r="P42" s="587">
        <f>IFERROR(VLOOKUP($B42,اسماء,10,0),0)</f>
        <v>45</v>
      </c>
      <c r="Q42" s="605"/>
      <c r="R42" s="606">
        <f>IFERROR(VLOOKUP($B42,اسماء,11,0),0)</f>
        <v>35</v>
      </c>
      <c r="S42" s="591"/>
      <c r="T42" s="587">
        <f>IFERROR(VLOOKUP($B42,اسماء,12,0),0)</f>
        <v>24</v>
      </c>
      <c r="U42" s="591"/>
      <c r="V42" s="263">
        <f t="shared" ref="V42:V44" si="101">SUM(F42:U42)</f>
        <v>238</v>
      </c>
      <c r="W42" s="373" t="str">
        <f>IFERROR(VLOOKUP($B42,اسماء,14,0),0)</f>
        <v>جيد جداً</v>
      </c>
      <c r="X42" s="373" t="str">
        <f>IFERROR(VLOOKUP($B42,اسماء,15,0),0)</f>
        <v>جيد جداً</v>
      </c>
      <c r="Y42" s="595" t="str">
        <f t="shared" ref="Y42" si="102">IF(AC42="غائب","راسب",IF(AND(F45&gt;=$G$8,H45&gt;=$I$8,J45&gt;=$K$8,L45&gt;=$M$8,N45&gt;=$O$8,P45&gt;=$Q$8,R45&gt;=$S$8,T45&gt;=$U$8),"ناجح","له دور ثان"))</f>
        <v>له دور ثان</v>
      </c>
      <c r="Z42" s="21" t="str">
        <f t="shared" ref="Z42:Z43" si="103">LOOKUP(V42,$AF$6:$AG$10)</f>
        <v>ممتاز</v>
      </c>
      <c r="AA42" s="656">
        <f t="shared" ref="AA42" si="104">V45/$AF$3</f>
        <v>0</v>
      </c>
      <c r="AB42" s="72"/>
      <c r="AC42" s="653">
        <f>IFERROR(VLOOKUP($B42,اسماء,54,0),"")</f>
        <v>0</v>
      </c>
      <c r="AN42" s="607" t="str">
        <f t="shared" ref="AN42" si="105">IF(V45=0,"",V45/1+ROW()*0.00001)</f>
        <v/>
      </c>
      <c r="AO42" s="607" t="str">
        <f>B42</f>
        <v>سوار وليد مصطفي الورشفاني</v>
      </c>
      <c r="AP42" s="613"/>
      <c r="AQ42" s="612">
        <v>9</v>
      </c>
      <c r="AR42" s="611" t="str">
        <f>IFERROR(LARGE($AN$10:$AN$1006,AQ42),"")</f>
        <v/>
      </c>
      <c r="AS42" s="612" t="str">
        <f>VLOOKUP(AR42,$AN$10:$AO$1116,2,0)</f>
        <v>أحمد نورالدين أحمد الذيب</v>
      </c>
    </row>
    <row r="43" spans="1:45" ht="15" customHeight="1" thickBot="1" x14ac:dyDescent="0.3">
      <c r="A43" s="633"/>
      <c r="B43" s="630"/>
      <c r="C43" s="622"/>
      <c r="D43" s="625"/>
      <c r="E43" s="133" t="s">
        <v>31</v>
      </c>
      <c r="F43" s="589">
        <f>IFERROR(VLOOKUP($B42,اسماء,18,0),0)</f>
        <v>0</v>
      </c>
      <c r="G43" s="592"/>
      <c r="H43" s="608">
        <f>IFERROR(VLOOKUP($B42,اسماء,19,0),0)</f>
        <v>0</v>
      </c>
      <c r="I43" s="609"/>
      <c r="J43" s="589">
        <f>IFERROR(VLOOKUP($B42,اسماء,20,0),0)</f>
        <v>0</v>
      </c>
      <c r="K43" s="592"/>
      <c r="L43" s="589">
        <f>IFERROR(VLOOKUP($B42,اسماء,21,0),0)</f>
        <v>0</v>
      </c>
      <c r="M43" s="590"/>
      <c r="N43" s="589">
        <f>IFERROR(VLOOKUP($B42,اسماء,22,0),0)</f>
        <v>0</v>
      </c>
      <c r="O43" s="590"/>
      <c r="P43" s="589">
        <f>IFERROR(VLOOKUP($B42,اسماء,23,0),0)</f>
        <v>0</v>
      </c>
      <c r="Q43" s="609"/>
      <c r="R43" s="603">
        <f>IFERROR(VLOOKUP($B42,اسماء,24,0),0)</f>
        <v>0</v>
      </c>
      <c r="S43" s="592"/>
      <c r="T43" s="589">
        <f>IFERROR(VLOOKUP($B42,اسماء,25,0),0)</f>
        <v>0</v>
      </c>
      <c r="U43" s="592"/>
      <c r="V43" s="263">
        <f t="shared" si="101"/>
        <v>0</v>
      </c>
      <c r="W43" s="373">
        <f>IFERROR(VLOOKUP($B42,اسماء,27,0),0)</f>
        <v>0</v>
      </c>
      <c r="X43" s="373">
        <f>IFERROR(VLOOKUP($B42,اسماء,28,0),0)</f>
        <v>0</v>
      </c>
      <c r="Y43" s="596"/>
      <c r="Z43" s="22" t="str">
        <f t="shared" si="103"/>
        <v>ضعيف</v>
      </c>
      <c r="AA43" s="657"/>
      <c r="AB43" s="72"/>
      <c r="AC43" s="654"/>
      <c r="AN43" s="607"/>
      <c r="AO43" s="607"/>
      <c r="AP43" s="613"/>
      <c r="AQ43" s="612"/>
      <c r="AR43" s="611"/>
      <c r="AS43" s="612"/>
    </row>
    <row r="44" spans="1:45" ht="15" customHeight="1" x14ac:dyDescent="0.25">
      <c r="A44" s="633"/>
      <c r="B44" s="630"/>
      <c r="C44" s="622"/>
      <c r="D44" s="625"/>
      <c r="E44" s="133" t="s">
        <v>32</v>
      </c>
      <c r="F44" s="589">
        <f>IFERROR(VLOOKUP($B42,اسماء,31,0),0)</f>
        <v>0</v>
      </c>
      <c r="G44" s="592"/>
      <c r="H44" s="608">
        <f>IFERROR(VLOOKUP($B42,اسماء,32,0),0)</f>
        <v>0</v>
      </c>
      <c r="I44" s="609"/>
      <c r="J44" s="589">
        <f>IFERROR(VLOOKUP($B42,اسماء,33,0),0)</f>
        <v>0</v>
      </c>
      <c r="K44" s="592"/>
      <c r="L44" s="589">
        <f>IFERROR(VLOOKUP($B42,اسماء,34,0),0)</f>
        <v>0</v>
      </c>
      <c r="M44" s="590"/>
      <c r="N44" s="589">
        <f>IFERROR(VLOOKUP($B42,اسماء,35,0),0)</f>
        <v>0</v>
      </c>
      <c r="O44" s="590"/>
      <c r="P44" s="589">
        <f>IFERROR(VLOOKUP($B42,اسماء,36,0),0)</f>
        <v>0</v>
      </c>
      <c r="Q44" s="609"/>
      <c r="R44" s="603">
        <f>IFERROR(VLOOKUP($B42,اسماء,37,0),0)</f>
        <v>0</v>
      </c>
      <c r="S44" s="592"/>
      <c r="T44" s="589">
        <f>IFERROR(VLOOKUP($B42,اسماء,38,0),0)</f>
        <v>0</v>
      </c>
      <c r="U44" s="592"/>
      <c r="V44" s="263">
        <f t="shared" si="101"/>
        <v>0</v>
      </c>
      <c r="W44" s="373">
        <f>IFERROR(VLOOKUP($B42,اسماء,40,0),0)</f>
        <v>0</v>
      </c>
      <c r="X44" s="373">
        <f>IFERROR(VLOOKUP($B42,اسماء,41,0),0)</f>
        <v>0</v>
      </c>
      <c r="Y44" s="596"/>
      <c r="Z44" s="22" t="str">
        <f t="shared" ref="Z44" si="106">LOOKUP(V44,$AI$6:$AJ$10)</f>
        <v>ضعيف</v>
      </c>
      <c r="AA44" s="657"/>
      <c r="AB44" s="10"/>
      <c r="AC44" s="654"/>
      <c r="AN44" s="607"/>
      <c r="AO44" s="607"/>
      <c r="AP44" s="613"/>
      <c r="AQ44" s="612"/>
      <c r="AR44" s="611"/>
      <c r="AS44" s="612"/>
    </row>
    <row r="45" spans="1:45" ht="15" customHeight="1" thickBot="1" x14ac:dyDescent="0.3">
      <c r="A45" s="634"/>
      <c r="B45" s="631"/>
      <c r="C45" s="623"/>
      <c r="D45" s="626"/>
      <c r="E45" s="127" t="s">
        <v>33</v>
      </c>
      <c r="F45" s="585">
        <f t="shared" ref="F45" si="107">SUM(F42:G44)</f>
        <v>31</v>
      </c>
      <c r="G45" s="593"/>
      <c r="H45" s="604">
        <f t="shared" ref="H45" si="108">SUM(H42:I44)</f>
        <v>43</v>
      </c>
      <c r="I45" s="601"/>
      <c r="J45" s="585">
        <f t="shared" ref="J45" si="109">SUM(J42:K44)</f>
        <v>19</v>
      </c>
      <c r="K45" s="593"/>
      <c r="L45" s="585">
        <f t="shared" ref="L45" si="110">SUM(L42:M44)</f>
        <v>31</v>
      </c>
      <c r="M45" s="586"/>
      <c r="N45" s="585">
        <f t="shared" ref="N45" si="111">SUM(N42:O44)</f>
        <v>10</v>
      </c>
      <c r="O45" s="586"/>
      <c r="P45" s="585">
        <f t="shared" ref="P45" si="112">SUM(P42:Q44)</f>
        <v>45</v>
      </c>
      <c r="Q45" s="601"/>
      <c r="R45" s="602">
        <f t="shared" ref="R45" si="113">SUM(R42:S44)</f>
        <v>35</v>
      </c>
      <c r="S45" s="593"/>
      <c r="T45" s="585">
        <f t="shared" ref="T45" si="114">SUM(T42:U44)</f>
        <v>24</v>
      </c>
      <c r="U45" s="593"/>
      <c r="V45" s="210">
        <f t="shared" ref="V45" si="115">IF(AND(F45&gt;=$G$8,H45&gt;=$I$8,L45&gt;=$M$8,P45&gt;=$Q$8,R45&gt;=$S$8,T45&gt;=$U$8),SUM(F45:U45),0)</f>
        <v>0</v>
      </c>
      <c r="W45" s="264"/>
      <c r="X45" s="97"/>
      <c r="Y45" s="597"/>
      <c r="Z45" s="91" t="str">
        <f t="shared" ref="Z45" si="116">LOOKUP(V45,$AL$6:$AM$10)</f>
        <v>ضعيف</v>
      </c>
      <c r="AA45" s="658"/>
      <c r="AB45" s="72"/>
      <c r="AC45" s="655"/>
      <c r="AN45" s="607"/>
      <c r="AO45" s="607"/>
      <c r="AP45" s="613"/>
      <c r="AQ45" s="612"/>
      <c r="AR45" s="611"/>
      <c r="AS45" s="612"/>
    </row>
    <row r="46" spans="1:45" ht="15" customHeight="1" thickBot="1" x14ac:dyDescent="0.3">
      <c r="A46" s="659">
        <v>10</v>
      </c>
      <c r="B46" s="629" t="str">
        <f>VLOOKUP(A46,مسلسل,2,0)</f>
        <v>عبد السميع محمد الهادي موسى</v>
      </c>
      <c r="C46" s="621">
        <f>IFERROR(VLOOKUP(B46,اسماء,2,0),"")</f>
        <v>42626</v>
      </c>
      <c r="D46" s="624" t="str">
        <f>IFERROR(VLOOKUP($B46,اسماء,3,0),"")</f>
        <v>مريم علي حسين علي</v>
      </c>
      <c r="E46" s="132" t="s">
        <v>30</v>
      </c>
      <c r="F46" s="627">
        <f>IFERROR(VLOOKUP($B46,اسماء,5,0),0)</f>
        <v>36</v>
      </c>
      <c r="G46" s="606"/>
      <c r="H46" s="628">
        <f>IFERROR(VLOOKUP($B46,اسماء,6,0),0)</f>
        <v>48</v>
      </c>
      <c r="I46" s="605"/>
      <c r="J46" s="587">
        <f>IFERROR(VLOOKUP($B46,اسماء,7,0),0)</f>
        <v>23</v>
      </c>
      <c r="K46" s="591"/>
      <c r="L46" s="587">
        <f>IFERROR(VLOOKUP($B46,اسماء,8,0),0)</f>
        <v>35</v>
      </c>
      <c r="M46" s="588"/>
      <c r="N46" s="587">
        <f>IFERROR(VLOOKUP($B46,اسماء,9,0),0)</f>
        <v>12</v>
      </c>
      <c r="O46" s="605"/>
      <c r="P46" s="587">
        <f>IFERROR(VLOOKUP($B46,اسماء,10,0),0)</f>
        <v>60</v>
      </c>
      <c r="Q46" s="605"/>
      <c r="R46" s="606">
        <f>IFERROR(VLOOKUP($B46,اسماء,11,0),0)</f>
        <v>36</v>
      </c>
      <c r="S46" s="591"/>
      <c r="T46" s="587">
        <f>IFERROR(VLOOKUP($B46,اسماء,12,0),0)</f>
        <v>24</v>
      </c>
      <c r="U46" s="591"/>
      <c r="V46" s="263">
        <f t="shared" ref="V46:V48" si="117">SUM(F46:U46)</f>
        <v>274</v>
      </c>
      <c r="W46" s="373" t="str">
        <f>IFERROR(VLOOKUP($B46,اسماء,14,0),0)</f>
        <v>جيد جداً</v>
      </c>
      <c r="X46" s="373" t="str">
        <f>IFERROR(VLOOKUP($B46,اسماء,15,0),0)</f>
        <v>جيد جداً</v>
      </c>
      <c r="Y46" s="595" t="str">
        <f t="shared" ref="Y46" si="118">IF(AC46="غائب","راسب",IF(AND(F49&gt;=$G$8,H49&gt;=$I$8,J49&gt;=$K$8,L49&gt;=$M$8,N49&gt;=$O$8,P49&gt;=$Q$8,R49&gt;=$S$8,T49&gt;=$U$8),"ناجح","له دور ثان"))</f>
        <v>له دور ثان</v>
      </c>
      <c r="Z46" s="21" t="str">
        <f t="shared" ref="Z46:Z47" si="119">LOOKUP(V46,$AF$6:$AG$10)</f>
        <v>ممتاز</v>
      </c>
      <c r="AA46" s="656">
        <f t="shared" ref="AA46" si="120">V49/$AF$3</f>
        <v>0</v>
      </c>
      <c r="AB46" s="72"/>
      <c r="AC46" s="653">
        <f>IFERROR(VLOOKUP($B46,اسماء,54,0),"")</f>
        <v>0</v>
      </c>
      <c r="AN46" s="607" t="str">
        <f t="shared" ref="AN46" si="121">IF(V49=0,"",V49/1+ROW()*0.00001)</f>
        <v/>
      </c>
      <c r="AO46" s="607" t="str">
        <f>B46</f>
        <v>عبد السميع محمد الهادي موسى</v>
      </c>
      <c r="AP46" s="613"/>
      <c r="AQ46" s="612">
        <v>10</v>
      </c>
      <c r="AR46" s="611" t="str">
        <f>IFERROR(LARGE($AN$10:$AN$1006,AQ46),"")</f>
        <v/>
      </c>
      <c r="AS46" s="612" t="str">
        <f>VLOOKUP(AR46,$AN$10:$AO$1116,2,0)</f>
        <v>أحمد نورالدين أحمد الذيب</v>
      </c>
    </row>
    <row r="47" spans="1:45" ht="15" customHeight="1" thickBot="1" x14ac:dyDescent="0.3">
      <c r="A47" s="660"/>
      <c r="B47" s="630"/>
      <c r="C47" s="622"/>
      <c r="D47" s="625"/>
      <c r="E47" s="133" t="s">
        <v>31</v>
      </c>
      <c r="F47" s="589">
        <f>IFERROR(VLOOKUP($B46,اسماء,18,0),0)</f>
        <v>0</v>
      </c>
      <c r="G47" s="592"/>
      <c r="H47" s="608">
        <f>IFERROR(VLOOKUP($B46,اسماء,19,0),0)</f>
        <v>0</v>
      </c>
      <c r="I47" s="609"/>
      <c r="J47" s="589">
        <f>IFERROR(VLOOKUP($B46,اسماء,20,0),0)</f>
        <v>0</v>
      </c>
      <c r="K47" s="592"/>
      <c r="L47" s="589">
        <f>IFERROR(VLOOKUP($B46,اسماء,21,0),0)</f>
        <v>0</v>
      </c>
      <c r="M47" s="590"/>
      <c r="N47" s="589">
        <f>IFERROR(VLOOKUP($B46,اسماء,22,0),0)</f>
        <v>0</v>
      </c>
      <c r="O47" s="590"/>
      <c r="P47" s="589">
        <f>IFERROR(VLOOKUP($B46,اسماء,23,0),0)</f>
        <v>0</v>
      </c>
      <c r="Q47" s="609"/>
      <c r="R47" s="603">
        <f>IFERROR(VLOOKUP($B46,اسماء,24,0),0)</f>
        <v>0</v>
      </c>
      <c r="S47" s="592"/>
      <c r="T47" s="589">
        <f>IFERROR(VLOOKUP($B46,اسماء,25,0),0)</f>
        <v>0</v>
      </c>
      <c r="U47" s="592"/>
      <c r="V47" s="263">
        <f t="shared" si="117"/>
        <v>0</v>
      </c>
      <c r="W47" s="373">
        <f>IFERROR(VLOOKUP($B46,اسماء,27,0),0)</f>
        <v>0</v>
      </c>
      <c r="X47" s="373">
        <f>IFERROR(VLOOKUP($B46,اسماء,28,0),0)</f>
        <v>0</v>
      </c>
      <c r="Y47" s="596"/>
      <c r="Z47" s="22" t="str">
        <f t="shared" si="119"/>
        <v>ضعيف</v>
      </c>
      <c r="AA47" s="657"/>
      <c r="AB47" s="10"/>
      <c r="AC47" s="654"/>
      <c r="AN47" s="607"/>
      <c r="AO47" s="607"/>
      <c r="AP47" s="613"/>
      <c r="AQ47" s="612"/>
      <c r="AR47" s="611"/>
      <c r="AS47" s="612"/>
    </row>
    <row r="48" spans="1:45" ht="15" customHeight="1" x14ac:dyDescent="0.25">
      <c r="A48" s="660"/>
      <c r="B48" s="630"/>
      <c r="C48" s="622"/>
      <c r="D48" s="625"/>
      <c r="E48" s="133" t="s">
        <v>32</v>
      </c>
      <c r="F48" s="589">
        <f>IFERROR(VLOOKUP($B46,اسماء,31,0),0)</f>
        <v>0</v>
      </c>
      <c r="G48" s="592"/>
      <c r="H48" s="608">
        <f>IFERROR(VLOOKUP($B46,اسماء,32,0),0)</f>
        <v>0</v>
      </c>
      <c r="I48" s="609"/>
      <c r="J48" s="589">
        <f>IFERROR(VLOOKUP($B46,اسماء,33,0),0)</f>
        <v>0</v>
      </c>
      <c r="K48" s="592"/>
      <c r="L48" s="589">
        <f>IFERROR(VLOOKUP($B46,اسماء,34,0),0)</f>
        <v>0</v>
      </c>
      <c r="M48" s="590"/>
      <c r="N48" s="589">
        <f>IFERROR(VLOOKUP($B46,اسماء,35,0),0)</f>
        <v>0</v>
      </c>
      <c r="O48" s="590"/>
      <c r="P48" s="589">
        <f>IFERROR(VLOOKUP($B46,اسماء,36,0),0)</f>
        <v>0</v>
      </c>
      <c r="Q48" s="609"/>
      <c r="R48" s="603">
        <f>IFERROR(VLOOKUP($B46,اسماء,37,0),0)</f>
        <v>0</v>
      </c>
      <c r="S48" s="592"/>
      <c r="T48" s="589">
        <f>IFERROR(VLOOKUP($B46,اسماء,38,0),0)</f>
        <v>0</v>
      </c>
      <c r="U48" s="592"/>
      <c r="V48" s="263">
        <f t="shared" si="117"/>
        <v>0</v>
      </c>
      <c r="W48" s="373">
        <f>IFERROR(VLOOKUP($B46,اسماء,40,0),0)</f>
        <v>0</v>
      </c>
      <c r="X48" s="373">
        <f>IFERROR(VLOOKUP($B46,اسماء,41,0),0)</f>
        <v>0</v>
      </c>
      <c r="Y48" s="596"/>
      <c r="Z48" s="22" t="str">
        <f t="shared" ref="Z48" si="122">LOOKUP(V48,$AI$6:$AJ$10)</f>
        <v>ضعيف</v>
      </c>
      <c r="AA48" s="657"/>
      <c r="AB48" s="72"/>
      <c r="AC48" s="654"/>
      <c r="AN48" s="607"/>
      <c r="AO48" s="607"/>
      <c r="AP48" s="613"/>
      <c r="AQ48" s="612"/>
      <c r="AR48" s="611"/>
      <c r="AS48" s="612"/>
    </row>
    <row r="49" spans="1:45" ht="15" customHeight="1" thickBot="1" x14ac:dyDescent="0.3">
      <c r="A49" s="661"/>
      <c r="B49" s="631"/>
      <c r="C49" s="623"/>
      <c r="D49" s="626"/>
      <c r="E49" s="127" t="s">
        <v>33</v>
      </c>
      <c r="F49" s="585">
        <f t="shared" ref="F49" si="123">SUM(F46:G48)</f>
        <v>36</v>
      </c>
      <c r="G49" s="593"/>
      <c r="H49" s="604">
        <f t="shared" ref="H49" si="124">SUM(H46:I48)</f>
        <v>48</v>
      </c>
      <c r="I49" s="601"/>
      <c r="J49" s="585">
        <f t="shared" ref="J49" si="125">SUM(J46:K48)</f>
        <v>23</v>
      </c>
      <c r="K49" s="593"/>
      <c r="L49" s="585">
        <f t="shared" ref="L49" si="126">SUM(L46:M48)</f>
        <v>35</v>
      </c>
      <c r="M49" s="586"/>
      <c r="N49" s="585">
        <f t="shared" ref="N49" si="127">SUM(N46:O48)</f>
        <v>12</v>
      </c>
      <c r="O49" s="586"/>
      <c r="P49" s="585">
        <f t="shared" ref="P49" si="128">SUM(P46:Q48)</f>
        <v>60</v>
      </c>
      <c r="Q49" s="601"/>
      <c r="R49" s="602">
        <f t="shared" ref="R49" si="129">SUM(R46:S48)</f>
        <v>36</v>
      </c>
      <c r="S49" s="593"/>
      <c r="T49" s="585">
        <f t="shared" ref="T49" si="130">SUM(T46:U48)</f>
        <v>24</v>
      </c>
      <c r="U49" s="593"/>
      <c r="V49" s="210">
        <f t="shared" ref="V49" si="131">IF(AND(F49&gt;=$G$8,H49&gt;=$I$8,L49&gt;=$M$8,P49&gt;=$Q$8,R49&gt;=$S$8,T49&gt;=$U$8),SUM(F49:U49),0)</f>
        <v>0</v>
      </c>
      <c r="W49" s="264"/>
      <c r="X49" s="97"/>
      <c r="Y49" s="597"/>
      <c r="Z49" s="91" t="str">
        <f t="shared" ref="Z49" si="132">LOOKUP(V49,$AL$6:$AM$10)</f>
        <v>ضعيف</v>
      </c>
      <c r="AA49" s="658"/>
      <c r="AB49" s="72"/>
      <c r="AC49" s="655"/>
      <c r="AN49" s="607"/>
      <c r="AO49" s="607"/>
      <c r="AP49" s="613"/>
      <c r="AQ49" s="612"/>
      <c r="AR49" s="611"/>
      <c r="AS49" s="612"/>
    </row>
    <row r="50" spans="1:45" ht="15" customHeight="1" thickBot="1" x14ac:dyDescent="0.3">
      <c r="F50" s="75"/>
      <c r="G50" s="76"/>
      <c r="H50" s="75"/>
      <c r="I50" s="76"/>
      <c r="J50" s="75"/>
      <c r="K50" s="76"/>
      <c r="L50" s="75"/>
      <c r="M50" s="76"/>
      <c r="N50" s="76"/>
      <c r="O50" s="76"/>
      <c r="P50" s="75"/>
      <c r="Q50" s="76"/>
      <c r="R50" s="75"/>
      <c r="S50" s="76"/>
      <c r="T50" s="75"/>
      <c r="U50" s="76"/>
      <c r="V50" s="74"/>
      <c r="W50" s="77"/>
      <c r="X50" s="74"/>
      <c r="Y50" s="362"/>
      <c r="Z50" s="74"/>
      <c r="AA50" s="267"/>
      <c r="AB50" s="72"/>
      <c r="AK50" s="78"/>
    </row>
    <row r="51" spans="1:45" customFormat="1" ht="15" customHeight="1" x14ac:dyDescent="0.3">
      <c r="A51" s="617" t="s">
        <v>9</v>
      </c>
      <c r="B51" s="618"/>
      <c r="C51" s="619"/>
      <c r="D51" s="288" t="s">
        <v>11</v>
      </c>
      <c r="E51" s="600" t="s">
        <v>97</v>
      </c>
      <c r="F51" s="598"/>
      <c r="G51" s="598"/>
      <c r="H51" s="598"/>
      <c r="I51" s="598"/>
      <c r="J51" s="9"/>
      <c r="K51" s="9"/>
      <c r="L51" s="9"/>
      <c r="M51" s="9"/>
      <c r="N51" s="9"/>
      <c r="O51" s="9"/>
      <c r="P51" s="9"/>
      <c r="Q51" s="9"/>
      <c r="R51" s="9"/>
      <c r="S51" s="598" t="s">
        <v>156</v>
      </c>
      <c r="T51" s="598"/>
      <c r="U51" s="598"/>
      <c r="V51" s="598"/>
      <c r="W51" s="598"/>
      <c r="X51" s="598"/>
      <c r="Y51" s="598"/>
      <c r="Z51" s="1"/>
      <c r="AA51" s="268"/>
      <c r="AC51" s="79"/>
      <c r="AD51" s="80"/>
      <c r="AE51" s="80"/>
      <c r="AF51" s="80"/>
      <c r="AG51" s="80"/>
    </row>
    <row r="52" spans="1:45" customFormat="1" ht="15" customHeight="1" x14ac:dyDescent="0.25">
      <c r="A52" s="81" t="s">
        <v>8</v>
      </c>
      <c r="B52" s="610">
        <f>ادخال1!$BP$3</f>
        <v>0</v>
      </c>
      <c r="C52" s="620"/>
      <c r="D52" s="289"/>
      <c r="E52" s="9" t="s">
        <v>9</v>
      </c>
      <c r="F52" s="599" t="str">
        <f>ادخال1!$BP$5</f>
        <v>د.عبدالرحمن خليفة العريبي</v>
      </c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9"/>
      <c r="S52" s="599" t="str">
        <f>ادخال1!$BP$6</f>
        <v>تاجوراء</v>
      </c>
      <c r="T52" s="599"/>
      <c r="U52" s="599"/>
      <c r="V52" s="599"/>
      <c r="W52" s="599"/>
      <c r="X52" s="599"/>
      <c r="Y52" s="599"/>
      <c r="Z52" s="599"/>
      <c r="AA52" s="67"/>
      <c r="AB52" s="67"/>
      <c r="AC52" s="79"/>
      <c r="AD52" s="79"/>
      <c r="AE52" s="79"/>
      <c r="AF52" s="79"/>
    </row>
    <row r="53" spans="1:45" customFormat="1" ht="15" customHeight="1" thickBot="1" x14ac:dyDescent="0.3">
      <c r="A53" s="82" t="s">
        <v>98</v>
      </c>
      <c r="B53" s="615">
        <f>ادخال1!$BP$4</f>
        <v>0</v>
      </c>
      <c r="C53" s="616"/>
      <c r="D53" s="290"/>
      <c r="E53" s="9" t="s">
        <v>11</v>
      </c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9"/>
      <c r="S53" s="9" t="s">
        <v>11</v>
      </c>
      <c r="T53" s="9"/>
      <c r="U53" s="9" t="s">
        <v>11</v>
      </c>
      <c r="V53" s="1"/>
      <c r="W53" s="1"/>
      <c r="X53" s="1"/>
      <c r="Y53" s="363"/>
      <c r="Z53" s="1"/>
      <c r="AA53" s="268"/>
      <c r="AC53" s="79"/>
      <c r="AD53" s="79"/>
      <c r="AE53" s="79"/>
      <c r="AF53" s="79"/>
    </row>
    <row r="54" spans="1:45" customFormat="1" ht="15" customHeight="1" x14ac:dyDescent="0.25">
      <c r="A54" s="598" t="s">
        <v>99</v>
      </c>
      <c r="B54" s="598"/>
      <c r="C54" s="598"/>
      <c r="D54" s="598"/>
      <c r="E54" s="598" t="s">
        <v>100</v>
      </c>
      <c r="F54" s="598"/>
      <c r="G54" s="598"/>
      <c r="H54" s="598"/>
      <c r="I54" s="598"/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9"/>
      <c r="U54" s="9"/>
      <c r="V54" s="9"/>
      <c r="W54" s="594">
        <f ca="1">TODAY()</f>
        <v>46035</v>
      </c>
      <c r="X54" s="594"/>
      <c r="Y54" s="594"/>
      <c r="Z54" s="594"/>
      <c r="AA54" s="268"/>
    </row>
    <row r="55" spans="1:45" customFormat="1" ht="15" customHeight="1" thickBot="1" x14ac:dyDescent="0.3">
      <c r="A55" s="9"/>
      <c r="B55" s="598" t="s">
        <v>101</v>
      </c>
      <c r="C55" s="598"/>
      <c r="D55" s="598"/>
      <c r="E55" s="598" t="s">
        <v>102</v>
      </c>
      <c r="F55" s="598"/>
      <c r="G55" s="598"/>
      <c r="H55" s="598"/>
      <c r="I55" s="598"/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9"/>
      <c r="U55" s="9"/>
      <c r="V55" s="1"/>
      <c r="W55" s="1"/>
      <c r="X55" s="1"/>
      <c r="Y55" s="363"/>
      <c r="Z55" s="1"/>
      <c r="AA55" s="268"/>
    </row>
    <row r="56" spans="1:45" ht="15" customHeight="1" thickBot="1" x14ac:dyDescent="0.3">
      <c r="A56" s="632">
        <v>11</v>
      </c>
      <c r="B56" s="629" t="str">
        <f>VLOOKUP(A56,مسلسل,2,0)</f>
        <v>عبد العزيز عبدالله محمد المغربي</v>
      </c>
      <c r="C56" s="621">
        <f>IFERROR(VLOOKUP(B56,اسماء,2,0),"")</f>
        <v>42393</v>
      </c>
      <c r="D56" s="624" t="str">
        <f>IFERROR(VLOOKUP($B56,اسماء,3,0),"")</f>
        <v>زينب إبراهيم النقراط</v>
      </c>
      <c r="E56" s="132" t="s">
        <v>30</v>
      </c>
      <c r="F56" s="627">
        <f>IFERROR(VLOOKUP($B56,اسماء,5,0),0)</f>
        <v>36</v>
      </c>
      <c r="G56" s="606"/>
      <c r="H56" s="628">
        <f>IFERROR(VLOOKUP($B56,اسماء,6,0),0)</f>
        <v>48</v>
      </c>
      <c r="I56" s="605"/>
      <c r="J56" s="587">
        <f>IFERROR(VLOOKUP($B56,اسماء,7,0),0)</f>
        <v>22</v>
      </c>
      <c r="K56" s="591"/>
      <c r="L56" s="587">
        <f>IFERROR(VLOOKUP($B56,اسماء,8,0),0)</f>
        <v>30</v>
      </c>
      <c r="M56" s="588"/>
      <c r="N56" s="587">
        <f>IFERROR(VLOOKUP($B56,اسماء,9,0),0)</f>
        <v>12</v>
      </c>
      <c r="O56" s="605"/>
      <c r="P56" s="587">
        <f>IFERROR(VLOOKUP($B56,اسماء,10,0),0)</f>
        <v>60</v>
      </c>
      <c r="Q56" s="605"/>
      <c r="R56" s="606">
        <f>IFERROR(VLOOKUP($B56,اسماء,11,0),0)</f>
        <v>36</v>
      </c>
      <c r="S56" s="591"/>
      <c r="T56" s="587">
        <f>IFERROR(VLOOKUP($B56,اسماء,12,0),0)</f>
        <v>24</v>
      </c>
      <c r="U56" s="591"/>
      <c r="V56" s="263">
        <f t="shared" ref="V56:V58" si="133">SUM(F56:U56)</f>
        <v>268</v>
      </c>
      <c r="W56" s="373" t="str">
        <f>IFERROR(VLOOKUP($B56,اسماء,14,0),0)</f>
        <v>جيد جداً</v>
      </c>
      <c r="X56" s="373" t="str">
        <f>IFERROR(VLOOKUP($B56,اسماء,15,0),0)</f>
        <v>جيد جداً</v>
      </c>
      <c r="Y56" s="595" t="str">
        <f>IF(AC56="غائب","راسب",IF(AND(F59&gt;=$G$8,H59&gt;=$I$8,J59&gt;=$K$8,L59&gt;=$M$8,N59&gt;=$O$8,P59&gt;=$Q$8,R59&gt;=$S$8,T59&gt;=$U$8),"ناجح","له دور ثان"))</f>
        <v>له دور ثان</v>
      </c>
      <c r="Z56" s="21" t="str">
        <f>LOOKUP(V56,$AF$6:$AG$10)</f>
        <v>ممتاز</v>
      </c>
      <c r="AA56" s="656">
        <f>V59/$AF$3</f>
        <v>0</v>
      </c>
      <c r="AB56" s="10"/>
      <c r="AC56" s="653">
        <f>IFERROR(VLOOKUP($B56,اسماء,54,0),"")</f>
        <v>0</v>
      </c>
      <c r="AN56" s="610" t="str">
        <f>IF(V59=0,"",V59/1+ROW()*0.00001)</f>
        <v/>
      </c>
      <c r="AO56" s="610" t="str">
        <f>B56</f>
        <v>عبد العزيز عبدالله محمد المغربي</v>
      </c>
      <c r="AP56" s="613"/>
      <c r="AQ56" s="612">
        <v>11</v>
      </c>
      <c r="AR56" s="611" t="str">
        <f>IFERROR(LARGE($AN$10:$AN$1006,AQ56),"")</f>
        <v/>
      </c>
      <c r="AS56" s="612" t="str">
        <f>VLOOKUP(AR56,$AN$10:$AO$1116,2,0)</f>
        <v>أحمد نورالدين أحمد الذيب</v>
      </c>
    </row>
    <row r="57" spans="1:45" ht="15" customHeight="1" thickBot="1" x14ac:dyDescent="0.3">
      <c r="A57" s="633"/>
      <c r="B57" s="630"/>
      <c r="C57" s="622"/>
      <c r="D57" s="625"/>
      <c r="E57" s="133" t="s">
        <v>31</v>
      </c>
      <c r="F57" s="589">
        <f>IFERROR(VLOOKUP($B56,اسماء,18,0),0)</f>
        <v>0</v>
      </c>
      <c r="G57" s="592"/>
      <c r="H57" s="608">
        <f>IFERROR(VLOOKUP($B56,اسماء,19,0),0)</f>
        <v>0</v>
      </c>
      <c r="I57" s="609"/>
      <c r="J57" s="589">
        <f>IFERROR(VLOOKUP($B56,اسماء,20,0),0)</f>
        <v>0</v>
      </c>
      <c r="K57" s="592"/>
      <c r="L57" s="589">
        <f>IFERROR(VLOOKUP($B56,اسماء,21,0),0)</f>
        <v>0</v>
      </c>
      <c r="M57" s="590"/>
      <c r="N57" s="589">
        <f>IFERROR(VLOOKUP($B56,اسماء,22,0),0)</f>
        <v>0</v>
      </c>
      <c r="O57" s="590"/>
      <c r="P57" s="589">
        <f>IFERROR(VLOOKUP($B56,اسماء,23,0),0)</f>
        <v>0</v>
      </c>
      <c r="Q57" s="609"/>
      <c r="R57" s="603">
        <f>IFERROR(VLOOKUP($B56,اسماء,24,0),0)</f>
        <v>0</v>
      </c>
      <c r="S57" s="592"/>
      <c r="T57" s="589">
        <f>IFERROR(VLOOKUP($B56,اسماء,25,0),0)</f>
        <v>0</v>
      </c>
      <c r="U57" s="592"/>
      <c r="V57" s="263">
        <f t="shared" si="133"/>
        <v>0</v>
      </c>
      <c r="W57" s="373">
        <f>IFERROR(VLOOKUP($B56,اسماء,27,0),0)</f>
        <v>0</v>
      </c>
      <c r="X57" s="373">
        <f>IFERROR(VLOOKUP($B56,اسماء,28,0),0)</f>
        <v>0</v>
      </c>
      <c r="Y57" s="596"/>
      <c r="Z57" s="22" t="str">
        <f>LOOKUP(V57,$AF$6:$AG$10)</f>
        <v>ضعيف</v>
      </c>
      <c r="AA57" s="657"/>
      <c r="AB57" s="72"/>
      <c r="AC57" s="654"/>
      <c r="AN57" s="610"/>
      <c r="AO57" s="610"/>
      <c r="AP57" s="613"/>
      <c r="AQ57" s="612"/>
      <c r="AR57" s="611"/>
      <c r="AS57" s="612"/>
    </row>
    <row r="58" spans="1:45" ht="15" customHeight="1" x14ac:dyDescent="0.25">
      <c r="A58" s="633"/>
      <c r="B58" s="630"/>
      <c r="C58" s="622"/>
      <c r="D58" s="625"/>
      <c r="E58" s="133" t="s">
        <v>32</v>
      </c>
      <c r="F58" s="589">
        <f>IFERROR(VLOOKUP($B56,اسماء,31,0),0)</f>
        <v>0</v>
      </c>
      <c r="G58" s="592"/>
      <c r="H58" s="608">
        <f>IFERROR(VLOOKUP($B56,اسماء,32,0),0)</f>
        <v>0</v>
      </c>
      <c r="I58" s="609"/>
      <c r="J58" s="589">
        <f>IFERROR(VLOOKUP($B56,اسماء,33,0),0)</f>
        <v>0</v>
      </c>
      <c r="K58" s="592"/>
      <c r="L58" s="589">
        <f>IFERROR(VLOOKUP($B56,اسماء,34,0),0)</f>
        <v>0</v>
      </c>
      <c r="M58" s="590"/>
      <c r="N58" s="589">
        <f>IFERROR(VLOOKUP($B56,اسماء,35,0),0)</f>
        <v>0</v>
      </c>
      <c r="O58" s="590"/>
      <c r="P58" s="589">
        <f>IFERROR(VLOOKUP($B56,اسماء,36,0),0)</f>
        <v>0</v>
      </c>
      <c r="Q58" s="609"/>
      <c r="R58" s="603">
        <f>IFERROR(VLOOKUP($B56,اسماء,37,0),0)</f>
        <v>0</v>
      </c>
      <c r="S58" s="592"/>
      <c r="T58" s="589">
        <f>IFERROR(VLOOKUP($B56,اسماء,38,0),0)</f>
        <v>0</v>
      </c>
      <c r="U58" s="592"/>
      <c r="V58" s="263">
        <f t="shared" si="133"/>
        <v>0</v>
      </c>
      <c r="W58" s="373">
        <f>IFERROR(VLOOKUP($B56,اسماء,40,0),0)</f>
        <v>0</v>
      </c>
      <c r="X58" s="373">
        <f>IFERROR(VLOOKUP($B56,اسماء,41,0),0)</f>
        <v>0</v>
      </c>
      <c r="Y58" s="596"/>
      <c r="Z58" s="22" t="str">
        <f>LOOKUP(V58,$AI$6:$AJ$10)</f>
        <v>ضعيف</v>
      </c>
      <c r="AA58" s="657"/>
      <c r="AB58" s="72"/>
      <c r="AC58" s="654"/>
      <c r="AN58" s="610"/>
      <c r="AO58" s="610"/>
      <c r="AP58" s="613"/>
      <c r="AQ58" s="612"/>
      <c r="AR58" s="611"/>
      <c r="AS58" s="612"/>
    </row>
    <row r="59" spans="1:45" ht="15" customHeight="1" thickBot="1" x14ac:dyDescent="0.3">
      <c r="A59" s="634"/>
      <c r="B59" s="631"/>
      <c r="C59" s="623"/>
      <c r="D59" s="626"/>
      <c r="E59" s="127" t="s">
        <v>33</v>
      </c>
      <c r="F59" s="585">
        <f t="shared" ref="F59" si="134">SUM(F56:G58)</f>
        <v>36</v>
      </c>
      <c r="G59" s="593"/>
      <c r="H59" s="604">
        <f t="shared" ref="H59" si="135">SUM(H56:I58)</f>
        <v>48</v>
      </c>
      <c r="I59" s="601"/>
      <c r="J59" s="585">
        <f t="shared" ref="J59" si="136">SUM(J56:K58)</f>
        <v>22</v>
      </c>
      <c r="K59" s="593"/>
      <c r="L59" s="585">
        <f t="shared" ref="L59" si="137">SUM(L56:M58)</f>
        <v>30</v>
      </c>
      <c r="M59" s="586"/>
      <c r="N59" s="585">
        <f t="shared" ref="N59" si="138">SUM(N56:O58)</f>
        <v>12</v>
      </c>
      <c r="O59" s="586"/>
      <c r="P59" s="585">
        <f t="shared" ref="P59" si="139">SUM(P56:Q58)</f>
        <v>60</v>
      </c>
      <c r="Q59" s="601"/>
      <c r="R59" s="602">
        <f t="shared" ref="R59" si="140">SUM(R56:S58)</f>
        <v>36</v>
      </c>
      <c r="S59" s="593"/>
      <c r="T59" s="585">
        <f t="shared" ref="T59" si="141">SUM(T56:U58)</f>
        <v>24</v>
      </c>
      <c r="U59" s="593"/>
      <c r="V59" s="210">
        <f t="shared" ref="V59" si="142">IF(AND(F59&gt;=$G$8,H59&gt;=$I$8,L59&gt;=$M$8,P59&gt;=$Q$8,R59&gt;=$S$8,T59&gt;=$U$8),SUM(F59:U59),0)</f>
        <v>0</v>
      </c>
      <c r="W59" s="264"/>
      <c r="X59" s="97"/>
      <c r="Y59" s="597"/>
      <c r="Z59" s="91" t="str">
        <f>LOOKUP(V59,$AL$6:$AM$10)</f>
        <v>ضعيف</v>
      </c>
      <c r="AA59" s="658"/>
      <c r="AB59" s="10"/>
      <c r="AC59" s="655"/>
      <c r="AN59" s="610"/>
      <c r="AO59" s="610"/>
      <c r="AP59" s="613"/>
      <c r="AQ59" s="612"/>
      <c r="AR59" s="611"/>
      <c r="AS59" s="612"/>
    </row>
    <row r="60" spans="1:45" ht="15" customHeight="1" thickBot="1" x14ac:dyDescent="0.3">
      <c r="A60" s="632">
        <v>12</v>
      </c>
      <c r="B60" s="629" t="str">
        <f>VLOOKUP(A60,مسلسل,2,0)</f>
        <v>عبد الوهاب علي عبد الوهاب بودجاجة</v>
      </c>
      <c r="C60" s="621">
        <f>IFERROR(VLOOKUP(B60,اسماء,2,0),"")</f>
        <v>42597</v>
      </c>
      <c r="D60" s="624" t="str">
        <f>IFERROR(VLOOKUP($B60,اسماء,3,0),"")</f>
        <v>بشرى عبداللطيف بو غرارة</v>
      </c>
      <c r="E60" s="132" t="s">
        <v>30</v>
      </c>
      <c r="F60" s="627">
        <f>IFERROR(VLOOKUP($B60,اسماء,5,0),0)</f>
        <v>35</v>
      </c>
      <c r="G60" s="606"/>
      <c r="H60" s="628">
        <f>IFERROR(VLOOKUP($B60,اسماء,6,0),0)</f>
        <v>46</v>
      </c>
      <c r="I60" s="605"/>
      <c r="J60" s="587">
        <f>IFERROR(VLOOKUP($B60,اسماء,7,0),0)</f>
        <v>19</v>
      </c>
      <c r="K60" s="591"/>
      <c r="L60" s="587">
        <f>IFERROR(VLOOKUP($B60,اسماء,8,0),0)</f>
        <v>30</v>
      </c>
      <c r="M60" s="588"/>
      <c r="N60" s="587">
        <f>IFERROR(VLOOKUP($B60,اسماء,9,0),0)</f>
        <v>12</v>
      </c>
      <c r="O60" s="605"/>
      <c r="P60" s="587">
        <f>IFERROR(VLOOKUP($B60,اسماء,10,0),0)</f>
        <v>44</v>
      </c>
      <c r="Q60" s="605"/>
      <c r="R60" s="606">
        <f>IFERROR(VLOOKUP($B60,اسماء,11,0),0)</f>
        <v>36</v>
      </c>
      <c r="S60" s="591"/>
      <c r="T60" s="587">
        <f>IFERROR(VLOOKUP($B60,اسماء,12,0),0)</f>
        <v>24</v>
      </c>
      <c r="U60" s="591"/>
      <c r="V60" s="263">
        <f t="shared" ref="V60:V62" si="143">SUM(F60:U60)</f>
        <v>246</v>
      </c>
      <c r="W60" s="373" t="str">
        <f>IFERROR(VLOOKUP($B60,اسماء,14,0),0)</f>
        <v>جيد جداً</v>
      </c>
      <c r="X60" s="373" t="str">
        <f>IFERROR(VLOOKUP($B60,اسماء,15,0),0)</f>
        <v>جيد جداً</v>
      </c>
      <c r="Y60" s="595" t="str">
        <f t="shared" ref="Y60" si="144">IF(AC60="غائب","راسب",IF(AND(F63&gt;=$G$8,H63&gt;=$I$8,J63&gt;=$K$8,L63&gt;=$M$8,N63&gt;=$O$8,P63&gt;=$Q$8,R63&gt;=$S$8,T63&gt;=$U$8),"ناجح","له دور ثان"))</f>
        <v>له دور ثان</v>
      </c>
      <c r="Z60" s="21" t="str">
        <f>LOOKUP(V60,$AF$6:$AG$10)</f>
        <v>ممتاز</v>
      </c>
      <c r="AA60" s="656">
        <f>V63/$AF$3</f>
        <v>0</v>
      </c>
      <c r="AB60" s="72"/>
      <c r="AC60" s="653">
        <f>IFERROR(VLOOKUP($B60,اسماء,54,0),"")</f>
        <v>0</v>
      </c>
      <c r="AN60" s="607" t="str">
        <f t="shared" ref="AN60" si="145">IF(V63=0,"",V63/1+ROW()*0.00001)</f>
        <v/>
      </c>
      <c r="AO60" s="607" t="str">
        <f>B60</f>
        <v>عبد الوهاب علي عبد الوهاب بودجاجة</v>
      </c>
      <c r="AP60" s="613"/>
      <c r="AQ60" s="612">
        <v>12</v>
      </c>
      <c r="AR60" s="611" t="str">
        <f>IFERROR(LARGE($AN$10:$AN$1006,AQ60),"")</f>
        <v/>
      </c>
      <c r="AS60" s="612" t="str">
        <f>VLOOKUP(AR60,$AN$10:$AO$1116,2,0)</f>
        <v>أحمد نورالدين أحمد الذيب</v>
      </c>
    </row>
    <row r="61" spans="1:45" ht="15" customHeight="1" thickBot="1" x14ac:dyDescent="0.3">
      <c r="A61" s="633"/>
      <c r="B61" s="630"/>
      <c r="C61" s="622"/>
      <c r="D61" s="625"/>
      <c r="E61" s="133" t="s">
        <v>31</v>
      </c>
      <c r="F61" s="589">
        <f>IFERROR(VLOOKUP($B60,اسماء,18,0),0)</f>
        <v>0</v>
      </c>
      <c r="G61" s="592"/>
      <c r="H61" s="608">
        <f>IFERROR(VLOOKUP($B60,اسماء,19,0),0)</f>
        <v>0</v>
      </c>
      <c r="I61" s="609"/>
      <c r="J61" s="589">
        <f>IFERROR(VLOOKUP($B60,اسماء,20,0),0)</f>
        <v>0</v>
      </c>
      <c r="K61" s="592"/>
      <c r="L61" s="589">
        <f>IFERROR(VLOOKUP($B60,اسماء,21,0),0)</f>
        <v>0</v>
      </c>
      <c r="M61" s="590"/>
      <c r="N61" s="589">
        <f>IFERROR(VLOOKUP($B60,اسماء,22,0),0)</f>
        <v>0</v>
      </c>
      <c r="O61" s="590"/>
      <c r="P61" s="589">
        <f>IFERROR(VLOOKUP($B60,اسماء,23,0),0)</f>
        <v>0</v>
      </c>
      <c r="Q61" s="609"/>
      <c r="R61" s="603">
        <f>IFERROR(VLOOKUP($B60,اسماء,24,0),0)</f>
        <v>0</v>
      </c>
      <c r="S61" s="592"/>
      <c r="T61" s="589">
        <f>IFERROR(VLOOKUP($B60,اسماء,25,0),0)</f>
        <v>0</v>
      </c>
      <c r="U61" s="592"/>
      <c r="V61" s="263">
        <f t="shared" si="143"/>
        <v>0</v>
      </c>
      <c r="W61" s="373">
        <f>IFERROR(VLOOKUP($B60,اسماء,27,0),0)</f>
        <v>0</v>
      </c>
      <c r="X61" s="373">
        <f>IFERROR(VLOOKUP($B60,اسماء,28,0),0)</f>
        <v>0</v>
      </c>
      <c r="Y61" s="596"/>
      <c r="Z61" s="22" t="str">
        <f>LOOKUP(V61,$AF$6:$AG$10)</f>
        <v>ضعيف</v>
      </c>
      <c r="AA61" s="657"/>
      <c r="AB61" s="72"/>
      <c r="AC61" s="654"/>
      <c r="AN61" s="607"/>
      <c r="AO61" s="607"/>
      <c r="AP61" s="613"/>
      <c r="AQ61" s="612"/>
      <c r="AR61" s="611"/>
      <c r="AS61" s="612"/>
    </row>
    <row r="62" spans="1:45" ht="15" customHeight="1" x14ac:dyDescent="0.25">
      <c r="A62" s="633"/>
      <c r="B62" s="630"/>
      <c r="C62" s="622"/>
      <c r="D62" s="625"/>
      <c r="E62" s="133" t="s">
        <v>32</v>
      </c>
      <c r="F62" s="589">
        <f>IFERROR(VLOOKUP($B60,اسماء,31,0),0)</f>
        <v>0</v>
      </c>
      <c r="G62" s="592"/>
      <c r="H62" s="608">
        <f>IFERROR(VLOOKUP($B60,اسماء,32,0),0)</f>
        <v>0</v>
      </c>
      <c r="I62" s="609"/>
      <c r="J62" s="589">
        <f>IFERROR(VLOOKUP($B60,اسماء,33,0),0)</f>
        <v>0</v>
      </c>
      <c r="K62" s="592"/>
      <c r="L62" s="589">
        <f>IFERROR(VLOOKUP($B60,اسماء,34,0),0)</f>
        <v>0</v>
      </c>
      <c r="M62" s="590"/>
      <c r="N62" s="589">
        <f>IFERROR(VLOOKUP($B60,اسماء,35,0),0)</f>
        <v>0</v>
      </c>
      <c r="O62" s="590"/>
      <c r="P62" s="589">
        <f>IFERROR(VLOOKUP($B60,اسماء,36,0),0)</f>
        <v>0</v>
      </c>
      <c r="Q62" s="609"/>
      <c r="R62" s="603">
        <f>IFERROR(VLOOKUP($B60,اسماء,37,0),0)</f>
        <v>0</v>
      </c>
      <c r="S62" s="592"/>
      <c r="T62" s="589">
        <f>IFERROR(VLOOKUP($B60,اسماء,38,0),0)</f>
        <v>0</v>
      </c>
      <c r="U62" s="592"/>
      <c r="V62" s="263">
        <f t="shared" si="143"/>
        <v>0</v>
      </c>
      <c r="W62" s="373">
        <f>IFERROR(VLOOKUP($B60,اسماء,40,0),0)</f>
        <v>0</v>
      </c>
      <c r="X62" s="373">
        <f>IFERROR(VLOOKUP($B60,اسماء,41,0),0)</f>
        <v>0</v>
      </c>
      <c r="Y62" s="596"/>
      <c r="Z62" s="22" t="str">
        <f>LOOKUP(V62,$AI$6:$AJ$10)</f>
        <v>ضعيف</v>
      </c>
      <c r="AA62" s="657"/>
      <c r="AB62" s="10"/>
      <c r="AC62" s="654"/>
      <c r="AN62" s="607"/>
      <c r="AO62" s="607"/>
      <c r="AP62" s="613"/>
      <c r="AQ62" s="612"/>
      <c r="AR62" s="611"/>
      <c r="AS62" s="612"/>
    </row>
    <row r="63" spans="1:45" ht="15" customHeight="1" thickBot="1" x14ac:dyDescent="0.3">
      <c r="A63" s="634"/>
      <c r="B63" s="631"/>
      <c r="C63" s="623"/>
      <c r="D63" s="626"/>
      <c r="E63" s="127" t="s">
        <v>33</v>
      </c>
      <c r="F63" s="585">
        <f t="shared" ref="F63" si="146">SUM(F60:G62)</f>
        <v>35</v>
      </c>
      <c r="G63" s="593"/>
      <c r="H63" s="604">
        <f t="shared" ref="H63" si="147">SUM(H60:I62)</f>
        <v>46</v>
      </c>
      <c r="I63" s="601"/>
      <c r="J63" s="585">
        <f t="shared" ref="J63" si="148">SUM(J60:K62)</f>
        <v>19</v>
      </c>
      <c r="K63" s="593"/>
      <c r="L63" s="585">
        <f t="shared" ref="L63" si="149">SUM(L60:M62)</f>
        <v>30</v>
      </c>
      <c r="M63" s="586"/>
      <c r="N63" s="585">
        <f t="shared" ref="N63" si="150">SUM(N60:O62)</f>
        <v>12</v>
      </c>
      <c r="O63" s="586"/>
      <c r="P63" s="585">
        <f t="shared" ref="P63" si="151">SUM(P60:Q62)</f>
        <v>44</v>
      </c>
      <c r="Q63" s="601"/>
      <c r="R63" s="602">
        <f t="shared" ref="R63" si="152">SUM(R60:S62)</f>
        <v>36</v>
      </c>
      <c r="S63" s="593"/>
      <c r="T63" s="585">
        <f t="shared" ref="T63" si="153">SUM(T60:U62)</f>
        <v>24</v>
      </c>
      <c r="U63" s="593"/>
      <c r="V63" s="210">
        <f t="shared" ref="V63" si="154">IF(AND(F63&gt;=$G$8,H63&gt;=$I$8,L63&gt;=$M$8,P63&gt;=$Q$8,R63&gt;=$S$8,T63&gt;=$U$8),SUM(F63:U63),0)</f>
        <v>0</v>
      </c>
      <c r="W63" s="264"/>
      <c r="X63" s="97"/>
      <c r="Y63" s="597"/>
      <c r="Z63" s="91" t="str">
        <f>LOOKUP(V63,$AL$6:$AM$10)</f>
        <v>ضعيف</v>
      </c>
      <c r="AA63" s="658"/>
      <c r="AB63" s="72"/>
      <c r="AC63" s="655"/>
      <c r="AN63" s="607"/>
      <c r="AO63" s="607"/>
      <c r="AP63" s="613"/>
      <c r="AQ63" s="612"/>
      <c r="AR63" s="611"/>
      <c r="AS63" s="612"/>
    </row>
    <row r="64" spans="1:45" ht="15" customHeight="1" thickBot="1" x14ac:dyDescent="0.3">
      <c r="A64" s="632">
        <v>13</v>
      </c>
      <c r="B64" s="629" t="str">
        <f>VLOOKUP(A64,مسلسل,2,0)</f>
        <v>كنان حسني محمد محمد سمالوس</v>
      </c>
      <c r="C64" s="621">
        <f>IFERROR(VLOOKUP(B64,اسماء,2,0),"")</f>
        <v>42712</v>
      </c>
      <c r="D64" s="624" t="str">
        <f>IFERROR(VLOOKUP($B64,اسماء,3,0),"")</f>
        <v>سمية محمد الطاهر أبوالخير</v>
      </c>
      <c r="E64" s="132" t="s">
        <v>30</v>
      </c>
      <c r="F64" s="627">
        <f>IFERROR(VLOOKUP($B64,اسماء,5,0),0)</f>
        <v>36</v>
      </c>
      <c r="G64" s="606"/>
      <c r="H64" s="628">
        <f>IFERROR(VLOOKUP($B64,اسماء,6,0),0)</f>
        <v>44</v>
      </c>
      <c r="I64" s="605"/>
      <c r="J64" s="587">
        <f>IFERROR(VLOOKUP($B64,اسماء,7,0),0)</f>
        <v>21</v>
      </c>
      <c r="K64" s="591"/>
      <c r="L64" s="587">
        <f>IFERROR(VLOOKUP($B64,اسماء,8,0),0)</f>
        <v>30</v>
      </c>
      <c r="M64" s="588"/>
      <c r="N64" s="587">
        <f>IFERROR(VLOOKUP($B64,اسماء,9,0),0)</f>
        <v>12</v>
      </c>
      <c r="O64" s="605"/>
      <c r="P64" s="587">
        <f>IFERROR(VLOOKUP($B64,اسماء,10,0),0)</f>
        <v>45</v>
      </c>
      <c r="Q64" s="605"/>
      <c r="R64" s="606">
        <f>IFERROR(VLOOKUP($B64,اسماء,11,0),0)</f>
        <v>36</v>
      </c>
      <c r="S64" s="591"/>
      <c r="T64" s="587">
        <f>IFERROR(VLOOKUP($B64,اسماء,12,0),0)</f>
        <v>18</v>
      </c>
      <c r="U64" s="591"/>
      <c r="V64" s="263">
        <f t="shared" ref="V64:V66" si="155">SUM(F64:U64)</f>
        <v>242</v>
      </c>
      <c r="W64" s="373" t="str">
        <f>IFERROR(VLOOKUP($B64,اسماء,14,0),0)</f>
        <v>جيد جداً</v>
      </c>
      <c r="X64" s="373" t="str">
        <f>IFERROR(VLOOKUP($B64,اسماء,15,0),0)</f>
        <v>جيد جداً</v>
      </c>
      <c r="Y64" s="595" t="str">
        <f t="shared" ref="Y64" si="156">IF(AC64="غائب","راسب",IF(AND(F67&gt;=$G$8,H67&gt;=$I$8,J67&gt;=$K$8,L67&gt;=$M$8,N67&gt;=$O$8,P67&gt;=$Q$8,R67&gt;=$S$8,T67&gt;=$U$8),"ناجح","له دور ثان"))</f>
        <v>له دور ثان</v>
      </c>
      <c r="Z64" s="21" t="str">
        <f>LOOKUP(V64,$AF$6:$AG$10)</f>
        <v>ممتاز</v>
      </c>
      <c r="AA64" s="656">
        <f>V67/$AF$3</f>
        <v>0</v>
      </c>
      <c r="AB64" s="72"/>
      <c r="AC64" s="653">
        <f>IFERROR(VLOOKUP($B64,اسماء,54,0),"")</f>
        <v>0</v>
      </c>
      <c r="AN64" s="607" t="str">
        <f t="shared" ref="AN64" si="157">IF(V67=0,"",V67/1+ROW()*0.00001)</f>
        <v/>
      </c>
      <c r="AO64" s="607" t="str">
        <f>B64</f>
        <v>كنان حسني محمد محمد سمالوس</v>
      </c>
      <c r="AP64" s="613"/>
      <c r="AQ64" s="612">
        <v>13</v>
      </c>
      <c r="AR64" s="611" t="str">
        <f>IFERROR(LARGE($AN$10:$AN$1006,AQ64),"")</f>
        <v/>
      </c>
      <c r="AS64" s="612" t="str">
        <f>VLOOKUP(AR64,$AN$10:$AO$1116,2,0)</f>
        <v>أحمد نورالدين أحمد الذيب</v>
      </c>
    </row>
    <row r="65" spans="1:45" ht="15" customHeight="1" thickBot="1" x14ac:dyDescent="0.3">
      <c r="A65" s="633"/>
      <c r="B65" s="630"/>
      <c r="C65" s="622"/>
      <c r="D65" s="625"/>
      <c r="E65" s="133" t="s">
        <v>31</v>
      </c>
      <c r="F65" s="589">
        <f>IFERROR(VLOOKUP($B64,اسماء,18,0),0)</f>
        <v>0</v>
      </c>
      <c r="G65" s="592"/>
      <c r="H65" s="608">
        <f>IFERROR(VLOOKUP($B64,اسماء,19,0),0)</f>
        <v>0</v>
      </c>
      <c r="I65" s="609"/>
      <c r="J65" s="589">
        <f>IFERROR(VLOOKUP($B64,اسماء,20,0),0)</f>
        <v>0</v>
      </c>
      <c r="K65" s="592"/>
      <c r="L65" s="589">
        <f>IFERROR(VLOOKUP($B64,اسماء,21,0),0)</f>
        <v>0</v>
      </c>
      <c r="M65" s="590"/>
      <c r="N65" s="589">
        <f>IFERROR(VLOOKUP($B64,اسماء,22,0),0)</f>
        <v>0</v>
      </c>
      <c r="O65" s="590"/>
      <c r="P65" s="589">
        <f>IFERROR(VLOOKUP($B64,اسماء,23,0),0)</f>
        <v>0</v>
      </c>
      <c r="Q65" s="609"/>
      <c r="R65" s="603">
        <f>IFERROR(VLOOKUP($B64,اسماء,24,0),0)</f>
        <v>0</v>
      </c>
      <c r="S65" s="592"/>
      <c r="T65" s="589">
        <f>IFERROR(VLOOKUP($B64,اسماء,25,0),0)</f>
        <v>0</v>
      </c>
      <c r="U65" s="592"/>
      <c r="V65" s="263">
        <f t="shared" si="155"/>
        <v>0</v>
      </c>
      <c r="W65" s="373">
        <f>IFERROR(VLOOKUP($B64,اسماء,27,0),0)</f>
        <v>0</v>
      </c>
      <c r="X65" s="373">
        <f>IFERROR(VLOOKUP($B64,اسماء,28,0),0)</f>
        <v>0</v>
      </c>
      <c r="Y65" s="596"/>
      <c r="Z65" s="22" t="str">
        <f>LOOKUP(V65,$AF$6:$AG$10)</f>
        <v>ضعيف</v>
      </c>
      <c r="AA65" s="657"/>
      <c r="AB65" s="10"/>
      <c r="AC65" s="654"/>
      <c r="AN65" s="607"/>
      <c r="AO65" s="607"/>
      <c r="AP65" s="613"/>
      <c r="AQ65" s="612"/>
      <c r="AR65" s="611"/>
      <c r="AS65" s="612"/>
    </row>
    <row r="66" spans="1:45" ht="15" customHeight="1" x14ac:dyDescent="0.25">
      <c r="A66" s="633"/>
      <c r="B66" s="630"/>
      <c r="C66" s="622"/>
      <c r="D66" s="625"/>
      <c r="E66" s="133" t="s">
        <v>32</v>
      </c>
      <c r="F66" s="589">
        <f>IFERROR(VLOOKUP($B64,اسماء,31,0),0)</f>
        <v>0</v>
      </c>
      <c r="G66" s="592"/>
      <c r="H66" s="608">
        <f>IFERROR(VLOOKUP($B64,اسماء,32,0),0)</f>
        <v>0</v>
      </c>
      <c r="I66" s="609"/>
      <c r="J66" s="589">
        <f>IFERROR(VLOOKUP($B64,اسماء,33,0),0)</f>
        <v>0</v>
      </c>
      <c r="K66" s="592"/>
      <c r="L66" s="589">
        <f>IFERROR(VLOOKUP($B64,اسماء,34,0),0)</f>
        <v>0</v>
      </c>
      <c r="M66" s="590"/>
      <c r="N66" s="589">
        <f>IFERROR(VLOOKUP($B64,اسماء,35,0),0)</f>
        <v>0</v>
      </c>
      <c r="O66" s="590"/>
      <c r="P66" s="589">
        <f>IFERROR(VLOOKUP($B64,اسماء,36,0),0)</f>
        <v>0</v>
      </c>
      <c r="Q66" s="609"/>
      <c r="R66" s="603">
        <f>IFERROR(VLOOKUP($B64,اسماء,37,0),0)</f>
        <v>0</v>
      </c>
      <c r="S66" s="592"/>
      <c r="T66" s="589">
        <f>IFERROR(VLOOKUP($B64,اسماء,38,0),0)</f>
        <v>0</v>
      </c>
      <c r="U66" s="592"/>
      <c r="V66" s="263">
        <f t="shared" si="155"/>
        <v>0</v>
      </c>
      <c r="W66" s="373">
        <f>IFERROR(VLOOKUP($B64,اسماء,40,0),0)</f>
        <v>0</v>
      </c>
      <c r="X66" s="373">
        <f>IFERROR(VLOOKUP($B64,اسماء,41,0),0)</f>
        <v>0</v>
      </c>
      <c r="Y66" s="596"/>
      <c r="Z66" s="22" t="str">
        <f>LOOKUP(V66,$AI$6:$AJ$10)</f>
        <v>ضعيف</v>
      </c>
      <c r="AA66" s="657"/>
      <c r="AB66" s="72"/>
      <c r="AC66" s="654"/>
      <c r="AN66" s="607"/>
      <c r="AO66" s="607"/>
      <c r="AP66" s="613"/>
      <c r="AQ66" s="612"/>
      <c r="AR66" s="611"/>
      <c r="AS66" s="612"/>
    </row>
    <row r="67" spans="1:45" ht="15" customHeight="1" thickBot="1" x14ac:dyDescent="0.3">
      <c r="A67" s="634"/>
      <c r="B67" s="631"/>
      <c r="C67" s="623"/>
      <c r="D67" s="626"/>
      <c r="E67" s="127" t="s">
        <v>33</v>
      </c>
      <c r="F67" s="585">
        <f t="shared" ref="F67" si="158">SUM(F64:G66)</f>
        <v>36</v>
      </c>
      <c r="G67" s="593"/>
      <c r="H67" s="604">
        <f t="shared" ref="H67" si="159">SUM(H64:I66)</f>
        <v>44</v>
      </c>
      <c r="I67" s="601"/>
      <c r="J67" s="585">
        <f t="shared" ref="J67" si="160">SUM(J64:K66)</f>
        <v>21</v>
      </c>
      <c r="K67" s="593"/>
      <c r="L67" s="585">
        <f t="shared" ref="L67" si="161">SUM(L64:M66)</f>
        <v>30</v>
      </c>
      <c r="M67" s="586"/>
      <c r="N67" s="585">
        <f t="shared" ref="N67" si="162">SUM(N64:O66)</f>
        <v>12</v>
      </c>
      <c r="O67" s="586"/>
      <c r="P67" s="585">
        <f t="shared" ref="P67" si="163">SUM(P64:Q66)</f>
        <v>45</v>
      </c>
      <c r="Q67" s="601"/>
      <c r="R67" s="602">
        <f t="shared" ref="R67" si="164">SUM(R64:S66)</f>
        <v>36</v>
      </c>
      <c r="S67" s="593"/>
      <c r="T67" s="585">
        <f t="shared" ref="T67" si="165">SUM(T64:U66)</f>
        <v>18</v>
      </c>
      <c r="U67" s="593"/>
      <c r="V67" s="210">
        <f t="shared" ref="V67" si="166">IF(AND(F67&gt;=$G$8,H67&gt;=$I$8,L67&gt;=$M$8,P67&gt;=$Q$8,R67&gt;=$S$8,T67&gt;=$U$8),SUM(F67:U67),0)</f>
        <v>0</v>
      </c>
      <c r="W67" s="264"/>
      <c r="X67" s="97"/>
      <c r="Y67" s="597"/>
      <c r="Z67" s="91" t="str">
        <f>LOOKUP(V67,$AL$6:$AM$10)</f>
        <v>ضعيف</v>
      </c>
      <c r="AA67" s="658"/>
      <c r="AB67" s="72"/>
      <c r="AC67" s="655"/>
      <c r="AN67" s="607"/>
      <c r="AO67" s="607"/>
      <c r="AP67" s="613"/>
      <c r="AQ67" s="612"/>
      <c r="AR67" s="611"/>
      <c r="AS67" s="612"/>
    </row>
    <row r="68" spans="1:45" ht="15" customHeight="1" thickBot="1" x14ac:dyDescent="0.3">
      <c r="A68" s="632">
        <v>14</v>
      </c>
      <c r="B68" s="629" t="str">
        <f>VLOOKUP(A68,مسلسل,2,0)</f>
        <v>محمد مجدي عبدالله سليمان</v>
      </c>
      <c r="C68" s="621">
        <f>IFERROR(VLOOKUP(B68,اسماء,2,0),"")</f>
        <v>42656</v>
      </c>
      <c r="D68" s="624" t="str">
        <f>IFERROR(VLOOKUP($B68,اسماء,3,0),"")</f>
        <v>أميرة بشير سالم</v>
      </c>
      <c r="E68" s="132" t="s">
        <v>30</v>
      </c>
      <c r="F68" s="627">
        <f>IFERROR(VLOOKUP($B68,اسماء,5,0),0)</f>
        <v>27</v>
      </c>
      <c r="G68" s="606"/>
      <c r="H68" s="628">
        <f>IFERROR(VLOOKUP($B68,اسماء,6,0),0)</f>
        <v>35</v>
      </c>
      <c r="I68" s="605"/>
      <c r="J68" s="587">
        <f>IFERROR(VLOOKUP($B68,اسماء,7,0),0)</f>
        <v>15</v>
      </c>
      <c r="K68" s="591"/>
      <c r="L68" s="587">
        <f>IFERROR(VLOOKUP($B68,اسماء,8,0),0)</f>
        <v>31</v>
      </c>
      <c r="M68" s="588"/>
      <c r="N68" s="587">
        <f>IFERROR(VLOOKUP($B68,اسماء,9,0),0)</f>
        <v>10</v>
      </c>
      <c r="O68" s="605"/>
      <c r="P68" s="587">
        <f>IFERROR(VLOOKUP($B68,اسماء,10,0),0)</f>
        <v>58</v>
      </c>
      <c r="Q68" s="605"/>
      <c r="R68" s="606">
        <f>IFERROR(VLOOKUP($B68,اسماء,11,0),0)</f>
        <v>36</v>
      </c>
      <c r="S68" s="591"/>
      <c r="T68" s="587">
        <f>IFERROR(VLOOKUP($B68,اسماء,12,0),0)</f>
        <v>20</v>
      </c>
      <c r="U68" s="591"/>
      <c r="V68" s="263">
        <f t="shared" ref="V68:V70" si="167">SUM(F68:U68)</f>
        <v>232</v>
      </c>
      <c r="W68" s="373" t="str">
        <f>IFERROR(VLOOKUP($B68,اسماء,14,0),0)</f>
        <v>جيد جداً</v>
      </c>
      <c r="X68" s="373" t="str">
        <f>IFERROR(VLOOKUP($B68,اسماء,15,0),0)</f>
        <v>جيد جداً</v>
      </c>
      <c r="Y68" s="595" t="str">
        <f t="shared" ref="Y68" si="168">IF(AC68="غائب","راسب",IF(AND(F71&gt;=$G$8,H71&gt;=$I$8,J71&gt;=$K$8,L71&gt;=$M$8,N71&gt;=$O$8,P71&gt;=$Q$8,R71&gt;=$S$8,T71&gt;=$U$8),"ناجح","له دور ثان"))</f>
        <v>له دور ثان</v>
      </c>
      <c r="Z68" s="21" t="str">
        <f>LOOKUP(V68,$AF$6:$AG$10)</f>
        <v>جيدجداً</v>
      </c>
      <c r="AA68" s="656">
        <f>V71/$AF$3</f>
        <v>0</v>
      </c>
      <c r="AB68" s="10"/>
      <c r="AC68" s="653">
        <f>IFERROR(VLOOKUP($B68,اسماء,54,0),"")</f>
        <v>0</v>
      </c>
      <c r="AN68" s="607" t="str">
        <f t="shared" ref="AN68" si="169">IF(V71=0,"",V71/1+ROW()*0.00001)</f>
        <v/>
      </c>
      <c r="AO68" s="607" t="str">
        <f>B68</f>
        <v>محمد مجدي عبدالله سليمان</v>
      </c>
      <c r="AP68" s="613"/>
      <c r="AQ68" s="612">
        <v>14</v>
      </c>
      <c r="AR68" s="611" t="str">
        <f>IFERROR(LARGE($AN$10:$AN$1006,AQ68),"")</f>
        <v/>
      </c>
      <c r="AS68" s="612" t="str">
        <f>VLOOKUP(AR68,$AN$10:$AO$1116,2,0)</f>
        <v>أحمد نورالدين أحمد الذيب</v>
      </c>
    </row>
    <row r="69" spans="1:45" ht="15" customHeight="1" thickBot="1" x14ac:dyDescent="0.3">
      <c r="A69" s="633"/>
      <c r="B69" s="630"/>
      <c r="C69" s="622"/>
      <c r="D69" s="625"/>
      <c r="E69" s="133" t="s">
        <v>31</v>
      </c>
      <c r="F69" s="589">
        <f>IFERROR(VLOOKUP($B68,اسماء,18,0),0)</f>
        <v>0</v>
      </c>
      <c r="G69" s="592"/>
      <c r="H69" s="608">
        <f>IFERROR(VLOOKUP($B68,اسماء,19,0),0)</f>
        <v>0</v>
      </c>
      <c r="I69" s="609"/>
      <c r="J69" s="589">
        <f>IFERROR(VLOOKUP($B68,اسماء,20,0),0)</f>
        <v>0</v>
      </c>
      <c r="K69" s="592"/>
      <c r="L69" s="589">
        <f>IFERROR(VLOOKUP($B68,اسماء,21,0),0)</f>
        <v>0</v>
      </c>
      <c r="M69" s="590"/>
      <c r="N69" s="589">
        <f>IFERROR(VLOOKUP($B68,اسماء,22,0),0)</f>
        <v>0</v>
      </c>
      <c r="O69" s="590"/>
      <c r="P69" s="589">
        <f>IFERROR(VLOOKUP($B68,اسماء,23,0),0)</f>
        <v>0</v>
      </c>
      <c r="Q69" s="609"/>
      <c r="R69" s="603">
        <f>IFERROR(VLOOKUP($B68,اسماء,24,0),0)</f>
        <v>0</v>
      </c>
      <c r="S69" s="592"/>
      <c r="T69" s="589">
        <f>IFERROR(VLOOKUP($B68,اسماء,25,0),0)</f>
        <v>0</v>
      </c>
      <c r="U69" s="592"/>
      <c r="V69" s="263">
        <f t="shared" si="167"/>
        <v>0</v>
      </c>
      <c r="W69" s="373">
        <f>IFERROR(VLOOKUP($B68,اسماء,27,0),0)</f>
        <v>0</v>
      </c>
      <c r="X69" s="373">
        <f>IFERROR(VLOOKUP($B68,اسماء,28,0),0)</f>
        <v>0</v>
      </c>
      <c r="Y69" s="596"/>
      <c r="Z69" s="22" t="str">
        <f>LOOKUP(V69,$AF$6:$AG$10)</f>
        <v>ضعيف</v>
      </c>
      <c r="AA69" s="657"/>
      <c r="AB69" s="72"/>
      <c r="AC69" s="654"/>
      <c r="AN69" s="607"/>
      <c r="AO69" s="607"/>
      <c r="AP69" s="613"/>
      <c r="AQ69" s="612"/>
      <c r="AR69" s="611"/>
      <c r="AS69" s="612"/>
    </row>
    <row r="70" spans="1:45" ht="15" customHeight="1" x14ac:dyDescent="0.25">
      <c r="A70" s="633"/>
      <c r="B70" s="630"/>
      <c r="C70" s="622"/>
      <c r="D70" s="625"/>
      <c r="E70" s="133" t="s">
        <v>32</v>
      </c>
      <c r="F70" s="589">
        <f>IFERROR(VLOOKUP($B68,اسماء,31,0),0)</f>
        <v>0</v>
      </c>
      <c r="G70" s="592"/>
      <c r="H70" s="608">
        <f>IFERROR(VLOOKUP($B68,اسماء,32,0),0)</f>
        <v>0</v>
      </c>
      <c r="I70" s="609"/>
      <c r="J70" s="589">
        <f>IFERROR(VLOOKUP($B68,اسماء,33,0),0)</f>
        <v>0</v>
      </c>
      <c r="K70" s="592"/>
      <c r="L70" s="589">
        <f>IFERROR(VLOOKUP($B68,اسماء,34,0),0)</f>
        <v>0</v>
      </c>
      <c r="M70" s="590"/>
      <c r="N70" s="589">
        <f>IFERROR(VLOOKUP($B68,اسماء,35,0),0)</f>
        <v>0</v>
      </c>
      <c r="O70" s="590"/>
      <c r="P70" s="589">
        <f>IFERROR(VLOOKUP($B68,اسماء,36,0),0)</f>
        <v>0</v>
      </c>
      <c r="Q70" s="609"/>
      <c r="R70" s="603">
        <f>IFERROR(VLOOKUP($B68,اسماء,37,0),0)</f>
        <v>0</v>
      </c>
      <c r="S70" s="592"/>
      <c r="T70" s="589">
        <f>IFERROR(VLOOKUP($B68,اسماء,38,0),0)</f>
        <v>0</v>
      </c>
      <c r="U70" s="592"/>
      <c r="V70" s="263">
        <f t="shared" si="167"/>
        <v>0</v>
      </c>
      <c r="W70" s="373">
        <f>IFERROR(VLOOKUP($B68,اسماء,40,0),0)</f>
        <v>0</v>
      </c>
      <c r="X70" s="373">
        <f>IFERROR(VLOOKUP($B68,اسماء,41,0),0)</f>
        <v>0</v>
      </c>
      <c r="Y70" s="596"/>
      <c r="Z70" s="22" t="str">
        <f>LOOKUP(V70,$AI$6:$AJ$10)</f>
        <v>ضعيف</v>
      </c>
      <c r="AA70" s="657"/>
      <c r="AB70" s="72"/>
      <c r="AC70" s="654"/>
      <c r="AN70" s="607"/>
      <c r="AO70" s="607"/>
      <c r="AP70" s="613"/>
      <c r="AQ70" s="612"/>
      <c r="AR70" s="611"/>
      <c r="AS70" s="612"/>
    </row>
    <row r="71" spans="1:45" ht="15" customHeight="1" thickBot="1" x14ac:dyDescent="0.3">
      <c r="A71" s="634"/>
      <c r="B71" s="631"/>
      <c r="C71" s="623"/>
      <c r="D71" s="626"/>
      <c r="E71" s="127" t="s">
        <v>33</v>
      </c>
      <c r="F71" s="585">
        <f t="shared" ref="F71" si="170">SUM(F68:G70)</f>
        <v>27</v>
      </c>
      <c r="G71" s="593"/>
      <c r="H71" s="604">
        <f t="shared" ref="H71" si="171">SUM(H68:I70)</f>
        <v>35</v>
      </c>
      <c r="I71" s="601"/>
      <c r="J71" s="585">
        <f t="shared" ref="J71" si="172">SUM(J68:K70)</f>
        <v>15</v>
      </c>
      <c r="K71" s="593"/>
      <c r="L71" s="585">
        <f t="shared" ref="L71" si="173">SUM(L68:M70)</f>
        <v>31</v>
      </c>
      <c r="M71" s="586"/>
      <c r="N71" s="585">
        <f t="shared" ref="N71" si="174">SUM(N68:O70)</f>
        <v>10</v>
      </c>
      <c r="O71" s="586"/>
      <c r="P71" s="585">
        <f t="shared" ref="P71" si="175">SUM(P68:Q70)</f>
        <v>58</v>
      </c>
      <c r="Q71" s="601"/>
      <c r="R71" s="602">
        <f t="shared" ref="R71" si="176">SUM(R68:S70)</f>
        <v>36</v>
      </c>
      <c r="S71" s="593"/>
      <c r="T71" s="585">
        <f t="shared" ref="T71" si="177">SUM(T68:U70)</f>
        <v>20</v>
      </c>
      <c r="U71" s="593"/>
      <c r="V71" s="210">
        <f t="shared" ref="V71" si="178">IF(AND(F71&gt;=$G$8,H71&gt;=$I$8,L71&gt;=$M$8,P71&gt;=$Q$8,R71&gt;=$S$8,T71&gt;=$U$8),SUM(F71:U71),0)</f>
        <v>0</v>
      </c>
      <c r="W71" s="264"/>
      <c r="X71" s="97"/>
      <c r="Y71" s="597"/>
      <c r="Z71" s="91" t="str">
        <f>LOOKUP(V71,$AL$6:$AM$10)</f>
        <v>ضعيف</v>
      </c>
      <c r="AA71" s="658"/>
      <c r="AB71" s="10"/>
      <c r="AC71" s="655"/>
      <c r="AN71" s="607"/>
      <c r="AO71" s="607"/>
      <c r="AP71" s="613"/>
      <c r="AQ71" s="612"/>
      <c r="AR71" s="611"/>
      <c r="AS71" s="612"/>
    </row>
    <row r="72" spans="1:45" ht="15" customHeight="1" thickBot="1" x14ac:dyDescent="0.3">
      <c r="A72" s="632">
        <v>15</v>
      </c>
      <c r="B72" s="629" t="str">
        <f>VLOOKUP(A72,مسلسل,2,0)</f>
        <v>مصطفى طارق فتحي الختال</v>
      </c>
      <c r="C72" s="621">
        <f>IFERROR(VLOOKUP(B72,اسماء,2,0),"")</f>
        <v>42569</v>
      </c>
      <c r="D72" s="624" t="str">
        <f>IFERROR(VLOOKUP($B72,اسماء,3,0),"")</f>
        <v>صبرية محمد الصادق</v>
      </c>
      <c r="E72" s="132" t="s">
        <v>30</v>
      </c>
      <c r="F72" s="627">
        <f>IFERROR(VLOOKUP($B72,اسماء,5,0),0)</f>
        <v>24</v>
      </c>
      <c r="G72" s="606"/>
      <c r="H72" s="628">
        <f>IFERROR(VLOOKUP($B72,اسماء,6,0),0)</f>
        <v>24</v>
      </c>
      <c r="I72" s="605"/>
      <c r="J72" s="587">
        <f>IFERROR(VLOOKUP($B72,اسماء,7,0),0)</f>
        <v>15</v>
      </c>
      <c r="K72" s="591"/>
      <c r="L72" s="587">
        <f>IFERROR(VLOOKUP($B72,اسماء,8,0),0)</f>
        <v>28</v>
      </c>
      <c r="M72" s="588"/>
      <c r="N72" s="587">
        <f>IFERROR(VLOOKUP($B72,اسماء,9,0),0)</f>
        <v>9</v>
      </c>
      <c r="O72" s="605"/>
      <c r="P72" s="587">
        <f>IFERROR(VLOOKUP($B72,اسماء,10,0),0)</f>
        <v>30</v>
      </c>
      <c r="Q72" s="605"/>
      <c r="R72" s="606">
        <f>IFERROR(VLOOKUP($B72,اسماء,11,0),0)</f>
        <v>35</v>
      </c>
      <c r="S72" s="591"/>
      <c r="T72" s="587">
        <f>IFERROR(VLOOKUP($B72,اسماء,12,0),0)</f>
        <v>14</v>
      </c>
      <c r="U72" s="591"/>
      <c r="V72" s="263">
        <f t="shared" ref="V72:V74" si="179">SUM(F72:U72)</f>
        <v>179</v>
      </c>
      <c r="W72" s="373" t="str">
        <f>IFERROR(VLOOKUP($B72,اسماء,14,0),0)</f>
        <v>جيد جداً</v>
      </c>
      <c r="X72" s="373" t="str">
        <f>IFERROR(VLOOKUP($B72,اسماء,15,0),0)</f>
        <v>جيد جداً</v>
      </c>
      <c r="Y72" s="595" t="str">
        <f t="shared" ref="Y72" si="180">IF(AC72="غائب","راسب",IF(AND(F75&gt;=$G$8,H75&gt;=$I$8,J75&gt;=$K$8,L75&gt;=$M$8,N75&gt;=$O$8,P75&gt;=$Q$8,R75&gt;=$S$8,T75&gt;=$U$8),"ناجح","له دور ثان"))</f>
        <v>له دور ثان</v>
      </c>
      <c r="Z72" s="21" t="str">
        <f t="shared" ref="Z72:Z73" si="181">LOOKUP(V72,$AF$6:$AG$10)</f>
        <v>مقبول</v>
      </c>
      <c r="AA72" s="656">
        <f t="shared" ref="AA72" si="182">V75/$AF$3</f>
        <v>0</v>
      </c>
      <c r="AB72" s="72"/>
      <c r="AC72" s="653">
        <f>IFERROR(VLOOKUP($B72,اسماء,54,0),"")</f>
        <v>0</v>
      </c>
      <c r="AN72" s="607" t="str">
        <f t="shared" ref="AN72" si="183">IF(V75=0,"",V75/1+ROW()*0.00001)</f>
        <v/>
      </c>
      <c r="AO72" s="607" t="str">
        <f>B72</f>
        <v>مصطفى طارق فتحي الختال</v>
      </c>
      <c r="AP72" s="613"/>
      <c r="AQ72" s="612">
        <v>15</v>
      </c>
      <c r="AR72" s="611" t="str">
        <f>IFERROR(LARGE($AN$10:$AN$1006,AQ72),"")</f>
        <v/>
      </c>
      <c r="AS72" s="612" t="str">
        <f>VLOOKUP(AR72,$AN$10:$AO$1116,2,0)</f>
        <v>أحمد نورالدين أحمد الذيب</v>
      </c>
    </row>
    <row r="73" spans="1:45" ht="15" customHeight="1" thickBot="1" x14ac:dyDescent="0.3">
      <c r="A73" s="633"/>
      <c r="B73" s="630"/>
      <c r="C73" s="622"/>
      <c r="D73" s="625"/>
      <c r="E73" s="133" t="s">
        <v>31</v>
      </c>
      <c r="F73" s="589">
        <f>IFERROR(VLOOKUP($B72,اسماء,18,0),0)</f>
        <v>0</v>
      </c>
      <c r="G73" s="592"/>
      <c r="H73" s="608">
        <f>IFERROR(VLOOKUP($B72,اسماء,19,0),0)</f>
        <v>0</v>
      </c>
      <c r="I73" s="609"/>
      <c r="J73" s="589">
        <f>IFERROR(VLOOKUP($B72,اسماء,20,0),0)</f>
        <v>0</v>
      </c>
      <c r="K73" s="592"/>
      <c r="L73" s="589">
        <f>IFERROR(VLOOKUP($B72,اسماء,21,0),0)</f>
        <v>0</v>
      </c>
      <c r="M73" s="590"/>
      <c r="N73" s="589">
        <f>IFERROR(VLOOKUP($B72,اسماء,22,0),0)</f>
        <v>0</v>
      </c>
      <c r="O73" s="590"/>
      <c r="P73" s="589">
        <f>IFERROR(VLOOKUP($B72,اسماء,23,0),0)</f>
        <v>0</v>
      </c>
      <c r="Q73" s="609"/>
      <c r="R73" s="603">
        <f>IFERROR(VLOOKUP($B72,اسماء,24,0),0)</f>
        <v>0</v>
      </c>
      <c r="S73" s="592"/>
      <c r="T73" s="589">
        <f>IFERROR(VLOOKUP($B72,اسماء,25,0),0)</f>
        <v>0</v>
      </c>
      <c r="U73" s="592"/>
      <c r="V73" s="263">
        <f t="shared" si="179"/>
        <v>0</v>
      </c>
      <c r="W73" s="373">
        <f>IFERROR(VLOOKUP($B72,اسماء,27,0),0)</f>
        <v>0</v>
      </c>
      <c r="X73" s="373">
        <f>IFERROR(VLOOKUP($B72,اسماء,28,0),0)</f>
        <v>0</v>
      </c>
      <c r="Y73" s="596"/>
      <c r="Z73" s="22" t="str">
        <f t="shared" si="181"/>
        <v>ضعيف</v>
      </c>
      <c r="AA73" s="657"/>
      <c r="AB73" s="72"/>
      <c r="AC73" s="654"/>
      <c r="AN73" s="607"/>
      <c r="AO73" s="607"/>
      <c r="AP73" s="613"/>
      <c r="AQ73" s="612"/>
      <c r="AR73" s="611"/>
      <c r="AS73" s="612"/>
    </row>
    <row r="74" spans="1:45" ht="15" customHeight="1" x14ac:dyDescent="0.25">
      <c r="A74" s="633"/>
      <c r="B74" s="630"/>
      <c r="C74" s="622"/>
      <c r="D74" s="625"/>
      <c r="E74" s="133" t="s">
        <v>32</v>
      </c>
      <c r="F74" s="589">
        <f>IFERROR(VLOOKUP($B72,اسماء,31,0),0)</f>
        <v>0</v>
      </c>
      <c r="G74" s="592"/>
      <c r="H74" s="608">
        <f>IFERROR(VLOOKUP($B72,اسماء,32,0),0)</f>
        <v>0</v>
      </c>
      <c r="I74" s="609"/>
      <c r="J74" s="589">
        <f>IFERROR(VLOOKUP($B72,اسماء,33,0),0)</f>
        <v>0</v>
      </c>
      <c r="K74" s="592"/>
      <c r="L74" s="589">
        <f>IFERROR(VLOOKUP($B72,اسماء,34,0),0)</f>
        <v>0</v>
      </c>
      <c r="M74" s="590"/>
      <c r="N74" s="589">
        <f>IFERROR(VLOOKUP($B72,اسماء,35,0),0)</f>
        <v>0</v>
      </c>
      <c r="O74" s="590"/>
      <c r="P74" s="589">
        <f>IFERROR(VLOOKUP($B72,اسماء,36,0),0)</f>
        <v>0</v>
      </c>
      <c r="Q74" s="609"/>
      <c r="R74" s="603">
        <f>IFERROR(VLOOKUP($B72,اسماء,37,0),0)</f>
        <v>0</v>
      </c>
      <c r="S74" s="592"/>
      <c r="T74" s="589">
        <f>IFERROR(VLOOKUP($B72,اسماء,38,0),0)</f>
        <v>0</v>
      </c>
      <c r="U74" s="592"/>
      <c r="V74" s="263">
        <f t="shared" si="179"/>
        <v>0</v>
      </c>
      <c r="W74" s="373">
        <f>IFERROR(VLOOKUP($B72,اسماء,40,0),0)</f>
        <v>0</v>
      </c>
      <c r="X74" s="373">
        <f>IFERROR(VLOOKUP($B72,اسماء,41,0),0)</f>
        <v>0</v>
      </c>
      <c r="Y74" s="596"/>
      <c r="Z74" s="22" t="str">
        <f t="shared" ref="Z74" si="184">LOOKUP(V74,$AI$6:$AJ$10)</f>
        <v>ضعيف</v>
      </c>
      <c r="AA74" s="657"/>
      <c r="AB74" s="10"/>
      <c r="AC74" s="654"/>
      <c r="AN74" s="607"/>
      <c r="AO74" s="607"/>
      <c r="AP74" s="613"/>
      <c r="AQ74" s="612"/>
      <c r="AR74" s="611"/>
      <c r="AS74" s="612"/>
    </row>
    <row r="75" spans="1:45" ht="15" customHeight="1" thickBot="1" x14ac:dyDescent="0.3">
      <c r="A75" s="634"/>
      <c r="B75" s="631"/>
      <c r="C75" s="623"/>
      <c r="D75" s="626"/>
      <c r="E75" s="127" t="s">
        <v>33</v>
      </c>
      <c r="F75" s="585">
        <f t="shared" ref="F75" si="185">SUM(F72:G74)</f>
        <v>24</v>
      </c>
      <c r="G75" s="593"/>
      <c r="H75" s="604">
        <f t="shared" ref="H75" si="186">SUM(H72:I74)</f>
        <v>24</v>
      </c>
      <c r="I75" s="601"/>
      <c r="J75" s="585">
        <f t="shared" ref="J75" si="187">SUM(J72:K74)</f>
        <v>15</v>
      </c>
      <c r="K75" s="593"/>
      <c r="L75" s="585">
        <f t="shared" ref="L75" si="188">SUM(L72:M74)</f>
        <v>28</v>
      </c>
      <c r="M75" s="586"/>
      <c r="N75" s="585">
        <f t="shared" ref="N75" si="189">SUM(N72:O74)</f>
        <v>9</v>
      </c>
      <c r="O75" s="586"/>
      <c r="P75" s="585">
        <f t="shared" ref="P75" si="190">SUM(P72:Q74)</f>
        <v>30</v>
      </c>
      <c r="Q75" s="601"/>
      <c r="R75" s="602">
        <f t="shared" ref="R75" si="191">SUM(R72:S74)</f>
        <v>35</v>
      </c>
      <c r="S75" s="593"/>
      <c r="T75" s="585">
        <f t="shared" ref="T75" si="192">SUM(T72:U74)</f>
        <v>14</v>
      </c>
      <c r="U75" s="593"/>
      <c r="V75" s="210">
        <f t="shared" ref="V75" si="193">IF(AND(F75&gt;=$G$8,H75&gt;=$I$8,L75&gt;=$M$8,P75&gt;=$Q$8,R75&gt;=$S$8,T75&gt;=$U$8),SUM(F75:U75),0)</f>
        <v>0</v>
      </c>
      <c r="W75" s="264"/>
      <c r="X75" s="97"/>
      <c r="Y75" s="597"/>
      <c r="Z75" s="91" t="str">
        <f t="shared" ref="Z75" si="194">LOOKUP(V75,$AL$6:$AM$10)</f>
        <v>ضعيف</v>
      </c>
      <c r="AA75" s="658"/>
      <c r="AB75" s="72"/>
      <c r="AC75" s="655"/>
      <c r="AN75" s="607"/>
      <c r="AO75" s="607"/>
      <c r="AP75" s="613"/>
      <c r="AQ75" s="612"/>
      <c r="AR75" s="611"/>
      <c r="AS75" s="612"/>
    </row>
    <row r="76" spans="1:45" ht="15" customHeight="1" thickBot="1" x14ac:dyDescent="0.3">
      <c r="A76" s="632">
        <v>16</v>
      </c>
      <c r="B76" s="629" t="str">
        <f>VLOOKUP(A76,مسلسل,2,0)</f>
        <v>معاوية عز الدين محمد أحفيظان</v>
      </c>
      <c r="C76" s="621">
        <f>IFERROR(VLOOKUP(B76,اسماء,2,0),"")</f>
        <v>42560</v>
      </c>
      <c r="D76" s="624" t="str">
        <f>IFERROR(VLOOKUP($B76,اسماء,3,0),"")</f>
        <v>فجرة المبروك ابوبريق</v>
      </c>
      <c r="E76" s="132" t="s">
        <v>30</v>
      </c>
      <c r="F76" s="627">
        <f>IFERROR(VLOOKUP($B76,اسماء,5,0),0)</f>
        <v>36</v>
      </c>
      <c r="G76" s="606"/>
      <c r="H76" s="628">
        <f>IFERROR(VLOOKUP($B76,اسماء,6,0),0)</f>
        <v>48</v>
      </c>
      <c r="I76" s="605"/>
      <c r="J76" s="587">
        <f>IFERROR(VLOOKUP($B76,اسماء,7,0),0)</f>
        <v>23</v>
      </c>
      <c r="K76" s="591"/>
      <c r="L76" s="587">
        <f>IFERROR(VLOOKUP($B76,اسماء,8,0),0)</f>
        <v>32</v>
      </c>
      <c r="M76" s="588"/>
      <c r="N76" s="587">
        <f>IFERROR(VLOOKUP($B76,اسماء,9,0),0)</f>
        <v>12</v>
      </c>
      <c r="O76" s="605"/>
      <c r="P76" s="587">
        <f>IFERROR(VLOOKUP($B76,اسماء,10,0),0)</f>
        <v>52</v>
      </c>
      <c r="Q76" s="605"/>
      <c r="R76" s="606">
        <f>IFERROR(VLOOKUP($B76,اسماء,11,0),0)</f>
        <v>36</v>
      </c>
      <c r="S76" s="591"/>
      <c r="T76" s="587">
        <f>IFERROR(VLOOKUP($B76,اسماء,12,0),0)</f>
        <v>24</v>
      </c>
      <c r="U76" s="591"/>
      <c r="V76" s="263">
        <f t="shared" ref="V76:V78" si="195">SUM(F76:U76)</f>
        <v>263</v>
      </c>
      <c r="W76" s="373" t="str">
        <f>IFERROR(VLOOKUP($B76,اسماء,14,0),0)</f>
        <v>جيد جداً</v>
      </c>
      <c r="X76" s="373" t="str">
        <f>IFERROR(VLOOKUP($B76,اسماء,15,0),0)</f>
        <v>جيد جداً</v>
      </c>
      <c r="Y76" s="595" t="str">
        <f t="shared" ref="Y76" si="196">IF(AC76="غائب","راسب",IF(AND(F79&gt;=$G$8,H79&gt;=$I$8,J79&gt;=$K$8,L79&gt;=$M$8,N79&gt;=$O$8,P79&gt;=$Q$8,R79&gt;=$S$8,T79&gt;=$U$8),"ناجح","له دور ثان"))</f>
        <v>له دور ثان</v>
      </c>
      <c r="Z76" s="21" t="str">
        <f t="shared" ref="Z76:Z77" si="197">LOOKUP(V76,$AF$6:$AG$10)</f>
        <v>ممتاز</v>
      </c>
      <c r="AA76" s="656">
        <f t="shared" ref="AA76" si="198">V79/$AF$3</f>
        <v>0</v>
      </c>
      <c r="AB76" s="72"/>
      <c r="AC76" s="653">
        <f>IFERROR(VLOOKUP($B76,اسماء,54,0),"")</f>
        <v>0</v>
      </c>
      <c r="AN76" s="607" t="str">
        <f t="shared" ref="AN76" si="199">IF(V79=0,"",V79/1+ROW()*0.00001)</f>
        <v/>
      </c>
      <c r="AO76" s="607" t="str">
        <f>B76</f>
        <v>معاوية عز الدين محمد أحفيظان</v>
      </c>
      <c r="AP76" s="613"/>
      <c r="AQ76" s="612">
        <v>16</v>
      </c>
      <c r="AR76" s="611" t="str">
        <f>IFERROR(LARGE($AN$10:$AN$1006,AQ76),"")</f>
        <v/>
      </c>
      <c r="AS76" s="612" t="str">
        <f>VLOOKUP(AR76,$AN$10:$AO$1116,2,0)</f>
        <v>أحمد نورالدين أحمد الذيب</v>
      </c>
    </row>
    <row r="77" spans="1:45" ht="15" customHeight="1" thickBot="1" x14ac:dyDescent="0.3">
      <c r="A77" s="633"/>
      <c r="B77" s="630"/>
      <c r="C77" s="622"/>
      <c r="D77" s="625"/>
      <c r="E77" s="133" t="s">
        <v>31</v>
      </c>
      <c r="F77" s="589">
        <f>IFERROR(VLOOKUP($B76,اسماء,18,0),0)</f>
        <v>0</v>
      </c>
      <c r="G77" s="592"/>
      <c r="H77" s="608">
        <f>IFERROR(VLOOKUP($B76,اسماء,19,0),0)</f>
        <v>0</v>
      </c>
      <c r="I77" s="609"/>
      <c r="J77" s="589">
        <f>IFERROR(VLOOKUP($B76,اسماء,20,0),0)</f>
        <v>0</v>
      </c>
      <c r="K77" s="592"/>
      <c r="L77" s="589">
        <f>IFERROR(VLOOKUP($B76,اسماء,21,0),0)</f>
        <v>0</v>
      </c>
      <c r="M77" s="590"/>
      <c r="N77" s="589">
        <f>IFERROR(VLOOKUP($B76,اسماء,22,0),0)</f>
        <v>0</v>
      </c>
      <c r="O77" s="590"/>
      <c r="P77" s="589">
        <f>IFERROR(VLOOKUP($B76,اسماء,23,0),0)</f>
        <v>0</v>
      </c>
      <c r="Q77" s="609"/>
      <c r="R77" s="603">
        <f>IFERROR(VLOOKUP($B76,اسماء,24,0),0)</f>
        <v>0</v>
      </c>
      <c r="S77" s="592"/>
      <c r="T77" s="589">
        <f>IFERROR(VLOOKUP($B76,اسماء,25,0),0)</f>
        <v>0</v>
      </c>
      <c r="U77" s="592"/>
      <c r="V77" s="263">
        <f t="shared" si="195"/>
        <v>0</v>
      </c>
      <c r="W77" s="373">
        <f>IFERROR(VLOOKUP($B76,اسماء,27,0),0)</f>
        <v>0</v>
      </c>
      <c r="X77" s="373">
        <f>IFERROR(VLOOKUP($B76,اسماء,28,0),0)</f>
        <v>0</v>
      </c>
      <c r="Y77" s="596"/>
      <c r="Z77" s="22" t="str">
        <f t="shared" si="197"/>
        <v>ضعيف</v>
      </c>
      <c r="AA77" s="657"/>
      <c r="AB77" s="10"/>
      <c r="AC77" s="654"/>
      <c r="AN77" s="607"/>
      <c r="AO77" s="607"/>
      <c r="AP77" s="613"/>
      <c r="AQ77" s="612"/>
      <c r="AR77" s="611"/>
      <c r="AS77" s="612"/>
    </row>
    <row r="78" spans="1:45" ht="15" customHeight="1" x14ac:dyDescent="0.25">
      <c r="A78" s="633"/>
      <c r="B78" s="630"/>
      <c r="C78" s="622"/>
      <c r="D78" s="625"/>
      <c r="E78" s="133" t="s">
        <v>32</v>
      </c>
      <c r="F78" s="589">
        <f>IFERROR(VLOOKUP($B76,اسماء,31,0),0)</f>
        <v>0</v>
      </c>
      <c r="G78" s="592"/>
      <c r="H78" s="608">
        <f>IFERROR(VLOOKUP($B76,اسماء,32,0),0)</f>
        <v>0</v>
      </c>
      <c r="I78" s="609"/>
      <c r="J78" s="589">
        <f>IFERROR(VLOOKUP($B76,اسماء,33,0),0)</f>
        <v>0</v>
      </c>
      <c r="K78" s="592"/>
      <c r="L78" s="589">
        <f>IFERROR(VLOOKUP($B76,اسماء,34,0),0)</f>
        <v>0</v>
      </c>
      <c r="M78" s="590"/>
      <c r="N78" s="589">
        <f>IFERROR(VLOOKUP($B76,اسماء,35,0),0)</f>
        <v>0</v>
      </c>
      <c r="O78" s="590"/>
      <c r="P78" s="589">
        <f>IFERROR(VLOOKUP($B76,اسماء,36,0),0)</f>
        <v>0</v>
      </c>
      <c r="Q78" s="609"/>
      <c r="R78" s="603">
        <f>IFERROR(VLOOKUP($B76,اسماء,37,0),0)</f>
        <v>0</v>
      </c>
      <c r="S78" s="592"/>
      <c r="T78" s="589">
        <f>IFERROR(VLOOKUP($B76,اسماء,38,0),0)</f>
        <v>0</v>
      </c>
      <c r="U78" s="592"/>
      <c r="V78" s="263">
        <f t="shared" si="195"/>
        <v>0</v>
      </c>
      <c r="W78" s="373">
        <f>IFERROR(VLOOKUP($B76,اسماء,40,0),0)</f>
        <v>0</v>
      </c>
      <c r="X78" s="373">
        <f>IFERROR(VLOOKUP($B76,اسماء,41,0),0)</f>
        <v>0</v>
      </c>
      <c r="Y78" s="596"/>
      <c r="Z78" s="22" t="str">
        <f t="shared" ref="Z78" si="200">LOOKUP(V78,$AI$6:$AJ$10)</f>
        <v>ضعيف</v>
      </c>
      <c r="AA78" s="657"/>
      <c r="AB78" s="72"/>
      <c r="AC78" s="654"/>
      <c r="AN78" s="607"/>
      <c r="AO78" s="607"/>
      <c r="AP78" s="613"/>
      <c r="AQ78" s="612"/>
      <c r="AR78" s="611"/>
      <c r="AS78" s="612"/>
    </row>
    <row r="79" spans="1:45" ht="15" customHeight="1" thickBot="1" x14ac:dyDescent="0.3">
      <c r="A79" s="634"/>
      <c r="B79" s="631"/>
      <c r="C79" s="623"/>
      <c r="D79" s="626"/>
      <c r="E79" s="127" t="s">
        <v>33</v>
      </c>
      <c r="F79" s="585">
        <f t="shared" ref="F79" si="201">SUM(F76:G78)</f>
        <v>36</v>
      </c>
      <c r="G79" s="593"/>
      <c r="H79" s="604">
        <f t="shared" ref="H79" si="202">SUM(H76:I78)</f>
        <v>48</v>
      </c>
      <c r="I79" s="601"/>
      <c r="J79" s="585">
        <f t="shared" ref="J79" si="203">SUM(J76:K78)</f>
        <v>23</v>
      </c>
      <c r="K79" s="593"/>
      <c r="L79" s="585">
        <f t="shared" ref="L79" si="204">SUM(L76:M78)</f>
        <v>32</v>
      </c>
      <c r="M79" s="586"/>
      <c r="N79" s="585">
        <f t="shared" ref="N79" si="205">SUM(N76:O78)</f>
        <v>12</v>
      </c>
      <c r="O79" s="586"/>
      <c r="P79" s="585">
        <f t="shared" ref="P79" si="206">SUM(P76:Q78)</f>
        <v>52</v>
      </c>
      <c r="Q79" s="601"/>
      <c r="R79" s="602">
        <f t="shared" ref="R79" si="207">SUM(R76:S78)</f>
        <v>36</v>
      </c>
      <c r="S79" s="593"/>
      <c r="T79" s="585">
        <f t="shared" ref="T79" si="208">SUM(T76:U78)</f>
        <v>24</v>
      </c>
      <c r="U79" s="593"/>
      <c r="V79" s="210">
        <f t="shared" ref="V79" si="209">IF(AND(F79&gt;=$G$8,H79&gt;=$I$8,L79&gt;=$M$8,P79&gt;=$Q$8,R79&gt;=$S$8,T79&gt;=$U$8),SUM(F79:U79),0)</f>
        <v>0</v>
      </c>
      <c r="W79" s="264"/>
      <c r="X79" s="97"/>
      <c r="Y79" s="597"/>
      <c r="Z79" s="91" t="str">
        <f t="shared" ref="Z79" si="210">LOOKUP(V79,$AL$6:$AM$10)</f>
        <v>ضعيف</v>
      </c>
      <c r="AA79" s="658"/>
      <c r="AB79" s="72"/>
      <c r="AC79" s="655"/>
      <c r="AN79" s="607"/>
      <c r="AO79" s="607"/>
      <c r="AP79" s="613"/>
      <c r="AQ79" s="612"/>
      <c r="AR79" s="611"/>
      <c r="AS79" s="612"/>
    </row>
    <row r="80" spans="1:45" ht="15" customHeight="1" thickBot="1" x14ac:dyDescent="0.3">
      <c r="A80" s="632">
        <v>17</v>
      </c>
      <c r="B80" s="629" t="str">
        <f>VLOOKUP(A80,مسلسل,2,0)</f>
        <v xml:space="preserve">ميّار صالح محمد ديماس </v>
      </c>
      <c r="C80" s="621">
        <f>IFERROR(VLOOKUP(B80,اسماء,2,0),"")</f>
        <v>42689</v>
      </c>
      <c r="D80" s="624" t="str">
        <f>IFERROR(VLOOKUP($B80,اسماء,3,0),"")</f>
        <v>دالين متير كاحيل</v>
      </c>
      <c r="E80" s="132" t="s">
        <v>30</v>
      </c>
      <c r="F80" s="627">
        <f>IFERROR(VLOOKUP($B80,اسماء,5,0),0)</f>
        <v>36</v>
      </c>
      <c r="G80" s="606"/>
      <c r="H80" s="628">
        <f>IFERROR(VLOOKUP($B80,اسماء,6,0),0)</f>
        <v>48</v>
      </c>
      <c r="I80" s="605"/>
      <c r="J80" s="587">
        <f>IFERROR(VLOOKUP($B80,اسماء,7,0),0)</f>
        <v>23</v>
      </c>
      <c r="K80" s="591"/>
      <c r="L80" s="587">
        <f>IFERROR(VLOOKUP($B80,اسماء,8,0),0)</f>
        <v>36</v>
      </c>
      <c r="M80" s="588"/>
      <c r="N80" s="587">
        <f>IFERROR(VLOOKUP($B80,اسماء,9,0),0)</f>
        <v>12</v>
      </c>
      <c r="O80" s="605"/>
      <c r="P80" s="587">
        <f>IFERROR(VLOOKUP($B80,اسماء,10,0),0)</f>
        <v>57</v>
      </c>
      <c r="Q80" s="605"/>
      <c r="R80" s="606">
        <f>IFERROR(VLOOKUP($B80,اسماء,11,0),0)</f>
        <v>36</v>
      </c>
      <c r="S80" s="591"/>
      <c r="T80" s="587">
        <f>IFERROR(VLOOKUP($B80,اسماء,12,0),0)</f>
        <v>24</v>
      </c>
      <c r="U80" s="591"/>
      <c r="V80" s="263">
        <f t="shared" ref="V80:V82" si="211">SUM(F80:U80)</f>
        <v>272</v>
      </c>
      <c r="W80" s="373" t="str">
        <f>IFERROR(VLOOKUP($B80,اسماء,14,0),0)</f>
        <v>جيد جداً</v>
      </c>
      <c r="X80" s="373" t="str">
        <f>IFERROR(VLOOKUP($B80,اسماء,15,0),0)</f>
        <v>جيد جداً</v>
      </c>
      <c r="Y80" s="595" t="str">
        <f t="shared" ref="Y80" si="212">IF(AC80="غائب","راسب",IF(AND(F83&gt;=$G$8,H83&gt;=$I$8,J83&gt;=$K$8,L83&gt;=$M$8,N83&gt;=$O$8,P83&gt;=$Q$8,R83&gt;=$S$8,T83&gt;=$U$8),"ناجح","له دور ثان"))</f>
        <v>له دور ثان</v>
      </c>
      <c r="Z80" s="21" t="str">
        <f t="shared" ref="Z80:Z81" si="213">LOOKUP(V80,$AF$6:$AG$10)</f>
        <v>ممتاز</v>
      </c>
      <c r="AA80" s="656">
        <f t="shared" ref="AA80" si="214">V83/$AF$3</f>
        <v>0</v>
      </c>
      <c r="AB80" s="10"/>
      <c r="AC80" s="653">
        <f>IFERROR(VLOOKUP($B80,اسماء,54,0),"")</f>
        <v>0</v>
      </c>
      <c r="AN80" s="607" t="str">
        <f t="shared" ref="AN80" si="215">IF(V83=0,"",V83/1+ROW()*0.00001)</f>
        <v/>
      </c>
      <c r="AO80" s="607" t="str">
        <f>B80</f>
        <v xml:space="preserve">ميّار صالح محمد ديماس </v>
      </c>
      <c r="AP80" s="613"/>
      <c r="AQ80" s="612">
        <v>17</v>
      </c>
      <c r="AR80" s="611" t="str">
        <f>IFERROR(LARGE($AN$10:$AN$1006,AQ80),"")</f>
        <v/>
      </c>
      <c r="AS80" s="612" t="str">
        <f>VLOOKUP(AR80,$AN$10:$AO$1116,2,0)</f>
        <v>أحمد نورالدين أحمد الذيب</v>
      </c>
    </row>
    <row r="81" spans="1:45" ht="15" customHeight="1" thickBot="1" x14ac:dyDescent="0.3">
      <c r="A81" s="633"/>
      <c r="B81" s="630"/>
      <c r="C81" s="622"/>
      <c r="D81" s="625"/>
      <c r="E81" s="133" t="s">
        <v>31</v>
      </c>
      <c r="F81" s="589">
        <f>IFERROR(VLOOKUP($B80,اسماء,18,0),0)</f>
        <v>0</v>
      </c>
      <c r="G81" s="592"/>
      <c r="H81" s="608">
        <f>IFERROR(VLOOKUP($B80,اسماء,19,0),0)</f>
        <v>0</v>
      </c>
      <c r="I81" s="609"/>
      <c r="J81" s="589">
        <f>IFERROR(VLOOKUP($B80,اسماء,20,0),0)</f>
        <v>0</v>
      </c>
      <c r="K81" s="592"/>
      <c r="L81" s="589">
        <f>IFERROR(VLOOKUP($B80,اسماء,21,0),0)</f>
        <v>0</v>
      </c>
      <c r="M81" s="590"/>
      <c r="N81" s="589">
        <f>IFERROR(VLOOKUP($B80,اسماء,22,0),0)</f>
        <v>0</v>
      </c>
      <c r="O81" s="590"/>
      <c r="P81" s="589">
        <f>IFERROR(VLOOKUP($B80,اسماء,23,0),0)</f>
        <v>0</v>
      </c>
      <c r="Q81" s="609"/>
      <c r="R81" s="603">
        <f>IFERROR(VLOOKUP($B80,اسماء,24,0),0)</f>
        <v>0</v>
      </c>
      <c r="S81" s="592"/>
      <c r="T81" s="589">
        <f>IFERROR(VLOOKUP($B80,اسماء,25,0),0)</f>
        <v>0</v>
      </c>
      <c r="U81" s="592"/>
      <c r="V81" s="263">
        <f t="shared" si="211"/>
        <v>0</v>
      </c>
      <c r="W81" s="373">
        <f>IFERROR(VLOOKUP($B80,اسماء,27,0),0)</f>
        <v>0</v>
      </c>
      <c r="X81" s="373">
        <f>IFERROR(VLOOKUP($B80,اسماء,28,0),0)</f>
        <v>0</v>
      </c>
      <c r="Y81" s="596"/>
      <c r="Z81" s="22" t="str">
        <f t="shared" si="213"/>
        <v>ضعيف</v>
      </c>
      <c r="AA81" s="657"/>
      <c r="AB81" s="72"/>
      <c r="AC81" s="654"/>
      <c r="AN81" s="607"/>
      <c r="AO81" s="607"/>
      <c r="AP81" s="613"/>
      <c r="AQ81" s="612"/>
      <c r="AR81" s="611"/>
      <c r="AS81" s="612"/>
    </row>
    <row r="82" spans="1:45" ht="15" customHeight="1" x14ac:dyDescent="0.25">
      <c r="A82" s="633"/>
      <c r="B82" s="630"/>
      <c r="C82" s="622"/>
      <c r="D82" s="625"/>
      <c r="E82" s="133" t="s">
        <v>32</v>
      </c>
      <c r="F82" s="589">
        <f>IFERROR(VLOOKUP($B80,اسماء,31,0),0)</f>
        <v>0</v>
      </c>
      <c r="G82" s="592"/>
      <c r="H82" s="608">
        <f>IFERROR(VLOOKUP($B80,اسماء,32,0),0)</f>
        <v>0</v>
      </c>
      <c r="I82" s="609"/>
      <c r="J82" s="589">
        <f>IFERROR(VLOOKUP($B80,اسماء,33,0),0)</f>
        <v>0</v>
      </c>
      <c r="K82" s="592"/>
      <c r="L82" s="589">
        <f>IFERROR(VLOOKUP($B80,اسماء,34,0),0)</f>
        <v>0</v>
      </c>
      <c r="M82" s="590"/>
      <c r="N82" s="589">
        <f>IFERROR(VLOOKUP($B80,اسماء,35,0),0)</f>
        <v>0</v>
      </c>
      <c r="O82" s="590"/>
      <c r="P82" s="589">
        <f>IFERROR(VLOOKUP($B80,اسماء,36,0),0)</f>
        <v>0</v>
      </c>
      <c r="Q82" s="609"/>
      <c r="R82" s="603">
        <f>IFERROR(VLOOKUP($B80,اسماء,37,0),0)</f>
        <v>0</v>
      </c>
      <c r="S82" s="592"/>
      <c r="T82" s="589">
        <f>IFERROR(VLOOKUP($B80,اسماء,38,0),0)</f>
        <v>0</v>
      </c>
      <c r="U82" s="592"/>
      <c r="V82" s="263">
        <f t="shared" si="211"/>
        <v>0</v>
      </c>
      <c r="W82" s="373">
        <f>IFERROR(VLOOKUP($B80,اسماء,40,0),0)</f>
        <v>0</v>
      </c>
      <c r="X82" s="373">
        <f>IFERROR(VLOOKUP($B80,اسماء,41,0),0)</f>
        <v>0</v>
      </c>
      <c r="Y82" s="596"/>
      <c r="Z82" s="22" t="str">
        <f t="shared" ref="Z82" si="216">LOOKUP(V82,$AI$6:$AJ$10)</f>
        <v>ضعيف</v>
      </c>
      <c r="AA82" s="657"/>
      <c r="AB82" s="72"/>
      <c r="AC82" s="654"/>
      <c r="AN82" s="607"/>
      <c r="AO82" s="607"/>
      <c r="AP82" s="613"/>
      <c r="AQ82" s="612"/>
      <c r="AR82" s="611"/>
      <c r="AS82" s="612"/>
    </row>
    <row r="83" spans="1:45" ht="15" customHeight="1" thickBot="1" x14ac:dyDescent="0.3">
      <c r="A83" s="634"/>
      <c r="B83" s="631"/>
      <c r="C83" s="623"/>
      <c r="D83" s="626"/>
      <c r="E83" s="127" t="s">
        <v>33</v>
      </c>
      <c r="F83" s="585">
        <f t="shared" ref="F83" si="217">SUM(F80:G82)</f>
        <v>36</v>
      </c>
      <c r="G83" s="593"/>
      <c r="H83" s="604">
        <f t="shared" ref="H83" si="218">SUM(H80:I82)</f>
        <v>48</v>
      </c>
      <c r="I83" s="601"/>
      <c r="J83" s="585">
        <f t="shared" ref="J83" si="219">SUM(J80:K82)</f>
        <v>23</v>
      </c>
      <c r="K83" s="593"/>
      <c r="L83" s="585">
        <f t="shared" ref="L83" si="220">SUM(L80:M82)</f>
        <v>36</v>
      </c>
      <c r="M83" s="586"/>
      <c r="N83" s="585">
        <f t="shared" ref="N83" si="221">SUM(N80:O82)</f>
        <v>12</v>
      </c>
      <c r="O83" s="586"/>
      <c r="P83" s="585">
        <f t="shared" ref="P83" si="222">SUM(P80:Q82)</f>
        <v>57</v>
      </c>
      <c r="Q83" s="601"/>
      <c r="R83" s="602">
        <f t="shared" ref="R83" si="223">SUM(R80:S82)</f>
        <v>36</v>
      </c>
      <c r="S83" s="593"/>
      <c r="T83" s="585">
        <f t="shared" ref="T83" si="224">SUM(T80:U82)</f>
        <v>24</v>
      </c>
      <c r="U83" s="593"/>
      <c r="V83" s="210">
        <f t="shared" ref="V83" si="225">IF(AND(F83&gt;=$G$8,H83&gt;=$I$8,L83&gt;=$M$8,P83&gt;=$Q$8,R83&gt;=$S$8,T83&gt;=$U$8),SUM(F83:U83),0)</f>
        <v>0</v>
      </c>
      <c r="W83" s="264"/>
      <c r="X83" s="97"/>
      <c r="Y83" s="597"/>
      <c r="Z83" s="91" t="str">
        <f t="shared" ref="Z83" si="226">LOOKUP(V83,$AL$6:$AM$10)</f>
        <v>ضعيف</v>
      </c>
      <c r="AA83" s="658"/>
      <c r="AB83" s="10"/>
      <c r="AC83" s="655"/>
      <c r="AN83" s="607"/>
      <c r="AO83" s="607"/>
      <c r="AP83" s="613"/>
      <c r="AQ83" s="612"/>
      <c r="AR83" s="611"/>
      <c r="AS83" s="612"/>
    </row>
    <row r="84" spans="1:45" ht="15" customHeight="1" thickBot="1" x14ac:dyDescent="0.3">
      <c r="A84" s="632">
        <v>18</v>
      </c>
      <c r="B84" s="629">
        <f>VLOOKUP(A84,مسلسل,2,0)</f>
        <v>0</v>
      </c>
      <c r="C84" s="621" t="str">
        <f>IFERROR(VLOOKUP(B84,اسماء,2,0),"")</f>
        <v/>
      </c>
      <c r="D84" s="624" t="str">
        <f>IFERROR(VLOOKUP($B84,اسماء,3,0),"")</f>
        <v/>
      </c>
      <c r="E84" s="132" t="s">
        <v>30</v>
      </c>
      <c r="F84" s="627">
        <f>IFERROR(VLOOKUP($B84,اسماء,5,0),0)</f>
        <v>0</v>
      </c>
      <c r="G84" s="606"/>
      <c r="H84" s="628">
        <f>IFERROR(VLOOKUP($B84,اسماء,6,0),0)</f>
        <v>0</v>
      </c>
      <c r="I84" s="605"/>
      <c r="J84" s="587">
        <f>IFERROR(VLOOKUP($B84,اسماء,7,0),0)</f>
        <v>0</v>
      </c>
      <c r="K84" s="591"/>
      <c r="L84" s="587">
        <f>IFERROR(VLOOKUP($B84,اسماء,8,0),0)</f>
        <v>0</v>
      </c>
      <c r="M84" s="588"/>
      <c r="N84" s="587">
        <f>IFERROR(VLOOKUP($B84,اسماء,9,0),0)</f>
        <v>0</v>
      </c>
      <c r="O84" s="605"/>
      <c r="P84" s="587">
        <f>IFERROR(VLOOKUP($B84,اسماء,10,0),0)</f>
        <v>0</v>
      </c>
      <c r="Q84" s="605"/>
      <c r="R84" s="606">
        <f>IFERROR(VLOOKUP($B84,اسماء,11,0),0)</f>
        <v>0</v>
      </c>
      <c r="S84" s="591"/>
      <c r="T84" s="587">
        <f>IFERROR(VLOOKUP($B84,اسماء,12,0),0)</f>
        <v>0</v>
      </c>
      <c r="U84" s="591"/>
      <c r="V84" s="263">
        <f t="shared" ref="V84:V86" si="227">SUM(F84:U84)</f>
        <v>0</v>
      </c>
      <c r="W84" s="373">
        <f>IFERROR(VLOOKUP($B84,اسماء,14,0),0)</f>
        <v>0</v>
      </c>
      <c r="X84" s="373">
        <f>IFERROR(VLOOKUP($B84,اسماء,15,0),0)</f>
        <v>0</v>
      </c>
      <c r="Y84" s="595" t="str">
        <f t="shared" ref="Y84" si="228">IF(AC84="غائب","راسب",IF(AND(F87&gt;=$G$8,H87&gt;=$I$8,J87&gt;=$K$8,L87&gt;=$M$8,N87&gt;=$O$8,P87&gt;=$Q$8,R87&gt;=$S$8,T87&gt;=$U$8),"ناجح","له دور ثان"))</f>
        <v>له دور ثان</v>
      </c>
      <c r="Z84" s="21" t="str">
        <f t="shared" ref="Z84:Z85" si="229">LOOKUP(V84,$AF$6:$AG$10)</f>
        <v>ضعيف</v>
      </c>
      <c r="AA84" s="656">
        <f t="shared" ref="AA84" si="230">V87/$AF$3</f>
        <v>0</v>
      </c>
      <c r="AB84" s="72"/>
      <c r="AC84" s="653" t="str">
        <f>IFERROR(VLOOKUP($B84,اسماء,54,0),"")</f>
        <v/>
      </c>
      <c r="AN84" s="607" t="str">
        <f t="shared" ref="AN84" si="231">IF(V87=0,"",V87/1+ROW()*0.00001)</f>
        <v/>
      </c>
      <c r="AO84" s="607">
        <f>B84</f>
        <v>0</v>
      </c>
      <c r="AP84" s="613"/>
      <c r="AQ84" s="612">
        <v>18</v>
      </c>
      <c r="AR84" s="611" t="str">
        <f>IFERROR(LARGE($AN$10:$AN$1006,AQ84),"")</f>
        <v/>
      </c>
      <c r="AS84" s="612" t="str">
        <f>VLOOKUP(AR84,$AN$10:$AO$1116,2,0)</f>
        <v>أحمد نورالدين أحمد الذيب</v>
      </c>
    </row>
    <row r="85" spans="1:45" ht="15" customHeight="1" thickBot="1" x14ac:dyDescent="0.3">
      <c r="A85" s="633"/>
      <c r="B85" s="630"/>
      <c r="C85" s="622"/>
      <c r="D85" s="625"/>
      <c r="E85" s="133" t="s">
        <v>31</v>
      </c>
      <c r="F85" s="589">
        <f>IFERROR(VLOOKUP($B84,اسماء,18,0),0)</f>
        <v>0</v>
      </c>
      <c r="G85" s="592"/>
      <c r="H85" s="608">
        <f>IFERROR(VLOOKUP($B84,اسماء,19,0),0)</f>
        <v>0</v>
      </c>
      <c r="I85" s="609"/>
      <c r="J85" s="589">
        <f>IFERROR(VLOOKUP($B84,اسماء,20,0),0)</f>
        <v>0</v>
      </c>
      <c r="K85" s="592"/>
      <c r="L85" s="589">
        <f>IFERROR(VLOOKUP($B84,اسماء,21,0),0)</f>
        <v>0</v>
      </c>
      <c r="M85" s="590"/>
      <c r="N85" s="589">
        <f>IFERROR(VLOOKUP($B84,اسماء,22,0),0)</f>
        <v>0</v>
      </c>
      <c r="O85" s="590"/>
      <c r="P85" s="589">
        <f>IFERROR(VLOOKUP($B84,اسماء,23,0),0)</f>
        <v>0</v>
      </c>
      <c r="Q85" s="609"/>
      <c r="R85" s="603">
        <f>IFERROR(VLOOKUP($B84,اسماء,24,0),0)</f>
        <v>0</v>
      </c>
      <c r="S85" s="592"/>
      <c r="T85" s="589">
        <f>IFERROR(VLOOKUP($B84,اسماء,25,0),0)</f>
        <v>0</v>
      </c>
      <c r="U85" s="592"/>
      <c r="V85" s="263">
        <f t="shared" si="227"/>
        <v>0</v>
      </c>
      <c r="W85" s="373">
        <f>IFERROR(VLOOKUP($B84,اسماء,27,0),0)</f>
        <v>0</v>
      </c>
      <c r="X85" s="373">
        <f>IFERROR(VLOOKUP($B84,اسماء,28,0),0)</f>
        <v>0</v>
      </c>
      <c r="Y85" s="596"/>
      <c r="Z85" s="22" t="str">
        <f t="shared" si="229"/>
        <v>ضعيف</v>
      </c>
      <c r="AA85" s="657"/>
      <c r="AB85" s="72"/>
      <c r="AC85" s="654"/>
      <c r="AN85" s="607"/>
      <c r="AO85" s="607"/>
      <c r="AP85" s="613"/>
      <c r="AQ85" s="612"/>
      <c r="AR85" s="611"/>
      <c r="AS85" s="612"/>
    </row>
    <row r="86" spans="1:45" ht="15" customHeight="1" x14ac:dyDescent="0.25">
      <c r="A86" s="633"/>
      <c r="B86" s="630"/>
      <c r="C86" s="622"/>
      <c r="D86" s="625"/>
      <c r="E86" s="133" t="s">
        <v>32</v>
      </c>
      <c r="F86" s="589">
        <f>IFERROR(VLOOKUP($B84,اسماء,31,0),0)</f>
        <v>0</v>
      </c>
      <c r="G86" s="592"/>
      <c r="H86" s="608">
        <f>IFERROR(VLOOKUP($B84,اسماء,32,0),0)</f>
        <v>0</v>
      </c>
      <c r="I86" s="609"/>
      <c r="J86" s="589">
        <f>IFERROR(VLOOKUP($B84,اسماء,33,0),0)</f>
        <v>0</v>
      </c>
      <c r="K86" s="592"/>
      <c r="L86" s="589">
        <f>IFERROR(VLOOKUP($B84,اسماء,34,0),0)</f>
        <v>0</v>
      </c>
      <c r="M86" s="590"/>
      <c r="N86" s="589">
        <f>IFERROR(VLOOKUP($B84,اسماء,35,0),0)</f>
        <v>0</v>
      </c>
      <c r="O86" s="590"/>
      <c r="P86" s="589">
        <f>IFERROR(VLOOKUP($B84,اسماء,36,0),0)</f>
        <v>0</v>
      </c>
      <c r="Q86" s="609"/>
      <c r="R86" s="603">
        <f>IFERROR(VLOOKUP($B84,اسماء,37,0),0)</f>
        <v>0</v>
      </c>
      <c r="S86" s="592"/>
      <c r="T86" s="589">
        <f>IFERROR(VLOOKUP($B84,اسماء,38,0),0)</f>
        <v>0</v>
      </c>
      <c r="U86" s="592"/>
      <c r="V86" s="263">
        <f t="shared" si="227"/>
        <v>0</v>
      </c>
      <c r="W86" s="373">
        <f>IFERROR(VLOOKUP($B84,اسماء,40,0),0)</f>
        <v>0</v>
      </c>
      <c r="X86" s="373">
        <f>IFERROR(VLOOKUP($B84,اسماء,41,0),0)</f>
        <v>0</v>
      </c>
      <c r="Y86" s="596"/>
      <c r="Z86" s="22" t="str">
        <f t="shared" ref="Z86" si="232">LOOKUP(V86,$AI$6:$AJ$10)</f>
        <v>ضعيف</v>
      </c>
      <c r="AA86" s="657"/>
      <c r="AB86" s="10"/>
      <c r="AC86" s="654"/>
      <c r="AN86" s="607"/>
      <c r="AO86" s="607"/>
      <c r="AP86" s="613"/>
      <c r="AQ86" s="612"/>
      <c r="AR86" s="611"/>
      <c r="AS86" s="612"/>
    </row>
    <row r="87" spans="1:45" ht="15" customHeight="1" thickBot="1" x14ac:dyDescent="0.3">
      <c r="A87" s="634"/>
      <c r="B87" s="631"/>
      <c r="C87" s="623"/>
      <c r="D87" s="626"/>
      <c r="E87" s="127" t="s">
        <v>33</v>
      </c>
      <c r="F87" s="585">
        <f t="shared" ref="F87" si="233">SUM(F84:G86)</f>
        <v>0</v>
      </c>
      <c r="G87" s="593"/>
      <c r="H87" s="604">
        <f t="shared" ref="H87" si="234">SUM(H84:I86)</f>
        <v>0</v>
      </c>
      <c r="I87" s="601"/>
      <c r="J87" s="585">
        <f t="shared" ref="J87" si="235">SUM(J84:K86)</f>
        <v>0</v>
      </c>
      <c r="K87" s="593"/>
      <c r="L87" s="585">
        <f t="shared" ref="L87" si="236">SUM(L84:M86)</f>
        <v>0</v>
      </c>
      <c r="M87" s="586"/>
      <c r="N87" s="585">
        <f t="shared" ref="N87" si="237">SUM(N84:O86)</f>
        <v>0</v>
      </c>
      <c r="O87" s="586"/>
      <c r="P87" s="585">
        <f t="shared" ref="P87" si="238">SUM(P84:Q86)</f>
        <v>0</v>
      </c>
      <c r="Q87" s="601"/>
      <c r="R87" s="602">
        <f t="shared" ref="R87" si="239">SUM(R84:S86)</f>
        <v>0</v>
      </c>
      <c r="S87" s="593"/>
      <c r="T87" s="585">
        <f t="shared" ref="T87" si="240">SUM(T84:U86)</f>
        <v>0</v>
      </c>
      <c r="U87" s="593"/>
      <c r="V87" s="210">
        <f t="shared" ref="V87" si="241">IF(AND(F87&gt;=$G$8,H87&gt;=$I$8,L87&gt;=$M$8,P87&gt;=$Q$8,R87&gt;=$S$8,T87&gt;=$U$8),SUM(F87:U87),0)</f>
        <v>0</v>
      </c>
      <c r="W87" s="264"/>
      <c r="X87" s="97"/>
      <c r="Y87" s="597"/>
      <c r="Z87" s="91" t="str">
        <f t="shared" ref="Z87" si="242">LOOKUP(V87,$AL$6:$AM$10)</f>
        <v>ضعيف</v>
      </c>
      <c r="AA87" s="658"/>
      <c r="AB87" s="72"/>
      <c r="AC87" s="655"/>
      <c r="AN87" s="607"/>
      <c r="AO87" s="607"/>
      <c r="AP87" s="613"/>
      <c r="AQ87" s="612"/>
      <c r="AR87" s="611"/>
      <c r="AS87" s="612"/>
    </row>
    <row r="88" spans="1:45" ht="15" customHeight="1" thickBot="1" x14ac:dyDescent="0.3">
      <c r="A88" s="632">
        <v>19</v>
      </c>
      <c r="B88" s="629">
        <f>VLOOKUP(A88,مسلسل,2,0)</f>
        <v>0</v>
      </c>
      <c r="C88" s="621" t="str">
        <f>IFERROR(VLOOKUP(B88,اسماء,2,0),"")</f>
        <v/>
      </c>
      <c r="D88" s="624" t="str">
        <f>IFERROR(VLOOKUP($B88,اسماء,3,0),"")</f>
        <v/>
      </c>
      <c r="E88" s="132" t="s">
        <v>30</v>
      </c>
      <c r="F88" s="627">
        <f>IFERROR(VLOOKUP($B88,اسماء,5,0),0)</f>
        <v>0</v>
      </c>
      <c r="G88" s="606"/>
      <c r="H88" s="628">
        <f>IFERROR(VLOOKUP($B88,اسماء,6,0),0)</f>
        <v>0</v>
      </c>
      <c r="I88" s="605"/>
      <c r="J88" s="587">
        <f>IFERROR(VLOOKUP($B88,اسماء,7,0),0)</f>
        <v>0</v>
      </c>
      <c r="K88" s="591"/>
      <c r="L88" s="587">
        <f>IFERROR(VLOOKUP($B88,اسماء,8,0),0)</f>
        <v>0</v>
      </c>
      <c r="M88" s="588"/>
      <c r="N88" s="587">
        <f>IFERROR(VLOOKUP($B88,اسماء,9,0),0)</f>
        <v>0</v>
      </c>
      <c r="O88" s="605"/>
      <c r="P88" s="587">
        <f>IFERROR(VLOOKUP($B88,اسماء,10,0),0)</f>
        <v>0</v>
      </c>
      <c r="Q88" s="605"/>
      <c r="R88" s="606">
        <f>IFERROR(VLOOKUP($B88,اسماء,11,0),0)</f>
        <v>0</v>
      </c>
      <c r="S88" s="591"/>
      <c r="T88" s="587">
        <f>IFERROR(VLOOKUP($B88,اسماء,12,0),0)</f>
        <v>0</v>
      </c>
      <c r="U88" s="591"/>
      <c r="V88" s="263">
        <f t="shared" ref="V88:V90" si="243">SUM(F88:U88)</f>
        <v>0</v>
      </c>
      <c r="W88" s="373">
        <f>IFERROR(VLOOKUP($B88,اسماء,14,0),0)</f>
        <v>0</v>
      </c>
      <c r="X88" s="373">
        <f>IFERROR(VLOOKUP($B88,اسماء,15,0),0)</f>
        <v>0</v>
      </c>
      <c r="Y88" s="595" t="str">
        <f t="shared" ref="Y88" si="244">IF(AC88="غائب","راسب",IF(AND(F91&gt;=$G$8,H91&gt;=$I$8,J91&gt;=$K$8,L91&gt;=$M$8,N91&gt;=$O$8,P91&gt;=$Q$8,R91&gt;=$S$8,T91&gt;=$U$8),"ناجح","له دور ثان"))</f>
        <v>له دور ثان</v>
      </c>
      <c r="Z88" s="21" t="str">
        <f t="shared" ref="Z88:Z89" si="245">LOOKUP(V88,$AF$6:$AG$10)</f>
        <v>ضعيف</v>
      </c>
      <c r="AA88" s="656">
        <f t="shared" ref="AA88" si="246">V91/$AF$3</f>
        <v>0</v>
      </c>
      <c r="AB88" s="72"/>
      <c r="AC88" s="653" t="str">
        <f>IFERROR(VLOOKUP($B88,اسماء,54,0),"")</f>
        <v/>
      </c>
      <c r="AN88" s="607" t="str">
        <f t="shared" ref="AN88" si="247">IF(V91=0,"",V91/1+ROW()*0.00001)</f>
        <v/>
      </c>
      <c r="AO88" s="607">
        <f>B88</f>
        <v>0</v>
      </c>
      <c r="AP88" s="613"/>
      <c r="AQ88" s="612">
        <v>19</v>
      </c>
      <c r="AR88" s="611" t="str">
        <f>IFERROR(LARGE($AN$10:$AN$1006,AQ88),"")</f>
        <v/>
      </c>
      <c r="AS88" s="612" t="str">
        <f>VLOOKUP(AR88,$AN$10:$AO$1116,2,0)</f>
        <v>أحمد نورالدين أحمد الذيب</v>
      </c>
    </row>
    <row r="89" spans="1:45" ht="15" customHeight="1" thickBot="1" x14ac:dyDescent="0.3">
      <c r="A89" s="633"/>
      <c r="B89" s="630"/>
      <c r="C89" s="622"/>
      <c r="D89" s="625"/>
      <c r="E89" s="133" t="s">
        <v>31</v>
      </c>
      <c r="F89" s="589">
        <f>IFERROR(VLOOKUP($B88,اسماء,18,0),0)</f>
        <v>0</v>
      </c>
      <c r="G89" s="592"/>
      <c r="H89" s="608">
        <f>IFERROR(VLOOKUP($B88,اسماء,19,0),0)</f>
        <v>0</v>
      </c>
      <c r="I89" s="609"/>
      <c r="J89" s="589">
        <f>IFERROR(VLOOKUP($B88,اسماء,20,0),0)</f>
        <v>0</v>
      </c>
      <c r="K89" s="592"/>
      <c r="L89" s="589">
        <f>IFERROR(VLOOKUP($B88,اسماء,21,0),0)</f>
        <v>0</v>
      </c>
      <c r="M89" s="590"/>
      <c r="N89" s="589">
        <f>IFERROR(VLOOKUP($B88,اسماء,22,0),0)</f>
        <v>0</v>
      </c>
      <c r="O89" s="590"/>
      <c r="P89" s="589">
        <f>IFERROR(VLOOKUP($B88,اسماء,23,0),0)</f>
        <v>0</v>
      </c>
      <c r="Q89" s="609"/>
      <c r="R89" s="603">
        <f>IFERROR(VLOOKUP($B88,اسماء,24,0),0)</f>
        <v>0</v>
      </c>
      <c r="S89" s="592"/>
      <c r="T89" s="589">
        <f>IFERROR(VLOOKUP($B88,اسماء,25,0),0)</f>
        <v>0</v>
      </c>
      <c r="U89" s="592"/>
      <c r="V89" s="263">
        <f t="shared" si="243"/>
        <v>0</v>
      </c>
      <c r="W89" s="373">
        <f>IFERROR(VLOOKUP($B88,اسماء,27,0),0)</f>
        <v>0</v>
      </c>
      <c r="X89" s="373">
        <f>IFERROR(VLOOKUP($B88,اسماء,28,0),0)</f>
        <v>0</v>
      </c>
      <c r="Y89" s="596"/>
      <c r="Z89" s="22" t="str">
        <f t="shared" si="245"/>
        <v>ضعيف</v>
      </c>
      <c r="AA89" s="657"/>
      <c r="AB89" s="10"/>
      <c r="AC89" s="654"/>
      <c r="AN89" s="607"/>
      <c r="AO89" s="607"/>
      <c r="AP89" s="613"/>
      <c r="AQ89" s="612"/>
      <c r="AR89" s="611"/>
      <c r="AS89" s="612"/>
    </row>
    <row r="90" spans="1:45" ht="15" customHeight="1" x14ac:dyDescent="0.25">
      <c r="A90" s="633"/>
      <c r="B90" s="630"/>
      <c r="C90" s="622"/>
      <c r="D90" s="625"/>
      <c r="E90" s="133" t="s">
        <v>32</v>
      </c>
      <c r="F90" s="589">
        <f>IFERROR(VLOOKUP($B88,اسماء,31,0),0)</f>
        <v>0</v>
      </c>
      <c r="G90" s="592"/>
      <c r="H90" s="608">
        <f>IFERROR(VLOOKUP($B88,اسماء,32,0),0)</f>
        <v>0</v>
      </c>
      <c r="I90" s="609"/>
      <c r="J90" s="589">
        <f>IFERROR(VLOOKUP($B88,اسماء,33,0),0)</f>
        <v>0</v>
      </c>
      <c r="K90" s="592"/>
      <c r="L90" s="589">
        <f>IFERROR(VLOOKUP($B88,اسماء,34,0),0)</f>
        <v>0</v>
      </c>
      <c r="M90" s="590"/>
      <c r="N90" s="589">
        <f>IFERROR(VLOOKUP($B88,اسماء,35,0),0)</f>
        <v>0</v>
      </c>
      <c r="O90" s="590"/>
      <c r="P90" s="589">
        <f>IFERROR(VLOOKUP($B88,اسماء,36,0),0)</f>
        <v>0</v>
      </c>
      <c r="Q90" s="609"/>
      <c r="R90" s="603">
        <f>IFERROR(VLOOKUP($B88,اسماء,37,0),0)</f>
        <v>0</v>
      </c>
      <c r="S90" s="592"/>
      <c r="T90" s="589">
        <f>IFERROR(VLOOKUP($B88,اسماء,38,0),0)</f>
        <v>0</v>
      </c>
      <c r="U90" s="592"/>
      <c r="V90" s="263">
        <f t="shared" si="243"/>
        <v>0</v>
      </c>
      <c r="W90" s="373">
        <f>IFERROR(VLOOKUP($B88,اسماء,40,0),0)</f>
        <v>0</v>
      </c>
      <c r="X90" s="373">
        <f>IFERROR(VLOOKUP($B88,اسماء,41,0),0)</f>
        <v>0</v>
      </c>
      <c r="Y90" s="596"/>
      <c r="Z90" s="22" t="str">
        <f t="shared" ref="Z90" si="248">LOOKUP(V90,$AI$6:$AJ$10)</f>
        <v>ضعيف</v>
      </c>
      <c r="AA90" s="657"/>
      <c r="AB90" s="72"/>
      <c r="AC90" s="654"/>
      <c r="AN90" s="607"/>
      <c r="AO90" s="607"/>
      <c r="AP90" s="613"/>
      <c r="AQ90" s="612"/>
      <c r="AR90" s="611"/>
      <c r="AS90" s="612"/>
    </row>
    <row r="91" spans="1:45" ht="15" customHeight="1" thickBot="1" x14ac:dyDescent="0.3">
      <c r="A91" s="634"/>
      <c r="B91" s="631"/>
      <c r="C91" s="623"/>
      <c r="D91" s="626"/>
      <c r="E91" s="127" t="s">
        <v>33</v>
      </c>
      <c r="F91" s="585">
        <f t="shared" ref="F91" si="249">SUM(F88:G90)</f>
        <v>0</v>
      </c>
      <c r="G91" s="593"/>
      <c r="H91" s="604">
        <f t="shared" ref="H91" si="250">SUM(H88:I90)</f>
        <v>0</v>
      </c>
      <c r="I91" s="601"/>
      <c r="J91" s="585">
        <f t="shared" ref="J91" si="251">SUM(J88:K90)</f>
        <v>0</v>
      </c>
      <c r="K91" s="593"/>
      <c r="L91" s="585">
        <f t="shared" ref="L91" si="252">SUM(L88:M90)</f>
        <v>0</v>
      </c>
      <c r="M91" s="586"/>
      <c r="N91" s="585">
        <f t="shared" ref="N91" si="253">SUM(N88:O90)</f>
        <v>0</v>
      </c>
      <c r="O91" s="586"/>
      <c r="P91" s="585">
        <f t="shared" ref="P91" si="254">SUM(P88:Q90)</f>
        <v>0</v>
      </c>
      <c r="Q91" s="601"/>
      <c r="R91" s="602">
        <f t="shared" ref="R91" si="255">SUM(R88:S90)</f>
        <v>0</v>
      </c>
      <c r="S91" s="593"/>
      <c r="T91" s="585">
        <f t="shared" ref="T91" si="256">SUM(T88:U90)</f>
        <v>0</v>
      </c>
      <c r="U91" s="593"/>
      <c r="V91" s="210">
        <f t="shared" ref="V91" si="257">IF(AND(F91&gt;=$G$8,H91&gt;=$I$8,L91&gt;=$M$8,P91&gt;=$Q$8,R91&gt;=$S$8,T91&gt;=$U$8),SUM(F91:U91),0)</f>
        <v>0</v>
      </c>
      <c r="W91" s="264"/>
      <c r="X91" s="97"/>
      <c r="Y91" s="597"/>
      <c r="Z91" s="91" t="str">
        <f t="shared" ref="Z91" si="258">LOOKUP(V91,$AL$6:$AM$10)</f>
        <v>ضعيف</v>
      </c>
      <c r="AA91" s="658"/>
      <c r="AB91" s="72"/>
      <c r="AC91" s="655"/>
      <c r="AN91" s="607"/>
      <c r="AO91" s="607"/>
      <c r="AP91" s="613"/>
      <c r="AQ91" s="612"/>
      <c r="AR91" s="611"/>
      <c r="AS91" s="612"/>
    </row>
    <row r="92" spans="1:45" ht="15" customHeight="1" thickBot="1" x14ac:dyDescent="0.3">
      <c r="A92" s="632">
        <v>20</v>
      </c>
      <c r="B92" s="629">
        <f>VLOOKUP(A92,مسلسل,2,0)</f>
        <v>0</v>
      </c>
      <c r="C92" s="621" t="str">
        <f>IFERROR(VLOOKUP(B92,اسماء,2,0),"")</f>
        <v/>
      </c>
      <c r="D92" s="624" t="str">
        <f>IFERROR(VLOOKUP($B92,اسماء,3,0),"")</f>
        <v/>
      </c>
      <c r="E92" s="132" t="s">
        <v>30</v>
      </c>
      <c r="F92" s="627">
        <f>IFERROR(VLOOKUP($B92,اسماء,5,0),0)</f>
        <v>0</v>
      </c>
      <c r="G92" s="606"/>
      <c r="H92" s="628">
        <f>IFERROR(VLOOKUP($B92,اسماء,6,0),0)</f>
        <v>0</v>
      </c>
      <c r="I92" s="605"/>
      <c r="J92" s="587">
        <f>IFERROR(VLOOKUP($B92,اسماء,7,0),0)</f>
        <v>0</v>
      </c>
      <c r="K92" s="591"/>
      <c r="L92" s="587">
        <f>IFERROR(VLOOKUP($B92,اسماء,8,0),0)</f>
        <v>0</v>
      </c>
      <c r="M92" s="588"/>
      <c r="N92" s="587">
        <f>IFERROR(VLOOKUP($B92,اسماء,9,0),0)</f>
        <v>0</v>
      </c>
      <c r="O92" s="605"/>
      <c r="P92" s="587">
        <f>IFERROR(VLOOKUP($B92,اسماء,10,0),0)</f>
        <v>0</v>
      </c>
      <c r="Q92" s="605"/>
      <c r="R92" s="606">
        <f>IFERROR(VLOOKUP($B92,اسماء,11,0),0)</f>
        <v>0</v>
      </c>
      <c r="S92" s="591"/>
      <c r="T92" s="587">
        <f>IFERROR(VLOOKUP($B92,اسماء,12,0),0)</f>
        <v>0</v>
      </c>
      <c r="U92" s="591"/>
      <c r="V92" s="263">
        <f t="shared" ref="V92:V94" si="259">SUM(F92:U92)</f>
        <v>0</v>
      </c>
      <c r="W92" s="373">
        <f>IFERROR(VLOOKUP($B92,اسماء,14,0),0)</f>
        <v>0</v>
      </c>
      <c r="X92" s="373">
        <f>IFERROR(VLOOKUP($B92,اسماء,15,0),0)</f>
        <v>0</v>
      </c>
      <c r="Y92" s="595" t="str">
        <f t="shared" ref="Y92" si="260">IF(AC92="غائب","راسب",IF(AND(F95&gt;=$G$8,H95&gt;=$I$8,J95&gt;=$K$8,L95&gt;=$M$8,N95&gt;=$O$8,P95&gt;=$Q$8,R95&gt;=$S$8,T95&gt;=$U$8),"ناجح","له دور ثان"))</f>
        <v>له دور ثان</v>
      </c>
      <c r="Z92" s="21" t="str">
        <f t="shared" ref="Z92:Z93" si="261">LOOKUP(V92,$AF$6:$AG$10)</f>
        <v>ضعيف</v>
      </c>
      <c r="AA92" s="656">
        <f t="shared" ref="AA92" si="262">V95/$AF$3</f>
        <v>0</v>
      </c>
      <c r="AB92" s="10"/>
      <c r="AC92" s="653" t="str">
        <f>IFERROR(VLOOKUP($B92,اسماء,54,0),"")</f>
        <v/>
      </c>
      <c r="AN92" s="607" t="str">
        <f t="shared" ref="AN92" si="263">IF(V95=0,"",V95/1+ROW()*0.00001)</f>
        <v/>
      </c>
      <c r="AO92" s="607">
        <f>B92</f>
        <v>0</v>
      </c>
      <c r="AP92" s="613"/>
      <c r="AQ92" s="612">
        <v>20</v>
      </c>
      <c r="AR92" s="611" t="str">
        <f>IFERROR(LARGE($AN$10:$AN$1006,AQ92),"")</f>
        <v/>
      </c>
      <c r="AS92" s="612" t="str">
        <f>VLOOKUP(AR92,$AN$10:$AO$1116,2,0)</f>
        <v>أحمد نورالدين أحمد الذيب</v>
      </c>
    </row>
    <row r="93" spans="1:45" ht="15" customHeight="1" thickBot="1" x14ac:dyDescent="0.3">
      <c r="A93" s="633"/>
      <c r="B93" s="630"/>
      <c r="C93" s="622"/>
      <c r="D93" s="625"/>
      <c r="E93" s="133" t="s">
        <v>31</v>
      </c>
      <c r="F93" s="589">
        <f>IFERROR(VLOOKUP($B92,اسماء,18,0),0)</f>
        <v>0</v>
      </c>
      <c r="G93" s="592"/>
      <c r="H93" s="608">
        <f>IFERROR(VLOOKUP($B92,اسماء,19,0),0)</f>
        <v>0</v>
      </c>
      <c r="I93" s="609"/>
      <c r="J93" s="589">
        <f>IFERROR(VLOOKUP($B92,اسماء,20,0),0)</f>
        <v>0</v>
      </c>
      <c r="K93" s="592"/>
      <c r="L93" s="589">
        <f>IFERROR(VLOOKUP($B92,اسماء,21,0),0)</f>
        <v>0</v>
      </c>
      <c r="M93" s="590"/>
      <c r="N93" s="589">
        <f>IFERROR(VLOOKUP($B92,اسماء,22,0),0)</f>
        <v>0</v>
      </c>
      <c r="O93" s="590"/>
      <c r="P93" s="589">
        <f>IFERROR(VLOOKUP($B92,اسماء,23,0),0)</f>
        <v>0</v>
      </c>
      <c r="Q93" s="609"/>
      <c r="R93" s="603">
        <f>IFERROR(VLOOKUP($B92,اسماء,24,0),0)</f>
        <v>0</v>
      </c>
      <c r="S93" s="592"/>
      <c r="T93" s="589">
        <f>IFERROR(VLOOKUP($B92,اسماء,25,0),0)</f>
        <v>0</v>
      </c>
      <c r="U93" s="592"/>
      <c r="V93" s="263">
        <f t="shared" si="259"/>
        <v>0</v>
      </c>
      <c r="W93" s="373">
        <f>IFERROR(VLOOKUP($B92,اسماء,27,0),0)</f>
        <v>0</v>
      </c>
      <c r="X93" s="373">
        <f>IFERROR(VLOOKUP($B92,اسماء,28,0),0)</f>
        <v>0</v>
      </c>
      <c r="Y93" s="596"/>
      <c r="Z93" s="22" t="str">
        <f t="shared" si="261"/>
        <v>ضعيف</v>
      </c>
      <c r="AA93" s="657"/>
      <c r="AB93" s="72"/>
      <c r="AC93" s="654"/>
      <c r="AN93" s="607"/>
      <c r="AO93" s="607"/>
      <c r="AP93" s="613"/>
      <c r="AQ93" s="612"/>
      <c r="AR93" s="611"/>
      <c r="AS93" s="612"/>
    </row>
    <row r="94" spans="1:45" ht="15" customHeight="1" x14ac:dyDescent="0.25">
      <c r="A94" s="633"/>
      <c r="B94" s="630"/>
      <c r="C94" s="622"/>
      <c r="D94" s="625"/>
      <c r="E94" s="133" t="s">
        <v>32</v>
      </c>
      <c r="F94" s="589">
        <f>IFERROR(VLOOKUP($B92,اسماء,31,0),0)</f>
        <v>0</v>
      </c>
      <c r="G94" s="592"/>
      <c r="H94" s="608">
        <f>IFERROR(VLOOKUP($B92,اسماء,32,0),0)</f>
        <v>0</v>
      </c>
      <c r="I94" s="609"/>
      <c r="J94" s="589">
        <f>IFERROR(VLOOKUP($B92,اسماء,33,0),0)</f>
        <v>0</v>
      </c>
      <c r="K94" s="592"/>
      <c r="L94" s="589">
        <f>IFERROR(VLOOKUP($B92,اسماء,34,0),0)</f>
        <v>0</v>
      </c>
      <c r="M94" s="590"/>
      <c r="N94" s="589">
        <f>IFERROR(VLOOKUP($B92,اسماء,35,0),0)</f>
        <v>0</v>
      </c>
      <c r="O94" s="590"/>
      <c r="P94" s="589">
        <f>IFERROR(VLOOKUP($B92,اسماء,36,0),0)</f>
        <v>0</v>
      </c>
      <c r="Q94" s="609"/>
      <c r="R94" s="603">
        <f>IFERROR(VLOOKUP($B92,اسماء,37,0),0)</f>
        <v>0</v>
      </c>
      <c r="S94" s="592"/>
      <c r="T94" s="589">
        <f>IFERROR(VLOOKUP($B92,اسماء,38,0),0)</f>
        <v>0</v>
      </c>
      <c r="U94" s="592"/>
      <c r="V94" s="263">
        <f t="shared" si="259"/>
        <v>0</v>
      </c>
      <c r="W94" s="373">
        <f>IFERROR(VLOOKUP($B92,اسماء,40,0),0)</f>
        <v>0</v>
      </c>
      <c r="X94" s="373">
        <f>IFERROR(VLOOKUP($B92,اسماء,41,0),0)</f>
        <v>0</v>
      </c>
      <c r="Y94" s="596"/>
      <c r="Z94" s="22" t="str">
        <f t="shared" ref="Z94" si="264">LOOKUP(V94,$AI$6:$AJ$10)</f>
        <v>ضعيف</v>
      </c>
      <c r="AA94" s="657"/>
      <c r="AB94" s="72"/>
      <c r="AC94" s="654"/>
      <c r="AN94" s="607"/>
      <c r="AO94" s="607"/>
      <c r="AP94" s="613"/>
      <c r="AQ94" s="612"/>
      <c r="AR94" s="611"/>
      <c r="AS94" s="612"/>
    </row>
    <row r="95" spans="1:45" ht="15" customHeight="1" thickBot="1" x14ac:dyDescent="0.3">
      <c r="A95" s="634"/>
      <c r="B95" s="631"/>
      <c r="C95" s="623"/>
      <c r="D95" s="626"/>
      <c r="E95" s="127" t="s">
        <v>33</v>
      </c>
      <c r="F95" s="585">
        <f t="shared" ref="F95" si="265">SUM(F92:G94)</f>
        <v>0</v>
      </c>
      <c r="G95" s="593"/>
      <c r="H95" s="604">
        <f t="shared" ref="H95" si="266">SUM(H92:I94)</f>
        <v>0</v>
      </c>
      <c r="I95" s="601"/>
      <c r="J95" s="585">
        <f t="shared" ref="J95" si="267">SUM(J92:K94)</f>
        <v>0</v>
      </c>
      <c r="K95" s="593"/>
      <c r="L95" s="585">
        <f t="shared" ref="L95" si="268">SUM(L92:M94)</f>
        <v>0</v>
      </c>
      <c r="M95" s="586"/>
      <c r="N95" s="585">
        <f t="shared" ref="N95" si="269">SUM(N92:O94)</f>
        <v>0</v>
      </c>
      <c r="O95" s="586"/>
      <c r="P95" s="585">
        <f t="shared" ref="P95" si="270">SUM(P92:Q94)</f>
        <v>0</v>
      </c>
      <c r="Q95" s="601"/>
      <c r="R95" s="602">
        <f t="shared" ref="R95" si="271">SUM(R92:S94)</f>
        <v>0</v>
      </c>
      <c r="S95" s="593"/>
      <c r="T95" s="585">
        <f t="shared" ref="T95" si="272">SUM(T92:U94)</f>
        <v>0</v>
      </c>
      <c r="U95" s="593"/>
      <c r="V95" s="210">
        <f t="shared" ref="V95" si="273">IF(AND(F95&gt;=$G$8,H95&gt;=$I$8,L95&gt;=$M$8,P95&gt;=$Q$8,R95&gt;=$S$8,T95&gt;=$U$8),SUM(F95:U95),0)</f>
        <v>0</v>
      </c>
      <c r="W95" s="264"/>
      <c r="X95" s="97"/>
      <c r="Y95" s="597"/>
      <c r="Z95" s="91" t="str">
        <f t="shared" ref="Z95" si="274">LOOKUP(V95,$AL$6:$AM$10)</f>
        <v>ضعيف</v>
      </c>
      <c r="AA95" s="658"/>
      <c r="AB95" s="10"/>
      <c r="AC95" s="655"/>
      <c r="AN95" s="607"/>
      <c r="AO95" s="607"/>
      <c r="AP95" s="613"/>
      <c r="AQ95" s="612"/>
      <c r="AR95" s="611"/>
      <c r="AS95" s="612"/>
    </row>
    <row r="96" spans="1:45" ht="15" customHeight="1" thickBot="1" x14ac:dyDescent="0.3">
      <c r="F96" s="75"/>
      <c r="G96" s="76"/>
      <c r="H96" s="75"/>
      <c r="I96" s="76"/>
      <c r="J96" s="75"/>
      <c r="K96" s="76"/>
      <c r="L96" s="75"/>
      <c r="M96" s="76"/>
      <c r="N96" s="76"/>
      <c r="O96" s="76"/>
      <c r="P96" s="75"/>
      <c r="Q96" s="76"/>
      <c r="R96" s="75"/>
      <c r="S96" s="76"/>
      <c r="T96" s="75"/>
      <c r="U96" s="76"/>
      <c r="V96" s="74"/>
      <c r="W96" s="77"/>
      <c r="X96" s="74"/>
      <c r="Y96" s="362"/>
      <c r="Z96" s="74"/>
      <c r="AA96" s="267"/>
      <c r="AB96" s="72"/>
      <c r="AK96" s="78"/>
    </row>
    <row r="97" spans="1:45" customFormat="1" ht="15" customHeight="1" x14ac:dyDescent="0.3">
      <c r="A97" s="617" t="s">
        <v>9</v>
      </c>
      <c r="B97" s="618"/>
      <c r="C97" s="619"/>
      <c r="D97" s="288" t="s">
        <v>11</v>
      </c>
      <c r="E97" s="600" t="s">
        <v>97</v>
      </c>
      <c r="F97" s="598"/>
      <c r="G97" s="598"/>
      <c r="H97" s="598"/>
      <c r="I97" s="598"/>
      <c r="J97" s="9"/>
      <c r="K97" s="9"/>
      <c r="L97" s="9"/>
      <c r="M97" s="9"/>
      <c r="N97" s="9"/>
      <c r="O97" s="9"/>
      <c r="P97" s="9"/>
      <c r="Q97" s="9"/>
      <c r="R97" s="9"/>
      <c r="S97" s="598" t="s">
        <v>156</v>
      </c>
      <c r="T97" s="598"/>
      <c r="U97" s="598"/>
      <c r="V97" s="598"/>
      <c r="W97" s="598"/>
      <c r="X97" s="598"/>
      <c r="Y97" s="598"/>
      <c r="Z97" s="1"/>
      <c r="AA97" s="268"/>
      <c r="AC97" s="79"/>
      <c r="AD97" s="80"/>
      <c r="AE97" s="80"/>
      <c r="AF97" s="80"/>
      <c r="AG97" s="80"/>
    </row>
    <row r="98" spans="1:45" customFormat="1" ht="15" customHeight="1" x14ac:dyDescent="0.25">
      <c r="A98" s="81" t="s">
        <v>8</v>
      </c>
      <c r="B98" s="610">
        <f>ادخال1!$BP$3</f>
        <v>0</v>
      </c>
      <c r="C98" s="620"/>
      <c r="D98" s="289"/>
      <c r="E98" s="9" t="s">
        <v>9</v>
      </c>
      <c r="F98" s="599" t="str">
        <f>ادخال1!$BP$5</f>
        <v>د.عبدالرحمن خليفة العريبي</v>
      </c>
      <c r="G98" s="599"/>
      <c r="H98" s="599"/>
      <c r="I98" s="599"/>
      <c r="J98" s="599"/>
      <c r="K98" s="599"/>
      <c r="L98" s="599"/>
      <c r="M98" s="599"/>
      <c r="N98" s="599"/>
      <c r="O98" s="599"/>
      <c r="P98" s="599"/>
      <c r="Q98" s="599"/>
      <c r="R98" s="9"/>
      <c r="S98" s="599" t="str">
        <f>ادخال1!$BP$6</f>
        <v>تاجوراء</v>
      </c>
      <c r="T98" s="599"/>
      <c r="U98" s="599"/>
      <c r="V98" s="599"/>
      <c r="W98" s="599"/>
      <c r="X98" s="599"/>
      <c r="Y98" s="599"/>
      <c r="Z98" s="599"/>
      <c r="AA98" s="67"/>
      <c r="AB98" s="67"/>
      <c r="AC98" s="79"/>
      <c r="AD98" s="79"/>
      <c r="AE98" s="79"/>
      <c r="AF98" s="79"/>
    </row>
    <row r="99" spans="1:45" customFormat="1" ht="15" customHeight="1" thickBot="1" x14ac:dyDescent="0.3">
      <c r="A99" s="82" t="s">
        <v>98</v>
      </c>
      <c r="B99" s="615">
        <f>ادخال1!$BP$4</f>
        <v>0</v>
      </c>
      <c r="C99" s="616"/>
      <c r="D99" s="290"/>
      <c r="E99" s="9" t="s">
        <v>11</v>
      </c>
      <c r="F99" s="607"/>
      <c r="G99" s="607"/>
      <c r="H99" s="607"/>
      <c r="I99" s="607"/>
      <c r="J99" s="607"/>
      <c r="K99" s="607"/>
      <c r="L99" s="607"/>
      <c r="M99" s="607"/>
      <c r="N99" s="607"/>
      <c r="O99" s="607"/>
      <c r="P99" s="607"/>
      <c r="Q99" s="607"/>
      <c r="R99" s="9"/>
      <c r="S99" s="9" t="s">
        <v>11</v>
      </c>
      <c r="T99" s="9"/>
      <c r="U99" s="9" t="s">
        <v>11</v>
      </c>
      <c r="V99" s="1"/>
      <c r="W99" s="1"/>
      <c r="X99" s="1"/>
      <c r="Y99" s="363"/>
      <c r="Z99" s="1"/>
      <c r="AA99" s="268"/>
      <c r="AC99" s="79"/>
      <c r="AD99" s="79"/>
      <c r="AE99" s="79"/>
      <c r="AF99" s="79"/>
    </row>
    <row r="100" spans="1:45" customFormat="1" ht="15" customHeight="1" x14ac:dyDescent="0.25">
      <c r="A100" s="598" t="s">
        <v>99</v>
      </c>
      <c r="B100" s="598"/>
      <c r="C100" s="598"/>
      <c r="D100" s="598"/>
      <c r="E100" s="598" t="s">
        <v>100</v>
      </c>
      <c r="F100" s="598"/>
      <c r="G100" s="598"/>
      <c r="H100" s="598"/>
      <c r="I100" s="598"/>
      <c r="J100" s="598"/>
      <c r="K100" s="598"/>
      <c r="L100" s="598"/>
      <c r="M100" s="598"/>
      <c r="N100" s="598"/>
      <c r="O100" s="598"/>
      <c r="P100" s="598"/>
      <c r="Q100" s="598"/>
      <c r="R100" s="598"/>
      <c r="S100" s="598"/>
      <c r="T100" s="9"/>
      <c r="U100" s="9"/>
      <c r="V100" s="9"/>
      <c r="W100" s="594">
        <f ca="1">TODAY()</f>
        <v>46035</v>
      </c>
      <c r="X100" s="594"/>
      <c r="Y100" s="594"/>
      <c r="Z100" s="594"/>
      <c r="AA100" s="268"/>
    </row>
    <row r="101" spans="1:45" customFormat="1" ht="15" customHeight="1" thickBot="1" x14ac:dyDescent="0.3">
      <c r="A101" s="9"/>
      <c r="B101" s="598" t="s">
        <v>101</v>
      </c>
      <c r="C101" s="598"/>
      <c r="D101" s="598"/>
      <c r="E101" s="598" t="s">
        <v>102</v>
      </c>
      <c r="F101" s="598"/>
      <c r="G101" s="598"/>
      <c r="H101" s="598"/>
      <c r="I101" s="598"/>
      <c r="J101" s="598"/>
      <c r="K101" s="598"/>
      <c r="L101" s="598"/>
      <c r="M101" s="598"/>
      <c r="N101" s="598"/>
      <c r="O101" s="598"/>
      <c r="P101" s="598"/>
      <c r="Q101" s="598"/>
      <c r="R101" s="598"/>
      <c r="S101" s="598"/>
      <c r="T101" s="9"/>
      <c r="U101" s="9"/>
      <c r="V101" s="1"/>
      <c r="W101" s="1"/>
      <c r="X101" s="1"/>
      <c r="Y101" s="363"/>
      <c r="Z101" s="1"/>
      <c r="AA101" s="268"/>
    </row>
    <row r="102" spans="1:45" ht="15" customHeight="1" thickBot="1" x14ac:dyDescent="0.3">
      <c r="A102" s="632">
        <v>21</v>
      </c>
      <c r="B102" s="629">
        <f>VLOOKUP(A102,مسلسل,2,0)</f>
        <v>0</v>
      </c>
      <c r="C102" s="621" t="str">
        <f>IFERROR(VLOOKUP(B102,اسماء,2,0),"")</f>
        <v/>
      </c>
      <c r="D102" s="624" t="str">
        <f>IFERROR(VLOOKUP($B102,اسماء,3,0),"")</f>
        <v/>
      </c>
      <c r="E102" s="132" t="s">
        <v>30</v>
      </c>
      <c r="F102" s="627">
        <f>IFERROR(VLOOKUP($B102,اسماء,5,0),0)</f>
        <v>0</v>
      </c>
      <c r="G102" s="606"/>
      <c r="H102" s="628">
        <f>IFERROR(VLOOKUP($B102,اسماء,6,0),0)</f>
        <v>0</v>
      </c>
      <c r="I102" s="605"/>
      <c r="J102" s="587">
        <f>IFERROR(VLOOKUP($B102,اسماء,7,0),0)</f>
        <v>0</v>
      </c>
      <c r="K102" s="591"/>
      <c r="L102" s="587">
        <f>IFERROR(VLOOKUP($B102,اسماء,8,0),0)</f>
        <v>0</v>
      </c>
      <c r="M102" s="588"/>
      <c r="N102" s="587">
        <f>IFERROR(VLOOKUP($B102,اسماء,9,0),0)</f>
        <v>0</v>
      </c>
      <c r="O102" s="605"/>
      <c r="P102" s="587">
        <f>IFERROR(VLOOKUP($B102,اسماء,10,0),0)</f>
        <v>0</v>
      </c>
      <c r="Q102" s="605"/>
      <c r="R102" s="606">
        <f>IFERROR(VLOOKUP($B102,اسماء,11,0),0)</f>
        <v>0</v>
      </c>
      <c r="S102" s="591"/>
      <c r="T102" s="587">
        <f>IFERROR(VLOOKUP($B102,اسماء,12,0),0)</f>
        <v>0</v>
      </c>
      <c r="U102" s="591"/>
      <c r="V102" s="263">
        <f t="shared" ref="V102:V104" si="275">SUM(F102:U102)</f>
        <v>0</v>
      </c>
      <c r="W102" s="373">
        <f>IFERROR(VLOOKUP($B102,اسماء,14,0),0)</f>
        <v>0</v>
      </c>
      <c r="X102" s="373">
        <f>IFERROR(VLOOKUP($B102,اسماء,15,0),0)</f>
        <v>0</v>
      </c>
      <c r="Y102" s="595" t="str">
        <f>IF(AC102="غائب","راسب",IF(AND(F105&gt;=$G$8,H105&gt;=$I$8,J105&gt;=$K$8,L105&gt;=$M$8,N105&gt;=$O$8,P105&gt;=$Q$8,R105&gt;=$S$8,T105&gt;=$U$8),"ناجح","له دور ثان"))</f>
        <v>له دور ثان</v>
      </c>
      <c r="Z102" s="21" t="str">
        <f>LOOKUP(V102,$AF$6:$AG$10)</f>
        <v>ضعيف</v>
      </c>
      <c r="AA102" s="656">
        <f>V105/$AF$3</f>
        <v>0</v>
      </c>
      <c r="AB102" s="72"/>
      <c r="AC102" s="653" t="str">
        <f>IFERROR(VLOOKUP($B102,اسماء,54,0),"")</f>
        <v/>
      </c>
      <c r="AN102" s="610" t="str">
        <f>IF(V105=0,"",V105/1+ROW()*0.00001)</f>
        <v/>
      </c>
      <c r="AO102" s="610">
        <f>B102</f>
        <v>0</v>
      </c>
      <c r="AP102" s="613"/>
      <c r="AQ102" s="612">
        <v>21</v>
      </c>
      <c r="AR102" s="611" t="str">
        <f>IFERROR(LARGE($AN$10:$AN$1006,AQ102),"")</f>
        <v/>
      </c>
      <c r="AS102" s="612" t="str">
        <f>VLOOKUP(AR102,$AN$10:$AO$1116,2,0)</f>
        <v>أحمد نورالدين أحمد الذيب</v>
      </c>
    </row>
    <row r="103" spans="1:45" ht="15" customHeight="1" thickBot="1" x14ac:dyDescent="0.3">
      <c r="A103" s="633"/>
      <c r="B103" s="630"/>
      <c r="C103" s="622"/>
      <c r="D103" s="625"/>
      <c r="E103" s="133" t="s">
        <v>31</v>
      </c>
      <c r="F103" s="589">
        <f>IFERROR(VLOOKUP($B102,اسماء,18,0),0)</f>
        <v>0</v>
      </c>
      <c r="G103" s="592"/>
      <c r="H103" s="608">
        <f>IFERROR(VLOOKUP($B102,اسماء,19,0),0)</f>
        <v>0</v>
      </c>
      <c r="I103" s="609"/>
      <c r="J103" s="589">
        <f>IFERROR(VLOOKUP($B102,اسماء,20,0),0)</f>
        <v>0</v>
      </c>
      <c r="K103" s="592"/>
      <c r="L103" s="589">
        <f>IFERROR(VLOOKUP($B102,اسماء,21,0),0)</f>
        <v>0</v>
      </c>
      <c r="M103" s="590"/>
      <c r="N103" s="589">
        <f>IFERROR(VLOOKUP($B102,اسماء,22,0),0)</f>
        <v>0</v>
      </c>
      <c r="O103" s="590"/>
      <c r="P103" s="589">
        <f>IFERROR(VLOOKUP($B102,اسماء,23,0),0)</f>
        <v>0</v>
      </c>
      <c r="Q103" s="609"/>
      <c r="R103" s="603">
        <f>IFERROR(VLOOKUP($B102,اسماء,24,0),0)</f>
        <v>0</v>
      </c>
      <c r="S103" s="592"/>
      <c r="T103" s="589">
        <f>IFERROR(VLOOKUP($B102,اسماء,25,0),0)</f>
        <v>0</v>
      </c>
      <c r="U103" s="592"/>
      <c r="V103" s="263">
        <f t="shared" si="275"/>
        <v>0</v>
      </c>
      <c r="W103" s="373">
        <f>IFERROR(VLOOKUP($B102,اسماء,27,0),0)</f>
        <v>0</v>
      </c>
      <c r="X103" s="373">
        <f>IFERROR(VLOOKUP($B102,اسماء,28,0),0)</f>
        <v>0</v>
      </c>
      <c r="Y103" s="596"/>
      <c r="Z103" s="22" t="str">
        <f>LOOKUP(V103,$AF$6:$AG$10)</f>
        <v>ضعيف</v>
      </c>
      <c r="AA103" s="657"/>
      <c r="AB103" s="72"/>
      <c r="AC103" s="654"/>
      <c r="AN103" s="610"/>
      <c r="AO103" s="610"/>
      <c r="AP103" s="613"/>
      <c r="AQ103" s="612"/>
      <c r="AR103" s="611"/>
      <c r="AS103" s="612"/>
    </row>
    <row r="104" spans="1:45" ht="15" customHeight="1" x14ac:dyDescent="0.25">
      <c r="A104" s="633"/>
      <c r="B104" s="630"/>
      <c r="C104" s="622"/>
      <c r="D104" s="625"/>
      <c r="E104" s="133" t="s">
        <v>32</v>
      </c>
      <c r="F104" s="589">
        <f>IFERROR(VLOOKUP($B102,اسماء,31,0),0)</f>
        <v>0</v>
      </c>
      <c r="G104" s="592"/>
      <c r="H104" s="608">
        <f>IFERROR(VLOOKUP($B102,اسماء,32,0),0)</f>
        <v>0</v>
      </c>
      <c r="I104" s="609"/>
      <c r="J104" s="589">
        <f>IFERROR(VLOOKUP($B102,اسماء,33,0),0)</f>
        <v>0</v>
      </c>
      <c r="K104" s="592"/>
      <c r="L104" s="589">
        <f>IFERROR(VLOOKUP($B102,اسماء,34,0),0)</f>
        <v>0</v>
      </c>
      <c r="M104" s="590"/>
      <c r="N104" s="589">
        <f>IFERROR(VLOOKUP($B102,اسماء,35,0),0)</f>
        <v>0</v>
      </c>
      <c r="O104" s="590"/>
      <c r="P104" s="589">
        <f>IFERROR(VLOOKUP($B102,اسماء,36,0),0)</f>
        <v>0</v>
      </c>
      <c r="Q104" s="609"/>
      <c r="R104" s="603">
        <f>IFERROR(VLOOKUP($B102,اسماء,37,0),0)</f>
        <v>0</v>
      </c>
      <c r="S104" s="592"/>
      <c r="T104" s="589">
        <f>IFERROR(VLOOKUP($B102,اسماء,38,0),0)</f>
        <v>0</v>
      </c>
      <c r="U104" s="592"/>
      <c r="V104" s="263">
        <f t="shared" si="275"/>
        <v>0</v>
      </c>
      <c r="W104" s="373">
        <f>IFERROR(VLOOKUP($B102,اسماء,40,0),0)</f>
        <v>0</v>
      </c>
      <c r="X104" s="373">
        <f>IFERROR(VLOOKUP($B102,اسماء,41,0),0)</f>
        <v>0</v>
      </c>
      <c r="Y104" s="596"/>
      <c r="Z104" s="22" t="str">
        <f>LOOKUP(V104,$AI$6:$AJ$10)</f>
        <v>ضعيف</v>
      </c>
      <c r="AA104" s="657"/>
      <c r="AB104" s="10"/>
      <c r="AC104" s="654"/>
      <c r="AN104" s="610"/>
      <c r="AO104" s="610"/>
      <c r="AP104" s="613"/>
      <c r="AQ104" s="612"/>
      <c r="AR104" s="611"/>
      <c r="AS104" s="612"/>
    </row>
    <row r="105" spans="1:45" ht="15" customHeight="1" thickBot="1" x14ac:dyDescent="0.3">
      <c r="A105" s="634"/>
      <c r="B105" s="631"/>
      <c r="C105" s="623"/>
      <c r="D105" s="626"/>
      <c r="E105" s="127" t="s">
        <v>33</v>
      </c>
      <c r="F105" s="585">
        <f t="shared" ref="F105" si="276">SUM(F102:G104)</f>
        <v>0</v>
      </c>
      <c r="G105" s="593"/>
      <c r="H105" s="604">
        <f t="shared" ref="H105" si="277">SUM(H102:I104)</f>
        <v>0</v>
      </c>
      <c r="I105" s="601"/>
      <c r="J105" s="585">
        <f t="shared" ref="J105" si="278">SUM(J102:K104)</f>
        <v>0</v>
      </c>
      <c r="K105" s="593"/>
      <c r="L105" s="585">
        <f t="shared" ref="L105" si="279">SUM(L102:M104)</f>
        <v>0</v>
      </c>
      <c r="M105" s="586"/>
      <c r="N105" s="585">
        <f t="shared" ref="N105" si="280">SUM(N102:O104)</f>
        <v>0</v>
      </c>
      <c r="O105" s="586"/>
      <c r="P105" s="585">
        <f t="shared" ref="P105" si="281">SUM(P102:Q104)</f>
        <v>0</v>
      </c>
      <c r="Q105" s="601"/>
      <c r="R105" s="602">
        <f t="shared" ref="R105" si="282">SUM(R102:S104)</f>
        <v>0</v>
      </c>
      <c r="S105" s="593"/>
      <c r="T105" s="585">
        <f t="shared" ref="T105" si="283">SUM(T102:U104)</f>
        <v>0</v>
      </c>
      <c r="U105" s="593"/>
      <c r="V105" s="210">
        <f t="shared" ref="V105" si="284">IF(AND(F105&gt;=$G$8,H105&gt;=$I$8,L105&gt;=$M$8,P105&gt;=$Q$8,R105&gt;=$S$8,T105&gt;=$U$8),SUM(F105:U105),0)</f>
        <v>0</v>
      </c>
      <c r="W105" s="264"/>
      <c r="X105" s="97"/>
      <c r="Y105" s="597"/>
      <c r="Z105" s="91" t="str">
        <f>LOOKUP(V105,$AL$6:$AM$10)</f>
        <v>ضعيف</v>
      </c>
      <c r="AA105" s="658"/>
      <c r="AB105" s="72"/>
      <c r="AC105" s="655"/>
      <c r="AN105" s="610"/>
      <c r="AO105" s="610"/>
      <c r="AP105" s="613"/>
      <c r="AQ105" s="612"/>
      <c r="AR105" s="611"/>
      <c r="AS105" s="612"/>
    </row>
    <row r="106" spans="1:45" ht="15" customHeight="1" thickBot="1" x14ac:dyDescent="0.3">
      <c r="A106" s="632">
        <v>22</v>
      </c>
      <c r="B106" s="629">
        <f>VLOOKUP(A106,مسلسل,2,0)</f>
        <v>0</v>
      </c>
      <c r="C106" s="621" t="str">
        <f>IFERROR(VLOOKUP(B106,اسماء,2,0),"")</f>
        <v/>
      </c>
      <c r="D106" s="624" t="str">
        <f>IFERROR(VLOOKUP($B106,اسماء,3,0),"")</f>
        <v/>
      </c>
      <c r="E106" s="132" t="s">
        <v>30</v>
      </c>
      <c r="F106" s="627">
        <f>IFERROR(VLOOKUP($B106,اسماء,5,0),0)</f>
        <v>0</v>
      </c>
      <c r="G106" s="606"/>
      <c r="H106" s="628">
        <f>IFERROR(VLOOKUP($B106,اسماء,6,0),0)</f>
        <v>0</v>
      </c>
      <c r="I106" s="605"/>
      <c r="J106" s="587">
        <f>IFERROR(VLOOKUP($B106,اسماء,7,0),0)</f>
        <v>0</v>
      </c>
      <c r="K106" s="591"/>
      <c r="L106" s="587">
        <f>IFERROR(VLOOKUP($B106,اسماء,8,0),0)</f>
        <v>0</v>
      </c>
      <c r="M106" s="588"/>
      <c r="N106" s="587">
        <f>IFERROR(VLOOKUP($B106,اسماء,9,0),0)</f>
        <v>0</v>
      </c>
      <c r="O106" s="605"/>
      <c r="P106" s="587">
        <f>IFERROR(VLOOKUP($B106,اسماء,10,0),0)</f>
        <v>0</v>
      </c>
      <c r="Q106" s="605"/>
      <c r="R106" s="606">
        <f>IFERROR(VLOOKUP($B106,اسماء,11,0),0)</f>
        <v>0</v>
      </c>
      <c r="S106" s="591"/>
      <c r="T106" s="587">
        <f>IFERROR(VLOOKUP($B106,اسماء,12,0),0)</f>
        <v>0</v>
      </c>
      <c r="U106" s="591"/>
      <c r="V106" s="263">
        <f t="shared" ref="V106:V108" si="285">SUM(F106:U106)</f>
        <v>0</v>
      </c>
      <c r="W106" s="373">
        <f>IFERROR(VLOOKUP($B106,اسماء,14,0),0)</f>
        <v>0</v>
      </c>
      <c r="X106" s="373">
        <f>IFERROR(VLOOKUP($B106,اسماء,15,0),0)</f>
        <v>0</v>
      </c>
      <c r="Y106" s="595" t="str">
        <f t="shared" ref="Y106" si="286">IF(AC106="غائب","راسب",IF(AND(F109&gt;=$G$8,H109&gt;=$I$8,J109&gt;=$K$8,L109&gt;=$M$8,N109&gt;=$O$8,P109&gt;=$Q$8,R109&gt;=$S$8,T109&gt;=$U$8),"ناجح","له دور ثان"))</f>
        <v>له دور ثان</v>
      </c>
      <c r="Z106" s="21" t="str">
        <f>LOOKUP(V106,$AF$6:$AG$10)</f>
        <v>ضعيف</v>
      </c>
      <c r="AA106" s="656">
        <f>V109/$AF$3</f>
        <v>0</v>
      </c>
      <c r="AB106" s="72"/>
      <c r="AC106" s="653" t="str">
        <f>IFERROR(VLOOKUP($B106,اسماء,54,0),"")</f>
        <v/>
      </c>
      <c r="AN106" s="607" t="str">
        <f t="shared" ref="AN106" si="287">IF(V109=0,"",V109/1+ROW()*0.00001)</f>
        <v/>
      </c>
      <c r="AO106" s="607">
        <f>B106</f>
        <v>0</v>
      </c>
      <c r="AP106" s="613"/>
      <c r="AQ106" s="612">
        <v>22</v>
      </c>
      <c r="AR106" s="611" t="str">
        <f>IFERROR(LARGE($AN$10:$AN$1006,AQ106),"")</f>
        <v/>
      </c>
      <c r="AS106" s="612" t="str">
        <f>VLOOKUP(AR106,$AN$10:$AO$1116,2,0)</f>
        <v>أحمد نورالدين أحمد الذيب</v>
      </c>
    </row>
    <row r="107" spans="1:45" ht="15" customHeight="1" thickBot="1" x14ac:dyDescent="0.3">
      <c r="A107" s="633"/>
      <c r="B107" s="630"/>
      <c r="C107" s="622"/>
      <c r="D107" s="625"/>
      <c r="E107" s="133" t="s">
        <v>31</v>
      </c>
      <c r="F107" s="589">
        <f>IFERROR(VLOOKUP($B106,اسماء,18,0),0)</f>
        <v>0</v>
      </c>
      <c r="G107" s="592"/>
      <c r="H107" s="608">
        <f>IFERROR(VLOOKUP($B106,اسماء,19,0),0)</f>
        <v>0</v>
      </c>
      <c r="I107" s="609"/>
      <c r="J107" s="589">
        <f>IFERROR(VLOOKUP($B106,اسماء,20,0),0)</f>
        <v>0</v>
      </c>
      <c r="K107" s="592"/>
      <c r="L107" s="589">
        <f>IFERROR(VLOOKUP($B106,اسماء,21,0),0)</f>
        <v>0</v>
      </c>
      <c r="M107" s="590"/>
      <c r="N107" s="589">
        <f>IFERROR(VLOOKUP($B106,اسماء,22,0),0)</f>
        <v>0</v>
      </c>
      <c r="O107" s="590"/>
      <c r="P107" s="589">
        <f>IFERROR(VLOOKUP($B106,اسماء,23,0),0)</f>
        <v>0</v>
      </c>
      <c r="Q107" s="609"/>
      <c r="R107" s="603">
        <f>IFERROR(VLOOKUP($B106,اسماء,24,0),0)</f>
        <v>0</v>
      </c>
      <c r="S107" s="592"/>
      <c r="T107" s="589">
        <f>IFERROR(VLOOKUP($B106,اسماء,25,0),0)</f>
        <v>0</v>
      </c>
      <c r="U107" s="592"/>
      <c r="V107" s="263">
        <f t="shared" si="285"/>
        <v>0</v>
      </c>
      <c r="W107" s="373">
        <f>IFERROR(VLOOKUP($B106,اسماء,27,0),0)</f>
        <v>0</v>
      </c>
      <c r="X107" s="373">
        <f>IFERROR(VLOOKUP($B106,اسماء,28,0),0)</f>
        <v>0</v>
      </c>
      <c r="Y107" s="596"/>
      <c r="Z107" s="22" t="str">
        <f>LOOKUP(V107,$AF$6:$AG$10)</f>
        <v>ضعيف</v>
      </c>
      <c r="AA107" s="657"/>
      <c r="AB107" s="10"/>
      <c r="AC107" s="654"/>
      <c r="AN107" s="607"/>
      <c r="AO107" s="607"/>
      <c r="AP107" s="613"/>
      <c r="AQ107" s="612"/>
      <c r="AR107" s="611"/>
      <c r="AS107" s="612"/>
    </row>
    <row r="108" spans="1:45" ht="15" customHeight="1" x14ac:dyDescent="0.25">
      <c r="A108" s="633"/>
      <c r="B108" s="630"/>
      <c r="C108" s="622"/>
      <c r="D108" s="625"/>
      <c r="E108" s="133" t="s">
        <v>32</v>
      </c>
      <c r="F108" s="589">
        <f>IFERROR(VLOOKUP($B106,اسماء,31,0),0)</f>
        <v>0</v>
      </c>
      <c r="G108" s="592"/>
      <c r="H108" s="608">
        <f>IFERROR(VLOOKUP($B106,اسماء,32,0),0)</f>
        <v>0</v>
      </c>
      <c r="I108" s="609"/>
      <c r="J108" s="589">
        <f>IFERROR(VLOOKUP($B106,اسماء,33,0),0)</f>
        <v>0</v>
      </c>
      <c r="K108" s="592"/>
      <c r="L108" s="589">
        <f>IFERROR(VLOOKUP($B106,اسماء,34,0),0)</f>
        <v>0</v>
      </c>
      <c r="M108" s="590"/>
      <c r="N108" s="589">
        <f>IFERROR(VLOOKUP($B106,اسماء,35,0),0)</f>
        <v>0</v>
      </c>
      <c r="O108" s="590"/>
      <c r="P108" s="589">
        <f>IFERROR(VLOOKUP($B106,اسماء,36,0),0)</f>
        <v>0</v>
      </c>
      <c r="Q108" s="609"/>
      <c r="R108" s="603">
        <f>IFERROR(VLOOKUP($B106,اسماء,37,0),0)</f>
        <v>0</v>
      </c>
      <c r="S108" s="592"/>
      <c r="T108" s="589">
        <f>IFERROR(VLOOKUP($B106,اسماء,38,0),0)</f>
        <v>0</v>
      </c>
      <c r="U108" s="592"/>
      <c r="V108" s="263">
        <f t="shared" si="285"/>
        <v>0</v>
      </c>
      <c r="W108" s="373">
        <f>IFERROR(VLOOKUP($B106,اسماء,40,0),0)</f>
        <v>0</v>
      </c>
      <c r="X108" s="373">
        <f>IFERROR(VLOOKUP($B106,اسماء,41,0),0)</f>
        <v>0</v>
      </c>
      <c r="Y108" s="596"/>
      <c r="Z108" s="22" t="str">
        <f>LOOKUP(V108,$AI$6:$AJ$10)</f>
        <v>ضعيف</v>
      </c>
      <c r="AA108" s="657"/>
      <c r="AB108" s="72"/>
      <c r="AC108" s="654"/>
      <c r="AN108" s="607"/>
      <c r="AO108" s="607"/>
      <c r="AP108" s="613"/>
      <c r="AQ108" s="612"/>
      <c r="AR108" s="611"/>
      <c r="AS108" s="612"/>
    </row>
    <row r="109" spans="1:45" ht="15" customHeight="1" thickBot="1" x14ac:dyDescent="0.3">
      <c r="A109" s="634"/>
      <c r="B109" s="631"/>
      <c r="C109" s="623"/>
      <c r="D109" s="626"/>
      <c r="E109" s="127" t="s">
        <v>33</v>
      </c>
      <c r="F109" s="585">
        <f t="shared" ref="F109" si="288">SUM(F106:G108)</f>
        <v>0</v>
      </c>
      <c r="G109" s="593"/>
      <c r="H109" s="604">
        <f t="shared" ref="H109" si="289">SUM(H106:I108)</f>
        <v>0</v>
      </c>
      <c r="I109" s="601"/>
      <c r="J109" s="585">
        <f t="shared" ref="J109" si="290">SUM(J106:K108)</f>
        <v>0</v>
      </c>
      <c r="K109" s="593"/>
      <c r="L109" s="585">
        <f t="shared" ref="L109" si="291">SUM(L106:M108)</f>
        <v>0</v>
      </c>
      <c r="M109" s="586"/>
      <c r="N109" s="585">
        <f t="shared" ref="N109" si="292">SUM(N106:O108)</f>
        <v>0</v>
      </c>
      <c r="O109" s="586"/>
      <c r="P109" s="585">
        <f t="shared" ref="P109" si="293">SUM(P106:Q108)</f>
        <v>0</v>
      </c>
      <c r="Q109" s="601"/>
      <c r="R109" s="602">
        <f t="shared" ref="R109" si="294">SUM(R106:S108)</f>
        <v>0</v>
      </c>
      <c r="S109" s="593"/>
      <c r="T109" s="585">
        <f t="shared" ref="T109" si="295">SUM(T106:U108)</f>
        <v>0</v>
      </c>
      <c r="U109" s="593"/>
      <c r="V109" s="210">
        <f t="shared" ref="V109" si="296">IF(AND(F109&gt;=$G$8,H109&gt;=$I$8,L109&gt;=$M$8,P109&gt;=$Q$8,R109&gt;=$S$8,T109&gt;=$U$8),SUM(F109:U109),0)</f>
        <v>0</v>
      </c>
      <c r="W109" s="264"/>
      <c r="X109" s="97"/>
      <c r="Y109" s="597"/>
      <c r="Z109" s="91" t="str">
        <f>LOOKUP(V109,$AL$6:$AM$10)</f>
        <v>ضعيف</v>
      </c>
      <c r="AA109" s="658"/>
      <c r="AB109" s="72"/>
      <c r="AC109" s="655"/>
      <c r="AN109" s="607"/>
      <c r="AO109" s="607"/>
      <c r="AP109" s="613"/>
      <c r="AQ109" s="612"/>
      <c r="AR109" s="611"/>
      <c r="AS109" s="612"/>
    </row>
    <row r="110" spans="1:45" ht="15" customHeight="1" thickBot="1" x14ac:dyDescent="0.3">
      <c r="A110" s="632">
        <v>23</v>
      </c>
      <c r="B110" s="629">
        <f>VLOOKUP(A110,مسلسل,2,0)</f>
        <v>0</v>
      </c>
      <c r="C110" s="621" t="str">
        <f>IFERROR(VLOOKUP(B110,اسماء,2,0),"")</f>
        <v/>
      </c>
      <c r="D110" s="624" t="str">
        <f>IFERROR(VLOOKUP($B110,اسماء,3,0),"")</f>
        <v/>
      </c>
      <c r="E110" s="132" t="s">
        <v>30</v>
      </c>
      <c r="F110" s="627">
        <f>IFERROR(VLOOKUP($B110,اسماء,5,0),0)</f>
        <v>0</v>
      </c>
      <c r="G110" s="606"/>
      <c r="H110" s="628">
        <f>IFERROR(VLOOKUP($B110,اسماء,6,0),0)</f>
        <v>0</v>
      </c>
      <c r="I110" s="605"/>
      <c r="J110" s="587">
        <f>IFERROR(VLOOKUP($B110,اسماء,7,0),0)</f>
        <v>0</v>
      </c>
      <c r="K110" s="591"/>
      <c r="L110" s="587">
        <f>IFERROR(VLOOKUP($B110,اسماء,8,0),0)</f>
        <v>0</v>
      </c>
      <c r="M110" s="588"/>
      <c r="N110" s="587">
        <f>IFERROR(VLOOKUP($B110,اسماء,9,0),0)</f>
        <v>0</v>
      </c>
      <c r="O110" s="605"/>
      <c r="P110" s="587">
        <f>IFERROR(VLOOKUP($B110,اسماء,10,0),0)</f>
        <v>0</v>
      </c>
      <c r="Q110" s="605"/>
      <c r="R110" s="606">
        <f>IFERROR(VLOOKUP($B110,اسماء,11,0),0)</f>
        <v>0</v>
      </c>
      <c r="S110" s="591"/>
      <c r="T110" s="587">
        <f>IFERROR(VLOOKUP($B110,اسماء,12,0),0)</f>
        <v>0</v>
      </c>
      <c r="U110" s="591"/>
      <c r="V110" s="263">
        <f t="shared" ref="V110:V112" si="297">SUM(F110:U110)</f>
        <v>0</v>
      </c>
      <c r="W110" s="373">
        <f>IFERROR(VLOOKUP($B110,اسماء,14,0),0)</f>
        <v>0</v>
      </c>
      <c r="X110" s="373">
        <f>IFERROR(VLOOKUP($B110,اسماء,15,0),0)</f>
        <v>0</v>
      </c>
      <c r="Y110" s="595" t="str">
        <f t="shared" ref="Y110" si="298">IF(AC110="غائب","راسب",IF(AND(F113&gt;=$G$8,H113&gt;=$I$8,J113&gt;=$K$8,L113&gt;=$M$8,N113&gt;=$O$8,P113&gt;=$Q$8,R113&gt;=$S$8,T113&gt;=$U$8),"ناجح","له دور ثان"))</f>
        <v>له دور ثان</v>
      </c>
      <c r="Z110" s="21" t="str">
        <f>LOOKUP(V110,$AF$6:$AG$10)</f>
        <v>ضعيف</v>
      </c>
      <c r="AA110" s="656">
        <f>V113/$AF$3</f>
        <v>0</v>
      </c>
      <c r="AB110" s="10"/>
      <c r="AC110" s="653" t="str">
        <f>IFERROR(VLOOKUP($B110,اسماء,54,0),"")</f>
        <v/>
      </c>
      <c r="AN110" s="607" t="str">
        <f t="shared" ref="AN110" si="299">IF(V113=0,"",V113/1+ROW()*0.00001)</f>
        <v/>
      </c>
      <c r="AO110" s="607">
        <f>B110</f>
        <v>0</v>
      </c>
      <c r="AP110" s="613"/>
      <c r="AQ110" s="612">
        <v>23</v>
      </c>
      <c r="AR110" s="611" t="str">
        <f>IFERROR(LARGE($AN$10:$AN$1006,AQ110),"")</f>
        <v/>
      </c>
      <c r="AS110" s="612" t="str">
        <f>VLOOKUP(AR110,$AN$10:$AO$1116,2,0)</f>
        <v>أحمد نورالدين أحمد الذيب</v>
      </c>
    </row>
    <row r="111" spans="1:45" ht="15" customHeight="1" thickBot="1" x14ac:dyDescent="0.3">
      <c r="A111" s="633"/>
      <c r="B111" s="630"/>
      <c r="C111" s="622"/>
      <c r="D111" s="625"/>
      <c r="E111" s="133" t="s">
        <v>31</v>
      </c>
      <c r="F111" s="589">
        <f>IFERROR(VLOOKUP($B110,اسماء,18,0),0)</f>
        <v>0</v>
      </c>
      <c r="G111" s="592"/>
      <c r="H111" s="608">
        <f>IFERROR(VLOOKUP($B110,اسماء,19,0),0)</f>
        <v>0</v>
      </c>
      <c r="I111" s="609"/>
      <c r="J111" s="589">
        <f>IFERROR(VLOOKUP($B110,اسماء,20,0),0)</f>
        <v>0</v>
      </c>
      <c r="K111" s="592"/>
      <c r="L111" s="589">
        <f>IFERROR(VLOOKUP($B110,اسماء,21,0),0)</f>
        <v>0</v>
      </c>
      <c r="M111" s="590"/>
      <c r="N111" s="589">
        <f>IFERROR(VLOOKUP($B110,اسماء,22,0),0)</f>
        <v>0</v>
      </c>
      <c r="O111" s="590"/>
      <c r="P111" s="589">
        <f>IFERROR(VLOOKUP($B110,اسماء,23,0),0)</f>
        <v>0</v>
      </c>
      <c r="Q111" s="609"/>
      <c r="R111" s="603">
        <f>IFERROR(VLOOKUP($B110,اسماء,24,0),0)</f>
        <v>0</v>
      </c>
      <c r="S111" s="592"/>
      <c r="T111" s="589">
        <f>IFERROR(VLOOKUP($B110,اسماء,25,0),0)</f>
        <v>0</v>
      </c>
      <c r="U111" s="592"/>
      <c r="V111" s="263">
        <f t="shared" si="297"/>
        <v>0</v>
      </c>
      <c r="W111" s="373">
        <f>IFERROR(VLOOKUP($B110,اسماء,27,0),0)</f>
        <v>0</v>
      </c>
      <c r="X111" s="373">
        <f>IFERROR(VLOOKUP($B110,اسماء,28,0),0)</f>
        <v>0</v>
      </c>
      <c r="Y111" s="596"/>
      <c r="Z111" s="22" t="str">
        <f>LOOKUP(V111,$AF$6:$AG$10)</f>
        <v>ضعيف</v>
      </c>
      <c r="AA111" s="657"/>
      <c r="AB111" s="72"/>
      <c r="AC111" s="654"/>
      <c r="AN111" s="607"/>
      <c r="AO111" s="607"/>
      <c r="AP111" s="613"/>
      <c r="AQ111" s="612"/>
      <c r="AR111" s="611"/>
      <c r="AS111" s="612"/>
    </row>
    <row r="112" spans="1:45" ht="15" customHeight="1" x14ac:dyDescent="0.25">
      <c r="A112" s="633"/>
      <c r="B112" s="630"/>
      <c r="C112" s="622"/>
      <c r="D112" s="625"/>
      <c r="E112" s="133" t="s">
        <v>32</v>
      </c>
      <c r="F112" s="589">
        <f>IFERROR(VLOOKUP($B110,اسماء,31,0),0)</f>
        <v>0</v>
      </c>
      <c r="G112" s="592"/>
      <c r="H112" s="608">
        <f>IFERROR(VLOOKUP($B110,اسماء,32,0),0)</f>
        <v>0</v>
      </c>
      <c r="I112" s="609"/>
      <c r="J112" s="589">
        <f>IFERROR(VLOOKUP($B110,اسماء,33,0),0)</f>
        <v>0</v>
      </c>
      <c r="K112" s="592"/>
      <c r="L112" s="589">
        <f>IFERROR(VLOOKUP($B110,اسماء,34,0),0)</f>
        <v>0</v>
      </c>
      <c r="M112" s="590"/>
      <c r="N112" s="589">
        <f>IFERROR(VLOOKUP($B110,اسماء,35,0),0)</f>
        <v>0</v>
      </c>
      <c r="O112" s="590"/>
      <c r="P112" s="589">
        <f>IFERROR(VLOOKUP($B110,اسماء,36,0),0)</f>
        <v>0</v>
      </c>
      <c r="Q112" s="609"/>
      <c r="R112" s="603">
        <f>IFERROR(VLOOKUP($B110,اسماء,37,0),0)</f>
        <v>0</v>
      </c>
      <c r="S112" s="592"/>
      <c r="T112" s="589">
        <f>IFERROR(VLOOKUP($B110,اسماء,38,0),0)</f>
        <v>0</v>
      </c>
      <c r="U112" s="592"/>
      <c r="V112" s="263">
        <f t="shared" si="297"/>
        <v>0</v>
      </c>
      <c r="W112" s="373">
        <f>IFERROR(VLOOKUP($B110,اسماء,40,0),0)</f>
        <v>0</v>
      </c>
      <c r="X112" s="373">
        <f>IFERROR(VLOOKUP($B110,اسماء,41,0),0)</f>
        <v>0</v>
      </c>
      <c r="Y112" s="596"/>
      <c r="Z112" s="22" t="str">
        <f>LOOKUP(V112,$AI$6:$AJ$10)</f>
        <v>ضعيف</v>
      </c>
      <c r="AA112" s="657"/>
      <c r="AB112" s="72"/>
      <c r="AC112" s="654"/>
      <c r="AN112" s="607"/>
      <c r="AO112" s="607"/>
      <c r="AP112" s="613"/>
      <c r="AQ112" s="612"/>
      <c r="AR112" s="611"/>
      <c r="AS112" s="612"/>
    </row>
    <row r="113" spans="1:45" ht="15" customHeight="1" thickBot="1" x14ac:dyDescent="0.3">
      <c r="A113" s="634"/>
      <c r="B113" s="631"/>
      <c r="C113" s="623"/>
      <c r="D113" s="626"/>
      <c r="E113" s="127" t="s">
        <v>33</v>
      </c>
      <c r="F113" s="585">
        <f t="shared" ref="F113" si="300">SUM(F110:G112)</f>
        <v>0</v>
      </c>
      <c r="G113" s="593"/>
      <c r="H113" s="604">
        <f t="shared" ref="H113" si="301">SUM(H110:I112)</f>
        <v>0</v>
      </c>
      <c r="I113" s="601"/>
      <c r="J113" s="585">
        <f t="shared" ref="J113" si="302">SUM(J110:K112)</f>
        <v>0</v>
      </c>
      <c r="K113" s="593"/>
      <c r="L113" s="585">
        <f t="shared" ref="L113" si="303">SUM(L110:M112)</f>
        <v>0</v>
      </c>
      <c r="M113" s="586"/>
      <c r="N113" s="585">
        <f t="shared" ref="N113" si="304">SUM(N110:O112)</f>
        <v>0</v>
      </c>
      <c r="O113" s="586"/>
      <c r="P113" s="585">
        <f t="shared" ref="P113" si="305">SUM(P110:Q112)</f>
        <v>0</v>
      </c>
      <c r="Q113" s="601"/>
      <c r="R113" s="602">
        <f t="shared" ref="R113" si="306">SUM(R110:S112)</f>
        <v>0</v>
      </c>
      <c r="S113" s="593"/>
      <c r="T113" s="585">
        <f t="shared" ref="T113" si="307">SUM(T110:U112)</f>
        <v>0</v>
      </c>
      <c r="U113" s="593"/>
      <c r="V113" s="210">
        <f t="shared" ref="V113" si="308">IF(AND(F113&gt;=$G$8,H113&gt;=$I$8,L113&gt;=$M$8,P113&gt;=$Q$8,R113&gt;=$S$8,T113&gt;=$U$8),SUM(F113:U113),0)</f>
        <v>0</v>
      </c>
      <c r="W113" s="264"/>
      <c r="X113" s="97"/>
      <c r="Y113" s="597"/>
      <c r="Z113" s="91" t="str">
        <f>LOOKUP(V113,$AL$6:$AM$10)</f>
        <v>ضعيف</v>
      </c>
      <c r="AA113" s="658"/>
      <c r="AB113" s="10"/>
      <c r="AC113" s="655"/>
      <c r="AN113" s="607"/>
      <c r="AO113" s="607"/>
      <c r="AP113" s="613"/>
      <c r="AQ113" s="612"/>
      <c r="AR113" s="611"/>
      <c r="AS113" s="612"/>
    </row>
    <row r="114" spans="1:45" ht="15" customHeight="1" thickBot="1" x14ac:dyDescent="0.3">
      <c r="A114" s="632">
        <v>24</v>
      </c>
      <c r="B114" s="629">
        <f>VLOOKUP(A114,مسلسل,2,0)</f>
        <v>0</v>
      </c>
      <c r="C114" s="621" t="str">
        <f>IFERROR(VLOOKUP(B114,اسماء,2,0),"")</f>
        <v/>
      </c>
      <c r="D114" s="624" t="str">
        <f>IFERROR(VLOOKUP($B114,اسماء,3,0),"")</f>
        <v/>
      </c>
      <c r="E114" s="132" t="s">
        <v>30</v>
      </c>
      <c r="F114" s="627">
        <f>IFERROR(VLOOKUP($B114,اسماء,5,0),0)</f>
        <v>0</v>
      </c>
      <c r="G114" s="606"/>
      <c r="H114" s="628">
        <f>IFERROR(VLOOKUP($B114,اسماء,6,0),0)</f>
        <v>0</v>
      </c>
      <c r="I114" s="605"/>
      <c r="J114" s="587">
        <f>IFERROR(VLOOKUP($B114,اسماء,7,0),0)</f>
        <v>0</v>
      </c>
      <c r="K114" s="591"/>
      <c r="L114" s="587">
        <f>IFERROR(VLOOKUP($B114,اسماء,8,0),0)</f>
        <v>0</v>
      </c>
      <c r="M114" s="588"/>
      <c r="N114" s="587">
        <f>IFERROR(VLOOKUP($B114,اسماء,9,0),0)</f>
        <v>0</v>
      </c>
      <c r="O114" s="605"/>
      <c r="P114" s="587">
        <f>IFERROR(VLOOKUP($B114,اسماء,10,0),0)</f>
        <v>0</v>
      </c>
      <c r="Q114" s="605"/>
      <c r="R114" s="606">
        <f>IFERROR(VLOOKUP($B114,اسماء,11,0),0)</f>
        <v>0</v>
      </c>
      <c r="S114" s="591"/>
      <c r="T114" s="587">
        <f>IFERROR(VLOOKUP($B114,اسماء,12,0),0)</f>
        <v>0</v>
      </c>
      <c r="U114" s="591"/>
      <c r="V114" s="263">
        <f t="shared" ref="V114:V116" si="309">SUM(F114:U114)</f>
        <v>0</v>
      </c>
      <c r="W114" s="373">
        <f>IFERROR(VLOOKUP($B114,اسماء,14,0),0)</f>
        <v>0</v>
      </c>
      <c r="X114" s="373">
        <f>IFERROR(VLOOKUP($B114,اسماء,15,0),0)</f>
        <v>0</v>
      </c>
      <c r="Y114" s="595" t="str">
        <f t="shared" ref="Y114" si="310">IF(AC114="غائب","راسب",IF(AND(F117&gt;=$G$8,H117&gt;=$I$8,J117&gt;=$K$8,L117&gt;=$M$8,N117&gt;=$O$8,P117&gt;=$Q$8,R117&gt;=$S$8,T117&gt;=$U$8),"ناجح","له دور ثان"))</f>
        <v>له دور ثان</v>
      </c>
      <c r="Z114" s="21" t="str">
        <f>LOOKUP(V114,$AF$6:$AG$10)</f>
        <v>ضعيف</v>
      </c>
      <c r="AA114" s="656">
        <f>V117/$AF$3</f>
        <v>0</v>
      </c>
      <c r="AB114" s="72"/>
      <c r="AC114" s="653" t="str">
        <f>IFERROR(VLOOKUP($B114,اسماء,54,0),"")</f>
        <v/>
      </c>
      <c r="AN114" s="607" t="str">
        <f t="shared" ref="AN114" si="311">IF(V117=0,"",V117/1+ROW()*0.00001)</f>
        <v/>
      </c>
      <c r="AO114" s="607">
        <f>B114</f>
        <v>0</v>
      </c>
      <c r="AP114" s="613"/>
      <c r="AQ114" s="612">
        <v>24</v>
      </c>
      <c r="AR114" s="611" t="str">
        <f>IFERROR(LARGE($AN$10:$AN$1006,AQ114),"")</f>
        <v/>
      </c>
      <c r="AS114" s="612" t="str">
        <f>VLOOKUP(AR114,$AN$10:$AO$1116,2,0)</f>
        <v>أحمد نورالدين أحمد الذيب</v>
      </c>
    </row>
    <row r="115" spans="1:45" ht="15" customHeight="1" thickBot="1" x14ac:dyDescent="0.3">
      <c r="A115" s="633"/>
      <c r="B115" s="630"/>
      <c r="C115" s="622"/>
      <c r="D115" s="625"/>
      <c r="E115" s="133" t="s">
        <v>31</v>
      </c>
      <c r="F115" s="589">
        <f>IFERROR(VLOOKUP($B114,اسماء,18,0),0)</f>
        <v>0</v>
      </c>
      <c r="G115" s="592"/>
      <c r="H115" s="608">
        <f>IFERROR(VLOOKUP($B114,اسماء,19,0),0)</f>
        <v>0</v>
      </c>
      <c r="I115" s="609"/>
      <c r="J115" s="589">
        <f>IFERROR(VLOOKUP($B114,اسماء,20,0),0)</f>
        <v>0</v>
      </c>
      <c r="K115" s="592"/>
      <c r="L115" s="589">
        <f>IFERROR(VLOOKUP($B114,اسماء,21,0),0)</f>
        <v>0</v>
      </c>
      <c r="M115" s="590"/>
      <c r="N115" s="589">
        <f>IFERROR(VLOOKUP($B114,اسماء,22,0),0)</f>
        <v>0</v>
      </c>
      <c r="O115" s="590"/>
      <c r="P115" s="589">
        <f>IFERROR(VLOOKUP($B114,اسماء,23,0),0)</f>
        <v>0</v>
      </c>
      <c r="Q115" s="609"/>
      <c r="R115" s="603">
        <f>IFERROR(VLOOKUP($B114,اسماء,24,0),0)</f>
        <v>0</v>
      </c>
      <c r="S115" s="592"/>
      <c r="T115" s="589">
        <f>IFERROR(VLOOKUP($B114,اسماء,25,0),0)</f>
        <v>0</v>
      </c>
      <c r="U115" s="592"/>
      <c r="V115" s="263">
        <f t="shared" si="309"/>
        <v>0</v>
      </c>
      <c r="W115" s="373">
        <f>IFERROR(VLOOKUP($B114,اسماء,27,0),0)</f>
        <v>0</v>
      </c>
      <c r="X115" s="373">
        <f>IFERROR(VLOOKUP($B114,اسماء,28,0),0)</f>
        <v>0</v>
      </c>
      <c r="Y115" s="596"/>
      <c r="Z115" s="22" t="str">
        <f>LOOKUP(V115,$AF$6:$AG$10)</f>
        <v>ضعيف</v>
      </c>
      <c r="AA115" s="657"/>
      <c r="AB115" s="72"/>
      <c r="AC115" s="654"/>
      <c r="AN115" s="607"/>
      <c r="AO115" s="607"/>
      <c r="AP115" s="613"/>
      <c r="AQ115" s="612"/>
      <c r="AR115" s="611"/>
      <c r="AS115" s="612"/>
    </row>
    <row r="116" spans="1:45" ht="15" customHeight="1" x14ac:dyDescent="0.25">
      <c r="A116" s="633"/>
      <c r="B116" s="630"/>
      <c r="C116" s="622"/>
      <c r="D116" s="625"/>
      <c r="E116" s="133" t="s">
        <v>32</v>
      </c>
      <c r="F116" s="589">
        <f>IFERROR(VLOOKUP($B114,اسماء,31,0),0)</f>
        <v>0</v>
      </c>
      <c r="G116" s="592"/>
      <c r="H116" s="608">
        <f>IFERROR(VLOOKUP($B114,اسماء,32,0),0)</f>
        <v>0</v>
      </c>
      <c r="I116" s="609"/>
      <c r="J116" s="589">
        <f>IFERROR(VLOOKUP($B114,اسماء,33,0),0)</f>
        <v>0</v>
      </c>
      <c r="K116" s="592"/>
      <c r="L116" s="589">
        <f>IFERROR(VLOOKUP($B114,اسماء,34,0),0)</f>
        <v>0</v>
      </c>
      <c r="M116" s="590"/>
      <c r="N116" s="589">
        <f>IFERROR(VLOOKUP($B114,اسماء,35,0),0)</f>
        <v>0</v>
      </c>
      <c r="O116" s="590"/>
      <c r="P116" s="589">
        <f>IFERROR(VLOOKUP($B114,اسماء,36,0),0)</f>
        <v>0</v>
      </c>
      <c r="Q116" s="609"/>
      <c r="R116" s="603">
        <f>IFERROR(VLOOKUP($B114,اسماء,37,0),0)</f>
        <v>0</v>
      </c>
      <c r="S116" s="592"/>
      <c r="T116" s="589">
        <f>IFERROR(VLOOKUP($B114,اسماء,38,0),0)</f>
        <v>0</v>
      </c>
      <c r="U116" s="592"/>
      <c r="V116" s="263">
        <f t="shared" si="309"/>
        <v>0</v>
      </c>
      <c r="W116" s="373">
        <f>IFERROR(VLOOKUP($B114,اسماء,40,0),0)</f>
        <v>0</v>
      </c>
      <c r="X116" s="373">
        <f>IFERROR(VLOOKUP($B114,اسماء,41,0),0)</f>
        <v>0</v>
      </c>
      <c r="Y116" s="596"/>
      <c r="Z116" s="22" t="str">
        <f>LOOKUP(V116,$AI$6:$AJ$10)</f>
        <v>ضعيف</v>
      </c>
      <c r="AA116" s="657"/>
      <c r="AB116" s="10"/>
      <c r="AC116" s="654"/>
      <c r="AN116" s="607"/>
      <c r="AO116" s="607"/>
      <c r="AP116" s="613"/>
      <c r="AQ116" s="612"/>
      <c r="AR116" s="611"/>
      <c r="AS116" s="612"/>
    </row>
    <row r="117" spans="1:45" ht="15" customHeight="1" thickBot="1" x14ac:dyDescent="0.3">
      <c r="A117" s="634"/>
      <c r="B117" s="631"/>
      <c r="C117" s="623"/>
      <c r="D117" s="626"/>
      <c r="E117" s="127" t="s">
        <v>33</v>
      </c>
      <c r="F117" s="585">
        <f t="shared" ref="F117" si="312">SUM(F114:G116)</f>
        <v>0</v>
      </c>
      <c r="G117" s="593"/>
      <c r="H117" s="604">
        <f t="shared" ref="H117" si="313">SUM(H114:I116)</f>
        <v>0</v>
      </c>
      <c r="I117" s="601"/>
      <c r="J117" s="585">
        <f t="shared" ref="J117" si="314">SUM(J114:K116)</f>
        <v>0</v>
      </c>
      <c r="K117" s="593"/>
      <c r="L117" s="585">
        <f t="shared" ref="L117" si="315">SUM(L114:M116)</f>
        <v>0</v>
      </c>
      <c r="M117" s="586"/>
      <c r="N117" s="585">
        <f t="shared" ref="N117" si="316">SUM(N114:O116)</f>
        <v>0</v>
      </c>
      <c r="O117" s="586"/>
      <c r="P117" s="585">
        <f t="shared" ref="P117" si="317">SUM(P114:Q116)</f>
        <v>0</v>
      </c>
      <c r="Q117" s="601"/>
      <c r="R117" s="602">
        <f t="shared" ref="R117" si="318">SUM(R114:S116)</f>
        <v>0</v>
      </c>
      <c r="S117" s="593"/>
      <c r="T117" s="585">
        <f t="shared" ref="T117" si="319">SUM(T114:U116)</f>
        <v>0</v>
      </c>
      <c r="U117" s="593"/>
      <c r="V117" s="210">
        <f t="shared" ref="V117" si="320">IF(AND(F117&gt;=$G$8,H117&gt;=$I$8,L117&gt;=$M$8,P117&gt;=$Q$8,R117&gt;=$S$8,T117&gt;=$U$8),SUM(F117:U117),0)</f>
        <v>0</v>
      </c>
      <c r="W117" s="264"/>
      <c r="X117" s="97"/>
      <c r="Y117" s="597"/>
      <c r="Z117" s="91" t="str">
        <f>LOOKUP(V117,$AL$6:$AM$10)</f>
        <v>ضعيف</v>
      </c>
      <c r="AA117" s="658"/>
      <c r="AB117" s="72"/>
      <c r="AC117" s="655"/>
      <c r="AN117" s="607"/>
      <c r="AO117" s="607"/>
      <c r="AP117" s="613"/>
      <c r="AQ117" s="612"/>
      <c r="AR117" s="611"/>
      <c r="AS117" s="612"/>
    </row>
    <row r="118" spans="1:45" ht="15" customHeight="1" thickBot="1" x14ac:dyDescent="0.3">
      <c r="A118" s="632">
        <v>25</v>
      </c>
      <c r="B118" s="629">
        <f>VLOOKUP(A118,مسلسل,2,0)</f>
        <v>0</v>
      </c>
      <c r="C118" s="621" t="str">
        <f>IFERROR(VLOOKUP(B118,اسماء,2,0),"")</f>
        <v/>
      </c>
      <c r="D118" s="624" t="str">
        <f>IFERROR(VLOOKUP($B118,اسماء,3,0),"")</f>
        <v/>
      </c>
      <c r="E118" s="132" t="s">
        <v>30</v>
      </c>
      <c r="F118" s="627">
        <f>IFERROR(VLOOKUP($B118,اسماء,5,0),0)</f>
        <v>0</v>
      </c>
      <c r="G118" s="606"/>
      <c r="H118" s="628">
        <f>IFERROR(VLOOKUP($B118,اسماء,6,0),0)</f>
        <v>0</v>
      </c>
      <c r="I118" s="605"/>
      <c r="J118" s="587">
        <f>IFERROR(VLOOKUP($B118,اسماء,7,0),0)</f>
        <v>0</v>
      </c>
      <c r="K118" s="591"/>
      <c r="L118" s="587">
        <f>IFERROR(VLOOKUP($B118,اسماء,8,0),0)</f>
        <v>0</v>
      </c>
      <c r="M118" s="588"/>
      <c r="N118" s="587">
        <f>IFERROR(VLOOKUP($B118,اسماء,9,0),0)</f>
        <v>0</v>
      </c>
      <c r="O118" s="605"/>
      <c r="P118" s="587">
        <f>IFERROR(VLOOKUP($B118,اسماء,10,0),0)</f>
        <v>0</v>
      </c>
      <c r="Q118" s="605"/>
      <c r="R118" s="606">
        <f>IFERROR(VLOOKUP($B118,اسماء,11,0),0)</f>
        <v>0</v>
      </c>
      <c r="S118" s="591"/>
      <c r="T118" s="587">
        <f>IFERROR(VLOOKUP($B118,اسماء,12,0),0)</f>
        <v>0</v>
      </c>
      <c r="U118" s="591"/>
      <c r="V118" s="263">
        <f t="shared" ref="V118:V120" si="321">SUM(F118:U118)</f>
        <v>0</v>
      </c>
      <c r="W118" s="373">
        <f>IFERROR(VLOOKUP($B118,اسماء,14,0),0)</f>
        <v>0</v>
      </c>
      <c r="X118" s="373">
        <f>IFERROR(VLOOKUP($B118,اسماء,15,0),0)</f>
        <v>0</v>
      </c>
      <c r="Y118" s="595" t="str">
        <f t="shared" ref="Y118" si="322">IF(AC118="غائب","راسب",IF(AND(F121&gt;=$G$8,H121&gt;=$I$8,J121&gt;=$K$8,L121&gt;=$M$8,N121&gt;=$O$8,P121&gt;=$Q$8,R121&gt;=$S$8,T121&gt;=$U$8),"ناجح","له دور ثان"))</f>
        <v>له دور ثان</v>
      </c>
      <c r="Z118" s="21" t="str">
        <f t="shared" ref="Z118:Z119" si="323">LOOKUP(V118,$AF$6:$AG$10)</f>
        <v>ضعيف</v>
      </c>
      <c r="AA118" s="656">
        <f t="shared" ref="AA118" si="324">V121/$AF$3</f>
        <v>0</v>
      </c>
      <c r="AB118" s="72"/>
      <c r="AC118" s="653" t="str">
        <f>IFERROR(VLOOKUP($B118,اسماء,54,0),"")</f>
        <v/>
      </c>
      <c r="AN118" s="607" t="str">
        <f t="shared" ref="AN118" si="325">IF(V121=0,"",V121/1+ROW()*0.00001)</f>
        <v/>
      </c>
      <c r="AO118" s="607">
        <f>B118</f>
        <v>0</v>
      </c>
      <c r="AP118" s="613"/>
      <c r="AQ118" s="612">
        <v>25</v>
      </c>
      <c r="AR118" s="611" t="str">
        <f>IFERROR(LARGE($AN$10:$AN$1006,AQ118),"")</f>
        <v/>
      </c>
      <c r="AS118" s="612" t="str">
        <f>VLOOKUP(AR118,$AN$10:$AO$1116,2,0)</f>
        <v>أحمد نورالدين أحمد الذيب</v>
      </c>
    </row>
    <row r="119" spans="1:45" ht="15" customHeight="1" thickBot="1" x14ac:dyDescent="0.3">
      <c r="A119" s="633"/>
      <c r="B119" s="630"/>
      <c r="C119" s="622"/>
      <c r="D119" s="625"/>
      <c r="E119" s="133" t="s">
        <v>31</v>
      </c>
      <c r="F119" s="589">
        <f>IFERROR(VLOOKUP($B118,اسماء,18,0),0)</f>
        <v>0</v>
      </c>
      <c r="G119" s="592"/>
      <c r="H119" s="608">
        <f>IFERROR(VLOOKUP($B118,اسماء,19,0),0)</f>
        <v>0</v>
      </c>
      <c r="I119" s="609"/>
      <c r="J119" s="589">
        <f>IFERROR(VLOOKUP($B118,اسماء,20,0),0)</f>
        <v>0</v>
      </c>
      <c r="K119" s="592"/>
      <c r="L119" s="589">
        <f>IFERROR(VLOOKUP($B118,اسماء,21,0),0)</f>
        <v>0</v>
      </c>
      <c r="M119" s="590"/>
      <c r="N119" s="589">
        <f>IFERROR(VLOOKUP($B118,اسماء,22,0),0)</f>
        <v>0</v>
      </c>
      <c r="O119" s="590"/>
      <c r="P119" s="589">
        <f>IFERROR(VLOOKUP($B118,اسماء,23,0),0)</f>
        <v>0</v>
      </c>
      <c r="Q119" s="609"/>
      <c r="R119" s="603">
        <f>IFERROR(VLOOKUP($B118,اسماء,24,0),0)</f>
        <v>0</v>
      </c>
      <c r="S119" s="592"/>
      <c r="T119" s="589">
        <f>IFERROR(VLOOKUP($B118,اسماء,25,0),0)</f>
        <v>0</v>
      </c>
      <c r="U119" s="592"/>
      <c r="V119" s="263">
        <f t="shared" si="321"/>
        <v>0</v>
      </c>
      <c r="W119" s="373">
        <f>IFERROR(VLOOKUP($B118,اسماء,27,0),0)</f>
        <v>0</v>
      </c>
      <c r="X119" s="373">
        <f>IFERROR(VLOOKUP($B118,اسماء,28,0),0)</f>
        <v>0</v>
      </c>
      <c r="Y119" s="596"/>
      <c r="Z119" s="22" t="str">
        <f t="shared" si="323"/>
        <v>ضعيف</v>
      </c>
      <c r="AA119" s="657"/>
      <c r="AB119" s="10"/>
      <c r="AC119" s="654"/>
      <c r="AN119" s="607"/>
      <c r="AO119" s="607"/>
      <c r="AP119" s="613"/>
      <c r="AQ119" s="612"/>
      <c r="AR119" s="611"/>
      <c r="AS119" s="612"/>
    </row>
    <row r="120" spans="1:45" ht="15" customHeight="1" x14ac:dyDescent="0.25">
      <c r="A120" s="633"/>
      <c r="B120" s="630"/>
      <c r="C120" s="622"/>
      <c r="D120" s="625"/>
      <c r="E120" s="133" t="s">
        <v>32</v>
      </c>
      <c r="F120" s="589">
        <f>IFERROR(VLOOKUP($B118,اسماء,31,0),0)</f>
        <v>0</v>
      </c>
      <c r="G120" s="592"/>
      <c r="H120" s="608">
        <f>IFERROR(VLOOKUP($B118,اسماء,32,0),0)</f>
        <v>0</v>
      </c>
      <c r="I120" s="609"/>
      <c r="J120" s="589">
        <f>IFERROR(VLOOKUP($B118,اسماء,33,0),0)</f>
        <v>0</v>
      </c>
      <c r="K120" s="592"/>
      <c r="L120" s="589">
        <f>IFERROR(VLOOKUP($B118,اسماء,34,0),0)</f>
        <v>0</v>
      </c>
      <c r="M120" s="590"/>
      <c r="N120" s="589">
        <f>IFERROR(VLOOKUP($B118,اسماء,35,0),0)</f>
        <v>0</v>
      </c>
      <c r="O120" s="590"/>
      <c r="P120" s="589">
        <f>IFERROR(VLOOKUP($B118,اسماء,36,0),0)</f>
        <v>0</v>
      </c>
      <c r="Q120" s="609"/>
      <c r="R120" s="603">
        <f>IFERROR(VLOOKUP($B118,اسماء,37,0),0)</f>
        <v>0</v>
      </c>
      <c r="S120" s="592"/>
      <c r="T120" s="589">
        <f>IFERROR(VLOOKUP($B118,اسماء,38,0),0)</f>
        <v>0</v>
      </c>
      <c r="U120" s="592"/>
      <c r="V120" s="263">
        <f t="shared" si="321"/>
        <v>0</v>
      </c>
      <c r="W120" s="373">
        <f>IFERROR(VLOOKUP($B118,اسماء,40,0),0)</f>
        <v>0</v>
      </c>
      <c r="X120" s="373">
        <f>IFERROR(VLOOKUP($B118,اسماء,41,0),0)</f>
        <v>0</v>
      </c>
      <c r="Y120" s="596"/>
      <c r="Z120" s="22" t="str">
        <f t="shared" ref="Z120" si="326">LOOKUP(V120,$AI$6:$AJ$10)</f>
        <v>ضعيف</v>
      </c>
      <c r="AA120" s="657"/>
      <c r="AB120" s="72"/>
      <c r="AC120" s="654"/>
      <c r="AN120" s="607"/>
      <c r="AO120" s="607"/>
      <c r="AP120" s="613"/>
      <c r="AQ120" s="612"/>
      <c r="AR120" s="611"/>
      <c r="AS120" s="612"/>
    </row>
    <row r="121" spans="1:45" ht="15" customHeight="1" thickBot="1" x14ac:dyDescent="0.3">
      <c r="A121" s="634"/>
      <c r="B121" s="631"/>
      <c r="C121" s="623"/>
      <c r="D121" s="626"/>
      <c r="E121" s="127" t="s">
        <v>33</v>
      </c>
      <c r="F121" s="585">
        <f t="shared" ref="F121" si="327">SUM(F118:G120)</f>
        <v>0</v>
      </c>
      <c r="G121" s="593"/>
      <c r="H121" s="604">
        <f t="shared" ref="H121" si="328">SUM(H118:I120)</f>
        <v>0</v>
      </c>
      <c r="I121" s="601"/>
      <c r="J121" s="585">
        <f t="shared" ref="J121" si="329">SUM(J118:K120)</f>
        <v>0</v>
      </c>
      <c r="K121" s="593"/>
      <c r="L121" s="585">
        <f t="shared" ref="L121" si="330">SUM(L118:M120)</f>
        <v>0</v>
      </c>
      <c r="M121" s="586"/>
      <c r="N121" s="585">
        <f t="shared" ref="N121" si="331">SUM(N118:O120)</f>
        <v>0</v>
      </c>
      <c r="O121" s="586"/>
      <c r="P121" s="585">
        <f t="shared" ref="P121" si="332">SUM(P118:Q120)</f>
        <v>0</v>
      </c>
      <c r="Q121" s="601"/>
      <c r="R121" s="602">
        <f t="shared" ref="R121" si="333">SUM(R118:S120)</f>
        <v>0</v>
      </c>
      <c r="S121" s="593"/>
      <c r="T121" s="585">
        <f t="shared" ref="T121" si="334">SUM(T118:U120)</f>
        <v>0</v>
      </c>
      <c r="U121" s="593"/>
      <c r="V121" s="210">
        <f t="shared" ref="V121" si="335">IF(AND(F121&gt;=$G$8,H121&gt;=$I$8,L121&gt;=$M$8,P121&gt;=$Q$8,R121&gt;=$S$8,T121&gt;=$U$8),SUM(F121:U121),0)</f>
        <v>0</v>
      </c>
      <c r="W121" s="264"/>
      <c r="X121" s="97"/>
      <c r="Y121" s="597"/>
      <c r="Z121" s="91" t="str">
        <f t="shared" ref="Z121" si="336">LOOKUP(V121,$AL$6:$AM$10)</f>
        <v>ضعيف</v>
      </c>
      <c r="AA121" s="658"/>
      <c r="AB121" s="72"/>
      <c r="AC121" s="655"/>
      <c r="AN121" s="607"/>
      <c r="AO121" s="607"/>
      <c r="AP121" s="613"/>
      <c r="AQ121" s="612"/>
      <c r="AR121" s="611"/>
      <c r="AS121" s="612"/>
    </row>
    <row r="122" spans="1:45" ht="15" customHeight="1" thickBot="1" x14ac:dyDescent="0.3">
      <c r="A122" s="632">
        <v>26</v>
      </c>
      <c r="B122" s="629">
        <f>VLOOKUP(A122,مسلسل,2,0)</f>
        <v>0</v>
      </c>
      <c r="C122" s="621" t="str">
        <f>IFERROR(VLOOKUP(B122,اسماء,2,0),"")</f>
        <v/>
      </c>
      <c r="D122" s="624" t="str">
        <f>IFERROR(VLOOKUP($B122,اسماء,3,0),"")</f>
        <v/>
      </c>
      <c r="E122" s="132" t="s">
        <v>30</v>
      </c>
      <c r="F122" s="627">
        <f>IFERROR(VLOOKUP($B122,اسماء,5,0),0)</f>
        <v>0</v>
      </c>
      <c r="G122" s="606"/>
      <c r="H122" s="628">
        <f>IFERROR(VLOOKUP($B122,اسماء,6,0),0)</f>
        <v>0</v>
      </c>
      <c r="I122" s="605"/>
      <c r="J122" s="587">
        <f>IFERROR(VLOOKUP($B122,اسماء,7,0),0)</f>
        <v>0</v>
      </c>
      <c r="K122" s="591"/>
      <c r="L122" s="587">
        <f>IFERROR(VLOOKUP($B122,اسماء,8,0),0)</f>
        <v>0</v>
      </c>
      <c r="M122" s="588"/>
      <c r="N122" s="587">
        <f>IFERROR(VLOOKUP($B122,اسماء,9,0),0)</f>
        <v>0</v>
      </c>
      <c r="O122" s="605"/>
      <c r="P122" s="587">
        <f>IFERROR(VLOOKUP($B122,اسماء,10,0),0)</f>
        <v>0</v>
      </c>
      <c r="Q122" s="605"/>
      <c r="R122" s="606">
        <f>IFERROR(VLOOKUP($B122,اسماء,11,0),0)</f>
        <v>0</v>
      </c>
      <c r="S122" s="591"/>
      <c r="T122" s="587">
        <f>IFERROR(VLOOKUP($B122,اسماء,12,0),0)</f>
        <v>0</v>
      </c>
      <c r="U122" s="591"/>
      <c r="V122" s="263">
        <f t="shared" ref="V122:V124" si="337">SUM(F122:U122)</f>
        <v>0</v>
      </c>
      <c r="W122" s="373">
        <f>IFERROR(VLOOKUP($B122,اسماء,14,0),0)</f>
        <v>0</v>
      </c>
      <c r="X122" s="373">
        <f>IFERROR(VLOOKUP($B122,اسماء,15,0),0)</f>
        <v>0</v>
      </c>
      <c r="Y122" s="595" t="str">
        <f t="shared" ref="Y122" si="338">IF(AC122="غائب","راسب",IF(AND(F125&gt;=$G$8,H125&gt;=$I$8,J125&gt;=$K$8,L125&gt;=$M$8,N125&gt;=$O$8,P125&gt;=$Q$8,R125&gt;=$S$8,T125&gt;=$U$8),"ناجح","له دور ثان"))</f>
        <v>له دور ثان</v>
      </c>
      <c r="Z122" s="21" t="str">
        <f t="shared" ref="Z122:Z123" si="339">LOOKUP(V122,$AF$6:$AG$10)</f>
        <v>ضعيف</v>
      </c>
      <c r="AA122" s="656">
        <f t="shared" ref="AA122" si="340">V125/$AF$3</f>
        <v>0</v>
      </c>
      <c r="AB122" s="10"/>
      <c r="AC122" s="653" t="str">
        <f>IFERROR(VLOOKUP($B122,اسماء,54,0),"")</f>
        <v/>
      </c>
      <c r="AN122" s="607" t="str">
        <f t="shared" ref="AN122" si="341">IF(V125=0,"",V125/1+ROW()*0.00001)</f>
        <v/>
      </c>
      <c r="AO122" s="607">
        <f>B122</f>
        <v>0</v>
      </c>
      <c r="AP122" s="613"/>
      <c r="AQ122" s="612">
        <v>26</v>
      </c>
      <c r="AR122" s="611" t="str">
        <f>IFERROR(LARGE($AN$10:$AN$1006,AQ122),"")</f>
        <v/>
      </c>
      <c r="AS122" s="612" t="str">
        <f>VLOOKUP(AR122,$AN$10:$AO$1116,2,0)</f>
        <v>أحمد نورالدين أحمد الذيب</v>
      </c>
    </row>
    <row r="123" spans="1:45" ht="15" customHeight="1" thickBot="1" x14ac:dyDescent="0.3">
      <c r="A123" s="633"/>
      <c r="B123" s="630"/>
      <c r="C123" s="622"/>
      <c r="D123" s="625"/>
      <c r="E123" s="133" t="s">
        <v>31</v>
      </c>
      <c r="F123" s="589">
        <f>IFERROR(VLOOKUP($B122,اسماء,18,0),0)</f>
        <v>0</v>
      </c>
      <c r="G123" s="592"/>
      <c r="H123" s="608">
        <f>IFERROR(VLOOKUP($B122,اسماء,19,0),0)</f>
        <v>0</v>
      </c>
      <c r="I123" s="609"/>
      <c r="J123" s="589">
        <f>IFERROR(VLOOKUP($B122,اسماء,20,0),0)</f>
        <v>0</v>
      </c>
      <c r="K123" s="592"/>
      <c r="L123" s="589">
        <f>IFERROR(VLOOKUP($B122,اسماء,21,0),0)</f>
        <v>0</v>
      </c>
      <c r="M123" s="590"/>
      <c r="N123" s="589">
        <f>IFERROR(VLOOKUP($B122,اسماء,22,0),0)</f>
        <v>0</v>
      </c>
      <c r="O123" s="590"/>
      <c r="P123" s="589">
        <f>IFERROR(VLOOKUP($B122,اسماء,23,0),0)</f>
        <v>0</v>
      </c>
      <c r="Q123" s="609"/>
      <c r="R123" s="603">
        <f>IFERROR(VLOOKUP($B122,اسماء,24,0),0)</f>
        <v>0</v>
      </c>
      <c r="S123" s="592"/>
      <c r="T123" s="589">
        <f>IFERROR(VLOOKUP($B122,اسماء,25,0),0)</f>
        <v>0</v>
      </c>
      <c r="U123" s="592"/>
      <c r="V123" s="263">
        <f t="shared" si="337"/>
        <v>0</v>
      </c>
      <c r="W123" s="373">
        <f>IFERROR(VLOOKUP($B122,اسماء,27,0),0)</f>
        <v>0</v>
      </c>
      <c r="X123" s="373">
        <f>IFERROR(VLOOKUP($B122,اسماء,28,0),0)</f>
        <v>0</v>
      </c>
      <c r="Y123" s="596"/>
      <c r="Z123" s="22" t="str">
        <f t="shared" si="339"/>
        <v>ضعيف</v>
      </c>
      <c r="AA123" s="657"/>
      <c r="AB123" s="72"/>
      <c r="AC123" s="654"/>
      <c r="AN123" s="607"/>
      <c r="AO123" s="607"/>
      <c r="AP123" s="613"/>
      <c r="AQ123" s="612"/>
      <c r="AR123" s="611"/>
      <c r="AS123" s="612"/>
    </row>
    <row r="124" spans="1:45" ht="15" customHeight="1" x14ac:dyDescent="0.25">
      <c r="A124" s="633"/>
      <c r="B124" s="630"/>
      <c r="C124" s="622"/>
      <c r="D124" s="625"/>
      <c r="E124" s="133" t="s">
        <v>32</v>
      </c>
      <c r="F124" s="589">
        <f>IFERROR(VLOOKUP($B122,اسماء,31,0),0)</f>
        <v>0</v>
      </c>
      <c r="G124" s="592"/>
      <c r="H124" s="608">
        <f>IFERROR(VLOOKUP($B122,اسماء,32,0),0)</f>
        <v>0</v>
      </c>
      <c r="I124" s="609"/>
      <c r="J124" s="589">
        <f>IFERROR(VLOOKUP($B122,اسماء,33,0),0)</f>
        <v>0</v>
      </c>
      <c r="K124" s="592"/>
      <c r="L124" s="589">
        <f>IFERROR(VLOOKUP($B122,اسماء,34,0),0)</f>
        <v>0</v>
      </c>
      <c r="M124" s="590"/>
      <c r="N124" s="589">
        <f>IFERROR(VLOOKUP($B122,اسماء,35,0),0)</f>
        <v>0</v>
      </c>
      <c r="O124" s="590"/>
      <c r="P124" s="589">
        <f>IFERROR(VLOOKUP($B122,اسماء,36,0),0)</f>
        <v>0</v>
      </c>
      <c r="Q124" s="609"/>
      <c r="R124" s="603">
        <f>IFERROR(VLOOKUP($B122,اسماء,37,0),0)</f>
        <v>0</v>
      </c>
      <c r="S124" s="592"/>
      <c r="T124" s="589">
        <f>IFERROR(VLOOKUP($B122,اسماء,38,0),0)</f>
        <v>0</v>
      </c>
      <c r="U124" s="592"/>
      <c r="V124" s="263">
        <f t="shared" si="337"/>
        <v>0</v>
      </c>
      <c r="W124" s="373">
        <f>IFERROR(VLOOKUP($B122,اسماء,40,0),0)</f>
        <v>0</v>
      </c>
      <c r="X124" s="373">
        <f>IFERROR(VLOOKUP($B122,اسماء,41,0),0)</f>
        <v>0</v>
      </c>
      <c r="Y124" s="596"/>
      <c r="Z124" s="22" t="str">
        <f t="shared" ref="Z124" si="342">LOOKUP(V124,$AI$6:$AJ$10)</f>
        <v>ضعيف</v>
      </c>
      <c r="AA124" s="657"/>
      <c r="AB124" s="72"/>
      <c r="AC124" s="654"/>
      <c r="AN124" s="607"/>
      <c r="AO124" s="607"/>
      <c r="AP124" s="613"/>
      <c r="AQ124" s="612"/>
      <c r="AR124" s="611"/>
      <c r="AS124" s="612"/>
    </row>
    <row r="125" spans="1:45" ht="15" customHeight="1" thickBot="1" x14ac:dyDescent="0.3">
      <c r="A125" s="634"/>
      <c r="B125" s="631"/>
      <c r="C125" s="623"/>
      <c r="D125" s="626"/>
      <c r="E125" s="127" t="s">
        <v>33</v>
      </c>
      <c r="F125" s="585">
        <f t="shared" ref="F125" si="343">SUM(F122:G124)</f>
        <v>0</v>
      </c>
      <c r="G125" s="593"/>
      <c r="H125" s="604">
        <f t="shared" ref="H125" si="344">SUM(H122:I124)</f>
        <v>0</v>
      </c>
      <c r="I125" s="601"/>
      <c r="J125" s="585">
        <f t="shared" ref="J125" si="345">SUM(J122:K124)</f>
        <v>0</v>
      </c>
      <c r="K125" s="593"/>
      <c r="L125" s="585">
        <f t="shared" ref="L125" si="346">SUM(L122:M124)</f>
        <v>0</v>
      </c>
      <c r="M125" s="586"/>
      <c r="N125" s="585">
        <f t="shared" ref="N125" si="347">SUM(N122:O124)</f>
        <v>0</v>
      </c>
      <c r="O125" s="586"/>
      <c r="P125" s="585">
        <f t="shared" ref="P125" si="348">SUM(P122:Q124)</f>
        <v>0</v>
      </c>
      <c r="Q125" s="601"/>
      <c r="R125" s="602">
        <f t="shared" ref="R125" si="349">SUM(R122:S124)</f>
        <v>0</v>
      </c>
      <c r="S125" s="593"/>
      <c r="T125" s="585">
        <f t="shared" ref="T125" si="350">SUM(T122:U124)</f>
        <v>0</v>
      </c>
      <c r="U125" s="593"/>
      <c r="V125" s="210">
        <f t="shared" ref="V125" si="351">IF(AND(F125&gt;=$G$8,H125&gt;=$I$8,L125&gt;=$M$8,P125&gt;=$Q$8,R125&gt;=$S$8,T125&gt;=$U$8),SUM(F125:U125),0)</f>
        <v>0</v>
      </c>
      <c r="W125" s="264"/>
      <c r="X125" s="97"/>
      <c r="Y125" s="597"/>
      <c r="Z125" s="91" t="str">
        <f t="shared" ref="Z125" si="352">LOOKUP(V125,$AL$6:$AM$10)</f>
        <v>ضعيف</v>
      </c>
      <c r="AA125" s="658"/>
      <c r="AB125" s="10"/>
      <c r="AC125" s="655"/>
      <c r="AN125" s="607"/>
      <c r="AO125" s="607"/>
      <c r="AP125" s="613"/>
      <c r="AQ125" s="612"/>
      <c r="AR125" s="611"/>
      <c r="AS125" s="612"/>
    </row>
    <row r="126" spans="1:45" ht="15" customHeight="1" thickBot="1" x14ac:dyDescent="0.3">
      <c r="A126" s="632">
        <v>27</v>
      </c>
      <c r="B126" s="629">
        <f>VLOOKUP(A126,مسلسل,2,0)</f>
        <v>0</v>
      </c>
      <c r="C126" s="621" t="str">
        <f>IFERROR(VLOOKUP(B126,اسماء,2,0),"")</f>
        <v/>
      </c>
      <c r="D126" s="624" t="str">
        <f>IFERROR(VLOOKUP($B126,اسماء,3,0),"")</f>
        <v/>
      </c>
      <c r="E126" s="132" t="s">
        <v>30</v>
      </c>
      <c r="F126" s="627">
        <f>IFERROR(VLOOKUP($B126,اسماء,5,0),0)</f>
        <v>0</v>
      </c>
      <c r="G126" s="606"/>
      <c r="H126" s="628">
        <f>IFERROR(VLOOKUP($B126,اسماء,6,0),0)</f>
        <v>0</v>
      </c>
      <c r="I126" s="605"/>
      <c r="J126" s="587">
        <f>IFERROR(VLOOKUP($B126,اسماء,7,0),0)</f>
        <v>0</v>
      </c>
      <c r="K126" s="591"/>
      <c r="L126" s="587">
        <f>IFERROR(VLOOKUP($B126,اسماء,8,0),0)</f>
        <v>0</v>
      </c>
      <c r="M126" s="588"/>
      <c r="N126" s="587">
        <f>IFERROR(VLOOKUP($B126,اسماء,9,0),0)</f>
        <v>0</v>
      </c>
      <c r="O126" s="605"/>
      <c r="P126" s="587">
        <f>IFERROR(VLOOKUP($B126,اسماء,10,0),0)</f>
        <v>0</v>
      </c>
      <c r="Q126" s="605"/>
      <c r="R126" s="606">
        <f>IFERROR(VLOOKUP($B126,اسماء,11,0),0)</f>
        <v>0</v>
      </c>
      <c r="S126" s="591"/>
      <c r="T126" s="587">
        <f>IFERROR(VLOOKUP($B126,اسماء,12,0),0)</f>
        <v>0</v>
      </c>
      <c r="U126" s="591"/>
      <c r="V126" s="263">
        <f t="shared" ref="V126:V128" si="353">SUM(F126:U126)</f>
        <v>0</v>
      </c>
      <c r="W126" s="373">
        <f>IFERROR(VLOOKUP($B126,اسماء,14,0),0)</f>
        <v>0</v>
      </c>
      <c r="X126" s="373">
        <f>IFERROR(VLOOKUP($B126,اسماء,15,0),0)</f>
        <v>0</v>
      </c>
      <c r="Y126" s="595" t="str">
        <f t="shared" ref="Y126" si="354">IF(AC126="غائب","راسب",IF(AND(F129&gt;=$G$8,H129&gt;=$I$8,J129&gt;=$K$8,L129&gt;=$M$8,N129&gt;=$O$8,P129&gt;=$Q$8,R129&gt;=$S$8,T129&gt;=$U$8),"ناجح","له دور ثان"))</f>
        <v>له دور ثان</v>
      </c>
      <c r="Z126" s="21" t="str">
        <f t="shared" ref="Z126:Z127" si="355">LOOKUP(V126,$AF$6:$AG$10)</f>
        <v>ضعيف</v>
      </c>
      <c r="AA126" s="656">
        <f t="shared" ref="AA126" si="356">V129/$AF$3</f>
        <v>0</v>
      </c>
      <c r="AB126" s="72"/>
      <c r="AC126" s="653" t="str">
        <f>IFERROR(VLOOKUP($B126,اسماء,54,0),"")</f>
        <v/>
      </c>
      <c r="AN126" s="607" t="str">
        <f t="shared" ref="AN126" si="357">IF(V129=0,"",V129/1+ROW()*0.00001)</f>
        <v/>
      </c>
      <c r="AO126" s="607">
        <f>B126</f>
        <v>0</v>
      </c>
      <c r="AP126" s="613"/>
      <c r="AQ126" s="612">
        <v>27</v>
      </c>
      <c r="AR126" s="611" t="str">
        <f>IFERROR(LARGE($AN$10:$AN$1006,AQ126),"")</f>
        <v/>
      </c>
      <c r="AS126" s="612" t="str">
        <f>VLOOKUP(AR126,$AN$10:$AO$1116,2,0)</f>
        <v>أحمد نورالدين أحمد الذيب</v>
      </c>
    </row>
    <row r="127" spans="1:45" ht="15" customHeight="1" thickBot="1" x14ac:dyDescent="0.3">
      <c r="A127" s="633"/>
      <c r="B127" s="630"/>
      <c r="C127" s="622"/>
      <c r="D127" s="625"/>
      <c r="E127" s="133" t="s">
        <v>31</v>
      </c>
      <c r="F127" s="589">
        <f>IFERROR(VLOOKUP($B126,اسماء,18,0),0)</f>
        <v>0</v>
      </c>
      <c r="G127" s="592"/>
      <c r="H127" s="608">
        <f>IFERROR(VLOOKUP($B126,اسماء,19,0),0)</f>
        <v>0</v>
      </c>
      <c r="I127" s="609"/>
      <c r="J127" s="589">
        <f>IFERROR(VLOOKUP($B126,اسماء,20,0),0)</f>
        <v>0</v>
      </c>
      <c r="K127" s="592"/>
      <c r="L127" s="589">
        <f>IFERROR(VLOOKUP($B126,اسماء,21,0),0)</f>
        <v>0</v>
      </c>
      <c r="M127" s="590"/>
      <c r="N127" s="589">
        <f>IFERROR(VLOOKUP($B126,اسماء,22,0),0)</f>
        <v>0</v>
      </c>
      <c r="O127" s="590"/>
      <c r="P127" s="589">
        <f>IFERROR(VLOOKUP($B126,اسماء,23,0),0)</f>
        <v>0</v>
      </c>
      <c r="Q127" s="609"/>
      <c r="R127" s="603">
        <f>IFERROR(VLOOKUP($B126,اسماء,24,0),0)</f>
        <v>0</v>
      </c>
      <c r="S127" s="592"/>
      <c r="T127" s="589">
        <f>IFERROR(VLOOKUP($B126,اسماء,25,0),0)</f>
        <v>0</v>
      </c>
      <c r="U127" s="592"/>
      <c r="V127" s="263">
        <f t="shared" si="353"/>
        <v>0</v>
      </c>
      <c r="W127" s="373">
        <f>IFERROR(VLOOKUP($B126,اسماء,27,0),0)</f>
        <v>0</v>
      </c>
      <c r="X127" s="373">
        <f>IFERROR(VLOOKUP($B126,اسماء,28,0),0)</f>
        <v>0</v>
      </c>
      <c r="Y127" s="596"/>
      <c r="Z127" s="22" t="str">
        <f t="shared" si="355"/>
        <v>ضعيف</v>
      </c>
      <c r="AA127" s="657"/>
      <c r="AB127" s="72"/>
      <c r="AC127" s="654"/>
      <c r="AN127" s="607"/>
      <c r="AO127" s="607"/>
      <c r="AP127" s="613"/>
      <c r="AQ127" s="612"/>
      <c r="AR127" s="611"/>
      <c r="AS127" s="612"/>
    </row>
    <row r="128" spans="1:45" ht="15" customHeight="1" x14ac:dyDescent="0.25">
      <c r="A128" s="633"/>
      <c r="B128" s="630"/>
      <c r="C128" s="622"/>
      <c r="D128" s="625"/>
      <c r="E128" s="133" t="s">
        <v>32</v>
      </c>
      <c r="F128" s="589">
        <f>IFERROR(VLOOKUP($B126,اسماء,31,0),0)</f>
        <v>0</v>
      </c>
      <c r="G128" s="592"/>
      <c r="H128" s="608">
        <f>IFERROR(VLOOKUP($B126,اسماء,32,0),0)</f>
        <v>0</v>
      </c>
      <c r="I128" s="609"/>
      <c r="J128" s="589">
        <f>IFERROR(VLOOKUP($B126,اسماء,33,0),0)</f>
        <v>0</v>
      </c>
      <c r="K128" s="592"/>
      <c r="L128" s="589">
        <f>IFERROR(VLOOKUP($B126,اسماء,34,0),0)</f>
        <v>0</v>
      </c>
      <c r="M128" s="590"/>
      <c r="N128" s="589">
        <f>IFERROR(VLOOKUP($B126,اسماء,35,0),0)</f>
        <v>0</v>
      </c>
      <c r="O128" s="590"/>
      <c r="P128" s="589">
        <f>IFERROR(VLOOKUP($B126,اسماء,36,0),0)</f>
        <v>0</v>
      </c>
      <c r="Q128" s="609"/>
      <c r="R128" s="603">
        <f>IFERROR(VLOOKUP($B126,اسماء,37,0),0)</f>
        <v>0</v>
      </c>
      <c r="S128" s="592"/>
      <c r="T128" s="589">
        <f>IFERROR(VLOOKUP($B126,اسماء,38,0),0)</f>
        <v>0</v>
      </c>
      <c r="U128" s="592"/>
      <c r="V128" s="263">
        <f t="shared" si="353"/>
        <v>0</v>
      </c>
      <c r="W128" s="373">
        <f>IFERROR(VLOOKUP($B126,اسماء,40,0),0)</f>
        <v>0</v>
      </c>
      <c r="X128" s="373">
        <f>IFERROR(VLOOKUP($B126,اسماء,41,0),0)</f>
        <v>0</v>
      </c>
      <c r="Y128" s="596"/>
      <c r="Z128" s="22" t="str">
        <f t="shared" ref="Z128" si="358">LOOKUP(V128,$AI$6:$AJ$10)</f>
        <v>ضعيف</v>
      </c>
      <c r="AA128" s="657"/>
      <c r="AB128" s="10"/>
      <c r="AC128" s="654"/>
      <c r="AN128" s="607"/>
      <c r="AO128" s="607"/>
      <c r="AP128" s="613"/>
      <c r="AQ128" s="612"/>
      <c r="AR128" s="611"/>
      <c r="AS128" s="612"/>
    </row>
    <row r="129" spans="1:45" ht="15" customHeight="1" thickBot="1" x14ac:dyDescent="0.3">
      <c r="A129" s="634"/>
      <c r="B129" s="631"/>
      <c r="C129" s="623"/>
      <c r="D129" s="626"/>
      <c r="E129" s="127" t="s">
        <v>33</v>
      </c>
      <c r="F129" s="585">
        <f t="shared" ref="F129" si="359">SUM(F126:G128)</f>
        <v>0</v>
      </c>
      <c r="G129" s="593"/>
      <c r="H129" s="604">
        <f t="shared" ref="H129" si="360">SUM(H126:I128)</f>
        <v>0</v>
      </c>
      <c r="I129" s="601"/>
      <c r="J129" s="585">
        <f t="shared" ref="J129" si="361">SUM(J126:K128)</f>
        <v>0</v>
      </c>
      <c r="K129" s="593"/>
      <c r="L129" s="585">
        <f t="shared" ref="L129" si="362">SUM(L126:M128)</f>
        <v>0</v>
      </c>
      <c r="M129" s="586"/>
      <c r="N129" s="585">
        <f t="shared" ref="N129" si="363">SUM(N126:O128)</f>
        <v>0</v>
      </c>
      <c r="O129" s="586"/>
      <c r="P129" s="585">
        <f t="shared" ref="P129" si="364">SUM(P126:Q128)</f>
        <v>0</v>
      </c>
      <c r="Q129" s="601"/>
      <c r="R129" s="602">
        <f t="shared" ref="R129" si="365">SUM(R126:S128)</f>
        <v>0</v>
      </c>
      <c r="S129" s="593"/>
      <c r="T129" s="585">
        <f t="shared" ref="T129" si="366">SUM(T126:U128)</f>
        <v>0</v>
      </c>
      <c r="U129" s="593"/>
      <c r="V129" s="210">
        <f t="shared" ref="V129" si="367">IF(AND(F129&gt;=$G$8,H129&gt;=$I$8,L129&gt;=$M$8,P129&gt;=$Q$8,R129&gt;=$S$8,T129&gt;=$U$8),SUM(F129:U129),0)</f>
        <v>0</v>
      </c>
      <c r="W129" s="264"/>
      <c r="X129" s="97"/>
      <c r="Y129" s="597"/>
      <c r="Z129" s="91" t="str">
        <f t="shared" ref="Z129" si="368">LOOKUP(V129,$AL$6:$AM$10)</f>
        <v>ضعيف</v>
      </c>
      <c r="AA129" s="658"/>
      <c r="AB129" s="72"/>
      <c r="AC129" s="655"/>
      <c r="AN129" s="607"/>
      <c r="AO129" s="607"/>
      <c r="AP129" s="613"/>
      <c r="AQ129" s="612"/>
      <c r="AR129" s="611"/>
      <c r="AS129" s="612"/>
    </row>
    <row r="130" spans="1:45" ht="15" customHeight="1" thickBot="1" x14ac:dyDescent="0.3">
      <c r="A130" s="632">
        <v>28</v>
      </c>
      <c r="B130" s="629">
        <f>VLOOKUP(A130,مسلسل,2,0)</f>
        <v>0</v>
      </c>
      <c r="C130" s="621" t="str">
        <f>IFERROR(VLOOKUP(B130,اسماء,2,0),"")</f>
        <v/>
      </c>
      <c r="D130" s="624" t="str">
        <f>IFERROR(VLOOKUP($B130,اسماء,3,0),"")</f>
        <v/>
      </c>
      <c r="E130" s="132" t="s">
        <v>30</v>
      </c>
      <c r="F130" s="627">
        <f>IFERROR(VLOOKUP($B130,اسماء,5,0),0)</f>
        <v>0</v>
      </c>
      <c r="G130" s="606"/>
      <c r="H130" s="628">
        <f>IFERROR(VLOOKUP($B130,اسماء,6,0),0)</f>
        <v>0</v>
      </c>
      <c r="I130" s="605"/>
      <c r="J130" s="587">
        <f>IFERROR(VLOOKUP($B130,اسماء,7,0),0)</f>
        <v>0</v>
      </c>
      <c r="K130" s="591"/>
      <c r="L130" s="587">
        <f>IFERROR(VLOOKUP($B130,اسماء,8,0),0)</f>
        <v>0</v>
      </c>
      <c r="M130" s="588"/>
      <c r="N130" s="587">
        <f>IFERROR(VLOOKUP($B130,اسماء,9,0),0)</f>
        <v>0</v>
      </c>
      <c r="O130" s="605"/>
      <c r="P130" s="587">
        <f>IFERROR(VLOOKUP($B130,اسماء,10,0),0)</f>
        <v>0</v>
      </c>
      <c r="Q130" s="605"/>
      <c r="R130" s="606">
        <f>IFERROR(VLOOKUP($B130,اسماء,11,0),0)</f>
        <v>0</v>
      </c>
      <c r="S130" s="591"/>
      <c r="T130" s="587">
        <f>IFERROR(VLOOKUP($B130,اسماء,12,0),0)</f>
        <v>0</v>
      </c>
      <c r="U130" s="591"/>
      <c r="V130" s="263">
        <f t="shared" ref="V130:V132" si="369">SUM(F130:U130)</f>
        <v>0</v>
      </c>
      <c r="W130" s="373">
        <f>IFERROR(VLOOKUP($B130,اسماء,14,0),0)</f>
        <v>0</v>
      </c>
      <c r="X130" s="373">
        <f>IFERROR(VLOOKUP($B130,اسماء,15,0),0)</f>
        <v>0</v>
      </c>
      <c r="Y130" s="595" t="str">
        <f t="shared" ref="Y130" si="370">IF(AC130="غائب","راسب",IF(AND(F133&gt;=$G$8,H133&gt;=$I$8,J133&gt;=$K$8,L133&gt;=$M$8,N133&gt;=$O$8,P133&gt;=$Q$8,R133&gt;=$S$8,T133&gt;=$U$8),"ناجح","له دور ثان"))</f>
        <v>له دور ثان</v>
      </c>
      <c r="Z130" s="21" t="str">
        <f t="shared" ref="Z130:Z131" si="371">LOOKUP(V130,$AF$6:$AG$10)</f>
        <v>ضعيف</v>
      </c>
      <c r="AA130" s="656">
        <f t="shared" ref="AA130" si="372">V133/$AF$3</f>
        <v>0</v>
      </c>
      <c r="AB130" s="72"/>
      <c r="AC130" s="653" t="str">
        <f>IFERROR(VLOOKUP($B130,اسماء,54,0),"")</f>
        <v/>
      </c>
      <c r="AN130" s="607" t="str">
        <f t="shared" ref="AN130" si="373">IF(V133=0,"",V133/1+ROW()*0.00001)</f>
        <v/>
      </c>
      <c r="AO130" s="607">
        <f>B130</f>
        <v>0</v>
      </c>
      <c r="AP130" s="613"/>
      <c r="AQ130" s="612">
        <v>28</v>
      </c>
      <c r="AR130" s="611" t="str">
        <f>IFERROR(LARGE($AN$10:$AN$1006,AQ130),"")</f>
        <v/>
      </c>
      <c r="AS130" s="612" t="str">
        <f>VLOOKUP(AR130,$AN$10:$AO$1116,2,0)</f>
        <v>أحمد نورالدين أحمد الذيب</v>
      </c>
    </row>
    <row r="131" spans="1:45" ht="15" customHeight="1" thickBot="1" x14ac:dyDescent="0.3">
      <c r="A131" s="633"/>
      <c r="B131" s="630"/>
      <c r="C131" s="622"/>
      <c r="D131" s="625"/>
      <c r="E131" s="133" t="s">
        <v>31</v>
      </c>
      <c r="F131" s="589">
        <f>IFERROR(VLOOKUP($B130,اسماء,18,0),0)</f>
        <v>0</v>
      </c>
      <c r="G131" s="592"/>
      <c r="H131" s="608">
        <f>IFERROR(VLOOKUP($B130,اسماء,19,0),0)</f>
        <v>0</v>
      </c>
      <c r="I131" s="609"/>
      <c r="J131" s="589">
        <f>IFERROR(VLOOKUP($B130,اسماء,20,0),0)</f>
        <v>0</v>
      </c>
      <c r="K131" s="592"/>
      <c r="L131" s="589">
        <f>IFERROR(VLOOKUP($B130,اسماء,21,0),0)</f>
        <v>0</v>
      </c>
      <c r="M131" s="590"/>
      <c r="N131" s="589">
        <f>IFERROR(VLOOKUP($B130,اسماء,22,0),0)</f>
        <v>0</v>
      </c>
      <c r="O131" s="590"/>
      <c r="P131" s="589">
        <f>IFERROR(VLOOKUP($B130,اسماء,23,0),0)</f>
        <v>0</v>
      </c>
      <c r="Q131" s="609"/>
      <c r="R131" s="603">
        <f>IFERROR(VLOOKUP($B130,اسماء,24,0),0)</f>
        <v>0</v>
      </c>
      <c r="S131" s="592"/>
      <c r="T131" s="589">
        <f>IFERROR(VLOOKUP($B130,اسماء,25,0),0)</f>
        <v>0</v>
      </c>
      <c r="U131" s="592"/>
      <c r="V131" s="263">
        <f t="shared" si="369"/>
        <v>0</v>
      </c>
      <c r="W131" s="373">
        <f>IFERROR(VLOOKUP($B130,اسماء,27,0),0)</f>
        <v>0</v>
      </c>
      <c r="X131" s="373">
        <f>IFERROR(VLOOKUP($B130,اسماء,28,0),0)</f>
        <v>0</v>
      </c>
      <c r="Y131" s="596"/>
      <c r="Z131" s="22" t="str">
        <f t="shared" si="371"/>
        <v>ضعيف</v>
      </c>
      <c r="AA131" s="657"/>
      <c r="AB131" s="10"/>
      <c r="AC131" s="654"/>
      <c r="AN131" s="607"/>
      <c r="AO131" s="607"/>
      <c r="AP131" s="613"/>
      <c r="AQ131" s="612"/>
      <c r="AR131" s="611"/>
      <c r="AS131" s="612"/>
    </row>
    <row r="132" spans="1:45" ht="15" customHeight="1" x14ac:dyDescent="0.25">
      <c r="A132" s="633"/>
      <c r="B132" s="630"/>
      <c r="C132" s="622"/>
      <c r="D132" s="625"/>
      <c r="E132" s="133" t="s">
        <v>32</v>
      </c>
      <c r="F132" s="589">
        <f>IFERROR(VLOOKUP($B130,اسماء,31,0),0)</f>
        <v>0</v>
      </c>
      <c r="G132" s="592"/>
      <c r="H132" s="608">
        <f>IFERROR(VLOOKUP($B130,اسماء,32,0),0)</f>
        <v>0</v>
      </c>
      <c r="I132" s="609"/>
      <c r="J132" s="589">
        <f>IFERROR(VLOOKUP($B130,اسماء,33,0),0)</f>
        <v>0</v>
      </c>
      <c r="K132" s="592"/>
      <c r="L132" s="589">
        <f>IFERROR(VLOOKUP($B130,اسماء,34,0),0)</f>
        <v>0</v>
      </c>
      <c r="M132" s="590"/>
      <c r="N132" s="589">
        <f>IFERROR(VLOOKUP($B130,اسماء,35,0),0)</f>
        <v>0</v>
      </c>
      <c r="O132" s="590"/>
      <c r="P132" s="589">
        <f>IFERROR(VLOOKUP($B130,اسماء,36,0),0)</f>
        <v>0</v>
      </c>
      <c r="Q132" s="609"/>
      <c r="R132" s="603">
        <f>IFERROR(VLOOKUP($B130,اسماء,37,0),0)</f>
        <v>0</v>
      </c>
      <c r="S132" s="592"/>
      <c r="T132" s="589">
        <f>IFERROR(VLOOKUP($B130,اسماء,38,0),0)</f>
        <v>0</v>
      </c>
      <c r="U132" s="592"/>
      <c r="V132" s="263">
        <f t="shared" si="369"/>
        <v>0</v>
      </c>
      <c r="W132" s="373">
        <f>IFERROR(VLOOKUP($B130,اسماء,40,0),0)</f>
        <v>0</v>
      </c>
      <c r="X132" s="373">
        <f>IFERROR(VLOOKUP($B130,اسماء,41,0),0)</f>
        <v>0</v>
      </c>
      <c r="Y132" s="596"/>
      <c r="Z132" s="22" t="str">
        <f t="shared" ref="Z132" si="374">LOOKUP(V132,$AI$6:$AJ$10)</f>
        <v>ضعيف</v>
      </c>
      <c r="AA132" s="657"/>
      <c r="AB132" s="72"/>
      <c r="AC132" s="654"/>
      <c r="AN132" s="607"/>
      <c r="AO132" s="607"/>
      <c r="AP132" s="613"/>
      <c r="AQ132" s="612"/>
      <c r="AR132" s="611"/>
      <c r="AS132" s="612"/>
    </row>
    <row r="133" spans="1:45" ht="15" customHeight="1" thickBot="1" x14ac:dyDescent="0.3">
      <c r="A133" s="634"/>
      <c r="B133" s="631"/>
      <c r="C133" s="623"/>
      <c r="D133" s="626"/>
      <c r="E133" s="127" t="s">
        <v>33</v>
      </c>
      <c r="F133" s="585">
        <f t="shared" ref="F133" si="375">SUM(F130:G132)</f>
        <v>0</v>
      </c>
      <c r="G133" s="593"/>
      <c r="H133" s="604">
        <f t="shared" ref="H133" si="376">SUM(H130:I132)</f>
        <v>0</v>
      </c>
      <c r="I133" s="601"/>
      <c r="J133" s="585">
        <f t="shared" ref="J133" si="377">SUM(J130:K132)</f>
        <v>0</v>
      </c>
      <c r="K133" s="593"/>
      <c r="L133" s="585">
        <f t="shared" ref="L133" si="378">SUM(L130:M132)</f>
        <v>0</v>
      </c>
      <c r="M133" s="586"/>
      <c r="N133" s="585">
        <f t="shared" ref="N133" si="379">SUM(N130:O132)</f>
        <v>0</v>
      </c>
      <c r="O133" s="586"/>
      <c r="P133" s="585">
        <f t="shared" ref="P133" si="380">SUM(P130:Q132)</f>
        <v>0</v>
      </c>
      <c r="Q133" s="601"/>
      <c r="R133" s="602">
        <f t="shared" ref="R133" si="381">SUM(R130:S132)</f>
        <v>0</v>
      </c>
      <c r="S133" s="593"/>
      <c r="T133" s="585">
        <f t="shared" ref="T133" si="382">SUM(T130:U132)</f>
        <v>0</v>
      </c>
      <c r="U133" s="593"/>
      <c r="V133" s="210">
        <f t="shared" ref="V133" si="383">IF(AND(F133&gt;=$G$8,H133&gt;=$I$8,L133&gt;=$M$8,P133&gt;=$Q$8,R133&gt;=$S$8,T133&gt;=$U$8),SUM(F133:U133),0)</f>
        <v>0</v>
      </c>
      <c r="W133" s="264"/>
      <c r="X133" s="97"/>
      <c r="Y133" s="597"/>
      <c r="Z133" s="91" t="str">
        <f t="shared" ref="Z133" si="384">LOOKUP(V133,$AL$6:$AM$10)</f>
        <v>ضعيف</v>
      </c>
      <c r="AA133" s="658"/>
      <c r="AB133" s="72"/>
      <c r="AC133" s="655"/>
      <c r="AN133" s="607"/>
      <c r="AO133" s="607"/>
      <c r="AP133" s="613"/>
      <c r="AQ133" s="612"/>
      <c r="AR133" s="611"/>
      <c r="AS133" s="612"/>
    </row>
    <row r="134" spans="1:45" ht="15" customHeight="1" thickBot="1" x14ac:dyDescent="0.3">
      <c r="A134" s="632">
        <v>29</v>
      </c>
      <c r="B134" s="629">
        <f>VLOOKUP(A134,مسلسل,2,0)</f>
        <v>0</v>
      </c>
      <c r="C134" s="621" t="str">
        <f>IFERROR(VLOOKUP(B134,اسماء,2,0),"")</f>
        <v/>
      </c>
      <c r="D134" s="624" t="str">
        <f>IFERROR(VLOOKUP($B134,اسماء,3,0),"")</f>
        <v/>
      </c>
      <c r="E134" s="132" t="s">
        <v>30</v>
      </c>
      <c r="F134" s="627">
        <f>IFERROR(VLOOKUP($B134,اسماء,5,0),0)</f>
        <v>0</v>
      </c>
      <c r="G134" s="606"/>
      <c r="H134" s="628">
        <f>IFERROR(VLOOKUP($B134,اسماء,6,0),0)</f>
        <v>0</v>
      </c>
      <c r="I134" s="605"/>
      <c r="J134" s="587">
        <f>IFERROR(VLOOKUP($B134,اسماء,7,0),0)</f>
        <v>0</v>
      </c>
      <c r="K134" s="591"/>
      <c r="L134" s="587">
        <f>IFERROR(VLOOKUP($B134,اسماء,8,0),0)</f>
        <v>0</v>
      </c>
      <c r="M134" s="588"/>
      <c r="N134" s="587">
        <f>IFERROR(VLOOKUP($B134,اسماء,9,0),0)</f>
        <v>0</v>
      </c>
      <c r="O134" s="605"/>
      <c r="P134" s="587">
        <f>IFERROR(VLOOKUP($B134,اسماء,10,0),0)</f>
        <v>0</v>
      </c>
      <c r="Q134" s="605"/>
      <c r="R134" s="606">
        <f>IFERROR(VLOOKUP($B134,اسماء,11,0),0)</f>
        <v>0</v>
      </c>
      <c r="S134" s="591"/>
      <c r="T134" s="587">
        <f>IFERROR(VLOOKUP($B134,اسماء,12,0),0)</f>
        <v>0</v>
      </c>
      <c r="U134" s="591"/>
      <c r="V134" s="263">
        <f t="shared" ref="V134:V136" si="385">SUM(F134:U134)</f>
        <v>0</v>
      </c>
      <c r="W134" s="373">
        <f>IFERROR(VLOOKUP($B134,اسماء,14,0),0)</f>
        <v>0</v>
      </c>
      <c r="X134" s="373">
        <f>IFERROR(VLOOKUP($B134,اسماء,15,0),0)</f>
        <v>0</v>
      </c>
      <c r="Y134" s="595" t="str">
        <f t="shared" ref="Y134" si="386">IF(AC134="غائب","راسب",IF(AND(F137&gt;=$G$8,H137&gt;=$I$8,J137&gt;=$K$8,L137&gt;=$M$8,N137&gt;=$O$8,P137&gt;=$Q$8,R137&gt;=$S$8,T137&gt;=$U$8),"ناجح","له دور ثان"))</f>
        <v>له دور ثان</v>
      </c>
      <c r="Z134" s="21" t="str">
        <f t="shared" ref="Z134:Z135" si="387">LOOKUP(V134,$AF$6:$AG$10)</f>
        <v>ضعيف</v>
      </c>
      <c r="AA134" s="656">
        <f t="shared" ref="AA134" si="388">V137/$AF$3</f>
        <v>0</v>
      </c>
      <c r="AB134" s="10"/>
      <c r="AC134" s="653" t="str">
        <f>IFERROR(VLOOKUP($B134,اسماء,54,0),"")</f>
        <v/>
      </c>
      <c r="AN134" s="607" t="str">
        <f t="shared" ref="AN134" si="389">IF(V137=0,"",V137/1+ROW()*0.00001)</f>
        <v/>
      </c>
      <c r="AO134" s="607">
        <f>B134</f>
        <v>0</v>
      </c>
      <c r="AP134" s="613"/>
      <c r="AQ134" s="612">
        <v>29</v>
      </c>
      <c r="AR134" s="611" t="str">
        <f>IFERROR(LARGE($AN$10:$AN$1006,AQ134),"")</f>
        <v/>
      </c>
      <c r="AS134" s="612" t="str">
        <f>VLOOKUP(AR134,$AN$10:$AO$1116,2,0)</f>
        <v>أحمد نورالدين أحمد الذيب</v>
      </c>
    </row>
    <row r="135" spans="1:45" ht="15" customHeight="1" thickBot="1" x14ac:dyDescent="0.3">
      <c r="A135" s="633"/>
      <c r="B135" s="630"/>
      <c r="C135" s="622"/>
      <c r="D135" s="625"/>
      <c r="E135" s="133" t="s">
        <v>31</v>
      </c>
      <c r="F135" s="589">
        <f>IFERROR(VLOOKUP($B134,اسماء,18,0),0)</f>
        <v>0</v>
      </c>
      <c r="G135" s="592"/>
      <c r="H135" s="608">
        <f>IFERROR(VLOOKUP($B134,اسماء,19,0),0)</f>
        <v>0</v>
      </c>
      <c r="I135" s="609"/>
      <c r="J135" s="589">
        <f>IFERROR(VLOOKUP($B134,اسماء,20,0),0)</f>
        <v>0</v>
      </c>
      <c r="K135" s="592"/>
      <c r="L135" s="589">
        <f>IFERROR(VLOOKUP($B134,اسماء,21,0),0)</f>
        <v>0</v>
      </c>
      <c r="M135" s="590"/>
      <c r="N135" s="589">
        <f>IFERROR(VLOOKUP($B134,اسماء,22,0),0)</f>
        <v>0</v>
      </c>
      <c r="O135" s="590"/>
      <c r="P135" s="589">
        <f>IFERROR(VLOOKUP($B134,اسماء,23,0),0)</f>
        <v>0</v>
      </c>
      <c r="Q135" s="609"/>
      <c r="R135" s="603">
        <f>IFERROR(VLOOKUP($B134,اسماء,24,0),0)</f>
        <v>0</v>
      </c>
      <c r="S135" s="592"/>
      <c r="T135" s="589">
        <f>IFERROR(VLOOKUP($B134,اسماء,25,0),0)</f>
        <v>0</v>
      </c>
      <c r="U135" s="592"/>
      <c r="V135" s="263">
        <f t="shared" si="385"/>
        <v>0</v>
      </c>
      <c r="W135" s="373">
        <f>IFERROR(VLOOKUP($B134,اسماء,27,0),0)</f>
        <v>0</v>
      </c>
      <c r="X135" s="373">
        <f>IFERROR(VLOOKUP($B134,اسماء,28,0),0)</f>
        <v>0</v>
      </c>
      <c r="Y135" s="596"/>
      <c r="Z135" s="22" t="str">
        <f t="shared" si="387"/>
        <v>ضعيف</v>
      </c>
      <c r="AA135" s="657"/>
      <c r="AB135" s="72"/>
      <c r="AC135" s="654"/>
      <c r="AN135" s="607"/>
      <c r="AO135" s="607"/>
      <c r="AP135" s="613"/>
      <c r="AQ135" s="612"/>
      <c r="AR135" s="611"/>
      <c r="AS135" s="612"/>
    </row>
    <row r="136" spans="1:45" ht="15" customHeight="1" x14ac:dyDescent="0.25">
      <c r="A136" s="633"/>
      <c r="B136" s="630"/>
      <c r="C136" s="622"/>
      <c r="D136" s="625"/>
      <c r="E136" s="133" t="s">
        <v>32</v>
      </c>
      <c r="F136" s="589">
        <f>IFERROR(VLOOKUP($B134,اسماء,31,0),0)</f>
        <v>0</v>
      </c>
      <c r="G136" s="592"/>
      <c r="H136" s="608">
        <f>IFERROR(VLOOKUP($B134,اسماء,32,0),0)</f>
        <v>0</v>
      </c>
      <c r="I136" s="609"/>
      <c r="J136" s="589">
        <f>IFERROR(VLOOKUP($B134,اسماء,33,0),0)</f>
        <v>0</v>
      </c>
      <c r="K136" s="592"/>
      <c r="L136" s="589">
        <f>IFERROR(VLOOKUP($B134,اسماء,34,0),0)</f>
        <v>0</v>
      </c>
      <c r="M136" s="590"/>
      <c r="N136" s="589">
        <f>IFERROR(VLOOKUP($B134,اسماء,35,0),0)</f>
        <v>0</v>
      </c>
      <c r="O136" s="590"/>
      <c r="P136" s="589">
        <f>IFERROR(VLOOKUP($B134,اسماء,36,0),0)</f>
        <v>0</v>
      </c>
      <c r="Q136" s="609"/>
      <c r="R136" s="603">
        <f>IFERROR(VLOOKUP($B134,اسماء,37,0),0)</f>
        <v>0</v>
      </c>
      <c r="S136" s="592"/>
      <c r="T136" s="589">
        <f>IFERROR(VLOOKUP($B134,اسماء,38,0),0)</f>
        <v>0</v>
      </c>
      <c r="U136" s="592"/>
      <c r="V136" s="263">
        <f t="shared" si="385"/>
        <v>0</v>
      </c>
      <c r="W136" s="373">
        <f>IFERROR(VLOOKUP($B134,اسماء,40,0),0)</f>
        <v>0</v>
      </c>
      <c r="X136" s="373">
        <f>IFERROR(VLOOKUP($B134,اسماء,41,0),0)</f>
        <v>0</v>
      </c>
      <c r="Y136" s="596"/>
      <c r="Z136" s="22" t="str">
        <f t="shared" ref="Z136" si="390">LOOKUP(V136,$AI$6:$AJ$10)</f>
        <v>ضعيف</v>
      </c>
      <c r="AA136" s="657"/>
      <c r="AB136" s="72"/>
      <c r="AC136" s="654"/>
      <c r="AN136" s="607"/>
      <c r="AO136" s="607"/>
      <c r="AP136" s="613"/>
      <c r="AQ136" s="612"/>
      <c r="AR136" s="611"/>
      <c r="AS136" s="612"/>
    </row>
    <row r="137" spans="1:45" ht="15" customHeight="1" thickBot="1" x14ac:dyDescent="0.3">
      <c r="A137" s="634"/>
      <c r="B137" s="631"/>
      <c r="C137" s="623"/>
      <c r="D137" s="626"/>
      <c r="E137" s="127" t="s">
        <v>33</v>
      </c>
      <c r="F137" s="585">
        <f t="shared" ref="F137" si="391">SUM(F134:G136)</f>
        <v>0</v>
      </c>
      <c r="G137" s="593"/>
      <c r="H137" s="604">
        <f t="shared" ref="H137" si="392">SUM(H134:I136)</f>
        <v>0</v>
      </c>
      <c r="I137" s="601"/>
      <c r="J137" s="585">
        <f t="shared" ref="J137" si="393">SUM(J134:K136)</f>
        <v>0</v>
      </c>
      <c r="K137" s="593"/>
      <c r="L137" s="585">
        <f t="shared" ref="L137" si="394">SUM(L134:M136)</f>
        <v>0</v>
      </c>
      <c r="M137" s="586"/>
      <c r="N137" s="585">
        <f t="shared" ref="N137" si="395">SUM(N134:O136)</f>
        <v>0</v>
      </c>
      <c r="O137" s="586"/>
      <c r="P137" s="585">
        <f t="shared" ref="P137" si="396">SUM(P134:Q136)</f>
        <v>0</v>
      </c>
      <c r="Q137" s="601"/>
      <c r="R137" s="602">
        <f t="shared" ref="R137" si="397">SUM(R134:S136)</f>
        <v>0</v>
      </c>
      <c r="S137" s="593"/>
      <c r="T137" s="585">
        <f t="shared" ref="T137" si="398">SUM(T134:U136)</f>
        <v>0</v>
      </c>
      <c r="U137" s="593"/>
      <c r="V137" s="210">
        <f t="shared" ref="V137" si="399">IF(AND(F137&gt;=$G$8,H137&gt;=$I$8,L137&gt;=$M$8,P137&gt;=$Q$8,R137&gt;=$S$8,T137&gt;=$U$8),SUM(F137:U137),0)</f>
        <v>0</v>
      </c>
      <c r="W137" s="264"/>
      <c r="X137" s="97"/>
      <c r="Y137" s="597"/>
      <c r="Z137" s="91" t="str">
        <f t="shared" ref="Z137" si="400">LOOKUP(V137,$AL$6:$AM$10)</f>
        <v>ضعيف</v>
      </c>
      <c r="AA137" s="658"/>
      <c r="AB137" s="10"/>
      <c r="AC137" s="655"/>
      <c r="AN137" s="607"/>
      <c r="AO137" s="607"/>
      <c r="AP137" s="613"/>
      <c r="AQ137" s="612"/>
      <c r="AR137" s="611"/>
      <c r="AS137" s="612"/>
    </row>
    <row r="138" spans="1:45" ht="15" customHeight="1" thickBot="1" x14ac:dyDescent="0.3">
      <c r="A138" s="632">
        <v>30</v>
      </c>
      <c r="B138" s="629">
        <f>VLOOKUP(A138,مسلسل,2,0)</f>
        <v>0</v>
      </c>
      <c r="C138" s="621" t="str">
        <f>IFERROR(VLOOKUP(B138,اسماء,2,0),"")</f>
        <v/>
      </c>
      <c r="D138" s="624" t="str">
        <f>IFERROR(VLOOKUP($B138,اسماء,3,0),"")</f>
        <v/>
      </c>
      <c r="E138" s="132" t="s">
        <v>30</v>
      </c>
      <c r="F138" s="627">
        <f>IFERROR(VLOOKUP($B138,اسماء,5,0),0)</f>
        <v>0</v>
      </c>
      <c r="G138" s="606"/>
      <c r="H138" s="628">
        <f>IFERROR(VLOOKUP($B138,اسماء,6,0),0)</f>
        <v>0</v>
      </c>
      <c r="I138" s="605"/>
      <c r="J138" s="587">
        <f>IFERROR(VLOOKUP($B138,اسماء,7,0),0)</f>
        <v>0</v>
      </c>
      <c r="K138" s="591"/>
      <c r="L138" s="587">
        <f>IFERROR(VLOOKUP($B138,اسماء,8,0),0)</f>
        <v>0</v>
      </c>
      <c r="M138" s="588"/>
      <c r="N138" s="587">
        <f>IFERROR(VLOOKUP($B138,اسماء,9,0),0)</f>
        <v>0</v>
      </c>
      <c r="O138" s="605"/>
      <c r="P138" s="587">
        <f>IFERROR(VLOOKUP($B138,اسماء,10,0),0)</f>
        <v>0</v>
      </c>
      <c r="Q138" s="605"/>
      <c r="R138" s="606">
        <f>IFERROR(VLOOKUP($B138,اسماء,11,0),0)</f>
        <v>0</v>
      </c>
      <c r="S138" s="591"/>
      <c r="T138" s="587">
        <f>IFERROR(VLOOKUP($B138,اسماء,12,0),0)</f>
        <v>0</v>
      </c>
      <c r="U138" s="591"/>
      <c r="V138" s="263">
        <f t="shared" ref="V138:V140" si="401">SUM(F138:U138)</f>
        <v>0</v>
      </c>
      <c r="W138" s="373">
        <f>IFERROR(VLOOKUP($B138,اسماء,14,0),0)</f>
        <v>0</v>
      </c>
      <c r="X138" s="373">
        <f>IFERROR(VLOOKUP($B138,اسماء,15,0),0)</f>
        <v>0</v>
      </c>
      <c r="Y138" s="595" t="str">
        <f t="shared" ref="Y138" si="402">IF(AC138="غائب","راسب",IF(AND(F141&gt;=$G$8,H141&gt;=$I$8,J141&gt;=$K$8,L141&gt;=$M$8,N141&gt;=$O$8,P141&gt;=$Q$8,R141&gt;=$S$8,T141&gt;=$U$8),"ناجح","له دور ثان"))</f>
        <v>له دور ثان</v>
      </c>
      <c r="Z138" s="21" t="str">
        <f t="shared" ref="Z138:Z139" si="403">LOOKUP(V138,$AF$6:$AG$10)</f>
        <v>ضعيف</v>
      </c>
      <c r="AA138" s="656">
        <f t="shared" ref="AA138" si="404">V141/$AF$3</f>
        <v>0</v>
      </c>
      <c r="AB138" s="72"/>
      <c r="AC138" s="653" t="str">
        <f>IFERROR(VLOOKUP($B138,اسماء,54,0),"")</f>
        <v/>
      </c>
      <c r="AN138" s="607" t="str">
        <f t="shared" ref="AN138" si="405">IF(V141=0,"",V141/1+ROW()*0.00001)</f>
        <v/>
      </c>
      <c r="AO138" s="607">
        <f>B138</f>
        <v>0</v>
      </c>
      <c r="AP138" s="613"/>
      <c r="AQ138" s="612">
        <v>30</v>
      </c>
      <c r="AR138" s="611" t="str">
        <f>IFERROR(LARGE($AN$10:$AN$1006,AQ138),"")</f>
        <v/>
      </c>
      <c r="AS138" s="612" t="str">
        <f>VLOOKUP(AR138,$AN$10:$AO$1116,2,0)</f>
        <v>أحمد نورالدين أحمد الذيب</v>
      </c>
    </row>
    <row r="139" spans="1:45" ht="15" customHeight="1" thickBot="1" x14ac:dyDescent="0.3">
      <c r="A139" s="633"/>
      <c r="B139" s="630"/>
      <c r="C139" s="622"/>
      <c r="D139" s="625"/>
      <c r="E139" s="133" t="s">
        <v>31</v>
      </c>
      <c r="F139" s="589">
        <f>IFERROR(VLOOKUP($B138,اسماء,18,0),0)</f>
        <v>0</v>
      </c>
      <c r="G139" s="592"/>
      <c r="H139" s="608">
        <f>IFERROR(VLOOKUP($B138,اسماء,19,0),0)</f>
        <v>0</v>
      </c>
      <c r="I139" s="609"/>
      <c r="J139" s="589">
        <f>IFERROR(VLOOKUP($B138,اسماء,20,0),0)</f>
        <v>0</v>
      </c>
      <c r="K139" s="592"/>
      <c r="L139" s="589">
        <f>IFERROR(VLOOKUP($B138,اسماء,21,0),0)</f>
        <v>0</v>
      </c>
      <c r="M139" s="590"/>
      <c r="N139" s="589">
        <f>IFERROR(VLOOKUP($B138,اسماء,22,0),0)</f>
        <v>0</v>
      </c>
      <c r="O139" s="590"/>
      <c r="P139" s="589">
        <f>IFERROR(VLOOKUP($B138,اسماء,23,0),0)</f>
        <v>0</v>
      </c>
      <c r="Q139" s="609"/>
      <c r="R139" s="603">
        <f>IFERROR(VLOOKUP($B138,اسماء,24,0),0)</f>
        <v>0</v>
      </c>
      <c r="S139" s="592"/>
      <c r="T139" s="589">
        <f>IFERROR(VLOOKUP($B138,اسماء,25,0),0)</f>
        <v>0</v>
      </c>
      <c r="U139" s="592"/>
      <c r="V139" s="263">
        <f t="shared" si="401"/>
        <v>0</v>
      </c>
      <c r="W139" s="373">
        <f>IFERROR(VLOOKUP($B138,اسماء,27,0),0)</f>
        <v>0</v>
      </c>
      <c r="X139" s="373">
        <f>IFERROR(VLOOKUP($B138,اسماء,28,0),0)</f>
        <v>0</v>
      </c>
      <c r="Y139" s="596"/>
      <c r="Z139" s="22" t="str">
        <f t="shared" si="403"/>
        <v>ضعيف</v>
      </c>
      <c r="AA139" s="657"/>
      <c r="AB139" s="72"/>
      <c r="AC139" s="654"/>
      <c r="AN139" s="607"/>
      <c r="AO139" s="607"/>
      <c r="AP139" s="613"/>
      <c r="AQ139" s="612"/>
      <c r="AR139" s="611"/>
      <c r="AS139" s="612"/>
    </row>
    <row r="140" spans="1:45" ht="15" customHeight="1" x14ac:dyDescent="0.25">
      <c r="A140" s="633"/>
      <c r="B140" s="630"/>
      <c r="C140" s="622"/>
      <c r="D140" s="625"/>
      <c r="E140" s="133" t="s">
        <v>32</v>
      </c>
      <c r="F140" s="589">
        <f>IFERROR(VLOOKUP($B138,اسماء,31,0),0)</f>
        <v>0</v>
      </c>
      <c r="G140" s="592"/>
      <c r="H140" s="608">
        <f>IFERROR(VLOOKUP($B138,اسماء,32,0),0)</f>
        <v>0</v>
      </c>
      <c r="I140" s="609"/>
      <c r="J140" s="589">
        <f>IFERROR(VLOOKUP($B138,اسماء,33,0),0)</f>
        <v>0</v>
      </c>
      <c r="K140" s="592"/>
      <c r="L140" s="589">
        <f>IFERROR(VLOOKUP($B138,اسماء,34,0),0)</f>
        <v>0</v>
      </c>
      <c r="M140" s="590"/>
      <c r="N140" s="589">
        <f>IFERROR(VLOOKUP($B138,اسماء,35,0),0)</f>
        <v>0</v>
      </c>
      <c r="O140" s="590"/>
      <c r="P140" s="589">
        <f>IFERROR(VLOOKUP($B138,اسماء,36,0),0)</f>
        <v>0</v>
      </c>
      <c r="Q140" s="609"/>
      <c r="R140" s="603">
        <f>IFERROR(VLOOKUP($B138,اسماء,37,0),0)</f>
        <v>0</v>
      </c>
      <c r="S140" s="592"/>
      <c r="T140" s="589">
        <f>IFERROR(VLOOKUP($B138,اسماء,38,0),0)</f>
        <v>0</v>
      </c>
      <c r="U140" s="592"/>
      <c r="V140" s="263">
        <f t="shared" si="401"/>
        <v>0</v>
      </c>
      <c r="W140" s="373">
        <f>IFERROR(VLOOKUP($B138,اسماء,40,0),0)</f>
        <v>0</v>
      </c>
      <c r="X140" s="373">
        <f>IFERROR(VLOOKUP($B138,اسماء,41,0),0)</f>
        <v>0</v>
      </c>
      <c r="Y140" s="596"/>
      <c r="Z140" s="22" t="str">
        <f t="shared" ref="Z140" si="406">LOOKUP(V140,$AI$6:$AJ$10)</f>
        <v>ضعيف</v>
      </c>
      <c r="AA140" s="657"/>
      <c r="AB140" s="10"/>
      <c r="AC140" s="654"/>
      <c r="AN140" s="607"/>
      <c r="AO140" s="607"/>
      <c r="AP140" s="613"/>
      <c r="AQ140" s="612"/>
      <c r="AR140" s="611"/>
      <c r="AS140" s="612"/>
    </row>
    <row r="141" spans="1:45" ht="15" customHeight="1" thickBot="1" x14ac:dyDescent="0.3">
      <c r="A141" s="634"/>
      <c r="B141" s="631"/>
      <c r="C141" s="623"/>
      <c r="D141" s="626"/>
      <c r="E141" s="127" t="s">
        <v>33</v>
      </c>
      <c r="F141" s="585">
        <f t="shared" ref="F141" si="407">SUM(F138:G140)</f>
        <v>0</v>
      </c>
      <c r="G141" s="593"/>
      <c r="H141" s="604">
        <f t="shared" ref="H141" si="408">SUM(H138:I140)</f>
        <v>0</v>
      </c>
      <c r="I141" s="601"/>
      <c r="J141" s="585">
        <f t="shared" ref="J141" si="409">SUM(J138:K140)</f>
        <v>0</v>
      </c>
      <c r="K141" s="593"/>
      <c r="L141" s="585">
        <f t="shared" ref="L141" si="410">SUM(L138:M140)</f>
        <v>0</v>
      </c>
      <c r="M141" s="586"/>
      <c r="N141" s="585">
        <f t="shared" ref="N141" si="411">SUM(N138:O140)</f>
        <v>0</v>
      </c>
      <c r="O141" s="586"/>
      <c r="P141" s="585">
        <f t="shared" ref="P141" si="412">SUM(P138:Q140)</f>
        <v>0</v>
      </c>
      <c r="Q141" s="601"/>
      <c r="R141" s="602">
        <f t="shared" ref="R141" si="413">SUM(R138:S140)</f>
        <v>0</v>
      </c>
      <c r="S141" s="593"/>
      <c r="T141" s="585">
        <f t="shared" ref="T141" si="414">SUM(T138:U140)</f>
        <v>0</v>
      </c>
      <c r="U141" s="593"/>
      <c r="V141" s="210">
        <f t="shared" ref="V141" si="415">IF(AND(F141&gt;=$G$8,H141&gt;=$I$8,L141&gt;=$M$8,P141&gt;=$Q$8,R141&gt;=$S$8,T141&gt;=$U$8),SUM(F141:U141),0)</f>
        <v>0</v>
      </c>
      <c r="W141" s="264"/>
      <c r="X141" s="97"/>
      <c r="Y141" s="597"/>
      <c r="Z141" s="91" t="str">
        <f t="shared" ref="Z141" si="416">LOOKUP(V141,$AL$6:$AM$10)</f>
        <v>ضعيف</v>
      </c>
      <c r="AA141" s="658"/>
      <c r="AB141" s="72"/>
      <c r="AC141" s="655"/>
      <c r="AN141" s="607"/>
      <c r="AO141" s="607"/>
      <c r="AP141" s="613"/>
      <c r="AQ141" s="612"/>
      <c r="AR141" s="611"/>
      <c r="AS141" s="612"/>
    </row>
    <row r="142" spans="1:45" ht="15" customHeight="1" thickBot="1" x14ac:dyDescent="0.3">
      <c r="F142" s="75"/>
      <c r="G142" s="76"/>
      <c r="H142" s="75"/>
      <c r="I142" s="76"/>
      <c r="J142" s="75"/>
      <c r="K142" s="76"/>
      <c r="L142" s="75"/>
      <c r="M142" s="76"/>
      <c r="N142" s="76"/>
      <c r="O142" s="76"/>
      <c r="P142" s="75"/>
      <c r="Q142" s="76"/>
      <c r="R142" s="75"/>
      <c r="S142" s="76"/>
      <c r="T142" s="75"/>
      <c r="U142" s="76"/>
      <c r="V142" s="74"/>
      <c r="W142" s="77"/>
      <c r="X142" s="74"/>
      <c r="Y142" s="362"/>
      <c r="Z142" s="74"/>
      <c r="AA142" s="267"/>
      <c r="AB142" s="72"/>
      <c r="AK142" s="78"/>
    </row>
    <row r="143" spans="1:45" customFormat="1" ht="15" customHeight="1" x14ac:dyDescent="0.3">
      <c r="A143" s="617" t="s">
        <v>9</v>
      </c>
      <c r="B143" s="618"/>
      <c r="C143" s="619"/>
      <c r="D143" s="288" t="s">
        <v>11</v>
      </c>
      <c r="E143" s="600" t="s">
        <v>97</v>
      </c>
      <c r="F143" s="598"/>
      <c r="G143" s="598"/>
      <c r="H143" s="598"/>
      <c r="I143" s="598"/>
      <c r="J143" s="9"/>
      <c r="K143" s="9"/>
      <c r="L143" s="9"/>
      <c r="M143" s="9"/>
      <c r="N143" s="9"/>
      <c r="O143" s="9"/>
      <c r="P143" s="9"/>
      <c r="Q143" s="9"/>
      <c r="R143" s="9"/>
      <c r="S143" s="598" t="s">
        <v>156</v>
      </c>
      <c r="T143" s="598"/>
      <c r="U143" s="598"/>
      <c r="V143" s="598"/>
      <c r="W143" s="598"/>
      <c r="X143" s="598"/>
      <c r="Y143" s="598"/>
      <c r="Z143" s="1"/>
      <c r="AA143" s="268"/>
      <c r="AC143" s="79"/>
      <c r="AD143" s="80"/>
      <c r="AE143" s="80"/>
      <c r="AF143" s="80"/>
      <c r="AG143" s="80"/>
    </row>
    <row r="144" spans="1:45" customFormat="1" ht="15" customHeight="1" x14ac:dyDescent="0.25">
      <c r="A144" s="81" t="s">
        <v>8</v>
      </c>
      <c r="B144" s="610">
        <f>ادخال1!$BP$3</f>
        <v>0</v>
      </c>
      <c r="C144" s="620"/>
      <c r="D144" s="289"/>
      <c r="E144" s="9" t="s">
        <v>9</v>
      </c>
      <c r="F144" s="599" t="str">
        <f>ادخال1!$BP$5</f>
        <v>د.عبدالرحمن خليفة العريبي</v>
      </c>
      <c r="G144" s="599"/>
      <c r="H144" s="599"/>
      <c r="I144" s="599"/>
      <c r="J144" s="599"/>
      <c r="K144" s="599"/>
      <c r="L144" s="599"/>
      <c r="M144" s="599"/>
      <c r="N144" s="599"/>
      <c r="O144" s="599"/>
      <c r="P144" s="599"/>
      <c r="Q144" s="599"/>
      <c r="R144" s="9"/>
      <c r="S144" s="599" t="str">
        <f>ادخال1!$BP$6</f>
        <v>تاجوراء</v>
      </c>
      <c r="T144" s="599"/>
      <c r="U144" s="599"/>
      <c r="V144" s="599"/>
      <c r="W144" s="599"/>
      <c r="X144" s="599"/>
      <c r="Y144" s="599"/>
      <c r="Z144" s="599"/>
      <c r="AA144" s="67"/>
      <c r="AB144" s="67"/>
      <c r="AC144" s="79"/>
      <c r="AD144" s="79"/>
      <c r="AE144" s="79"/>
      <c r="AF144" s="79"/>
    </row>
    <row r="145" spans="1:45" customFormat="1" ht="15" customHeight="1" thickBot="1" x14ac:dyDescent="0.3">
      <c r="A145" s="82" t="s">
        <v>98</v>
      </c>
      <c r="B145" s="615">
        <f>ادخال1!$BP$4</f>
        <v>0</v>
      </c>
      <c r="C145" s="616"/>
      <c r="D145" s="290"/>
      <c r="E145" s="9" t="s">
        <v>11</v>
      </c>
      <c r="F145" s="607"/>
      <c r="G145" s="607"/>
      <c r="H145" s="607"/>
      <c r="I145" s="607"/>
      <c r="J145" s="607"/>
      <c r="K145" s="607"/>
      <c r="L145" s="607"/>
      <c r="M145" s="607"/>
      <c r="N145" s="607"/>
      <c r="O145" s="607"/>
      <c r="P145" s="607"/>
      <c r="Q145" s="607"/>
      <c r="R145" s="9"/>
      <c r="S145" s="9" t="s">
        <v>11</v>
      </c>
      <c r="T145" s="9"/>
      <c r="U145" s="9" t="s">
        <v>11</v>
      </c>
      <c r="V145" s="1"/>
      <c r="W145" s="1"/>
      <c r="X145" s="1"/>
      <c r="Y145" s="363"/>
      <c r="Z145" s="1"/>
      <c r="AA145" s="268"/>
      <c r="AC145" s="79"/>
      <c r="AD145" s="79"/>
      <c r="AE145" s="79"/>
      <c r="AF145" s="79"/>
    </row>
    <row r="146" spans="1:45" customFormat="1" ht="15" customHeight="1" x14ac:dyDescent="0.25">
      <c r="A146" s="598" t="s">
        <v>99</v>
      </c>
      <c r="B146" s="598"/>
      <c r="C146" s="598"/>
      <c r="D146" s="598"/>
      <c r="E146" s="598" t="s">
        <v>100</v>
      </c>
      <c r="F146" s="598"/>
      <c r="G146" s="598"/>
      <c r="H146" s="598"/>
      <c r="I146" s="598"/>
      <c r="J146" s="598"/>
      <c r="K146" s="598"/>
      <c r="L146" s="598"/>
      <c r="M146" s="598"/>
      <c r="N146" s="598"/>
      <c r="O146" s="598"/>
      <c r="P146" s="598"/>
      <c r="Q146" s="598"/>
      <c r="R146" s="598"/>
      <c r="S146" s="598"/>
      <c r="T146" s="9"/>
      <c r="U146" s="9"/>
      <c r="V146" s="9"/>
      <c r="W146" s="594">
        <f ca="1">TODAY()</f>
        <v>46035</v>
      </c>
      <c r="X146" s="594"/>
      <c r="Y146" s="594"/>
      <c r="Z146" s="594"/>
      <c r="AA146" s="268"/>
    </row>
    <row r="147" spans="1:45" customFormat="1" ht="15" customHeight="1" thickBot="1" x14ac:dyDescent="0.3">
      <c r="A147" s="9"/>
      <c r="B147" s="598" t="s">
        <v>101</v>
      </c>
      <c r="C147" s="598"/>
      <c r="D147" s="598"/>
      <c r="E147" s="598" t="s">
        <v>102</v>
      </c>
      <c r="F147" s="598"/>
      <c r="G147" s="598"/>
      <c r="H147" s="598"/>
      <c r="I147" s="598"/>
      <c r="J147" s="598"/>
      <c r="K147" s="598"/>
      <c r="L147" s="598"/>
      <c r="M147" s="598"/>
      <c r="N147" s="598"/>
      <c r="O147" s="598"/>
      <c r="P147" s="598"/>
      <c r="Q147" s="598"/>
      <c r="R147" s="598"/>
      <c r="S147" s="598"/>
      <c r="T147" s="9"/>
      <c r="U147" s="9"/>
      <c r="V147" s="1"/>
      <c r="W147" s="1"/>
      <c r="X147" s="1"/>
      <c r="Y147" s="363"/>
      <c r="Z147" s="1"/>
      <c r="AA147" s="268"/>
    </row>
    <row r="148" spans="1:45" ht="15" customHeight="1" thickBot="1" x14ac:dyDescent="0.3">
      <c r="A148" s="632">
        <v>31</v>
      </c>
      <c r="B148" s="629">
        <f>VLOOKUP(A148,مسلسل,2,0)</f>
        <v>0</v>
      </c>
      <c r="C148" s="621" t="str">
        <f>IFERROR(VLOOKUP(B148,اسماء,2,0),"")</f>
        <v/>
      </c>
      <c r="D148" s="624" t="str">
        <f>IFERROR(VLOOKUP($B148,اسماء,3,0),"")</f>
        <v/>
      </c>
      <c r="E148" s="132" t="s">
        <v>30</v>
      </c>
      <c r="F148" s="627">
        <f>IFERROR(VLOOKUP($B148,اسماء,5,0),0)</f>
        <v>0</v>
      </c>
      <c r="G148" s="606"/>
      <c r="H148" s="628">
        <f>IFERROR(VLOOKUP($B148,اسماء,6,0),0)</f>
        <v>0</v>
      </c>
      <c r="I148" s="605"/>
      <c r="J148" s="587">
        <f>IFERROR(VLOOKUP($B148,اسماء,7,0),0)</f>
        <v>0</v>
      </c>
      <c r="K148" s="591"/>
      <c r="L148" s="587">
        <f>IFERROR(VLOOKUP($B148,اسماء,8,0),0)</f>
        <v>0</v>
      </c>
      <c r="M148" s="588"/>
      <c r="N148" s="587">
        <f>IFERROR(VLOOKUP($B148,اسماء,9,0),0)</f>
        <v>0</v>
      </c>
      <c r="O148" s="605"/>
      <c r="P148" s="587">
        <f>IFERROR(VLOOKUP($B148,اسماء,10,0),0)</f>
        <v>0</v>
      </c>
      <c r="Q148" s="605"/>
      <c r="R148" s="606">
        <f>IFERROR(VLOOKUP($B148,اسماء,11,0),0)</f>
        <v>0</v>
      </c>
      <c r="S148" s="591"/>
      <c r="T148" s="587">
        <f>IFERROR(VLOOKUP($B148,اسماء,12,0),0)</f>
        <v>0</v>
      </c>
      <c r="U148" s="591"/>
      <c r="V148" s="263">
        <f t="shared" ref="V148:V150" si="417">SUM(F148:U148)</f>
        <v>0</v>
      </c>
      <c r="W148" s="373">
        <f>IFERROR(VLOOKUP($B148,اسماء,14,0),0)</f>
        <v>0</v>
      </c>
      <c r="X148" s="373">
        <f>IFERROR(VLOOKUP($B148,اسماء,15,0),0)</f>
        <v>0</v>
      </c>
      <c r="Y148" s="595" t="str">
        <f>IF(AC148="غائب","راسب",IF(AND(F151&gt;=$G$8,H151&gt;=$I$8,J151&gt;=$K$8,L151&gt;=$M$8,N151&gt;=$O$8,P151&gt;=$Q$8,R151&gt;=$S$8,T151&gt;=$U$8),"ناجح","له دور ثان"))</f>
        <v>له دور ثان</v>
      </c>
      <c r="Z148" s="21" t="str">
        <f>LOOKUP(V148,$AF$6:$AG$10)</f>
        <v>ضعيف</v>
      </c>
      <c r="AA148" s="656">
        <f>V151/$AF$3</f>
        <v>0</v>
      </c>
      <c r="AB148" s="72"/>
      <c r="AC148" s="653" t="str">
        <f>IFERROR(VLOOKUP($B148,اسماء,54,0),"")</f>
        <v/>
      </c>
      <c r="AN148" s="610" t="str">
        <f>IF(V151=0,"",V151/1+ROW()*0.00001)</f>
        <v/>
      </c>
      <c r="AO148" s="610">
        <f>B148</f>
        <v>0</v>
      </c>
      <c r="AP148" s="613"/>
      <c r="AQ148" s="612">
        <v>31</v>
      </c>
      <c r="AR148" s="611" t="str">
        <f>IFERROR(LARGE($AN$10:$AN$1006,AQ148),"")</f>
        <v/>
      </c>
      <c r="AS148" s="612" t="str">
        <f>VLOOKUP(AR148,$AN$10:$AO$1116,2,0)</f>
        <v>أحمد نورالدين أحمد الذيب</v>
      </c>
    </row>
    <row r="149" spans="1:45" ht="15" customHeight="1" thickBot="1" x14ac:dyDescent="0.3">
      <c r="A149" s="633"/>
      <c r="B149" s="630"/>
      <c r="C149" s="622"/>
      <c r="D149" s="625"/>
      <c r="E149" s="133" t="s">
        <v>31</v>
      </c>
      <c r="F149" s="589">
        <f>IFERROR(VLOOKUP($B148,اسماء,18,0),0)</f>
        <v>0</v>
      </c>
      <c r="G149" s="592"/>
      <c r="H149" s="608">
        <f>IFERROR(VLOOKUP($B148,اسماء,19,0),0)</f>
        <v>0</v>
      </c>
      <c r="I149" s="609"/>
      <c r="J149" s="589">
        <f>IFERROR(VLOOKUP($B148,اسماء,20,0),0)</f>
        <v>0</v>
      </c>
      <c r="K149" s="592"/>
      <c r="L149" s="589">
        <f>IFERROR(VLOOKUP($B148,اسماء,21,0),0)</f>
        <v>0</v>
      </c>
      <c r="M149" s="590"/>
      <c r="N149" s="589">
        <f>IFERROR(VLOOKUP($B148,اسماء,22,0),0)</f>
        <v>0</v>
      </c>
      <c r="O149" s="590"/>
      <c r="P149" s="589">
        <f>IFERROR(VLOOKUP($B148,اسماء,23,0),0)</f>
        <v>0</v>
      </c>
      <c r="Q149" s="609"/>
      <c r="R149" s="603">
        <f>IFERROR(VLOOKUP($B148,اسماء,24,0),0)</f>
        <v>0</v>
      </c>
      <c r="S149" s="592"/>
      <c r="T149" s="589">
        <f>IFERROR(VLOOKUP($B148,اسماء,25,0),0)</f>
        <v>0</v>
      </c>
      <c r="U149" s="592"/>
      <c r="V149" s="263">
        <f t="shared" si="417"/>
        <v>0</v>
      </c>
      <c r="W149" s="373">
        <f>IFERROR(VLOOKUP($B148,اسماء,27,0),0)</f>
        <v>0</v>
      </c>
      <c r="X149" s="373">
        <f>IFERROR(VLOOKUP($B148,اسماء,28,0),0)</f>
        <v>0</v>
      </c>
      <c r="Y149" s="596"/>
      <c r="Z149" s="22" t="str">
        <f>LOOKUP(V149,$AF$6:$AG$10)</f>
        <v>ضعيف</v>
      </c>
      <c r="AA149" s="657"/>
      <c r="AB149" s="10"/>
      <c r="AC149" s="654"/>
      <c r="AN149" s="610"/>
      <c r="AO149" s="610"/>
      <c r="AP149" s="613"/>
      <c r="AQ149" s="612"/>
      <c r="AR149" s="611"/>
      <c r="AS149" s="612"/>
    </row>
    <row r="150" spans="1:45" ht="15" customHeight="1" x14ac:dyDescent="0.25">
      <c r="A150" s="633"/>
      <c r="B150" s="630"/>
      <c r="C150" s="622"/>
      <c r="D150" s="625"/>
      <c r="E150" s="133" t="s">
        <v>32</v>
      </c>
      <c r="F150" s="589">
        <f>IFERROR(VLOOKUP($B148,اسماء,31,0),0)</f>
        <v>0</v>
      </c>
      <c r="G150" s="592"/>
      <c r="H150" s="608">
        <f>IFERROR(VLOOKUP($B148,اسماء,32,0),0)</f>
        <v>0</v>
      </c>
      <c r="I150" s="609"/>
      <c r="J150" s="589">
        <f>IFERROR(VLOOKUP($B148,اسماء,33,0),0)</f>
        <v>0</v>
      </c>
      <c r="K150" s="592"/>
      <c r="L150" s="589">
        <f>IFERROR(VLOOKUP($B148,اسماء,34,0),0)</f>
        <v>0</v>
      </c>
      <c r="M150" s="590"/>
      <c r="N150" s="589">
        <f>IFERROR(VLOOKUP($B148,اسماء,35,0),0)</f>
        <v>0</v>
      </c>
      <c r="O150" s="590"/>
      <c r="P150" s="589">
        <f>IFERROR(VLOOKUP($B148,اسماء,36,0),0)</f>
        <v>0</v>
      </c>
      <c r="Q150" s="609"/>
      <c r="R150" s="603">
        <f>IFERROR(VLOOKUP($B148,اسماء,37,0),0)</f>
        <v>0</v>
      </c>
      <c r="S150" s="592"/>
      <c r="T150" s="589">
        <f>IFERROR(VLOOKUP($B148,اسماء,38,0),0)</f>
        <v>0</v>
      </c>
      <c r="U150" s="592"/>
      <c r="V150" s="263">
        <f t="shared" si="417"/>
        <v>0</v>
      </c>
      <c r="W150" s="373">
        <f>IFERROR(VLOOKUP($B148,اسماء,40,0),0)</f>
        <v>0</v>
      </c>
      <c r="X150" s="373">
        <f>IFERROR(VLOOKUP($B148,اسماء,41,0),0)</f>
        <v>0</v>
      </c>
      <c r="Y150" s="596"/>
      <c r="Z150" s="22" t="str">
        <f>LOOKUP(V150,$AI$6:$AJ$10)</f>
        <v>ضعيف</v>
      </c>
      <c r="AA150" s="657"/>
      <c r="AB150" s="72"/>
      <c r="AC150" s="654"/>
      <c r="AN150" s="610"/>
      <c r="AO150" s="610"/>
      <c r="AP150" s="613"/>
      <c r="AQ150" s="612"/>
      <c r="AR150" s="611"/>
      <c r="AS150" s="612"/>
    </row>
    <row r="151" spans="1:45" ht="15" customHeight="1" thickBot="1" x14ac:dyDescent="0.3">
      <c r="A151" s="634"/>
      <c r="B151" s="631"/>
      <c r="C151" s="623"/>
      <c r="D151" s="626"/>
      <c r="E151" s="127" t="s">
        <v>33</v>
      </c>
      <c r="F151" s="585">
        <f t="shared" ref="F151" si="418">SUM(F148:G150)</f>
        <v>0</v>
      </c>
      <c r="G151" s="593"/>
      <c r="H151" s="604">
        <f t="shared" ref="H151" si="419">SUM(H148:I150)</f>
        <v>0</v>
      </c>
      <c r="I151" s="601"/>
      <c r="J151" s="585">
        <f t="shared" ref="J151" si="420">SUM(J148:K150)</f>
        <v>0</v>
      </c>
      <c r="K151" s="593"/>
      <c r="L151" s="585">
        <f t="shared" ref="L151" si="421">SUM(L148:M150)</f>
        <v>0</v>
      </c>
      <c r="M151" s="586"/>
      <c r="N151" s="585">
        <f t="shared" ref="N151" si="422">SUM(N148:O150)</f>
        <v>0</v>
      </c>
      <c r="O151" s="586"/>
      <c r="P151" s="585">
        <f t="shared" ref="P151" si="423">SUM(P148:Q150)</f>
        <v>0</v>
      </c>
      <c r="Q151" s="601"/>
      <c r="R151" s="602">
        <f t="shared" ref="R151" si="424">SUM(R148:S150)</f>
        <v>0</v>
      </c>
      <c r="S151" s="593"/>
      <c r="T151" s="585">
        <f t="shared" ref="T151" si="425">SUM(T148:U150)</f>
        <v>0</v>
      </c>
      <c r="U151" s="593"/>
      <c r="V151" s="210">
        <f t="shared" ref="V151" si="426">IF(AND(F151&gt;=$G$8,H151&gt;=$I$8,L151&gt;=$M$8,P151&gt;=$Q$8,R151&gt;=$S$8,T151&gt;=$U$8),SUM(F151:U151),0)</f>
        <v>0</v>
      </c>
      <c r="W151" s="264"/>
      <c r="X151" s="97"/>
      <c r="Y151" s="597"/>
      <c r="Z151" s="91" t="str">
        <f>LOOKUP(V151,$AL$6:$AM$10)</f>
        <v>ضعيف</v>
      </c>
      <c r="AA151" s="658"/>
      <c r="AB151" s="72"/>
      <c r="AC151" s="655"/>
      <c r="AN151" s="610"/>
      <c r="AO151" s="610"/>
      <c r="AP151" s="613"/>
      <c r="AQ151" s="612"/>
      <c r="AR151" s="611"/>
      <c r="AS151" s="612"/>
    </row>
    <row r="152" spans="1:45" ht="15" customHeight="1" thickBot="1" x14ac:dyDescent="0.3">
      <c r="A152" s="632">
        <v>32</v>
      </c>
      <c r="B152" s="629">
        <f>VLOOKUP(A152,مسلسل,2,0)</f>
        <v>0</v>
      </c>
      <c r="C152" s="621" t="str">
        <f>IFERROR(VLOOKUP(B152,اسماء,2,0),"")</f>
        <v/>
      </c>
      <c r="D152" s="624" t="str">
        <f>IFERROR(VLOOKUP($B152,اسماء,3,0),"")</f>
        <v/>
      </c>
      <c r="E152" s="132" t="s">
        <v>30</v>
      </c>
      <c r="F152" s="627">
        <f>IFERROR(VLOOKUP($B152,اسماء,5,0),0)</f>
        <v>0</v>
      </c>
      <c r="G152" s="606"/>
      <c r="H152" s="628">
        <f>IFERROR(VLOOKUP($B152,اسماء,6,0),0)</f>
        <v>0</v>
      </c>
      <c r="I152" s="605"/>
      <c r="J152" s="587">
        <f>IFERROR(VLOOKUP($B152,اسماء,7,0),0)</f>
        <v>0</v>
      </c>
      <c r="K152" s="591"/>
      <c r="L152" s="587">
        <f>IFERROR(VLOOKUP($B152,اسماء,8,0),0)</f>
        <v>0</v>
      </c>
      <c r="M152" s="588"/>
      <c r="N152" s="587">
        <f>IFERROR(VLOOKUP($B152,اسماء,9,0),0)</f>
        <v>0</v>
      </c>
      <c r="O152" s="605"/>
      <c r="P152" s="587">
        <f>IFERROR(VLOOKUP($B152,اسماء,10,0),0)</f>
        <v>0</v>
      </c>
      <c r="Q152" s="605"/>
      <c r="R152" s="606">
        <f>IFERROR(VLOOKUP($B152,اسماء,11,0),0)</f>
        <v>0</v>
      </c>
      <c r="S152" s="591"/>
      <c r="T152" s="587">
        <f>IFERROR(VLOOKUP($B152,اسماء,12,0),0)</f>
        <v>0</v>
      </c>
      <c r="U152" s="591"/>
      <c r="V152" s="263">
        <f t="shared" ref="V152:V154" si="427">SUM(F152:U152)</f>
        <v>0</v>
      </c>
      <c r="W152" s="373">
        <f>IFERROR(VLOOKUP($B152,اسماء,14,0),0)</f>
        <v>0</v>
      </c>
      <c r="X152" s="373">
        <f>IFERROR(VLOOKUP($B152,اسماء,15,0),0)</f>
        <v>0</v>
      </c>
      <c r="Y152" s="595" t="str">
        <f t="shared" ref="Y152" si="428">IF(AC152="غائب","راسب",IF(AND(F155&gt;=$G$8,H155&gt;=$I$8,J155&gt;=$K$8,L155&gt;=$M$8,N155&gt;=$O$8,P155&gt;=$Q$8,R155&gt;=$S$8,T155&gt;=$U$8),"ناجح","له دور ثان"))</f>
        <v>له دور ثان</v>
      </c>
      <c r="Z152" s="21" t="str">
        <f>LOOKUP(V152,$AF$6:$AG$10)</f>
        <v>ضعيف</v>
      </c>
      <c r="AA152" s="656">
        <f>V155/$AF$3</f>
        <v>0</v>
      </c>
      <c r="AB152" s="10"/>
      <c r="AC152" s="653" t="str">
        <f>IFERROR(VLOOKUP($B152,اسماء,54,0),"")</f>
        <v/>
      </c>
      <c r="AN152" s="607" t="str">
        <f t="shared" ref="AN152" si="429">IF(V155=0,"",V155/1+ROW()*0.00001)</f>
        <v/>
      </c>
      <c r="AO152" s="607">
        <f>B152</f>
        <v>0</v>
      </c>
      <c r="AP152" s="613"/>
      <c r="AQ152" s="612">
        <v>32</v>
      </c>
      <c r="AR152" s="611" t="str">
        <f>IFERROR(LARGE($AN$10:$AN$1006,AQ152),"")</f>
        <v/>
      </c>
      <c r="AS152" s="612" t="str">
        <f>VLOOKUP(AR152,$AN$10:$AO$1116,2,0)</f>
        <v>أحمد نورالدين أحمد الذيب</v>
      </c>
    </row>
    <row r="153" spans="1:45" ht="15" customHeight="1" thickBot="1" x14ac:dyDescent="0.3">
      <c r="A153" s="633"/>
      <c r="B153" s="630"/>
      <c r="C153" s="622"/>
      <c r="D153" s="625"/>
      <c r="E153" s="133" t="s">
        <v>31</v>
      </c>
      <c r="F153" s="589">
        <f>IFERROR(VLOOKUP($B152,اسماء,18,0),0)</f>
        <v>0</v>
      </c>
      <c r="G153" s="592"/>
      <c r="H153" s="608">
        <f>IFERROR(VLOOKUP($B152,اسماء,19,0),0)</f>
        <v>0</v>
      </c>
      <c r="I153" s="609"/>
      <c r="J153" s="589">
        <f>IFERROR(VLOOKUP($B152,اسماء,20,0),0)</f>
        <v>0</v>
      </c>
      <c r="K153" s="592"/>
      <c r="L153" s="589">
        <f>IFERROR(VLOOKUP($B152,اسماء,21,0),0)</f>
        <v>0</v>
      </c>
      <c r="M153" s="590"/>
      <c r="N153" s="589">
        <f>IFERROR(VLOOKUP($B152,اسماء,22,0),0)</f>
        <v>0</v>
      </c>
      <c r="O153" s="590"/>
      <c r="P153" s="589">
        <f>IFERROR(VLOOKUP($B152,اسماء,23,0),0)</f>
        <v>0</v>
      </c>
      <c r="Q153" s="609"/>
      <c r="R153" s="603">
        <f>IFERROR(VLOOKUP($B152,اسماء,24,0),0)</f>
        <v>0</v>
      </c>
      <c r="S153" s="592"/>
      <c r="T153" s="589">
        <f>IFERROR(VLOOKUP($B152,اسماء,25,0),0)</f>
        <v>0</v>
      </c>
      <c r="U153" s="592"/>
      <c r="V153" s="263">
        <f t="shared" si="427"/>
        <v>0</v>
      </c>
      <c r="W153" s="373">
        <f>IFERROR(VLOOKUP($B152,اسماء,27,0),0)</f>
        <v>0</v>
      </c>
      <c r="X153" s="373">
        <f>IFERROR(VLOOKUP($B152,اسماء,28,0),0)</f>
        <v>0</v>
      </c>
      <c r="Y153" s="596"/>
      <c r="Z153" s="22" t="str">
        <f>LOOKUP(V153,$AF$6:$AG$10)</f>
        <v>ضعيف</v>
      </c>
      <c r="AA153" s="657"/>
      <c r="AB153" s="72"/>
      <c r="AC153" s="654"/>
      <c r="AN153" s="607"/>
      <c r="AO153" s="607"/>
      <c r="AP153" s="613"/>
      <c r="AQ153" s="612"/>
      <c r="AR153" s="611"/>
      <c r="AS153" s="612"/>
    </row>
    <row r="154" spans="1:45" ht="15" customHeight="1" x14ac:dyDescent="0.25">
      <c r="A154" s="633"/>
      <c r="B154" s="630"/>
      <c r="C154" s="622"/>
      <c r="D154" s="625"/>
      <c r="E154" s="133" t="s">
        <v>32</v>
      </c>
      <c r="F154" s="589">
        <f>IFERROR(VLOOKUP($B152,اسماء,31,0),0)</f>
        <v>0</v>
      </c>
      <c r="G154" s="592"/>
      <c r="H154" s="608">
        <f>IFERROR(VLOOKUP($B152,اسماء,32,0),0)</f>
        <v>0</v>
      </c>
      <c r="I154" s="609"/>
      <c r="J154" s="589">
        <f>IFERROR(VLOOKUP($B152,اسماء,33,0),0)</f>
        <v>0</v>
      </c>
      <c r="K154" s="592"/>
      <c r="L154" s="589">
        <f>IFERROR(VLOOKUP($B152,اسماء,34,0),0)</f>
        <v>0</v>
      </c>
      <c r="M154" s="590"/>
      <c r="N154" s="589">
        <f>IFERROR(VLOOKUP($B152,اسماء,35,0),0)</f>
        <v>0</v>
      </c>
      <c r="O154" s="590"/>
      <c r="P154" s="589">
        <f>IFERROR(VLOOKUP($B152,اسماء,36,0),0)</f>
        <v>0</v>
      </c>
      <c r="Q154" s="609"/>
      <c r="R154" s="603">
        <f>IFERROR(VLOOKUP($B152,اسماء,37,0),0)</f>
        <v>0</v>
      </c>
      <c r="S154" s="592"/>
      <c r="T154" s="589">
        <f>IFERROR(VLOOKUP($B152,اسماء,38,0),0)</f>
        <v>0</v>
      </c>
      <c r="U154" s="592"/>
      <c r="V154" s="263">
        <f t="shared" si="427"/>
        <v>0</v>
      </c>
      <c r="W154" s="373">
        <f>IFERROR(VLOOKUP($B152,اسماء,40,0),0)</f>
        <v>0</v>
      </c>
      <c r="X154" s="373">
        <f>IFERROR(VLOOKUP($B152,اسماء,41,0),0)</f>
        <v>0</v>
      </c>
      <c r="Y154" s="596"/>
      <c r="Z154" s="22" t="str">
        <f>LOOKUP(V154,$AI$6:$AJ$10)</f>
        <v>ضعيف</v>
      </c>
      <c r="AA154" s="657"/>
      <c r="AB154" s="72"/>
      <c r="AC154" s="654"/>
      <c r="AN154" s="607"/>
      <c r="AO154" s="607"/>
      <c r="AP154" s="613"/>
      <c r="AQ154" s="612"/>
      <c r="AR154" s="611"/>
      <c r="AS154" s="612"/>
    </row>
    <row r="155" spans="1:45" ht="15" customHeight="1" thickBot="1" x14ac:dyDescent="0.3">
      <c r="A155" s="634"/>
      <c r="B155" s="631"/>
      <c r="C155" s="623"/>
      <c r="D155" s="626"/>
      <c r="E155" s="127" t="s">
        <v>33</v>
      </c>
      <c r="F155" s="585">
        <f t="shared" ref="F155" si="430">SUM(F152:G154)</f>
        <v>0</v>
      </c>
      <c r="G155" s="593"/>
      <c r="H155" s="604">
        <f t="shared" ref="H155" si="431">SUM(H152:I154)</f>
        <v>0</v>
      </c>
      <c r="I155" s="601"/>
      <c r="J155" s="585">
        <f t="shared" ref="J155" si="432">SUM(J152:K154)</f>
        <v>0</v>
      </c>
      <c r="K155" s="593"/>
      <c r="L155" s="585">
        <f t="shared" ref="L155" si="433">SUM(L152:M154)</f>
        <v>0</v>
      </c>
      <c r="M155" s="586"/>
      <c r="N155" s="585">
        <f t="shared" ref="N155" si="434">SUM(N152:O154)</f>
        <v>0</v>
      </c>
      <c r="O155" s="586"/>
      <c r="P155" s="585">
        <f t="shared" ref="P155" si="435">SUM(P152:Q154)</f>
        <v>0</v>
      </c>
      <c r="Q155" s="601"/>
      <c r="R155" s="602">
        <f t="shared" ref="R155" si="436">SUM(R152:S154)</f>
        <v>0</v>
      </c>
      <c r="S155" s="593"/>
      <c r="T155" s="585">
        <f t="shared" ref="T155" si="437">SUM(T152:U154)</f>
        <v>0</v>
      </c>
      <c r="U155" s="593"/>
      <c r="V155" s="210">
        <f t="shared" ref="V155" si="438">IF(AND(F155&gt;=$G$8,H155&gt;=$I$8,L155&gt;=$M$8,P155&gt;=$Q$8,R155&gt;=$S$8,T155&gt;=$U$8),SUM(F155:U155),0)</f>
        <v>0</v>
      </c>
      <c r="W155" s="264"/>
      <c r="X155" s="97"/>
      <c r="Y155" s="597"/>
      <c r="Z155" s="91" t="str">
        <f>LOOKUP(V155,$AL$6:$AM$10)</f>
        <v>ضعيف</v>
      </c>
      <c r="AA155" s="658"/>
      <c r="AB155" s="10"/>
      <c r="AC155" s="655"/>
      <c r="AN155" s="607"/>
      <c r="AO155" s="607"/>
      <c r="AP155" s="613"/>
      <c r="AQ155" s="612"/>
      <c r="AR155" s="611"/>
      <c r="AS155" s="612"/>
    </row>
    <row r="156" spans="1:45" ht="15" customHeight="1" thickBot="1" x14ac:dyDescent="0.3">
      <c r="A156" s="632">
        <v>33</v>
      </c>
      <c r="B156" s="629">
        <f>VLOOKUP(A156,مسلسل,2,0)</f>
        <v>0</v>
      </c>
      <c r="C156" s="621" t="str">
        <f>IFERROR(VLOOKUP(B156,اسماء,2,0),"")</f>
        <v/>
      </c>
      <c r="D156" s="624" t="str">
        <f>IFERROR(VLOOKUP($B156,اسماء,3,0),"")</f>
        <v/>
      </c>
      <c r="E156" s="132" t="s">
        <v>30</v>
      </c>
      <c r="F156" s="627">
        <f>IFERROR(VLOOKUP($B156,اسماء,5,0),0)</f>
        <v>0</v>
      </c>
      <c r="G156" s="606"/>
      <c r="H156" s="628">
        <f>IFERROR(VLOOKUP($B156,اسماء,6,0),0)</f>
        <v>0</v>
      </c>
      <c r="I156" s="605"/>
      <c r="J156" s="587">
        <f>IFERROR(VLOOKUP($B156,اسماء,7,0),0)</f>
        <v>0</v>
      </c>
      <c r="K156" s="591"/>
      <c r="L156" s="587">
        <f>IFERROR(VLOOKUP($B156,اسماء,8,0),0)</f>
        <v>0</v>
      </c>
      <c r="M156" s="588"/>
      <c r="N156" s="587">
        <f>IFERROR(VLOOKUP($B156,اسماء,9,0),0)</f>
        <v>0</v>
      </c>
      <c r="O156" s="605"/>
      <c r="P156" s="587">
        <f>IFERROR(VLOOKUP($B156,اسماء,10,0),0)</f>
        <v>0</v>
      </c>
      <c r="Q156" s="605"/>
      <c r="R156" s="606">
        <f>IFERROR(VLOOKUP($B156,اسماء,11,0),0)</f>
        <v>0</v>
      </c>
      <c r="S156" s="591"/>
      <c r="T156" s="587">
        <f>IFERROR(VLOOKUP($B156,اسماء,12,0),0)</f>
        <v>0</v>
      </c>
      <c r="U156" s="591"/>
      <c r="V156" s="263">
        <f t="shared" ref="V156:V158" si="439">SUM(F156:U156)</f>
        <v>0</v>
      </c>
      <c r="W156" s="373">
        <f>IFERROR(VLOOKUP($B156,اسماء,14,0),0)</f>
        <v>0</v>
      </c>
      <c r="X156" s="373">
        <f>IFERROR(VLOOKUP($B156,اسماء,15,0),0)</f>
        <v>0</v>
      </c>
      <c r="Y156" s="595" t="str">
        <f t="shared" ref="Y156" si="440">IF(AC156="غائب","راسب",IF(AND(F159&gt;=$G$8,H159&gt;=$I$8,J159&gt;=$K$8,L159&gt;=$M$8,N159&gt;=$O$8,P159&gt;=$Q$8,R159&gt;=$S$8,T159&gt;=$U$8),"ناجح","له دور ثان"))</f>
        <v>له دور ثان</v>
      </c>
      <c r="Z156" s="21" t="str">
        <f>LOOKUP(V156,$AF$6:$AG$10)</f>
        <v>ضعيف</v>
      </c>
      <c r="AA156" s="656">
        <f>V159/$AF$3</f>
        <v>0</v>
      </c>
      <c r="AB156" s="72"/>
      <c r="AC156" s="653" t="str">
        <f>IFERROR(VLOOKUP($B156,اسماء,54,0),"")</f>
        <v/>
      </c>
      <c r="AN156" s="607" t="str">
        <f t="shared" ref="AN156" si="441">IF(V159=0,"",V159/1+ROW()*0.00001)</f>
        <v/>
      </c>
      <c r="AO156" s="607">
        <f>B156</f>
        <v>0</v>
      </c>
      <c r="AP156" s="613"/>
      <c r="AQ156" s="612">
        <v>33</v>
      </c>
      <c r="AR156" s="611" t="str">
        <f>IFERROR(LARGE($AN$10:$AN$1006,AQ156),"")</f>
        <v/>
      </c>
      <c r="AS156" s="612" t="str">
        <f>VLOOKUP(AR156,$AN$10:$AO$1116,2,0)</f>
        <v>أحمد نورالدين أحمد الذيب</v>
      </c>
    </row>
    <row r="157" spans="1:45" ht="15" customHeight="1" thickBot="1" x14ac:dyDescent="0.3">
      <c r="A157" s="633"/>
      <c r="B157" s="630"/>
      <c r="C157" s="622"/>
      <c r="D157" s="625"/>
      <c r="E157" s="133" t="s">
        <v>31</v>
      </c>
      <c r="F157" s="589">
        <f>IFERROR(VLOOKUP($B156,اسماء,18,0),0)</f>
        <v>0</v>
      </c>
      <c r="G157" s="592"/>
      <c r="H157" s="608">
        <f>IFERROR(VLOOKUP($B156,اسماء,19,0),0)</f>
        <v>0</v>
      </c>
      <c r="I157" s="609"/>
      <c r="J157" s="589">
        <f>IFERROR(VLOOKUP($B156,اسماء,20,0),0)</f>
        <v>0</v>
      </c>
      <c r="K157" s="592"/>
      <c r="L157" s="589">
        <f>IFERROR(VLOOKUP($B156,اسماء,21,0),0)</f>
        <v>0</v>
      </c>
      <c r="M157" s="590"/>
      <c r="N157" s="589">
        <f>IFERROR(VLOOKUP($B156,اسماء,22,0),0)</f>
        <v>0</v>
      </c>
      <c r="O157" s="590"/>
      <c r="P157" s="589">
        <f>IFERROR(VLOOKUP($B156,اسماء,23,0),0)</f>
        <v>0</v>
      </c>
      <c r="Q157" s="609"/>
      <c r="R157" s="603">
        <f>IFERROR(VLOOKUP($B156,اسماء,24,0),0)</f>
        <v>0</v>
      </c>
      <c r="S157" s="592"/>
      <c r="T157" s="589">
        <f>IFERROR(VLOOKUP($B156,اسماء,25,0),0)</f>
        <v>0</v>
      </c>
      <c r="U157" s="592"/>
      <c r="V157" s="263">
        <f t="shared" si="439"/>
        <v>0</v>
      </c>
      <c r="W157" s="373">
        <f>IFERROR(VLOOKUP($B156,اسماء,27,0),0)</f>
        <v>0</v>
      </c>
      <c r="X157" s="373">
        <f>IFERROR(VLOOKUP($B156,اسماء,28,0),0)</f>
        <v>0</v>
      </c>
      <c r="Y157" s="596"/>
      <c r="Z157" s="22" t="str">
        <f>LOOKUP(V157,$AF$6:$AG$10)</f>
        <v>ضعيف</v>
      </c>
      <c r="AA157" s="657"/>
      <c r="AB157" s="72"/>
      <c r="AC157" s="654"/>
      <c r="AN157" s="607"/>
      <c r="AO157" s="607"/>
      <c r="AP157" s="613"/>
      <c r="AQ157" s="612"/>
      <c r="AR157" s="611"/>
      <c r="AS157" s="612"/>
    </row>
    <row r="158" spans="1:45" ht="15" customHeight="1" x14ac:dyDescent="0.25">
      <c r="A158" s="633"/>
      <c r="B158" s="630"/>
      <c r="C158" s="622"/>
      <c r="D158" s="625"/>
      <c r="E158" s="133" t="s">
        <v>32</v>
      </c>
      <c r="F158" s="589">
        <f>IFERROR(VLOOKUP($B156,اسماء,31,0),0)</f>
        <v>0</v>
      </c>
      <c r="G158" s="592"/>
      <c r="H158" s="608">
        <f>IFERROR(VLOOKUP($B156,اسماء,32,0),0)</f>
        <v>0</v>
      </c>
      <c r="I158" s="609"/>
      <c r="J158" s="589">
        <f>IFERROR(VLOOKUP($B156,اسماء,33,0),0)</f>
        <v>0</v>
      </c>
      <c r="K158" s="592"/>
      <c r="L158" s="589">
        <f>IFERROR(VLOOKUP($B156,اسماء,34,0),0)</f>
        <v>0</v>
      </c>
      <c r="M158" s="590"/>
      <c r="N158" s="589">
        <f>IFERROR(VLOOKUP($B156,اسماء,35,0),0)</f>
        <v>0</v>
      </c>
      <c r="O158" s="590"/>
      <c r="P158" s="589">
        <f>IFERROR(VLOOKUP($B156,اسماء,36,0),0)</f>
        <v>0</v>
      </c>
      <c r="Q158" s="609"/>
      <c r="R158" s="603">
        <f>IFERROR(VLOOKUP($B156,اسماء,37,0),0)</f>
        <v>0</v>
      </c>
      <c r="S158" s="592"/>
      <c r="T158" s="589">
        <f>IFERROR(VLOOKUP($B156,اسماء,38,0),0)</f>
        <v>0</v>
      </c>
      <c r="U158" s="592"/>
      <c r="V158" s="263">
        <f t="shared" si="439"/>
        <v>0</v>
      </c>
      <c r="W158" s="373">
        <f>IFERROR(VLOOKUP($B156,اسماء,40,0),0)</f>
        <v>0</v>
      </c>
      <c r="X158" s="373">
        <f>IFERROR(VLOOKUP($B156,اسماء,41,0),0)</f>
        <v>0</v>
      </c>
      <c r="Y158" s="596"/>
      <c r="Z158" s="22" t="str">
        <f>LOOKUP(V158,$AI$6:$AJ$10)</f>
        <v>ضعيف</v>
      </c>
      <c r="AA158" s="657"/>
      <c r="AB158" s="10"/>
      <c r="AC158" s="654"/>
      <c r="AN158" s="607"/>
      <c r="AO158" s="607"/>
      <c r="AP158" s="613"/>
      <c r="AQ158" s="612"/>
      <c r="AR158" s="611"/>
      <c r="AS158" s="612"/>
    </row>
    <row r="159" spans="1:45" ht="15" customHeight="1" thickBot="1" x14ac:dyDescent="0.3">
      <c r="A159" s="634"/>
      <c r="B159" s="631"/>
      <c r="C159" s="623"/>
      <c r="D159" s="626"/>
      <c r="E159" s="127" t="s">
        <v>33</v>
      </c>
      <c r="F159" s="585">
        <f t="shared" ref="F159" si="442">SUM(F156:G158)</f>
        <v>0</v>
      </c>
      <c r="G159" s="593"/>
      <c r="H159" s="604">
        <f t="shared" ref="H159" si="443">SUM(H156:I158)</f>
        <v>0</v>
      </c>
      <c r="I159" s="601"/>
      <c r="J159" s="585">
        <f t="shared" ref="J159" si="444">SUM(J156:K158)</f>
        <v>0</v>
      </c>
      <c r="K159" s="593"/>
      <c r="L159" s="585">
        <f t="shared" ref="L159" si="445">SUM(L156:M158)</f>
        <v>0</v>
      </c>
      <c r="M159" s="586"/>
      <c r="N159" s="585">
        <f t="shared" ref="N159" si="446">SUM(N156:O158)</f>
        <v>0</v>
      </c>
      <c r="O159" s="586"/>
      <c r="P159" s="585">
        <f t="shared" ref="P159" si="447">SUM(P156:Q158)</f>
        <v>0</v>
      </c>
      <c r="Q159" s="601"/>
      <c r="R159" s="602">
        <f t="shared" ref="R159" si="448">SUM(R156:S158)</f>
        <v>0</v>
      </c>
      <c r="S159" s="593"/>
      <c r="T159" s="585">
        <f t="shared" ref="T159" si="449">SUM(T156:U158)</f>
        <v>0</v>
      </c>
      <c r="U159" s="593"/>
      <c r="V159" s="210">
        <f t="shared" ref="V159" si="450">IF(AND(F159&gt;=$G$8,H159&gt;=$I$8,L159&gt;=$M$8,P159&gt;=$Q$8,R159&gt;=$S$8,T159&gt;=$U$8),SUM(F159:U159),0)</f>
        <v>0</v>
      </c>
      <c r="W159" s="264"/>
      <c r="X159" s="97"/>
      <c r="Y159" s="597"/>
      <c r="Z159" s="91" t="str">
        <f>LOOKUP(V159,$AL$6:$AM$10)</f>
        <v>ضعيف</v>
      </c>
      <c r="AA159" s="658"/>
      <c r="AB159" s="72"/>
      <c r="AC159" s="655"/>
      <c r="AN159" s="607"/>
      <c r="AO159" s="607"/>
      <c r="AP159" s="613"/>
      <c r="AQ159" s="612"/>
      <c r="AR159" s="611"/>
      <c r="AS159" s="612"/>
    </row>
    <row r="160" spans="1:45" ht="15" customHeight="1" thickBot="1" x14ac:dyDescent="0.3">
      <c r="A160" s="632">
        <v>34</v>
      </c>
      <c r="B160" s="629">
        <f>VLOOKUP(A160,مسلسل,2,0)</f>
        <v>0</v>
      </c>
      <c r="C160" s="621" t="str">
        <f>IFERROR(VLOOKUP(B160,اسماء,2,0),"")</f>
        <v/>
      </c>
      <c r="D160" s="624" t="str">
        <f>IFERROR(VLOOKUP($B160,اسماء,3,0),"")</f>
        <v/>
      </c>
      <c r="E160" s="132" t="s">
        <v>30</v>
      </c>
      <c r="F160" s="627">
        <f>IFERROR(VLOOKUP($B160,اسماء,5,0),0)</f>
        <v>0</v>
      </c>
      <c r="G160" s="606"/>
      <c r="H160" s="628">
        <f>IFERROR(VLOOKUP($B160,اسماء,6,0),0)</f>
        <v>0</v>
      </c>
      <c r="I160" s="605"/>
      <c r="J160" s="587">
        <f>IFERROR(VLOOKUP($B160,اسماء,7,0),0)</f>
        <v>0</v>
      </c>
      <c r="K160" s="591"/>
      <c r="L160" s="587">
        <f>IFERROR(VLOOKUP($B160,اسماء,8,0),0)</f>
        <v>0</v>
      </c>
      <c r="M160" s="588"/>
      <c r="N160" s="587">
        <f>IFERROR(VLOOKUP($B160,اسماء,9,0),0)</f>
        <v>0</v>
      </c>
      <c r="O160" s="605"/>
      <c r="P160" s="587">
        <f>IFERROR(VLOOKUP($B160,اسماء,10,0),0)</f>
        <v>0</v>
      </c>
      <c r="Q160" s="605"/>
      <c r="R160" s="606">
        <f>IFERROR(VLOOKUP($B160,اسماء,11,0),0)</f>
        <v>0</v>
      </c>
      <c r="S160" s="591"/>
      <c r="T160" s="587">
        <f>IFERROR(VLOOKUP($B160,اسماء,12,0),0)</f>
        <v>0</v>
      </c>
      <c r="U160" s="591"/>
      <c r="V160" s="263">
        <f t="shared" ref="V160:V162" si="451">SUM(F160:U160)</f>
        <v>0</v>
      </c>
      <c r="W160" s="373">
        <f>IFERROR(VLOOKUP($B160,اسماء,14,0),0)</f>
        <v>0</v>
      </c>
      <c r="X160" s="373">
        <f>IFERROR(VLOOKUP($B160,اسماء,15,0),0)</f>
        <v>0</v>
      </c>
      <c r="Y160" s="595" t="str">
        <f t="shared" ref="Y160" si="452">IF(AC160="غائب","راسب",IF(AND(F163&gt;=$G$8,H163&gt;=$I$8,J163&gt;=$K$8,L163&gt;=$M$8,N163&gt;=$O$8,P163&gt;=$Q$8,R163&gt;=$S$8,T163&gt;=$U$8),"ناجح","له دور ثان"))</f>
        <v>له دور ثان</v>
      </c>
      <c r="Z160" s="21" t="str">
        <f>LOOKUP(V160,$AF$6:$AG$10)</f>
        <v>ضعيف</v>
      </c>
      <c r="AA160" s="656">
        <f>V163/$AF$3</f>
        <v>0</v>
      </c>
      <c r="AB160" s="72"/>
      <c r="AC160" s="653" t="str">
        <f>IFERROR(VLOOKUP($B160,اسماء,54,0),"")</f>
        <v/>
      </c>
      <c r="AN160" s="607" t="str">
        <f t="shared" ref="AN160" si="453">IF(V163=0,"",V163/1+ROW()*0.00001)</f>
        <v/>
      </c>
      <c r="AO160" s="607">
        <f>B160</f>
        <v>0</v>
      </c>
      <c r="AP160" s="613"/>
      <c r="AQ160" s="612">
        <v>34</v>
      </c>
      <c r="AR160" s="611" t="str">
        <f>IFERROR(LARGE($AN$10:$AN$1006,AQ160),"")</f>
        <v/>
      </c>
      <c r="AS160" s="612" t="str">
        <f>VLOOKUP(AR160,$AN$10:$AO$1116,2,0)</f>
        <v>أحمد نورالدين أحمد الذيب</v>
      </c>
    </row>
    <row r="161" spans="1:45" ht="15" customHeight="1" thickBot="1" x14ac:dyDescent="0.3">
      <c r="A161" s="633"/>
      <c r="B161" s="630"/>
      <c r="C161" s="622"/>
      <c r="D161" s="625"/>
      <c r="E161" s="133" t="s">
        <v>31</v>
      </c>
      <c r="F161" s="589">
        <f>IFERROR(VLOOKUP($B160,اسماء,18,0),0)</f>
        <v>0</v>
      </c>
      <c r="G161" s="592"/>
      <c r="H161" s="608">
        <f>IFERROR(VLOOKUP($B160,اسماء,19,0),0)</f>
        <v>0</v>
      </c>
      <c r="I161" s="609"/>
      <c r="J161" s="589">
        <f>IFERROR(VLOOKUP($B160,اسماء,20,0),0)</f>
        <v>0</v>
      </c>
      <c r="K161" s="592"/>
      <c r="L161" s="589">
        <f>IFERROR(VLOOKUP($B160,اسماء,21,0),0)</f>
        <v>0</v>
      </c>
      <c r="M161" s="590"/>
      <c r="N161" s="589">
        <f>IFERROR(VLOOKUP($B160,اسماء,22,0),0)</f>
        <v>0</v>
      </c>
      <c r="O161" s="590"/>
      <c r="P161" s="589">
        <f>IFERROR(VLOOKUP($B160,اسماء,23,0),0)</f>
        <v>0</v>
      </c>
      <c r="Q161" s="609"/>
      <c r="R161" s="603">
        <f>IFERROR(VLOOKUP($B160,اسماء,24,0),0)</f>
        <v>0</v>
      </c>
      <c r="S161" s="592"/>
      <c r="T161" s="589">
        <f>IFERROR(VLOOKUP($B160,اسماء,25,0),0)</f>
        <v>0</v>
      </c>
      <c r="U161" s="592"/>
      <c r="V161" s="263">
        <f t="shared" si="451"/>
        <v>0</v>
      </c>
      <c r="W161" s="373">
        <f>IFERROR(VLOOKUP($B160,اسماء,27,0),0)</f>
        <v>0</v>
      </c>
      <c r="X161" s="373">
        <f>IFERROR(VLOOKUP($B160,اسماء,28,0),0)</f>
        <v>0</v>
      </c>
      <c r="Y161" s="596"/>
      <c r="Z161" s="22" t="str">
        <f>LOOKUP(V161,$AF$6:$AG$10)</f>
        <v>ضعيف</v>
      </c>
      <c r="AA161" s="657"/>
      <c r="AB161" s="10"/>
      <c r="AC161" s="654"/>
      <c r="AN161" s="607"/>
      <c r="AO161" s="607"/>
      <c r="AP161" s="613"/>
      <c r="AQ161" s="612"/>
      <c r="AR161" s="611"/>
      <c r="AS161" s="612"/>
    </row>
    <row r="162" spans="1:45" ht="15" customHeight="1" x14ac:dyDescent="0.25">
      <c r="A162" s="633"/>
      <c r="B162" s="630"/>
      <c r="C162" s="622"/>
      <c r="D162" s="625"/>
      <c r="E162" s="133" t="s">
        <v>32</v>
      </c>
      <c r="F162" s="589">
        <f>IFERROR(VLOOKUP($B160,اسماء,31,0),0)</f>
        <v>0</v>
      </c>
      <c r="G162" s="592"/>
      <c r="H162" s="608">
        <f>IFERROR(VLOOKUP($B160,اسماء,32,0),0)</f>
        <v>0</v>
      </c>
      <c r="I162" s="609"/>
      <c r="J162" s="589">
        <f>IFERROR(VLOOKUP($B160,اسماء,33,0),0)</f>
        <v>0</v>
      </c>
      <c r="K162" s="592"/>
      <c r="L162" s="589">
        <f>IFERROR(VLOOKUP($B160,اسماء,34,0),0)</f>
        <v>0</v>
      </c>
      <c r="M162" s="590"/>
      <c r="N162" s="589">
        <f>IFERROR(VLOOKUP($B160,اسماء,35,0),0)</f>
        <v>0</v>
      </c>
      <c r="O162" s="590"/>
      <c r="P162" s="589">
        <f>IFERROR(VLOOKUP($B160,اسماء,36,0),0)</f>
        <v>0</v>
      </c>
      <c r="Q162" s="609"/>
      <c r="R162" s="603">
        <f>IFERROR(VLOOKUP($B160,اسماء,37,0),0)</f>
        <v>0</v>
      </c>
      <c r="S162" s="592"/>
      <c r="T162" s="589">
        <f>IFERROR(VLOOKUP($B160,اسماء,38,0),0)</f>
        <v>0</v>
      </c>
      <c r="U162" s="592"/>
      <c r="V162" s="263">
        <f t="shared" si="451"/>
        <v>0</v>
      </c>
      <c r="W162" s="373">
        <f>IFERROR(VLOOKUP($B160,اسماء,40,0),0)</f>
        <v>0</v>
      </c>
      <c r="X162" s="373">
        <f>IFERROR(VLOOKUP($B160,اسماء,41,0),0)</f>
        <v>0</v>
      </c>
      <c r="Y162" s="596"/>
      <c r="Z162" s="22" t="str">
        <f>LOOKUP(V162,$AI$6:$AJ$10)</f>
        <v>ضعيف</v>
      </c>
      <c r="AA162" s="657"/>
      <c r="AB162" s="72"/>
      <c r="AC162" s="654"/>
      <c r="AN162" s="607"/>
      <c r="AO162" s="607"/>
      <c r="AP162" s="613"/>
      <c r="AQ162" s="612"/>
      <c r="AR162" s="611"/>
      <c r="AS162" s="612"/>
    </row>
    <row r="163" spans="1:45" ht="15" customHeight="1" thickBot="1" x14ac:dyDescent="0.3">
      <c r="A163" s="634"/>
      <c r="B163" s="631"/>
      <c r="C163" s="623"/>
      <c r="D163" s="626"/>
      <c r="E163" s="127" t="s">
        <v>33</v>
      </c>
      <c r="F163" s="585">
        <f t="shared" ref="F163" si="454">SUM(F160:G162)</f>
        <v>0</v>
      </c>
      <c r="G163" s="593"/>
      <c r="H163" s="604">
        <f t="shared" ref="H163" si="455">SUM(H160:I162)</f>
        <v>0</v>
      </c>
      <c r="I163" s="601"/>
      <c r="J163" s="585">
        <f t="shared" ref="J163" si="456">SUM(J160:K162)</f>
        <v>0</v>
      </c>
      <c r="K163" s="593"/>
      <c r="L163" s="585">
        <f t="shared" ref="L163" si="457">SUM(L160:M162)</f>
        <v>0</v>
      </c>
      <c r="M163" s="586"/>
      <c r="N163" s="585">
        <f t="shared" ref="N163" si="458">SUM(N160:O162)</f>
        <v>0</v>
      </c>
      <c r="O163" s="586"/>
      <c r="P163" s="585">
        <f t="shared" ref="P163" si="459">SUM(P160:Q162)</f>
        <v>0</v>
      </c>
      <c r="Q163" s="601"/>
      <c r="R163" s="602">
        <f t="shared" ref="R163" si="460">SUM(R160:S162)</f>
        <v>0</v>
      </c>
      <c r="S163" s="593"/>
      <c r="T163" s="585">
        <f t="shared" ref="T163" si="461">SUM(T160:U162)</f>
        <v>0</v>
      </c>
      <c r="U163" s="593"/>
      <c r="V163" s="210">
        <f t="shared" ref="V163" si="462">IF(AND(F163&gt;=$G$8,H163&gt;=$I$8,L163&gt;=$M$8,P163&gt;=$Q$8,R163&gt;=$S$8,T163&gt;=$U$8),SUM(F163:U163),0)</f>
        <v>0</v>
      </c>
      <c r="W163" s="264"/>
      <c r="X163" s="97"/>
      <c r="Y163" s="597"/>
      <c r="Z163" s="91" t="str">
        <f>LOOKUP(V163,$AL$6:$AM$10)</f>
        <v>ضعيف</v>
      </c>
      <c r="AA163" s="658"/>
      <c r="AB163" s="72"/>
      <c r="AC163" s="655"/>
      <c r="AN163" s="607"/>
      <c r="AO163" s="607"/>
      <c r="AP163" s="613"/>
      <c r="AQ163" s="612"/>
      <c r="AR163" s="611"/>
      <c r="AS163" s="612"/>
    </row>
    <row r="164" spans="1:45" ht="15" customHeight="1" thickBot="1" x14ac:dyDescent="0.3">
      <c r="A164" s="632">
        <v>35</v>
      </c>
      <c r="B164" s="629">
        <f>VLOOKUP(A164,مسلسل,2,0)</f>
        <v>0</v>
      </c>
      <c r="C164" s="621" t="str">
        <f>IFERROR(VLOOKUP(B164,اسماء,2,0),"")</f>
        <v/>
      </c>
      <c r="D164" s="624" t="str">
        <f>IFERROR(VLOOKUP($B164,اسماء,3,0),"")</f>
        <v/>
      </c>
      <c r="E164" s="132" t="s">
        <v>30</v>
      </c>
      <c r="F164" s="627">
        <f>IFERROR(VLOOKUP($B164,اسماء,5,0),0)</f>
        <v>0</v>
      </c>
      <c r="G164" s="606"/>
      <c r="H164" s="628">
        <f>IFERROR(VLOOKUP($B164,اسماء,6,0),0)</f>
        <v>0</v>
      </c>
      <c r="I164" s="605"/>
      <c r="J164" s="587">
        <f>IFERROR(VLOOKUP($B164,اسماء,7,0),0)</f>
        <v>0</v>
      </c>
      <c r="K164" s="591"/>
      <c r="L164" s="587">
        <f>IFERROR(VLOOKUP($B164,اسماء,8,0),0)</f>
        <v>0</v>
      </c>
      <c r="M164" s="588"/>
      <c r="N164" s="587">
        <f>IFERROR(VLOOKUP($B164,اسماء,9,0),0)</f>
        <v>0</v>
      </c>
      <c r="O164" s="605"/>
      <c r="P164" s="587">
        <f>IFERROR(VLOOKUP($B164,اسماء,10,0),0)</f>
        <v>0</v>
      </c>
      <c r="Q164" s="605"/>
      <c r="R164" s="606">
        <f>IFERROR(VLOOKUP($B164,اسماء,11,0),0)</f>
        <v>0</v>
      </c>
      <c r="S164" s="591"/>
      <c r="T164" s="587">
        <f>IFERROR(VLOOKUP($B164,اسماء,12,0),0)</f>
        <v>0</v>
      </c>
      <c r="U164" s="591"/>
      <c r="V164" s="263">
        <f t="shared" ref="V164:V166" si="463">SUM(F164:U164)</f>
        <v>0</v>
      </c>
      <c r="W164" s="373">
        <f>IFERROR(VLOOKUP($B164,اسماء,14,0),0)</f>
        <v>0</v>
      </c>
      <c r="X164" s="373">
        <f>IFERROR(VLOOKUP($B164,اسماء,15,0),0)</f>
        <v>0</v>
      </c>
      <c r="Y164" s="595" t="str">
        <f t="shared" ref="Y164" si="464">IF(AC164="غائب","راسب",IF(AND(F167&gt;=$G$8,H167&gt;=$I$8,J167&gt;=$K$8,L167&gt;=$M$8,N167&gt;=$O$8,P167&gt;=$Q$8,R167&gt;=$S$8,T167&gt;=$U$8),"ناجح","له دور ثان"))</f>
        <v>له دور ثان</v>
      </c>
      <c r="Z164" s="21" t="str">
        <f t="shared" ref="Z164:Z165" si="465">LOOKUP(V164,$AF$6:$AG$10)</f>
        <v>ضعيف</v>
      </c>
      <c r="AA164" s="656">
        <f t="shared" ref="AA164" si="466">V167/$AF$3</f>
        <v>0</v>
      </c>
      <c r="AB164" s="10"/>
      <c r="AC164" s="653" t="str">
        <f>IFERROR(VLOOKUP($B164,اسماء,54,0),"")</f>
        <v/>
      </c>
      <c r="AN164" s="607" t="str">
        <f t="shared" ref="AN164" si="467">IF(V167=0,"",V167/1+ROW()*0.00001)</f>
        <v/>
      </c>
      <c r="AO164" s="607">
        <f>B164</f>
        <v>0</v>
      </c>
      <c r="AP164" s="613"/>
      <c r="AQ164" s="612">
        <v>35</v>
      </c>
      <c r="AR164" s="611" t="str">
        <f>IFERROR(LARGE($AN$10:$AN$1006,AQ164),"")</f>
        <v/>
      </c>
      <c r="AS164" s="612" t="str">
        <f>VLOOKUP(AR164,$AN$10:$AO$1116,2,0)</f>
        <v>أحمد نورالدين أحمد الذيب</v>
      </c>
    </row>
    <row r="165" spans="1:45" ht="15" customHeight="1" thickBot="1" x14ac:dyDescent="0.3">
      <c r="A165" s="633"/>
      <c r="B165" s="630"/>
      <c r="C165" s="622"/>
      <c r="D165" s="625"/>
      <c r="E165" s="133" t="s">
        <v>31</v>
      </c>
      <c r="F165" s="589">
        <f>IFERROR(VLOOKUP($B164,اسماء,18,0),0)</f>
        <v>0</v>
      </c>
      <c r="G165" s="592"/>
      <c r="H165" s="608">
        <f>IFERROR(VLOOKUP($B164,اسماء,19,0),0)</f>
        <v>0</v>
      </c>
      <c r="I165" s="609"/>
      <c r="J165" s="589">
        <f>IFERROR(VLOOKUP($B164,اسماء,20,0),0)</f>
        <v>0</v>
      </c>
      <c r="K165" s="592"/>
      <c r="L165" s="589">
        <f>IFERROR(VLOOKUP($B164,اسماء,21,0),0)</f>
        <v>0</v>
      </c>
      <c r="M165" s="590"/>
      <c r="N165" s="589">
        <f>IFERROR(VLOOKUP($B164,اسماء,22,0),0)</f>
        <v>0</v>
      </c>
      <c r="O165" s="590"/>
      <c r="P165" s="589">
        <f>IFERROR(VLOOKUP($B164,اسماء,23,0),0)</f>
        <v>0</v>
      </c>
      <c r="Q165" s="609"/>
      <c r="R165" s="603">
        <f>IFERROR(VLOOKUP($B164,اسماء,24,0),0)</f>
        <v>0</v>
      </c>
      <c r="S165" s="592"/>
      <c r="T165" s="589">
        <f>IFERROR(VLOOKUP($B164,اسماء,25,0),0)</f>
        <v>0</v>
      </c>
      <c r="U165" s="592"/>
      <c r="V165" s="263">
        <f t="shared" si="463"/>
        <v>0</v>
      </c>
      <c r="W165" s="373">
        <f>IFERROR(VLOOKUP($B164,اسماء,27,0),0)</f>
        <v>0</v>
      </c>
      <c r="X165" s="373">
        <f>IFERROR(VLOOKUP($B164,اسماء,28,0),0)</f>
        <v>0</v>
      </c>
      <c r="Y165" s="596"/>
      <c r="Z165" s="22" t="str">
        <f t="shared" si="465"/>
        <v>ضعيف</v>
      </c>
      <c r="AA165" s="657"/>
      <c r="AB165" s="72"/>
      <c r="AC165" s="654"/>
      <c r="AN165" s="607"/>
      <c r="AO165" s="607"/>
      <c r="AP165" s="613"/>
      <c r="AQ165" s="612"/>
      <c r="AR165" s="611"/>
      <c r="AS165" s="612"/>
    </row>
    <row r="166" spans="1:45" ht="15" customHeight="1" x14ac:dyDescent="0.25">
      <c r="A166" s="633"/>
      <c r="B166" s="630"/>
      <c r="C166" s="622"/>
      <c r="D166" s="625"/>
      <c r="E166" s="133" t="s">
        <v>32</v>
      </c>
      <c r="F166" s="589">
        <f>IFERROR(VLOOKUP($B164,اسماء,31,0),0)</f>
        <v>0</v>
      </c>
      <c r="G166" s="592"/>
      <c r="H166" s="608">
        <f>IFERROR(VLOOKUP($B164,اسماء,32,0),0)</f>
        <v>0</v>
      </c>
      <c r="I166" s="609"/>
      <c r="J166" s="589">
        <f>IFERROR(VLOOKUP($B164,اسماء,33,0),0)</f>
        <v>0</v>
      </c>
      <c r="K166" s="592"/>
      <c r="L166" s="589">
        <f>IFERROR(VLOOKUP($B164,اسماء,34,0),0)</f>
        <v>0</v>
      </c>
      <c r="M166" s="590"/>
      <c r="N166" s="589">
        <f>IFERROR(VLOOKUP($B164,اسماء,35,0),0)</f>
        <v>0</v>
      </c>
      <c r="O166" s="590"/>
      <c r="P166" s="589">
        <f>IFERROR(VLOOKUP($B164,اسماء,36,0),0)</f>
        <v>0</v>
      </c>
      <c r="Q166" s="609"/>
      <c r="R166" s="603">
        <f>IFERROR(VLOOKUP($B164,اسماء,37,0),0)</f>
        <v>0</v>
      </c>
      <c r="S166" s="592"/>
      <c r="T166" s="589">
        <f>IFERROR(VLOOKUP($B164,اسماء,38,0),0)</f>
        <v>0</v>
      </c>
      <c r="U166" s="592"/>
      <c r="V166" s="263">
        <f t="shared" si="463"/>
        <v>0</v>
      </c>
      <c r="W166" s="373">
        <f>IFERROR(VLOOKUP($B164,اسماء,40,0),0)</f>
        <v>0</v>
      </c>
      <c r="X166" s="373">
        <f>IFERROR(VLOOKUP($B164,اسماء,41,0),0)</f>
        <v>0</v>
      </c>
      <c r="Y166" s="596"/>
      <c r="Z166" s="22" t="str">
        <f t="shared" ref="Z166" si="468">LOOKUP(V166,$AI$6:$AJ$10)</f>
        <v>ضعيف</v>
      </c>
      <c r="AA166" s="657"/>
      <c r="AB166" s="72"/>
      <c r="AC166" s="654"/>
      <c r="AN166" s="607"/>
      <c r="AO166" s="607"/>
      <c r="AP166" s="613"/>
      <c r="AQ166" s="612"/>
      <c r="AR166" s="611"/>
      <c r="AS166" s="612"/>
    </row>
    <row r="167" spans="1:45" ht="15" customHeight="1" thickBot="1" x14ac:dyDescent="0.3">
      <c r="A167" s="634"/>
      <c r="B167" s="631"/>
      <c r="C167" s="623"/>
      <c r="D167" s="626"/>
      <c r="E167" s="127" t="s">
        <v>33</v>
      </c>
      <c r="F167" s="585">
        <f t="shared" ref="F167" si="469">SUM(F164:G166)</f>
        <v>0</v>
      </c>
      <c r="G167" s="593"/>
      <c r="H167" s="604">
        <f t="shared" ref="H167" si="470">SUM(H164:I166)</f>
        <v>0</v>
      </c>
      <c r="I167" s="601"/>
      <c r="J167" s="585">
        <f t="shared" ref="J167" si="471">SUM(J164:K166)</f>
        <v>0</v>
      </c>
      <c r="K167" s="593"/>
      <c r="L167" s="585">
        <f t="shared" ref="L167" si="472">SUM(L164:M166)</f>
        <v>0</v>
      </c>
      <c r="M167" s="586"/>
      <c r="N167" s="585">
        <f t="shared" ref="N167" si="473">SUM(N164:O166)</f>
        <v>0</v>
      </c>
      <c r="O167" s="586"/>
      <c r="P167" s="585">
        <f t="shared" ref="P167" si="474">SUM(P164:Q166)</f>
        <v>0</v>
      </c>
      <c r="Q167" s="601"/>
      <c r="R167" s="602">
        <f t="shared" ref="R167" si="475">SUM(R164:S166)</f>
        <v>0</v>
      </c>
      <c r="S167" s="593"/>
      <c r="T167" s="585">
        <f t="shared" ref="T167" si="476">SUM(T164:U166)</f>
        <v>0</v>
      </c>
      <c r="U167" s="593"/>
      <c r="V167" s="210">
        <f t="shared" ref="V167" si="477">IF(AND(F167&gt;=$G$8,H167&gt;=$I$8,L167&gt;=$M$8,P167&gt;=$Q$8,R167&gt;=$S$8,T167&gt;=$U$8),SUM(F167:U167),0)</f>
        <v>0</v>
      </c>
      <c r="W167" s="264"/>
      <c r="X167" s="97"/>
      <c r="Y167" s="597"/>
      <c r="Z167" s="91" t="str">
        <f t="shared" ref="Z167" si="478">LOOKUP(V167,$AL$6:$AM$10)</f>
        <v>ضعيف</v>
      </c>
      <c r="AA167" s="658"/>
      <c r="AB167" s="10"/>
      <c r="AC167" s="655"/>
      <c r="AN167" s="607"/>
      <c r="AO167" s="607"/>
      <c r="AP167" s="613"/>
      <c r="AQ167" s="612"/>
      <c r="AR167" s="611"/>
      <c r="AS167" s="612"/>
    </row>
    <row r="168" spans="1:45" ht="15" customHeight="1" thickBot="1" x14ac:dyDescent="0.3">
      <c r="A168" s="632">
        <v>36</v>
      </c>
      <c r="B168" s="629">
        <f>VLOOKUP(A168,مسلسل,2,0)</f>
        <v>0</v>
      </c>
      <c r="C168" s="621" t="str">
        <f>IFERROR(VLOOKUP(B168,اسماء,2,0),"")</f>
        <v/>
      </c>
      <c r="D168" s="624" t="str">
        <f>IFERROR(VLOOKUP($B168,اسماء,3,0),"")</f>
        <v/>
      </c>
      <c r="E168" s="132" t="s">
        <v>30</v>
      </c>
      <c r="F168" s="627">
        <f>IFERROR(VLOOKUP($B168,اسماء,5,0),0)</f>
        <v>0</v>
      </c>
      <c r="G168" s="606"/>
      <c r="H168" s="628">
        <f>IFERROR(VLOOKUP($B168,اسماء,6,0),0)</f>
        <v>0</v>
      </c>
      <c r="I168" s="605"/>
      <c r="J168" s="587">
        <f>IFERROR(VLOOKUP($B168,اسماء,7,0),0)</f>
        <v>0</v>
      </c>
      <c r="K168" s="591"/>
      <c r="L168" s="587">
        <f>IFERROR(VLOOKUP($B168,اسماء,8,0),0)</f>
        <v>0</v>
      </c>
      <c r="M168" s="588"/>
      <c r="N168" s="587">
        <f>IFERROR(VLOOKUP($B168,اسماء,9,0),0)</f>
        <v>0</v>
      </c>
      <c r="O168" s="605"/>
      <c r="P168" s="587">
        <f>IFERROR(VLOOKUP($B168,اسماء,10,0),0)</f>
        <v>0</v>
      </c>
      <c r="Q168" s="605"/>
      <c r="R168" s="606">
        <f>IFERROR(VLOOKUP($B168,اسماء,11,0),0)</f>
        <v>0</v>
      </c>
      <c r="S168" s="591"/>
      <c r="T168" s="587">
        <f>IFERROR(VLOOKUP($B168,اسماء,12,0),0)</f>
        <v>0</v>
      </c>
      <c r="U168" s="591"/>
      <c r="V168" s="263">
        <f t="shared" ref="V168:V170" si="479">SUM(F168:U168)</f>
        <v>0</v>
      </c>
      <c r="W168" s="373">
        <f>IFERROR(VLOOKUP($B168,اسماء,14,0),0)</f>
        <v>0</v>
      </c>
      <c r="X168" s="373">
        <f>IFERROR(VLOOKUP($B168,اسماء,15,0),0)</f>
        <v>0</v>
      </c>
      <c r="Y168" s="595" t="str">
        <f t="shared" ref="Y168" si="480">IF(AC168="غائب","راسب",IF(AND(F171&gt;=$G$8,H171&gt;=$I$8,J171&gt;=$K$8,L171&gt;=$M$8,N171&gt;=$O$8,P171&gt;=$Q$8,R171&gt;=$S$8,T171&gt;=$U$8),"ناجح","له دور ثان"))</f>
        <v>له دور ثان</v>
      </c>
      <c r="Z168" s="21" t="str">
        <f t="shared" ref="Z168:Z169" si="481">LOOKUP(V168,$AF$6:$AG$10)</f>
        <v>ضعيف</v>
      </c>
      <c r="AA168" s="656">
        <f t="shared" ref="AA168" si="482">V171/$AF$3</f>
        <v>0</v>
      </c>
      <c r="AB168" s="72"/>
      <c r="AC168" s="653" t="str">
        <f>IFERROR(VLOOKUP($B168,اسماء,54,0),"")</f>
        <v/>
      </c>
      <c r="AN168" s="607" t="str">
        <f t="shared" ref="AN168" si="483">IF(V171=0,"",V171/1+ROW()*0.00001)</f>
        <v/>
      </c>
      <c r="AO168" s="607">
        <f>B168</f>
        <v>0</v>
      </c>
      <c r="AP168" s="613"/>
      <c r="AQ168" s="612">
        <v>36</v>
      </c>
      <c r="AR168" s="611" t="str">
        <f>IFERROR(LARGE($AN$10:$AN$1006,AQ168),"")</f>
        <v/>
      </c>
      <c r="AS168" s="612" t="str">
        <f>VLOOKUP(AR168,$AN$10:$AO$1116,2,0)</f>
        <v>أحمد نورالدين أحمد الذيب</v>
      </c>
    </row>
    <row r="169" spans="1:45" ht="15" customHeight="1" thickBot="1" x14ac:dyDescent="0.3">
      <c r="A169" s="633"/>
      <c r="B169" s="630"/>
      <c r="C169" s="622"/>
      <c r="D169" s="625"/>
      <c r="E169" s="133" t="s">
        <v>31</v>
      </c>
      <c r="F169" s="589">
        <f>IFERROR(VLOOKUP($B168,اسماء,18,0),0)</f>
        <v>0</v>
      </c>
      <c r="G169" s="592"/>
      <c r="H169" s="608">
        <f>IFERROR(VLOOKUP($B168,اسماء,19,0),0)</f>
        <v>0</v>
      </c>
      <c r="I169" s="609"/>
      <c r="J169" s="589">
        <f>IFERROR(VLOOKUP($B168,اسماء,20,0),0)</f>
        <v>0</v>
      </c>
      <c r="K169" s="592"/>
      <c r="L169" s="589">
        <f>IFERROR(VLOOKUP($B168,اسماء,21,0),0)</f>
        <v>0</v>
      </c>
      <c r="M169" s="590"/>
      <c r="N169" s="589">
        <f>IFERROR(VLOOKUP($B168,اسماء,22,0),0)</f>
        <v>0</v>
      </c>
      <c r="O169" s="590"/>
      <c r="P169" s="589">
        <f>IFERROR(VLOOKUP($B168,اسماء,23,0),0)</f>
        <v>0</v>
      </c>
      <c r="Q169" s="609"/>
      <c r="R169" s="603">
        <f>IFERROR(VLOOKUP($B168,اسماء,24,0),0)</f>
        <v>0</v>
      </c>
      <c r="S169" s="592"/>
      <c r="T169" s="589">
        <f>IFERROR(VLOOKUP($B168,اسماء,25,0),0)</f>
        <v>0</v>
      </c>
      <c r="U169" s="592"/>
      <c r="V169" s="263">
        <f t="shared" si="479"/>
        <v>0</v>
      </c>
      <c r="W169" s="373">
        <f>IFERROR(VLOOKUP($B168,اسماء,27,0),0)</f>
        <v>0</v>
      </c>
      <c r="X169" s="373">
        <f>IFERROR(VLOOKUP($B168,اسماء,28,0),0)</f>
        <v>0</v>
      </c>
      <c r="Y169" s="596"/>
      <c r="Z169" s="22" t="str">
        <f t="shared" si="481"/>
        <v>ضعيف</v>
      </c>
      <c r="AA169" s="657"/>
      <c r="AB169" s="72"/>
      <c r="AC169" s="654"/>
      <c r="AN169" s="607"/>
      <c r="AO169" s="607"/>
      <c r="AP169" s="613"/>
      <c r="AQ169" s="612"/>
      <c r="AR169" s="611"/>
      <c r="AS169" s="612"/>
    </row>
    <row r="170" spans="1:45" ht="15" customHeight="1" x14ac:dyDescent="0.25">
      <c r="A170" s="633"/>
      <c r="B170" s="630"/>
      <c r="C170" s="622"/>
      <c r="D170" s="625"/>
      <c r="E170" s="133" t="s">
        <v>32</v>
      </c>
      <c r="F170" s="589">
        <f>IFERROR(VLOOKUP($B168,اسماء,31,0),0)</f>
        <v>0</v>
      </c>
      <c r="G170" s="592"/>
      <c r="H170" s="608">
        <f>IFERROR(VLOOKUP($B168,اسماء,32,0),0)</f>
        <v>0</v>
      </c>
      <c r="I170" s="609"/>
      <c r="J170" s="589">
        <f>IFERROR(VLOOKUP($B168,اسماء,33,0),0)</f>
        <v>0</v>
      </c>
      <c r="K170" s="592"/>
      <c r="L170" s="589">
        <f>IFERROR(VLOOKUP($B168,اسماء,34,0),0)</f>
        <v>0</v>
      </c>
      <c r="M170" s="590"/>
      <c r="N170" s="589">
        <f>IFERROR(VLOOKUP($B168,اسماء,35,0),0)</f>
        <v>0</v>
      </c>
      <c r="O170" s="590"/>
      <c r="P170" s="589">
        <f>IFERROR(VLOOKUP($B168,اسماء,36,0),0)</f>
        <v>0</v>
      </c>
      <c r="Q170" s="609"/>
      <c r="R170" s="603">
        <f>IFERROR(VLOOKUP($B168,اسماء,37,0),0)</f>
        <v>0</v>
      </c>
      <c r="S170" s="592"/>
      <c r="T170" s="589">
        <f>IFERROR(VLOOKUP($B168,اسماء,38,0),0)</f>
        <v>0</v>
      </c>
      <c r="U170" s="592"/>
      <c r="V170" s="263">
        <f t="shared" si="479"/>
        <v>0</v>
      </c>
      <c r="W170" s="373">
        <f>IFERROR(VLOOKUP($B168,اسماء,40,0),0)</f>
        <v>0</v>
      </c>
      <c r="X170" s="373">
        <f>IFERROR(VLOOKUP($B168,اسماء,41,0),0)</f>
        <v>0</v>
      </c>
      <c r="Y170" s="596"/>
      <c r="Z170" s="22" t="str">
        <f t="shared" ref="Z170" si="484">LOOKUP(V170,$AI$6:$AJ$10)</f>
        <v>ضعيف</v>
      </c>
      <c r="AA170" s="657"/>
      <c r="AB170" s="10"/>
      <c r="AC170" s="654"/>
      <c r="AN170" s="607"/>
      <c r="AO170" s="607"/>
      <c r="AP170" s="613"/>
      <c r="AQ170" s="612"/>
      <c r="AR170" s="611"/>
      <c r="AS170" s="612"/>
    </row>
    <row r="171" spans="1:45" ht="15" customHeight="1" thickBot="1" x14ac:dyDescent="0.3">
      <c r="A171" s="634"/>
      <c r="B171" s="631"/>
      <c r="C171" s="623"/>
      <c r="D171" s="626"/>
      <c r="E171" s="127" t="s">
        <v>33</v>
      </c>
      <c r="F171" s="585">
        <f t="shared" ref="F171" si="485">SUM(F168:G170)</f>
        <v>0</v>
      </c>
      <c r="G171" s="593"/>
      <c r="H171" s="604">
        <f t="shared" ref="H171" si="486">SUM(H168:I170)</f>
        <v>0</v>
      </c>
      <c r="I171" s="601"/>
      <c r="J171" s="585">
        <f t="shared" ref="J171" si="487">SUM(J168:K170)</f>
        <v>0</v>
      </c>
      <c r="K171" s="593"/>
      <c r="L171" s="585">
        <f t="shared" ref="L171" si="488">SUM(L168:M170)</f>
        <v>0</v>
      </c>
      <c r="M171" s="586"/>
      <c r="N171" s="585">
        <f t="shared" ref="N171" si="489">SUM(N168:O170)</f>
        <v>0</v>
      </c>
      <c r="O171" s="586"/>
      <c r="P171" s="585">
        <f t="shared" ref="P171" si="490">SUM(P168:Q170)</f>
        <v>0</v>
      </c>
      <c r="Q171" s="601"/>
      <c r="R171" s="602">
        <f t="shared" ref="R171" si="491">SUM(R168:S170)</f>
        <v>0</v>
      </c>
      <c r="S171" s="593"/>
      <c r="T171" s="585">
        <f t="shared" ref="T171" si="492">SUM(T168:U170)</f>
        <v>0</v>
      </c>
      <c r="U171" s="593"/>
      <c r="V171" s="210">
        <f t="shared" ref="V171" si="493">IF(AND(F171&gt;=$G$8,H171&gt;=$I$8,L171&gt;=$M$8,P171&gt;=$Q$8,R171&gt;=$S$8,T171&gt;=$U$8),SUM(F171:U171),0)</f>
        <v>0</v>
      </c>
      <c r="W171" s="264"/>
      <c r="X171" s="97"/>
      <c r="Y171" s="597"/>
      <c r="Z171" s="91" t="str">
        <f t="shared" ref="Z171" si="494">LOOKUP(V171,$AL$6:$AM$10)</f>
        <v>ضعيف</v>
      </c>
      <c r="AA171" s="658"/>
      <c r="AB171" s="72"/>
      <c r="AC171" s="655"/>
      <c r="AN171" s="607"/>
      <c r="AO171" s="607"/>
      <c r="AP171" s="613"/>
      <c r="AQ171" s="612"/>
      <c r="AR171" s="611"/>
      <c r="AS171" s="612"/>
    </row>
    <row r="172" spans="1:45" ht="15" customHeight="1" thickBot="1" x14ac:dyDescent="0.3">
      <c r="A172" s="632">
        <v>37</v>
      </c>
      <c r="B172" s="629">
        <f>VLOOKUP(A172,مسلسل,2,0)</f>
        <v>0</v>
      </c>
      <c r="C172" s="621" t="str">
        <f>IFERROR(VLOOKUP(B172,اسماء,2,0),"")</f>
        <v/>
      </c>
      <c r="D172" s="624" t="str">
        <f>IFERROR(VLOOKUP($B172,اسماء,3,0),"")</f>
        <v/>
      </c>
      <c r="E172" s="132" t="s">
        <v>30</v>
      </c>
      <c r="F172" s="627">
        <f>IFERROR(VLOOKUP($B172,اسماء,5,0),0)</f>
        <v>0</v>
      </c>
      <c r="G172" s="606"/>
      <c r="H172" s="628">
        <f>IFERROR(VLOOKUP($B172,اسماء,6,0),0)</f>
        <v>0</v>
      </c>
      <c r="I172" s="605"/>
      <c r="J172" s="587">
        <f>IFERROR(VLOOKUP($B172,اسماء,7,0),0)</f>
        <v>0</v>
      </c>
      <c r="K172" s="591"/>
      <c r="L172" s="587">
        <f>IFERROR(VLOOKUP($B172,اسماء,8,0),0)</f>
        <v>0</v>
      </c>
      <c r="M172" s="588"/>
      <c r="N172" s="587">
        <f>IFERROR(VLOOKUP($B172,اسماء,9,0),0)</f>
        <v>0</v>
      </c>
      <c r="O172" s="605"/>
      <c r="P172" s="587">
        <f>IFERROR(VLOOKUP($B172,اسماء,10,0),0)</f>
        <v>0</v>
      </c>
      <c r="Q172" s="605"/>
      <c r="R172" s="606">
        <f>IFERROR(VLOOKUP($B172,اسماء,11,0),0)</f>
        <v>0</v>
      </c>
      <c r="S172" s="591"/>
      <c r="T172" s="587">
        <f>IFERROR(VLOOKUP($B172,اسماء,12,0),0)</f>
        <v>0</v>
      </c>
      <c r="U172" s="591"/>
      <c r="V172" s="263">
        <f t="shared" ref="V172:V174" si="495">SUM(F172:U172)</f>
        <v>0</v>
      </c>
      <c r="W172" s="373">
        <f>IFERROR(VLOOKUP($B172,اسماء,14,0),0)</f>
        <v>0</v>
      </c>
      <c r="X172" s="373">
        <f>IFERROR(VLOOKUP($B172,اسماء,15,0),0)</f>
        <v>0</v>
      </c>
      <c r="Y172" s="595" t="str">
        <f t="shared" ref="Y172" si="496">IF(AC172="غائب","راسب",IF(AND(F175&gt;=$G$8,H175&gt;=$I$8,J175&gt;=$K$8,L175&gt;=$M$8,N175&gt;=$O$8,P175&gt;=$Q$8,R175&gt;=$S$8,T175&gt;=$U$8),"ناجح","له دور ثان"))</f>
        <v>له دور ثان</v>
      </c>
      <c r="Z172" s="21" t="str">
        <f t="shared" ref="Z172:Z173" si="497">LOOKUP(V172,$AF$6:$AG$10)</f>
        <v>ضعيف</v>
      </c>
      <c r="AA172" s="656">
        <f t="shared" ref="AA172" si="498">V175/$AF$3</f>
        <v>0</v>
      </c>
      <c r="AB172" s="72"/>
      <c r="AC172" s="653" t="str">
        <f>IFERROR(VLOOKUP($B172,اسماء,54,0),"")</f>
        <v/>
      </c>
      <c r="AN172" s="607" t="str">
        <f t="shared" ref="AN172" si="499">IF(V175=0,"",V175/1+ROW()*0.00001)</f>
        <v/>
      </c>
      <c r="AO172" s="607">
        <f>B172</f>
        <v>0</v>
      </c>
      <c r="AP172" s="613"/>
      <c r="AQ172" s="612">
        <v>37</v>
      </c>
      <c r="AR172" s="611" t="str">
        <f>IFERROR(LARGE($AN$10:$AN$1006,AQ172),"")</f>
        <v/>
      </c>
      <c r="AS172" s="612" t="str">
        <f>VLOOKUP(AR172,$AN$10:$AO$1116,2,0)</f>
        <v>أحمد نورالدين أحمد الذيب</v>
      </c>
    </row>
    <row r="173" spans="1:45" ht="15" customHeight="1" thickBot="1" x14ac:dyDescent="0.3">
      <c r="A173" s="633"/>
      <c r="B173" s="630"/>
      <c r="C173" s="622"/>
      <c r="D173" s="625"/>
      <c r="E173" s="133" t="s">
        <v>31</v>
      </c>
      <c r="F173" s="589">
        <f>IFERROR(VLOOKUP($B172,اسماء,18,0),0)</f>
        <v>0</v>
      </c>
      <c r="G173" s="592"/>
      <c r="H173" s="608">
        <f>IFERROR(VLOOKUP($B172,اسماء,19,0),0)</f>
        <v>0</v>
      </c>
      <c r="I173" s="609"/>
      <c r="J173" s="589">
        <f>IFERROR(VLOOKUP($B172,اسماء,20,0),0)</f>
        <v>0</v>
      </c>
      <c r="K173" s="592"/>
      <c r="L173" s="589">
        <f>IFERROR(VLOOKUP($B172,اسماء,21,0),0)</f>
        <v>0</v>
      </c>
      <c r="M173" s="590"/>
      <c r="N173" s="589">
        <f>IFERROR(VLOOKUP($B172,اسماء,22,0),0)</f>
        <v>0</v>
      </c>
      <c r="O173" s="590"/>
      <c r="P173" s="589">
        <f>IFERROR(VLOOKUP($B172,اسماء,23,0),0)</f>
        <v>0</v>
      </c>
      <c r="Q173" s="609"/>
      <c r="R173" s="603">
        <f>IFERROR(VLOOKUP($B172,اسماء,24,0),0)</f>
        <v>0</v>
      </c>
      <c r="S173" s="592"/>
      <c r="T173" s="589">
        <f>IFERROR(VLOOKUP($B172,اسماء,25,0),0)</f>
        <v>0</v>
      </c>
      <c r="U173" s="592"/>
      <c r="V173" s="263">
        <f t="shared" si="495"/>
        <v>0</v>
      </c>
      <c r="W173" s="373">
        <f>IFERROR(VLOOKUP($B172,اسماء,27,0),0)</f>
        <v>0</v>
      </c>
      <c r="X173" s="373">
        <f>IFERROR(VLOOKUP($B172,اسماء,28,0),0)</f>
        <v>0</v>
      </c>
      <c r="Y173" s="596"/>
      <c r="Z173" s="22" t="str">
        <f t="shared" si="497"/>
        <v>ضعيف</v>
      </c>
      <c r="AA173" s="657"/>
      <c r="AB173" s="10"/>
      <c r="AC173" s="654"/>
      <c r="AN173" s="607"/>
      <c r="AO173" s="607"/>
      <c r="AP173" s="613"/>
      <c r="AQ173" s="612"/>
      <c r="AR173" s="611"/>
      <c r="AS173" s="612"/>
    </row>
    <row r="174" spans="1:45" ht="15" customHeight="1" x14ac:dyDescent="0.25">
      <c r="A174" s="633"/>
      <c r="B174" s="630"/>
      <c r="C174" s="622"/>
      <c r="D174" s="625"/>
      <c r="E174" s="133" t="s">
        <v>32</v>
      </c>
      <c r="F174" s="589">
        <f>IFERROR(VLOOKUP($B172,اسماء,31,0),0)</f>
        <v>0</v>
      </c>
      <c r="G174" s="592"/>
      <c r="H174" s="608">
        <f>IFERROR(VLOOKUP($B172,اسماء,32,0),0)</f>
        <v>0</v>
      </c>
      <c r="I174" s="609"/>
      <c r="J174" s="589">
        <f>IFERROR(VLOOKUP($B172,اسماء,33,0),0)</f>
        <v>0</v>
      </c>
      <c r="K174" s="592"/>
      <c r="L174" s="589">
        <f>IFERROR(VLOOKUP($B172,اسماء,34,0),0)</f>
        <v>0</v>
      </c>
      <c r="M174" s="590"/>
      <c r="N174" s="589">
        <f>IFERROR(VLOOKUP($B172,اسماء,35,0),0)</f>
        <v>0</v>
      </c>
      <c r="O174" s="590"/>
      <c r="P174" s="589">
        <f>IFERROR(VLOOKUP($B172,اسماء,36,0),0)</f>
        <v>0</v>
      </c>
      <c r="Q174" s="609"/>
      <c r="R174" s="603">
        <f>IFERROR(VLOOKUP($B172,اسماء,37,0),0)</f>
        <v>0</v>
      </c>
      <c r="S174" s="592"/>
      <c r="T174" s="589">
        <f>IFERROR(VLOOKUP($B172,اسماء,38,0),0)</f>
        <v>0</v>
      </c>
      <c r="U174" s="592"/>
      <c r="V174" s="263">
        <f t="shared" si="495"/>
        <v>0</v>
      </c>
      <c r="W174" s="373">
        <f>IFERROR(VLOOKUP($B172,اسماء,40,0),0)</f>
        <v>0</v>
      </c>
      <c r="X174" s="373">
        <f>IFERROR(VLOOKUP($B172,اسماء,41,0),0)</f>
        <v>0</v>
      </c>
      <c r="Y174" s="596"/>
      <c r="Z174" s="22" t="str">
        <f t="shared" ref="Z174" si="500">LOOKUP(V174,$AI$6:$AJ$10)</f>
        <v>ضعيف</v>
      </c>
      <c r="AA174" s="657"/>
      <c r="AB174" s="72"/>
      <c r="AC174" s="654"/>
      <c r="AN174" s="607"/>
      <c r="AO174" s="607"/>
      <c r="AP174" s="613"/>
      <c r="AQ174" s="612"/>
      <c r="AR174" s="611"/>
      <c r="AS174" s="612"/>
    </row>
    <row r="175" spans="1:45" ht="15" customHeight="1" thickBot="1" x14ac:dyDescent="0.3">
      <c r="A175" s="634"/>
      <c r="B175" s="631"/>
      <c r="C175" s="623"/>
      <c r="D175" s="626"/>
      <c r="E175" s="127" t="s">
        <v>33</v>
      </c>
      <c r="F175" s="585">
        <f t="shared" ref="F175" si="501">SUM(F172:G174)</f>
        <v>0</v>
      </c>
      <c r="G175" s="593"/>
      <c r="H175" s="604">
        <f t="shared" ref="H175" si="502">SUM(H172:I174)</f>
        <v>0</v>
      </c>
      <c r="I175" s="601"/>
      <c r="J175" s="585">
        <f t="shared" ref="J175" si="503">SUM(J172:K174)</f>
        <v>0</v>
      </c>
      <c r="K175" s="593"/>
      <c r="L175" s="585">
        <f t="shared" ref="L175" si="504">SUM(L172:M174)</f>
        <v>0</v>
      </c>
      <c r="M175" s="586"/>
      <c r="N175" s="585">
        <f t="shared" ref="N175" si="505">SUM(N172:O174)</f>
        <v>0</v>
      </c>
      <c r="O175" s="586"/>
      <c r="P175" s="585">
        <f t="shared" ref="P175" si="506">SUM(P172:Q174)</f>
        <v>0</v>
      </c>
      <c r="Q175" s="601"/>
      <c r="R175" s="602">
        <f t="shared" ref="R175" si="507">SUM(R172:S174)</f>
        <v>0</v>
      </c>
      <c r="S175" s="593"/>
      <c r="T175" s="585">
        <f t="shared" ref="T175" si="508">SUM(T172:U174)</f>
        <v>0</v>
      </c>
      <c r="U175" s="593"/>
      <c r="V175" s="210">
        <f t="shared" ref="V175" si="509">IF(AND(F175&gt;=$G$8,H175&gt;=$I$8,L175&gt;=$M$8,P175&gt;=$Q$8,R175&gt;=$S$8,T175&gt;=$U$8),SUM(F175:U175),0)</f>
        <v>0</v>
      </c>
      <c r="W175" s="264"/>
      <c r="X175" s="97"/>
      <c r="Y175" s="597"/>
      <c r="Z175" s="91" t="str">
        <f t="shared" ref="Z175" si="510">LOOKUP(V175,$AL$6:$AM$10)</f>
        <v>ضعيف</v>
      </c>
      <c r="AA175" s="658"/>
      <c r="AB175" s="72"/>
      <c r="AC175" s="655"/>
      <c r="AN175" s="607"/>
      <c r="AO175" s="607"/>
      <c r="AP175" s="613"/>
      <c r="AQ175" s="612"/>
      <c r="AR175" s="611"/>
      <c r="AS175" s="612"/>
    </row>
    <row r="176" spans="1:45" ht="15" customHeight="1" thickBot="1" x14ac:dyDescent="0.3">
      <c r="A176" s="632">
        <v>38</v>
      </c>
      <c r="B176" s="629">
        <f>VLOOKUP(A176,مسلسل,2,0)</f>
        <v>0</v>
      </c>
      <c r="C176" s="621" t="str">
        <f>IFERROR(VLOOKUP(B176,اسماء,2,0),"")</f>
        <v/>
      </c>
      <c r="D176" s="624" t="str">
        <f>IFERROR(VLOOKUP($B176,اسماء,3,0),"")</f>
        <v/>
      </c>
      <c r="E176" s="132" t="s">
        <v>30</v>
      </c>
      <c r="F176" s="627">
        <f>IFERROR(VLOOKUP($B176,اسماء,5,0),0)</f>
        <v>0</v>
      </c>
      <c r="G176" s="606"/>
      <c r="H176" s="628">
        <f>IFERROR(VLOOKUP($B176,اسماء,6,0),0)</f>
        <v>0</v>
      </c>
      <c r="I176" s="605"/>
      <c r="J176" s="587">
        <f>IFERROR(VLOOKUP($B176,اسماء,7,0),0)</f>
        <v>0</v>
      </c>
      <c r="K176" s="591"/>
      <c r="L176" s="587">
        <f>IFERROR(VLOOKUP($B176,اسماء,8,0),0)</f>
        <v>0</v>
      </c>
      <c r="M176" s="588"/>
      <c r="N176" s="587">
        <f>IFERROR(VLOOKUP($B176,اسماء,9,0),0)</f>
        <v>0</v>
      </c>
      <c r="O176" s="605"/>
      <c r="P176" s="587">
        <f>IFERROR(VLOOKUP($B176,اسماء,10,0),0)</f>
        <v>0</v>
      </c>
      <c r="Q176" s="605"/>
      <c r="R176" s="606">
        <f>IFERROR(VLOOKUP($B176,اسماء,11,0),0)</f>
        <v>0</v>
      </c>
      <c r="S176" s="591"/>
      <c r="T176" s="587">
        <f>IFERROR(VLOOKUP($B176,اسماء,12,0),0)</f>
        <v>0</v>
      </c>
      <c r="U176" s="591"/>
      <c r="V176" s="263">
        <f t="shared" ref="V176:V178" si="511">SUM(F176:U176)</f>
        <v>0</v>
      </c>
      <c r="W176" s="373">
        <f>IFERROR(VLOOKUP($B176,اسماء,14,0),0)</f>
        <v>0</v>
      </c>
      <c r="X176" s="373">
        <f>IFERROR(VLOOKUP($B176,اسماء,15,0),0)</f>
        <v>0</v>
      </c>
      <c r="Y176" s="595" t="str">
        <f t="shared" ref="Y176" si="512">IF(AC176="غائب","راسب",IF(AND(F179&gt;=$G$8,H179&gt;=$I$8,J179&gt;=$K$8,L179&gt;=$M$8,N179&gt;=$O$8,P179&gt;=$Q$8,R179&gt;=$S$8,T179&gt;=$U$8),"ناجح","له دور ثان"))</f>
        <v>له دور ثان</v>
      </c>
      <c r="Z176" s="21" t="str">
        <f t="shared" ref="Z176:Z177" si="513">LOOKUP(V176,$AF$6:$AG$10)</f>
        <v>ضعيف</v>
      </c>
      <c r="AA176" s="656">
        <f t="shared" ref="AA176" si="514">V179/$AF$3</f>
        <v>0</v>
      </c>
      <c r="AB176" s="10"/>
      <c r="AC176" s="653" t="str">
        <f>IFERROR(VLOOKUP($B176,اسماء,54,0),"")</f>
        <v/>
      </c>
      <c r="AN176" s="607" t="str">
        <f t="shared" ref="AN176" si="515">IF(V179=0,"",V179/1+ROW()*0.00001)</f>
        <v/>
      </c>
      <c r="AO176" s="607">
        <f>B176</f>
        <v>0</v>
      </c>
      <c r="AP176" s="613"/>
      <c r="AQ176" s="612">
        <v>38</v>
      </c>
      <c r="AR176" s="611" t="str">
        <f>IFERROR(LARGE($AN$10:$AN$1006,AQ176),"")</f>
        <v/>
      </c>
      <c r="AS176" s="612" t="str">
        <f>VLOOKUP(AR176,$AN$10:$AO$1116,2,0)</f>
        <v>أحمد نورالدين أحمد الذيب</v>
      </c>
    </row>
    <row r="177" spans="1:45" ht="15" customHeight="1" thickBot="1" x14ac:dyDescent="0.3">
      <c r="A177" s="633"/>
      <c r="B177" s="630"/>
      <c r="C177" s="622"/>
      <c r="D177" s="625"/>
      <c r="E177" s="133" t="s">
        <v>31</v>
      </c>
      <c r="F177" s="589">
        <f>IFERROR(VLOOKUP($B176,اسماء,18,0),0)</f>
        <v>0</v>
      </c>
      <c r="G177" s="592"/>
      <c r="H177" s="608">
        <f>IFERROR(VLOOKUP($B176,اسماء,19,0),0)</f>
        <v>0</v>
      </c>
      <c r="I177" s="609"/>
      <c r="J177" s="589">
        <f>IFERROR(VLOOKUP($B176,اسماء,20,0),0)</f>
        <v>0</v>
      </c>
      <c r="K177" s="592"/>
      <c r="L177" s="589">
        <f>IFERROR(VLOOKUP($B176,اسماء,21,0),0)</f>
        <v>0</v>
      </c>
      <c r="M177" s="590"/>
      <c r="N177" s="589">
        <f>IFERROR(VLOOKUP($B176,اسماء,22,0),0)</f>
        <v>0</v>
      </c>
      <c r="O177" s="590"/>
      <c r="P177" s="589">
        <f>IFERROR(VLOOKUP($B176,اسماء,23,0),0)</f>
        <v>0</v>
      </c>
      <c r="Q177" s="609"/>
      <c r="R177" s="603">
        <f>IFERROR(VLOOKUP($B176,اسماء,24,0),0)</f>
        <v>0</v>
      </c>
      <c r="S177" s="592"/>
      <c r="T177" s="589">
        <f>IFERROR(VLOOKUP($B176,اسماء,25,0),0)</f>
        <v>0</v>
      </c>
      <c r="U177" s="592"/>
      <c r="V177" s="263">
        <f t="shared" si="511"/>
        <v>0</v>
      </c>
      <c r="W177" s="373">
        <f>IFERROR(VLOOKUP($B176,اسماء,27,0),0)</f>
        <v>0</v>
      </c>
      <c r="X177" s="373">
        <f>IFERROR(VLOOKUP($B176,اسماء,28,0),0)</f>
        <v>0</v>
      </c>
      <c r="Y177" s="596"/>
      <c r="Z177" s="22" t="str">
        <f t="shared" si="513"/>
        <v>ضعيف</v>
      </c>
      <c r="AA177" s="657"/>
      <c r="AB177" s="72"/>
      <c r="AC177" s="654"/>
      <c r="AN177" s="607"/>
      <c r="AO177" s="607"/>
      <c r="AP177" s="613"/>
      <c r="AQ177" s="612"/>
      <c r="AR177" s="611"/>
      <c r="AS177" s="612"/>
    </row>
    <row r="178" spans="1:45" ht="15" customHeight="1" x14ac:dyDescent="0.25">
      <c r="A178" s="633"/>
      <c r="B178" s="630"/>
      <c r="C178" s="622"/>
      <c r="D178" s="625"/>
      <c r="E178" s="133" t="s">
        <v>32</v>
      </c>
      <c r="F178" s="589">
        <f>IFERROR(VLOOKUP($B176,اسماء,31,0),0)</f>
        <v>0</v>
      </c>
      <c r="G178" s="592"/>
      <c r="H178" s="608">
        <f>IFERROR(VLOOKUP($B176,اسماء,32,0),0)</f>
        <v>0</v>
      </c>
      <c r="I178" s="609"/>
      <c r="J178" s="589">
        <f>IFERROR(VLOOKUP($B176,اسماء,33,0),0)</f>
        <v>0</v>
      </c>
      <c r="K178" s="592"/>
      <c r="L178" s="589">
        <f>IFERROR(VLOOKUP($B176,اسماء,34,0),0)</f>
        <v>0</v>
      </c>
      <c r="M178" s="590"/>
      <c r="N178" s="589">
        <f>IFERROR(VLOOKUP($B176,اسماء,35,0),0)</f>
        <v>0</v>
      </c>
      <c r="O178" s="590"/>
      <c r="P178" s="589">
        <f>IFERROR(VLOOKUP($B176,اسماء,36,0),0)</f>
        <v>0</v>
      </c>
      <c r="Q178" s="609"/>
      <c r="R178" s="603">
        <f>IFERROR(VLOOKUP($B176,اسماء,37,0),0)</f>
        <v>0</v>
      </c>
      <c r="S178" s="592"/>
      <c r="T178" s="589">
        <f>IFERROR(VLOOKUP($B176,اسماء,38,0),0)</f>
        <v>0</v>
      </c>
      <c r="U178" s="592"/>
      <c r="V178" s="263">
        <f t="shared" si="511"/>
        <v>0</v>
      </c>
      <c r="W178" s="373">
        <f>IFERROR(VLOOKUP($B176,اسماء,40,0),0)</f>
        <v>0</v>
      </c>
      <c r="X178" s="373">
        <f>IFERROR(VLOOKUP($B176,اسماء,41,0),0)</f>
        <v>0</v>
      </c>
      <c r="Y178" s="596"/>
      <c r="Z178" s="22" t="str">
        <f t="shared" ref="Z178" si="516">LOOKUP(V178,$AI$6:$AJ$10)</f>
        <v>ضعيف</v>
      </c>
      <c r="AA178" s="657"/>
      <c r="AB178" s="72"/>
      <c r="AC178" s="654"/>
      <c r="AN178" s="607"/>
      <c r="AO178" s="607"/>
      <c r="AP178" s="613"/>
      <c r="AQ178" s="612"/>
      <c r="AR178" s="611"/>
      <c r="AS178" s="612"/>
    </row>
    <row r="179" spans="1:45" ht="15" customHeight="1" thickBot="1" x14ac:dyDescent="0.3">
      <c r="A179" s="634"/>
      <c r="B179" s="631"/>
      <c r="C179" s="623"/>
      <c r="D179" s="626"/>
      <c r="E179" s="127" t="s">
        <v>33</v>
      </c>
      <c r="F179" s="585">
        <f t="shared" ref="F179" si="517">SUM(F176:G178)</f>
        <v>0</v>
      </c>
      <c r="G179" s="593"/>
      <c r="H179" s="604">
        <f t="shared" ref="H179" si="518">SUM(H176:I178)</f>
        <v>0</v>
      </c>
      <c r="I179" s="601"/>
      <c r="J179" s="585">
        <f t="shared" ref="J179" si="519">SUM(J176:K178)</f>
        <v>0</v>
      </c>
      <c r="K179" s="593"/>
      <c r="L179" s="585">
        <f t="shared" ref="L179" si="520">SUM(L176:M178)</f>
        <v>0</v>
      </c>
      <c r="M179" s="586"/>
      <c r="N179" s="585">
        <f t="shared" ref="N179" si="521">SUM(N176:O178)</f>
        <v>0</v>
      </c>
      <c r="O179" s="586"/>
      <c r="P179" s="585">
        <f t="shared" ref="P179" si="522">SUM(P176:Q178)</f>
        <v>0</v>
      </c>
      <c r="Q179" s="601"/>
      <c r="R179" s="602">
        <f t="shared" ref="R179" si="523">SUM(R176:S178)</f>
        <v>0</v>
      </c>
      <c r="S179" s="593"/>
      <c r="T179" s="585">
        <f t="shared" ref="T179" si="524">SUM(T176:U178)</f>
        <v>0</v>
      </c>
      <c r="U179" s="593"/>
      <c r="V179" s="210">
        <f t="shared" ref="V179" si="525">IF(AND(F179&gt;=$G$8,H179&gt;=$I$8,L179&gt;=$M$8,P179&gt;=$Q$8,R179&gt;=$S$8,T179&gt;=$U$8),SUM(F179:U179),0)</f>
        <v>0</v>
      </c>
      <c r="W179" s="264"/>
      <c r="X179" s="97"/>
      <c r="Y179" s="597"/>
      <c r="Z179" s="91" t="str">
        <f t="shared" ref="Z179" si="526">LOOKUP(V179,$AL$6:$AM$10)</f>
        <v>ضعيف</v>
      </c>
      <c r="AA179" s="658"/>
      <c r="AB179" s="10"/>
      <c r="AC179" s="655"/>
      <c r="AN179" s="607"/>
      <c r="AO179" s="607"/>
      <c r="AP179" s="613"/>
      <c r="AQ179" s="612"/>
      <c r="AR179" s="611"/>
      <c r="AS179" s="612"/>
    </row>
    <row r="180" spans="1:45" ht="15" customHeight="1" thickBot="1" x14ac:dyDescent="0.3">
      <c r="A180" s="632">
        <v>39</v>
      </c>
      <c r="B180" s="629">
        <f>VLOOKUP(A180,مسلسل,2,0)</f>
        <v>0</v>
      </c>
      <c r="C180" s="621" t="str">
        <f>IFERROR(VLOOKUP(B180,اسماء,2,0),"")</f>
        <v/>
      </c>
      <c r="D180" s="624" t="str">
        <f>IFERROR(VLOOKUP($B180,اسماء,3,0),"")</f>
        <v/>
      </c>
      <c r="E180" s="132" t="s">
        <v>30</v>
      </c>
      <c r="F180" s="627">
        <f>IFERROR(VLOOKUP($B180,اسماء,5,0),0)</f>
        <v>0</v>
      </c>
      <c r="G180" s="606"/>
      <c r="H180" s="628">
        <f>IFERROR(VLOOKUP($B180,اسماء,6,0),0)</f>
        <v>0</v>
      </c>
      <c r="I180" s="605"/>
      <c r="J180" s="587">
        <f>IFERROR(VLOOKUP($B180,اسماء,7,0),0)</f>
        <v>0</v>
      </c>
      <c r="K180" s="591"/>
      <c r="L180" s="587">
        <f>IFERROR(VLOOKUP($B180,اسماء,8,0),0)</f>
        <v>0</v>
      </c>
      <c r="M180" s="588"/>
      <c r="N180" s="587">
        <f>IFERROR(VLOOKUP($B180,اسماء,9,0),0)</f>
        <v>0</v>
      </c>
      <c r="O180" s="605"/>
      <c r="P180" s="587">
        <f>IFERROR(VLOOKUP($B180,اسماء,10,0),0)</f>
        <v>0</v>
      </c>
      <c r="Q180" s="605"/>
      <c r="R180" s="606">
        <f>IFERROR(VLOOKUP($B180,اسماء,11,0),0)</f>
        <v>0</v>
      </c>
      <c r="S180" s="591"/>
      <c r="T180" s="587">
        <f>IFERROR(VLOOKUP($B180,اسماء,12,0),0)</f>
        <v>0</v>
      </c>
      <c r="U180" s="591"/>
      <c r="V180" s="263">
        <f t="shared" ref="V180:V182" si="527">SUM(F180:U180)</f>
        <v>0</v>
      </c>
      <c r="W180" s="373">
        <f>IFERROR(VLOOKUP($B180,اسماء,14,0),0)</f>
        <v>0</v>
      </c>
      <c r="X180" s="373">
        <f>IFERROR(VLOOKUP($B180,اسماء,15,0),0)</f>
        <v>0</v>
      </c>
      <c r="Y180" s="595" t="str">
        <f t="shared" ref="Y180" si="528">IF(AC180="غائب","راسب",IF(AND(F183&gt;=$G$8,H183&gt;=$I$8,J183&gt;=$K$8,L183&gt;=$M$8,N183&gt;=$O$8,P183&gt;=$Q$8,R183&gt;=$S$8,T183&gt;=$U$8),"ناجح","له دور ثان"))</f>
        <v>له دور ثان</v>
      </c>
      <c r="Z180" s="21" t="str">
        <f t="shared" ref="Z180:Z181" si="529">LOOKUP(V180,$AF$6:$AG$10)</f>
        <v>ضعيف</v>
      </c>
      <c r="AA180" s="656">
        <f t="shared" ref="AA180" si="530">V183/$AF$3</f>
        <v>0</v>
      </c>
      <c r="AB180" s="72"/>
      <c r="AC180" s="653" t="str">
        <f>IFERROR(VLOOKUP($B180,اسماء,54,0),"")</f>
        <v/>
      </c>
      <c r="AN180" s="607" t="str">
        <f t="shared" ref="AN180" si="531">IF(V183=0,"",V183/1+ROW()*0.00001)</f>
        <v/>
      </c>
      <c r="AO180" s="607">
        <f>B180</f>
        <v>0</v>
      </c>
      <c r="AP180" s="613"/>
      <c r="AQ180" s="612">
        <v>39</v>
      </c>
      <c r="AR180" s="611" t="str">
        <f>IFERROR(LARGE($AN$10:$AN$1006,AQ180),"")</f>
        <v/>
      </c>
      <c r="AS180" s="612" t="str">
        <f>VLOOKUP(AR180,$AN$10:$AO$1116,2,0)</f>
        <v>أحمد نورالدين أحمد الذيب</v>
      </c>
    </row>
    <row r="181" spans="1:45" ht="15" customHeight="1" thickBot="1" x14ac:dyDescent="0.3">
      <c r="A181" s="633"/>
      <c r="B181" s="630"/>
      <c r="C181" s="622"/>
      <c r="D181" s="625"/>
      <c r="E181" s="133" t="s">
        <v>31</v>
      </c>
      <c r="F181" s="589">
        <f>IFERROR(VLOOKUP($B180,اسماء,18,0),0)</f>
        <v>0</v>
      </c>
      <c r="G181" s="592"/>
      <c r="H181" s="608">
        <f>IFERROR(VLOOKUP($B180,اسماء,19,0),0)</f>
        <v>0</v>
      </c>
      <c r="I181" s="609"/>
      <c r="J181" s="589">
        <f>IFERROR(VLOOKUP($B180,اسماء,20,0),0)</f>
        <v>0</v>
      </c>
      <c r="K181" s="592"/>
      <c r="L181" s="589">
        <f>IFERROR(VLOOKUP($B180,اسماء,21,0),0)</f>
        <v>0</v>
      </c>
      <c r="M181" s="590"/>
      <c r="N181" s="589">
        <f>IFERROR(VLOOKUP($B180,اسماء,22,0),0)</f>
        <v>0</v>
      </c>
      <c r="O181" s="590"/>
      <c r="P181" s="589">
        <f>IFERROR(VLOOKUP($B180,اسماء,23,0),0)</f>
        <v>0</v>
      </c>
      <c r="Q181" s="609"/>
      <c r="R181" s="603">
        <f>IFERROR(VLOOKUP($B180,اسماء,24,0),0)</f>
        <v>0</v>
      </c>
      <c r="S181" s="592"/>
      <c r="T181" s="589">
        <f>IFERROR(VLOOKUP($B180,اسماء,25,0),0)</f>
        <v>0</v>
      </c>
      <c r="U181" s="592"/>
      <c r="V181" s="263">
        <f t="shared" si="527"/>
        <v>0</v>
      </c>
      <c r="W181" s="373">
        <f>IFERROR(VLOOKUP($B180,اسماء,27,0),0)</f>
        <v>0</v>
      </c>
      <c r="X181" s="373">
        <f>IFERROR(VLOOKUP($B180,اسماء,28,0),0)</f>
        <v>0</v>
      </c>
      <c r="Y181" s="596"/>
      <c r="Z181" s="22" t="str">
        <f t="shared" si="529"/>
        <v>ضعيف</v>
      </c>
      <c r="AA181" s="657"/>
      <c r="AB181" s="72"/>
      <c r="AC181" s="654"/>
      <c r="AN181" s="607"/>
      <c r="AO181" s="607"/>
      <c r="AP181" s="613"/>
      <c r="AQ181" s="612"/>
      <c r="AR181" s="611"/>
      <c r="AS181" s="612"/>
    </row>
    <row r="182" spans="1:45" ht="15" customHeight="1" x14ac:dyDescent="0.25">
      <c r="A182" s="633"/>
      <c r="B182" s="630"/>
      <c r="C182" s="622"/>
      <c r="D182" s="625"/>
      <c r="E182" s="133" t="s">
        <v>32</v>
      </c>
      <c r="F182" s="589">
        <f>IFERROR(VLOOKUP($B180,اسماء,31,0),0)</f>
        <v>0</v>
      </c>
      <c r="G182" s="592"/>
      <c r="H182" s="608">
        <f>IFERROR(VLOOKUP($B180,اسماء,32,0),0)</f>
        <v>0</v>
      </c>
      <c r="I182" s="609"/>
      <c r="J182" s="589">
        <f>IFERROR(VLOOKUP($B180,اسماء,33,0),0)</f>
        <v>0</v>
      </c>
      <c r="K182" s="592"/>
      <c r="L182" s="589">
        <f>IFERROR(VLOOKUP($B180,اسماء,34,0),0)</f>
        <v>0</v>
      </c>
      <c r="M182" s="590"/>
      <c r="N182" s="589">
        <f>IFERROR(VLOOKUP($B180,اسماء,35,0),0)</f>
        <v>0</v>
      </c>
      <c r="O182" s="590"/>
      <c r="P182" s="589">
        <f>IFERROR(VLOOKUP($B180,اسماء,36,0),0)</f>
        <v>0</v>
      </c>
      <c r="Q182" s="609"/>
      <c r="R182" s="603">
        <f>IFERROR(VLOOKUP($B180,اسماء,37,0),0)</f>
        <v>0</v>
      </c>
      <c r="S182" s="592"/>
      <c r="T182" s="589">
        <f>IFERROR(VLOOKUP($B180,اسماء,38,0),0)</f>
        <v>0</v>
      </c>
      <c r="U182" s="592"/>
      <c r="V182" s="263">
        <f t="shared" si="527"/>
        <v>0</v>
      </c>
      <c r="W182" s="373">
        <f>IFERROR(VLOOKUP($B180,اسماء,40,0),0)</f>
        <v>0</v>
      </c>
      <c r="X182" s="373">
        <f>IFERROR(VLOOKUP($B180,اسماء,41,0),0)</f>
        <v>0</v>
      </c>
      <c r="Y182" s="596"/>
      <c r="Z182" s="22" t="str">
        <f t="shared" ref="Z182" si="532">LOOKUP(V182,$AI$6:$AJ$10)</f>
        <v>ضعيف</v>
      </c>
      <c r="AA182" s="657"/>
      <c r="AB182" s="10"/>
      <c r="AC182" s="654"/>
      <c r="AN182" s="607"/>
      <c r="AO182" s="607"/>
      <c r="AP182" s="613"/>
      <c r="AQ182" s="612"/>
      <c r="AR182" s="611"/>
      <c r="AS182" s="612"/>
    </row>
    <row r="183" spans="1:45" ht="15" customHeight="1" thickBot="1" x14ac:dyDescent="0.3">
      <c r="A183" s="634"/>
      <c r="B183" s="631"/>
      <c r="C183" s="623"/>
      <c r="D183" s="626"/>
      <c r="E183" s="127" t="s">
        <v>33</v>
      </c>
      <c r="F183" s="585">
        <f t="shared" ref="F183" si="533">SUM(F180:G182)</f>
        <v>0</v>
      </c>
      <c r="G183" s="593"/>
      <c r="H183" s="604">
        <f t="shared" ref="H183" si="534">SUM(H180:I182)</f>
        <v>0</v>
      </c>
      <c r="I183" s="601"/>
      <c r="J183" s="585">
        <f t="shared" ref="J183" si="535">SUM(J180:K182)</f>
        <v>0</v>
      </c>
      <c r="K183" s="593"/>
      <c r="L183" s="585">
        <f t="shared" ref="L183" si="536">SUM(L180:M182)</f>
        <v>0</v>
      </c>
      <c r="M183" s="586"/>
      <c r="N183" s="585">
        <f t="shared" ref="N183" si="537">SUM(N180:O182)</f>
        <v>0</v>
      </c>
      <c r="O183" s="586"/>
      <c r="P183" s="585">
        <f t="shared" ref="P183" si="538">SUM(P180:Q182)</f>
        <v>0</v>
      </c>
      <c r="Q183" s="601"/>
      <c r="R183" s="602">
        <f t="shared" ref="R183" si="539">SUM(R180:S182)</f>
        <v>0</v>
      </c>
      <c r="S183" s="593"/>
      <c r="T183" s="585">
        <f t="shared" ref="T183" si="540">SUM(T180:U182)</f>
        <v>0</v>
      </c>
      <c r="U183" s="593"/>
      <c r="V183" s="210">
        <f t="shared" ref="V183" si="541">IF(AND(F183&gt;=$G$8,H183&gt;=$I$8,L183&gt;=$M$8,P183&gt;=$Q$8,R183&gt;=$S$8,T183&gt;=$U$8),SUM(F183:U183),0)</f>
        <v>0</v>
      </c>
      <c r="W183" s="264"/>
      <c r="X183" s="97"/>
      <c r="Y183" s="597"/>
      <c r="Z183" s="91" t="str">
        <f t="shared" ref="Z183" si="542">LOOKUP(V183,$AL$6:$AM$10)</f>
        <v>ضعيف</v>
      </c>
      <c r="AA183" s="658"/>
      <c r="AB183" s="72"/>
      <c r="AC183" s="655"/>
      <c r="AN183" s="607"/>
      <c r="AO183" s="607"/>
      <c r="AP183" s="613"/>
      <c r="AQ183" s="612"/>
      <c r="AR183" s="611"/>
      <c r="AS183" s="612"/>
    </row>
    <row r="184" spans="1:45" ht="15" customHeight="1" thickBot="1" x14ac:dyDescent="0.3">
      <c r="A184" s="632">
        <v>40</v>
      </c>
      <c r="B184" s="629">
        <f>VLOOKUP(A184,مسلسل,2,0)</f>
        <v>0</v>
      </c>
      <c r="C184" s="621" t="str">
        <f>IFERROR(VLOOKUP(B184,اسماء,2,0),"")</f>
        <v/>
      </c>
      <c r="D184" s="624" t="str">
        <f>IFERROR(VLOOKUP($B184,اسماء,3,0),"")</f>
        <v/>
      </c>
      <c r="E184" s="132" t="s">
        <v>30</v>
      </c>
      <c r="F184" s="627">
        <f>IFERROR(VLOOKUP($B184,اسماء,5,0),0)</f>
        <v>0</v>
      </c>
      <c r="G184" s="606"/>
      <c r="H184" s="628">
        <f>IFERROR(VLOOKUP($B184,اسماء,6,0),0)</f>
        <v>0</v>
      </c>
      <c r="I184" s="605"/>
      <c r="J184" s="587">
        <f>IFERROR(VLOOKUP($B184,اسماء,7,0),0)</f>
        <v>0</v>
      </c>
      <c r="K184" s="591"/>
      <c r="L184" s="587">
        <f>IFERROR(VLOOKUP($B184,اسماء,8,0),0)</f>
        <v>0</v>
      </c>
      <c r="M184" s="588"/>
      <c r="N184" s="587">
        <f>IFERROR(VLOOKUP($B184,اسماء,9,0),0)</f>
        <v>0</v>
      </c>
      <c r="O184" s="605"/>
      <c r="P184" s="587">
        <f>IFERROR(VLOOKUP($B184,اسماء,10,0),0)</f>
        <v>0</v>
      </c>
      <c r="Q184" s="605"/>
      <c r="R184" s="606">
        <f>IFERROR(VLOOKUP($B184,اسماء,11,0),0)</f>
        <v>0</v>
      </c>
      <c r="S184" s="591"/>
      <c r="T184" s="587">
        <f>IFERROR(VLOOKUP($B184,اسماء,12,0),0)</f>
        <v>0</v>
      </c>
      <c r="U184" s="591"/>
      <c r="V184" s="263">
        <f t="shared" ref="V184:V186" si="543">SUM(F184:U184)</f>
        <v>0</v>
      </c>
      <c r="W184" s="373">
        <f>IFERROR(VLOOKUP($B184,اسماء,14,0),0)</f>
        <v>0</v>
      </c>
      <c r="X184" s="373">
        <f>IFERROR(VLOOKUP($B184,اسماء,15,0),0)</f>
        <v>0</v>
      </c>
      <c r="Y184" s="595" t="str">
        <f t="shared" ref="Y184" si="544">IF(AC184="غائب","راسب",IF(AND(F187&gt;=$G$8,H187&gt;=$I$8,J187&gt;=$K$8,L187&gt;=$M$8,N187&gt;=$O$8,P187&gt;=$Q$8,R187&gt;=$S$8,T187&gt;=$U$8),"ناجح","له دور ثان"))</f>
        <v>له دور ثان</v>
      </c>
      <c r="Z184" s="21" t="str">
        <f t="shared" ref="Z184:Z185" si="545">LOOKUP(V184,$AF$6:$AG$10)</f>
        <v>ضعيف</v>
      </c>
      <c r="AA184" s="656">
        <f t="shared" ref="AA184" si="546">V187/$AF$3</f>
        <v>0</v>
      </c>
      <c r="AB184" s="72"/>
      <c r="AC184" s="653" t="str">
        <f>IFERROR(VLOOKUP($B184,اسماء,54,0),"")</f>
        <v/>
      </c>
      <c r="AN184" s="607" t="str">
        <f t="shared" ref="AN184" si="547">IF(V187=0,"",V187/1+ROW()*0.00001)</f>
        <v/>
      </c>
      <c r="AO184" s="607">
        <f>B184</f>
        <v>0</v>
      </c>
      <c r="AP184" s="613"/>
      <c r="AQ184" s="612">
        <v>40</v>
      </c>
      <c r="AR184" s="611" t="str">
        <f>IFERROR(LARGE($AN$10:$AN$1006,AQ184),"")</f>
        <v/>
      </c>
      <c r="AS184" s="612" t="str">
        <f>VLOOKUP(AR184,$AN$10:$AO$1116,2,0)</f>
        <v>أحمد نورالدين أحمد الذيب</v>
      </c>
    </row>
    <row r="185" spans="1:45" ht="15" customHeight="1" thickBot="1" x14ac:dyDescent="0.3">
      <c r="A185" s="633"/>
      <c r="B185" s="630"/>
      <c r="C185" s="622"/>
      <c r="D185" s="625"/>
      <c r="E185" s="133" t="s">
        <v>31</v>
      </c>
      <c r="F185" s="589">
        <f>IFERROR(VLOOKUP($B184,اسماء,18,0),0)</f>
        <v>0</v>
      </c>
      <c r="G185" s="592"/>
      <c r="H185" s="608">
        <f>IFERROR(VLOOKUP($B184,اسماء,19,0),0)</f>
        <v>0</v>
      </c>
      <c r="I185" s="609"/>
      <c r="J185" s="589">
        <f>IFERROR(VLOOKUP($B184,اسماء,20,0),0)</f>
        <v>0</v>
      </c>
      <c r="K185" s="592"/>
      <c r="L185" s="589">
        <f>IFERROR(VLOOKUP($B184,اسماء,21,0),0)</f>
        <v>0</v>
      </c>
      <c r="M185" s="590"/>
      <c r="N185" s="589">
        <f>IFERROR(VLOOKUP($B184,اسماء,22,0),0)</f>
        <v>0</v>
      </c>
      <c r="O185" s="590"/>
      <c r="P185" s="589">
        <f>IFERROR(VLOOKUP($B184,اسماء,23,0),0)</f>
        <v>0</v>
      </c>
      <c r="Q185" s="609"/>
      <c r="R185" s="603">
        <f>IFERROR(VLOOKUP($B184,اسماء,24,0),0)</f>
        <v>0</v>
      </c>
      <c r="S185" s="592"/>
      <c r="T185" s="589">
        <f>IFERROR(VLOOKUP($B184,اسماء,25,0),0)</f>
        <v>0</v>
      </c>
      <c r="U185" s="592"/>
      <c r="V185" s="263">
        <f t="shared" si="543"/>
        <v>0</v>
      </c>
      <c r="W185" s="373">
        <f>IFERROR(VLOOKUP($B184,اسماء,27,0),0)</f>
        <v>0</v>
      </c>
      <c r="X185" s="373">
        <f>IFERROR(VLOOKUP($B184,اسماء,28,0),0)</f>
        <v>0</v>
      </c>
      <c r="Y185" s="596"/>
      <c r="Z185" s="22" t="str">
        <f t="shared" si="545"/>
        <v>ضعيف</v>
      </c>
      <c r="AA185" s="657"/>
      <c r="AB185" s="10"/>
      <c r="AC185" s="654"/>
      <c r="AN185" s="607"/>
      <c r="AO185" s="607"/>
      <c r="AP185" s="613"/>
      <c r="AQ185" s="612"/>
      <c r="AR185" s="611"/>
      <c r="AS185" s="612"/>
    </row>
    <row r="186" spans="1:45" ht="15" customHeight="1" x14ac:dyDescent="0.25">
      <c r="A186" s="633"/>
      <c r="B186" s="630"/>
      <c r="C186" s="622"/>
      <c r="D186" s="625"/>
      <c r="E186" s="133" t="s">
        <v>32</v>
      </c>
      <c r="F186" s="589">
        <f>IFERROR(VLOOKUP($B184,اسماء,31,0),0)</f>
        <v>0</v>
      </c>
      <c r="G186" s="592"/>
      <c r="H186" s="608">
        <f>IFERROR(VLOOKUP($B184,اسماء,32,0),0)</f>
        <v>0</v>
      </c>
      <c r="I186" s="609"/>
      <c r="J186" s="589">
        <f>IFERROR(VLOOKUP($B184,اسماء,33,0),0)</f>
        <v>0</v>
      </c>
      <c r="K186" s="592"/>
      <c r="L186" s="589">
        <f>IFERROR(VLOOKUP($B184,اسماء,34,0),0)</f>
        <v>0</v>
      </c>
      <c r="M186" s="590"/>
      <c r="N186" s="589">
        <f>IFERROR(VLOOKUP($B184,اسماء,35,0),0)</f>
        <v>0</v>
      </c>
      <c r="O186" s="590"/>
      <c r="P186" s="589">
        <f>IFERROR(VLOOKUP($B184,اسماء,36,0),0)</f>
        <v>0</v>
      </c>
      <c r="Q186" s="609"/>
      <c r="R186" s="603">
        <f>IFERROR(VLOOKUP($B184,اسماء,37,0),0)</f>
        <v>0</v>
      </c>
      <c r="S186" s="592"/>
      <c r="T186" s="589">
        <f>IFERROR(VLOOKUP($B184,اسماء,38,0),0)</f>
        <v>0</v>
      </c>
      <c r="U186" s="592"/>
      <c r="V186" s="263">
        <f t="shared" si="543"/>
        <v>0</v>
      </c>
      <c r="W186" s="373">
        <f>IFERROR(VLOOKUP($B184,اسماء,40,0),0)</f>
        <v>0</v>
      </c>
      <c r="X186" s="373">
        <f>IFERROR(VLOOKUP($B184,اسماء,41,0),0)</f>
        <v>0</v>
      </c>
      <c r="Y186" s="596"/>
      <c r="Z186" s="22" t="str">
        <f t="shared" ref="Z186" si="548">LOOKUP(V186,$AI$6:$AJ$10)</f>
        <v>ضعيف</v>
      </c>
      <c r="AA186" s="657"/>
      <c r="AB186" s="72"/>
      <c r="AC186" s="654"/>
      <c r="AN186" s="607"/>
      <c r="AO186" s="607"/>
      <c r="AP186" s="613"/>
      <c r="AQ186" s="612"/>
      <c r="AR186" s="611"/>
      <c r="AS186" s="612"/>
    </row>
    <row r="187" spans="1:45" ht="15" customHeight="1" thickBot="1" x14ac:dyDescent="0.3">
      <c r="A187" s="634"/>
      <c r="B187" s="631"/>
      <c r="C187" s="623"/>
      <c r="D187" s="626"/>
      <c r="E187" s="127" t="s">
        <v>33</v>
      </c>
      <c r="F187" s="585">
        <f t="shared" ref="F187" si="549">SUM(F184:G186)</f>
        <v>0</v>
      </c>
      <c r="G187" s="593"/>
      <c r="H187" s="604">
        <f t="shared" ref="H187" si="550">SUM(H184:I186)</f>
        <v>0</v>
      </c>
      <c r="I187" s="601"/>
      <c r="J187" s="585">
        <f t="shared" ref="J187" si="551">SUM(J184:K186)</f>
        <v>0</v>
      </c>
      <c r="K187" s="593"/>
      <c r="L187" s="585">
        <f t="shared" ref="L187" si="552">SUM(L184:M186)</f>
        <v>0</v>
      </c>
      <c r="M187" s="586"/>
      <c r="N187" s="585">
        <f t="shared" ref="N187" si="553">SUM(N184:O186)</f>
        <v>0</v>
      </c>
      <c r="O187" s="586"/>
      <c r="P187" s="585">
        <f t="shared" ref="P187" si="554">SUM(P184:Q186)</f>
        <v>0</v>
      </c>
      <c r="Q187" s="601"/>
      <c r="R187" s="602">
        <f t="shared" ref="R187" si="555">SUM(R184:S186)</f>
        <v>0</v>
      </c>
      <c r="S187" s="593"/>
      <c r="T187" s="585">
        <f t="shared" ref="T187" si="556">SUM(T184:U186)</f>
        <v>0</v>
      </c>
      <c r="U187" s="593"/>
      <c r="V187" s="210">
        <f t="shared" ref="V187" si="557">IF(AND(F187&gt;=$G$8,H187&gt;=$I$8,L187&gt;=$M$8,P187&gt;=$Q$8,R187&gt;=$S$8,T187&gt;=$U$8),SUM(F187:U187),0)</f>
        <v>0</v>
      </c>
      <c r="W187" s="264"/>
      <c r="X187" s="97"/>
      <c r="Y187" s="597"/>
      <c r="Z187" s="91" t="str">
        <f t="shared" ref="Z187" si="558">LOOKUP(V187,$AL$6:$AM$10)</f>
        <v>ضعيف</v>
      </c>
      <c r="AA187" s="658"/>
      <c r="AB187" s="72"/>
      <c r="AC187" s="655"/>
      <c r="AN187" s="607"/>
      <c r="AO187" s="607"/>
      <c r="AP187" s="613"/>
      <c r="AQ187" s="612"/>
      <c r="AR187" s="611"/>
      <c r="AS187" s="612"/>
    </row>
    <row r="188" spans="1:45" ht="15" customHeight="1" thickBot="1" x14ac:dyDescent="0.3">
      <c r="F188" s="75"/>
      <c r="G188" s="76"/>
      <c r="H188" s="75"/>
      <c r="I188" s="76"/>
      <c r="J188" s="75"/>
      <c r="K188" s="76"/>
      <c r="L188" s="75"/>
      <c r="M188" s="76"/>
      <c r="N188" s="76"/>
      <c r="O188" s="76"/>
      <c r="P188" s="75"/>
      <c r="Q188" s="76"/>
      <c r="R188" s="75"/>
      <c r="S188" s="76"/>
      <c r="T188" s="75"/>
      <c r="U188" s="76"/>
      <c r="V188" s="74"/>
      <c r="W188" s="77"/>
      <c r="X188" s="74"/>
      <c r="Y188" s="362"/>
      <c r="Z188" s="74"/>
      <c r="AA188" s="267"/>
      <c r="AB188" s="72"/>
      <c r="AK188" s="78"/>
    </row>
    <row r="189" spans="1:45" customFormat="1" ht="15" customHeight="1" x14ac:dyDescent="0.3">
      <c r="A189" s="617" t="s">
        <v>9</v>
      </c>
      <c r="B189" s="618"/>
      <c r="C189" s="619"/>
      <c r="D189" s="288" t="s">
        <v>11</v>
      </c>
      <c r="E189" s="600" t="s">
        <v>97</v>
      </c>
      <c r="F189" s="598"/>
      <c r="G189" s="598"/>
      <c r="H189" s="598"/>
      <c r="I189" s="598"/>
      <c r="J189" s="9"/>
      <c r="K189" s="9"/>
      <c r="L189" s="9"/>
      <c r="M189" s="9"/>
      <c r="N189" s="9"/>
      <c r="O189" s="9"/>
      <c r="P189" s="9"/>
      <c r="Q189" s="9"/>
      <c r="R189" s="9"/>
      <c r="S189" s="598" t="s">
        <v>156</v>
      </c>
      <c r="T189" s="598"/>
      <c r="U189" s="598"/>
      <c r="V189" s="598"/>
      <c r="W189" s="598"/>
      <c r="X189" s="598"/>
      <c r="Y189" s="598"/>
      <c r="Z189" s="1"/>
      <c r="AA189" s="268"/>
      <c r="AC189" s="79"/>
      <c r="AD189" s="80"/>
      <c r="AE189" s="80"/>
      <c r="AF189" s="80"/>
      <c r="AG189" s="80"/>
    </row>
    <row r="190" spans="1:45" customFormat="1" ht="15" customHeight="1" x14ac:dyDescent="0.25">
      <c r="A190" s="81" t="s">
        <v>8</v>
      </c>
      <c r="B190" s="610">
        <f>ادخال1!$BP$3</f>
        <v>0</v>
      </c>
      <c r="C190" s="620"/>
      <c r="D190" s="289"/>
      <c r="E190" s="9" t="s">
        <v>9</v>
      </c>
      <c r="F190" s="599" t="str">
        <f>ادخال1!$BP$5</f>
        <v>د.عبدالرحمن خليفة العريبي</v>
      </c>
      <c r="G190" s="599"/>
      <c r="H190" s="599"/>
      <c r="I190" s="599"/>
      <c r="J190" s="599"/>
      <c r="K190" s="599"/>
      <c r="L190" s="599"/>
      <c r="M190" s="599"/>
      <c r="N190" s="599"/>
      <c r="O190" s="599"/>
      <c r="P190" s="599"/>
      <c r="Q190" s="599"/>
      <c r="R190" s="9"/>
      <c r="S190" s="599" t="str">
        <f>ادخال1!$BP$6</f>
        <v>تاجوراء</v>
      </c>
      <c r="T190" s="599"/>
      <c r="U190" s="599"/>
      <c r="V190" s="599"/>
      <c r="W190" s="599"/>
      <c r="X190" s="599"/>
      <c r="Y190" s="599"/>
      <c r="Z190" s="599"/>
      <c r="AA190" s="67"/>
      <c r="AB190" s="67"/>
      <c r="AC190" s="79"/>
      <c r="AD190" s="79"/>
      <c r="AE190" s="79"/>
      <c r="AF190" s="79"/>
    </row>
    <row r="191" spans="1:45" customFormat="1" ht="15" customHeight="1" thickBot="1" x14ac:dyDescent="0.3">
      <c r="A191" s="82" t="s">
        <v>98</v>
      </c>
      <c r="B191" s="615">
        <f>ادخال1!$BP$4</f>
        <v>0</v>
      </c>
      <c r="C191" s="616"/>
      <c r="D191" s="290"/>
      <c r="E191" s="9" t="s">
        <v>11</v>
      </c>
      <c r="F191" s="607"/>
      <c r="G191" s="607"/>
      <c r="H191" s="607"/>
      <c r="I191" s="607"/>
      <c r="J191" s="607"/>
      <c r="K191" s="607"/>
      <c r="L191" s="607"/>
      <c r="M191" s="607"/>
      <c r="N191" s="607"/>
      <c r="O191" s="607"/>
      <c r="P191" s="607"/>
      <c r="Q191" s="607"/>
      <c r="R191" s="9"/>
      <c r="S191" s="9" t="s">
        <v>11</v>
      </c>
      <c r="T191" s="9"/>
      <c r="U191" s="9" t="s">
        <v>11</v>
      </c>
      <c r="V191" s="1"/>
      <c r="W191" s="1"/>
      <c r="X191" s="1"/>
      <c r="Y191" s="363"/>
      <c r="Z191" s="1"/>
      <c r="AA191" s="268"/>
      <c r="AC191" s="79"/>
      <c r="AD191" s="79"/>
      <c r="AE191" s="79"/>
      <c r="AF191" s="79"/>
    </row>
    <row r="192" spans="1:45" customFormat="1" ht="15" customHeight="1" x14ac:dyDescent="0.25">
      <c r="A192" s="598" t="s">
        <v>99</v>
      </c>
      <c r="B192" s="598"/>
      <c r="C192" s="598"/>
      <c r="D192" s="598"/>
      <c r="E192" s="598" t="s">
        <v>100</v>
      </c>
      <c r="F192" s="598"/>
      <c r="G192" s="598"/>
      <c r="H192" s="598"/>
      <c r="I192" s="598"/>
      <c r="J192" s="598"/>
      <c r="K192" s="598"/>
      <c r="L192" s="598"/>
      <c r="M192" s="598"/>
      <c r="N192" s="598"/>
      <c r="O192" s="598"/>
      <c r="P192" s="598"/>
      <c r="Q192" s="598"/>
      <c r="R192" s="598"/>
      <c r="S192" s="598"/>
      <c r="T192" s="9"/>
      <c r="U192" s="9"/>
      <c r="V192" s="9"/>
      <c r="W192" s="594">
        <f ca="1">TODAY()</f>
        <v>46035</v>
      </c>
      <c r="X192" s="594"/>
      <c r="Y192" s="594"/>
      <c r="Z192" s="594"/>
      <c r="AA192" s="268"/>
    </row>
    <row r="193" spans="1:45" customFormat="1" ht="15" customHeight="1" thickBot="1" x14ac:dyDescent="0.3">
      <c r="A193" s="9"/>
      <c r="B193" s="598" t="s">
        <v>101</v>
      </c>
      <c r="C193" s="598"/>
      <c r="D193" s="598"/>
      <c r="E193" s="598" t="s">
        <v>102</v>
      </c>
      <c r="F193" s="598"/>
      <c r="G193" s="598"/>
      <c r="H193" s="598"/>
      <c r="I193" s="598"/>
      <c r="J193" s="598"/>
      <c r="K193" s="598"/>
      <c r="L193" s="598"/>
      <c r="M193" s="598"/>
      <c r="N193" s="598"/>
      <c r="O193" s="598"/>
      <c r="P193" s="598"/>
      <c r="Q193" s="598"/>
      <c r="R193" s="598"/>
      <c r="S193" s="598"/>
      <c r="T193" s="9"/>
      <c r="U193" s="9"/>
      <c r="V193" s="1"/>
      <c r="W193" s="1"/>
      <c r="X193" s="1"/>
      <c r="Y193" s="363"/>
      <c r="Z193" s="1"/>
      <c r="AA193" s="268"/>
    </row>
    <row r="194" spans="1:45" ht="15" customHeight="1" thickBot="1" x14ac:dyDescent="0.3">
      <c r="A194" s="632">
        <v>41</v>
      </c>
      <c r="B194" s="629">
        <f>VLOOKUP(A194,مسلسل,2,0)</f>
        <v>0</v>
      </c>
      <c r="C194" s="621" t="str">
        <f>IFERROR(VLOOKUP(B194,اسماء,2,0),"")</f>
        <v/>
      </c>
      <c r="D194" s="624" t="str">
        <f>IFERROR(VLOOKUP($B194,اسماء,3,0),"")</f>
        <v/>
      </c>
      <c r="E194" s="132" t="s">
        <v>30</v>
      </c>
      <c r="F194" s="627">
        <f>IFERROR(VLOOKUP($B194,اسماء,5,0),0)</f>
        <v>0</v>
      </c>
      <c r="G194" s="606"/>
      <c r="H194" s="628">
        <f>IFERROR(VLOOKUP($B194,اسماء,6,0),0)</f>
        <v>0</v>
      </c>
      <c r="I194" s="605"/>
      <c r="J194" s="587">
        <f>IFERROR(VLOOKUP($B194,اسماء,7,0),0)</f>
        <v>0</v>
      </c>
      <c r="K194" s="591"/>
      <c r="L194" s="587">
        <f>IFERROR(VLOOKUP($B194,اسماء,8,0),0)</f>
        <v>0</v>
      </c>
      <c r="M194" s="588"/>
      <c r="N194" s="587">
        <f>IFERROR(VLOOKUP($B194,اسماء,9,0),0)</f>
        <v>0</v>
      </c>
      <c r="O194" s="605"/>
      <c r="P194" s="587">
        <f>IFERROR(VLOOKUP($B194,اسماء,10,0),0)</f>
        <v>0</v>
      </c>
      <c r="Q194" s="605"/>
      <c r="R194" s="606">
        <f>IFERROR(VLOOKUP($B194,اسماء,11,0),0)</f>
        <v>0</v>
      </c>
      <c r="S194" s="591"/>
      <c r="T194" s="587">
        <f>IFERROR(VLOOKUP($B194,اسماء,12,0),0)</f>
        <v>0</v>
      </c>
      <c r="U194" s="591"/>
      <c r="V194" s="263">
        <f t="shared" ref="V194:V196" si="559">SUM(F194:U194)</f>
        <v>0</v>
      </c>
      <c r="W194" s="373">
        <f>IFERROR(VLOOKUP($B194,اسماء,14,0),0)</f>
        <v>0</v>
      </c>
      <c r="X194" s="373">
        <f>IFERROR(VLOOKUP($B194,اسماء,15,0),0)</f>
        <v>0</v>
      </c>
      <c r="Y194" s="595" t="str">
        <f>IF(AC194="غائب","راسب",IF(AND(F197&gt;=$G$8,H197&gt;=$I$8,J197&gt;=$K$8,L197&gt;=$M$8,N197&gt;=$O$8,P197&gt;=$Q$8,R197&gt;=$S$8,T197&gt;=$U$8),"ناجح","له دور ثان"))</f>
        <v>له دور ثان</v>
      </c>
      <c r="Z194" s="21" t="str">
        <f>LOOKUP(V194,$AF$6:$AG$10)</f>
        <v>ضعيف</v>
      </c>
      <c r="AA194" s="656">
        <f>V197/$AF$3</f>
        <v>0</v>
      </c>
      <c r="AB194" s="10"/>
      <c r="AC194" s="653" t="str">
        <f>IFERROR(VLOOKUP($B194,اسماء,54,0),"")</f>
        <v/>
      </c>
      <c r="AN194" s="610" t="str">
        <f>IF(V197=0,"",V197/1+ROW()*0.00001)</f>
        <v/>
      </c>
      <c r="AO194" s="610">
        <f>B194</f>
        <v>0</v>
      </c>
      <c r="AP194" s="613"/>
      <c r="AQ194" s="612">
        <v>41</v>
      </c>
      <c r="AR194" s="611" t="str">
        <f>IFERROR(LARGE($AN$10:$AN$1006,AQ194),"")</f>
        <v/>
      </c>
      <c r="AS194" s="612" t="str">
        <f>VLOOKUP(AR194,$AN$10:$AO$1116,2,0)</f>
        <v>أحمد نورالدين أحمد الذيب</v>
      </c>
    </row>
    <row r="195" spans="1:45" ht="15" customHeight="1" thickBot="1" x14ac:dyDescent="0.3">
      <c r="A195" s="633"/>
      <c r="B195" s="630"/>
      <c r="C195" s="622"/>
      <c r="D195" s="625"/>
      <c r="E195" s="133" t="s">
        <v>31</v>
      </c>
      <c r="F195" s="589">
        <f>IFERROR(VLOOKUP($B194,اسماء,18,0),0)</f>
        <v>0</v>
      </c>
      <c r="G195" s="592"/>
      <c r="H195" s="608">
        <f>IFERROR(VLOOKUP($B194,اسماء,19,0),0)</f>
        <v>0</v>
      </c>
      <c r="I195" s="609"/>
      <c r="J195" s="589">
        <f>IFERROR(VLOOKUP($B194,اسماء,20,0),0)</f>
        <v>0</v>
      </c>
      <c r="K195" s="592"/>
      <c r="L195" s="589">
        <f>IFERROR(VLOOKUP($B194,اسماء,21,0),0)</f>
        <v>0</v>
      </c>
      <c r="M195" s="590"/>
      <c r="N195" s="589">
        <f>IFERROR(VLOOKUP($B194,اسماء,22,0),0)</f>
        <v>0</v>
      </c>
      <c r="O195" s="590"/>
      <c r="P195" s="589">
        <f>IFERROR(VLOOKUP($B194,اسماء,23,0),0)</f>
        <v>0</v>
      </c>
      <c r="Q195" s="609"/>
      <c r="R195" s="603">
        <f>IFERROR(VLOOKUP($B194,اسماء,24,0),0)</f>
        <v>0</v>
      </c>
      <c r="S195" s="592"/>
      <c r="T195" s="589">
        <f>IFERROR(VLOOKUP($B194,اسماء,25,0),0)</f>
        <v>0</v>
      </c>
      <c r="U195" s="592"/>
      <c r="V195" s="263">
        <f t="shared" si="559"/>
        <v>0</v>
      </c>
      <c r="W195" s="373">
        <f>IFERROR(VLOOKUP($B194,اسماء,27,0),0)</f>
        <v>0</v>
      </c>
      <c r="X195" s="373">
        <f>IFERROR(VLOOKUP($B194,اسماء,28,0),0)</f>
        <v>0</v>
      </c>
      <c r="Y195" s="596"/>
      <c r="Z195" s="22" t="str">
        <f>LOOKUP(V195,$AF$6:$AG$10)</f>
        <v>ضعيف</v>
      </c>
      <c r="AA195" s="657"/>
      <c r="AB195" s="72"/>
      <c r="AC195" s="654"/>
      <c r="AN195" s="610"/>
      <c r="AO195" s="610"/>
      <c r="AP195" s="613"/>
      <c r="AQ195" s="612"/>
      <c r="AR195" s="611"/>
      <c r="AS195" s="612"/>
    </row>
    <row r="196" spans="1:45" ht="15" customHeight="1" x14ac:dyDescent="0.25">
      <c r="A196" s="633"/>
      <c r="B196" s="630"/>
      <c r="C196" s="622"/>
      <c r="D196" s="625"/>
      <c r="E196" s="133" t="s">
        <v>32</v>
      </c>
      <c r="F196" s="589">
        <f>IFERROR(VLOOKUP($B194,اسماء,31,0),0)</f>
        <v>0</v>
      </c>
      <c r="G196" s="592"/>
      <c r="H196" s="608">
        <f>IFERROR(VLOOKUP($B194,اسماء,32,0),0)</f>
        <v>0</v>
      </c>
      <c r="I196" s="609"/>
      <c r="J196" s="589">
        <f>IFERROR(VLOOKUP($B194,اسماء,33,0),0)</f>
        <v>0</v>
      </c>
      <c r="K196" s="592"/>
      <c r="L196" s="589">
        <f>IFERROR(VLOOKUP($B194,اسماء,34,0),0)</f>
        <v>0</v>
      </c>
      <c r="M196" s="590"/>
      <c r="N196" s="589">
        <f>IFERROR(VLOOKUP($B194,اسماء,35,0),0)</f>
        <v>0</v>
      </c>
      <c r="O196" s="590"/>
      <c r="P196" s="589">
        <f>IFERROR(VLOOKUP($B194,اسماء,36,0),0)</f>
        <v>0</v>
      </c>
      <c r="Q196" s="609"/>
      <c r="R196" s="603">
        <f>IFERROR(VLOOKUP($B194,اسماء,37,0),0)</f>
        <v>0</v>
      </c>
      <c r="S196" s="592"/>
      <c r="T196" s="589">
        <f>IFERROR(VLOOKUP($B194,اسماء,38,0),0)</f>
        <v>0</v>
      </c>
      <c r="U196" s="592"/>
      <c r="V196" s="263">
        <f t="shared" si="559"/>
        <v>0</v>
      </c>
      <c r="W196" s="373">
        <f>IFERROR(VLOOKUP($B194,اسماء,40,0),0)</f>
        <v>0</v>
      </c>
      <c r="X196" s="373">
        <f>IFERROR(VLOOKUP($B194,اسماء,41,0),0)</f>
        <v>0</v>
      </c>
      <c r="Y196" s="596"/>
      <c r="Z196" s="22" t="str">
        <f>LOOKUP(V196,$AI$6:$AJ$10)</f>
        <v>ضعيف</v>
      </c>
      <c r="AA196" s="657"/>
      <c r="AB196" s="72"/>
      <c r="AC196" s="654"/>
      <c r="AN196" s="610"/>
      <c r="AO196" s="610"/>
      <c r="AP196" s="613"/>
      <c r="AQ196" s="612"/>
      <c r="AR196" s="611"/>
      <c r="AS196" s="612"/>
    </row>
    <row r="197" spans="1:45" ht="15" customHeight="1" thickBot="1" x14ac:dyDescent="0.3">
      <c r="A197" s="634"/>
      <c r="B197" s="631"/>
      <c r="C197" s="623"/>
      <c r="D197" s="626"/>
      <c r="E197" s="127" t="s">
        <v>33</v>
      </c>
      <c r="F197" s="585">
        <f t="shared" ref="F197" si="560">SUM(F194:G196)</f>
        <v>0</v>
      </c>
      <c r="G197" s="593"/>
      <c r="H197" s="604">
        <f t="shared" ref="H197" si="561">SUM(H194:I196)</f>
        <v>0</v>
      </c>
      <c r="I197" s="601"/>
      <c r="J197" s="585">
        <f t="shared" ref="J197" si="562">SUM(J194:K196)</f>
        <v>0</v>
      </c>
      <c r="K197" s="593"/>
      <c r="L197" s="585">
        <f t="shared" ref="L197" si="563">SUM(L194:M196)</f>
        <v>0</v>
      </c>
      <c r="M197" s="586"/>
      <c r="N197" s="585">
        <f t="shared" ref="N197" si="564">SUM(N194:O196)</f>
        <v>0</v>
      </c>
      <c r="O197" s="586"/>
      <c r="P197" s="585">
        <f t="shared" ref="P197" si="565">SUM(P194:Q196)</f>
        <v>0</v>
      </c>
      <c r="Q197" s="601"/>
      <c r="R197" s="602">
        <f t="shared" ref="R197" si="566">SUM(R194:S196)</f>
        <v>0</v>
      </c>
      <c r="S197" s="593"/>
      <c r="T197" s="585">
        <f t="shared" ref="T197" si="567">SUM(T194:U196)</f>
        <v>0</v>
      </c>
      <c r="U197" s="593"/>
      <c r="V197" s="210">
        <f t="shared" ref="V197" si="568">IF(AND(F197&gt;=$G$8,H197&gt;=$I$8,L197&gt;=$M$8,P197&gt;=$Q$8,R197&gt;=$S$8,T197&gt;=$U$8),SUM(F197:U197),0)</f>
        <v>0</v>
      </c>
      <c r="W197" s="264"/>
      <c r="X197" s="97"/>
      <c r="Y197" s="597"/>
      <c r="Z197" s="91" t="str">
        <f>LOOKUP(V197,$AL$6:$AM$10)</f>
        <v>ضعيف</v>
      </c>
      <c r="AA197" s="658"/>
      <c r="AB197" s="10"/>
      <c r="AC197" s="655"/>
      <c r="AN197" s="610"/>
      <c r="AO197" s="610"/>
      <c r="AP197" s="613"/>
      <c r="AQ197" s="612"/>
      <c r="AR197" s="611"/>
      <c r="AS197" s="612"/>
    </row>
    <row r="198" spans="1:45" ht="15" customHeight="1" thickBot="1" x14ac:dyDescent="0.3">
      <c r="A198" s="632">
        <v>42</v>
      </c>
      <c r="B198" s="629">
        <f>VLOOKUP(A198,مسلسل,2,0)</f>
        <v>0</v>
      </c>
      <c r="C198" s="621" t="str">
        <f>IFERROR(VLOOKUP(B198,اسماء,2,0),"")</f>
        <v/>
      </c>
      <c r="D198" s="624" t="str">
        <f>IFERROR(VLOOKUP($B198,اسماء,3,0),"")</f>
        <v/>
      </c>
      <c r="E198" s="132" t="s">
        <v>30</v>
      </c>
      <c r="F198" s="627">
        <f>IFERROR(VLOOKUP($B198,اسماء,5,0),0)</f>
        <v>0</v>
      </c>
      <c r="G198" s="606"/>
      <c r="H198" s="628">
        <f>IFERROR(VLOOKUP($B198,اسماء,6,0),0)</f>
        <v>0</v>
      </c>
      <c r="I198" s="605"/>
      <c r="J198" s="587">
        <f>IFERROR(VLOOKUP($B198,اسماء,7,0),0)</f>
        <v>0</v>
      </c>
      <c r="K198" s="591"/>
      <c r="L198" s="587">
        <f>IFERROR(VLOOKUP($B198,اسماء,8,0),0)</f>
        <v>0</v>
      </c>
      <c r="M198" s="588"/>
      <c r="N198" s="587">
        <f>IFERROR(VLOOKUP($B198,اسماء,9,0),0)</f>
        <v>0</v>
      </c>
      <c r="O198" s="605"/>
      <c r="P198" s="587">
        <f>IFERROR(VLOOKUP($B198,اسماء,10,0),0)</f>
        <v>0</v>
      </c>
      <c r="Q198" s="605"/>
      <c r="R198" s="606">
        <f>IFERROR(VLOOKUP($B198,اسماء,11,0),0)</f>
        <v>0</v>
      </c>
      <c r="S198" s="591"/>
      <c r="T198" s="587">
        <f>IFERROR(VLOOKUP($B198,اسماء,12,0),0)</f>
        <v>0</v>
      </c>
      <c r="U198" s="591"/>
      <c r="V198" s="263">
        <f t="shared" ref="V198:V200" si="569">SUM(F198:U198)</f>
        <v>0</v>
      </c>
      <c r="W198" s="373">
        <f>IFERROR(VLOOKUP($B198,اسماء,14,0),0)</f>
        <v>0</v>
      </c>
      <c r="X198" s="373">
        <f>IFERROR(VLOOKUP($B198,اسماء,15,0),0)</f>
        <v>0</v>
      </c>
      <c r="Y198" s="595" t="str">
        <f t="shared" ref="Y198" si="570">IF(AC198="غائب","راسب",IF(AND(F201&gt;=$G$8,H201&gt;=$I$8,J201&gt;=$K$8,L201&gt;=$M$8,N201&gt;=$O$8,P201&gt;=$Q$8,R201&gt;=$S$8,T201&gt;=$U$8),"ناجح","له دور ثان"))</f>
        <v>له دور ثان</v>
      </c>
      <c r="Z198" s="21" t="str">
        <f>LOOKUP(V198,$AF$6:$AG$10)</f>
        <v>ضعيف</v>
      </c>
      <c r="AA198" s="656">
        <f>V201/$AF$3</f>
        <v>0</v>
      </c>
      <c r="AB198" s="72"/>
      <c r="AC198" s="653" t="str">
        <f>IFERROR(VLOOKUP($B198,اسماء,54,0),"")</f>
        <v/>
      </c>
      <c r="AN198" s="607" t="str">
        <f t="shared" ref="AN198" si="571">IF(V201=0,"",V201/1+ROW()*0.00001)</f>
        <v/>
      </c>
      <c r="AO198" s="607">
        <f>B198</f>
        <v>0</v>
      </c>
      <c r="AP198" s="613"/>
      <c r="AQ198" s="612">
        <v>42</v>
      </c>
      <c r="AR198" s="611" t="str">
        <f>IFERROR(LARGE($AN$10:$AN$1006,AQ198),"")</f>
        <v/>
      </c>
      <c r="AS198" s="612" t="str">
        <f>VLOOKUP(AR198,$AN$10:$AO$1116,2,0)</f>
        <v>أحمد نورالدين أحمد الذيب</v>
      </c>
    </row>
    <row r="199" spans="1:45" ht="15" customHeight="1" thickBot="1" x14ac:dyDescent="0.3">
      <c r="A199" s="633"/>
      <c r="B199" s="630"/>
      <c r="C199" s="622"/>
      <c r="D199" s="625"/>
      <c r="E199" s="133" t="s">
        <v>31</v>
      </c>
      <c r="F199" s="589">
        <f>IFERROR(VLOOKUP($B198,اسماء,18,0),0)</f>
        <v>0</v>
      </c>
      <c r="G199" s="592"/>
      <c r="H199" s="608">
        <f>IFERROR(VLOOKUP($B198,اسماء,19,0),0)</f>
        <v>0</v>
      </c>
      <c r="I199" s="609"/>
      <c r="J199" s="589">
        <f>IFERROR(VLOOKUP($B198,اسماء,20,0),0)</f>
        <v>0</v>
      </c>
      <c r="K199" s="592"/>
      <c r="L199" s="589">
        <f>IFERROR(VLOOKUP($B198,اسماء,21,0),0)</f>
        <v>0</v>
      </c>
      <c r="M199" s="590"/>
      <c r="N199" s="589">
        <f>IFERROR(VLOOKUP($B198,اسماء,22,0),0)</f>
        <v>0</v>
      </c>
      <c r="O199" s="590"/>
      <c r="P199" s="589">
        <f>IFERROR(VLOOKUP($B198,اسماء,23,0),0)</f>
        <v>0</v>
      </c>
      <c r="Q199" s="609"/>
      <c r="R199" s="603">
        <f>IFERROR(VLOOKUP($B198,اسماء,24,0),0)</f>
        <v>0</v>
      </c>
      <c r="S199" s="592"/>
      <c r="T199" s="589">
        <f>IFERROR(VLOOKUP($B198,اسماء,25,0),0)</f>
        <v>0</v>
      </c>
      <c r="U199" s="592"/>
      <c r="V199" s="263">
        <f t="shared" si="569"/>
        <v>0</v>
      </c>
      <c r="W199" s="373">
        <f>IFERROR(VLOOKUP($B198,اسماء,27,0),0)</f>
        <v>0</v>
      </c>
      <c r="X199" s="373">
        <f>IFERROR(VLOOKUP($B198,اسماء,28,0),0)</f>
        <v>0</v>
      </c>
      <c r="Y199" s="596"/>
      <c r="Z199" s="22" t="str">
        <f>LOOKUP(V199,$AF$6:$AG$10)</f>
        <v>ضعيف</v>
      </c>
      <c r="AA199" s="657"/>
      <c r="AB199" s="72"/>
      <c r="AC199" s="654"/>
      <c r="AN199" s="607"/>
      <c r="AO199" s="607"/>
      <c r="AP199" s="613"/>
      <c r="AQ199" s="612"/>
      <c r="AR199" s="611"/>
      <c r="AS199" s="612"/>
    </row>
    <row r="200" spans="1:45" ht="15" customHeight="1" x14ac:dyDescent="0.25">
      <c r="A200" s="633"/>
      <c r="B200" s="630"/>
      <c r="C200" s="622"/>
      <c r="D200" s="625"/>
      <c r="E200" s="133" t="s">
        <v>32</v>
      </c>
      <c r="F200" s="589">
        <f>IFERROR(VLOOKUP($B198,اسماء,31,0),0)</f>
        <v>0</v>
      </c>
      <c r="G200" s="592"/>
      <c r="H200" s="608">
        <f>IFERROR(VLOOKUP($B198,اسماء,32,0),0)</f>
        <v>0</v>
      </c>
      <c r="I200" s="609"/>
      <c r="J200" s="589">
        <f>IFERROR(VLOOKUP($B198,اسماء,33,0),0)</f>
        <v>0</v>
      </c>
      <c r="K200" s="592"/>
      <c r="L200" s="589">
        <f>IFERROR(VLOOKUP($B198,اسماء,34,0),0)</f>
        <v>0</v>
      </c>
      <c r="M200" s="590"/>
      <c r="N200" s="589">
        <f>IFERROR(VLOOKUP($B198,اسماء,35,0),0)</f>
        <v>0</v>
      </c>
      <c r="O200" s="590"/>
      <c r="P200" s="589">
        <f>IFERROR(VLOOKUP($B198,اسماء,36,0),0)</f>
        <v>0</v>
      </c>
      <c r="Q200" s="609"/>
      <c r="R200" s="603">
        <f>IFERROR(VLOOKUP($B198,اسماء,37,0),0)</f>
        <v>0</v>
      </c>
      <c r="S200" s="592"/>
      <c r="T200" s="589">
        <f>IFERROR(VLOOKUP($B198,اسماء,38,0),0)</f>
        <v>0</v>
      </c>
      <c r="U200" s="592"/>
      <c r="V200" s="263">
        <f t="shared" si="569"/>
        <v>0</v>
      </c>
      <c r="W200" s="373">
        <f>IFERROR(VLOOKUP($B198,اسماء,40,0),0)</f>
        <v>0</v>
      </c>
      <c r="X200" s="373">
        <f>IFERROR(VLOOKUP($B198,اسماء,41,0),0)</f>
        <v>0</v>
      </c>
      <c r="Y200" s="596"/>
      <c r="Z200" s="22" t="str">
        <f>LOOKUP(V200,$AI$6:$AJ$10)</f>
        <v>ضعيف</v>
      </c>
      <c r="AA200" s="657"/>
      <c r="AB200" s="10"/>
      <c r="AC200" s="654"/>
      <c r="AN200" s="607"/>
      <c r="AO200" s="607"/>
      <c r="AP200" s="613"/>
      <c r="AQ200" s="612"/>
      <c r="AR200" s="611"/>
      <c r="AS200" s="612"/>
    </row>
    <row r="201" spans="1:45" ht="15" customHeight="1" thickBot="1" x14ac:dyDescent="0.3">
      <c r="A201" s="634"/>
      <c r="B201" s="631"/>
      <c r="C201" s="623"/>
      <c r="D201" s="626"/>
      <c r="E201" s="127" t="s">
        <v>33</v>
      </c>
      <c r="F201" s="585">
        <f t="shared" ref="F201" si="572">SUM(F198:G200)</f>
        <v>0</v>
      </c>
      <c r="G201" s="593"/>
      <c r="H201" s="604">
        <f t="shared" ref="H201" si="573">SUM(H198:I200)</f>
        <v>0</v>
      </c>
      <c r="I201" s="601"/>
      <c r="J201" s="585">
        <f t="shared" ref="J201" si="574">SUM(J198:K200)</f>
        <v>0</v>
      </c>
      <c r="K201" s="593"/>
      <c r="L201" s="585">
        <f t="shared" ref="L201" si="575">SUM(L198:M200)</f>
        <v>0</v>
      </c>
      <c r="M201" s="586"/>
      <c r="N201" s="585">
        <f t="shared" ref="N201" si="576">SUM(N198:O200)</f>
        <v>0</v>
      </c>
      <c r="O201" s="586"/>
      <c r="P201" s="585">
        <f t="shared" ref="P201" si="577">SUM(P198:Q200)</f>
        <v>0</v>
      </c>
      <c r="Q201" s="601"/>
      <c r="R201" s="602">
        <f t="shared" ref="R201" si="578">SUM(R198:S200)</f>
        <v>0</v>
      </c>
      <c r="S201" s="593"/>
      <c r="T201" s="585">
        <f t="shared" ref="T201" si="579">SUM(T198:U200)</f>
        <v>0</v>
      </c>
      <c r="U201" s="593"/>
      <c r="V201" s="210">
        <f t="shared" ref="V201" si="580">IF(AND(F201&gt;=$G$8,H201&gt;=$I$8,L201&gt;=$M$8,P201&gt;=$Q$8,R201&gt;=$S$8,T201&gt;=$U$8),SUM(F201:U201),0)</f>
        <v>0</v>
      </c>
      <c r="W201" s="264"/>
      <c r="X201" s="97"/>
      <c r="Y201" s="597"/>
      <c r="Z201" s="91" t="str">
        <f>LOOKUP(V201,$AL$6:$AM$10)</f>
        <v>ضعيف</v>
      </c>
      <c r="AA201" s="658"/>
      <c r="AB201" s="72"/>
      <c r="AC201" s="655"/>
      <c r="AN201" s="607"/>
      <c r="AO201" s="607"/>
      <c r="AP201" s="613"/>
      <c r="AQ201" s="612"/>
      <c r="AR201" s="611"/>
      <c r="AS201" s="612"/>
    </row>
    <row r="202" spans="1:45" ht="15" customHeight="1" thickBot="1" x14ac:dyDescent="0.3">
      <c r="A202" s="632">
        <v>43</v>
      </c>
      <c r="B202" s="629">
        <f>VLOOKUP(A202,مسلسل,2,0)</f>
        <v>0</v>
      </c>
      <c r="C202" s="621" t="str">
        <f>IFERROR(VLOOKUP(B202,اسماء,2,0),"")</f>
        <v/>
      </c>
      <c r="D202" s="624" t="str">
        <f>IFERROR(VLOOKUP($B202,اسماء,3,0),"")</f>
        <v/>
      </c>
      <c r="E202" s="132" t="s">
        <v>30</v>
      </c>
      <c r="F202" s="627">
        <f>IFERROR(VLOOKUP($B202,اسماء,5,0),0)</f>
        <v>0</v>
      </c>
      <c r="G202" s="606"/>
      <c r="H202" s="628">
        <f>IFERROR(VLOOKUP($B202,اسماء,6,0),0)</f>
        <v>0</v>
      </c>
      <c r="I202" s="605"/>
      <c r="J202" s="587">
        <f>IFERROR(VLOOKUP($B202,اسماء,7,0),0)</f>
        <v>0</v>
      </c>
      <c r="K202" s="591"/>
      <c r="L202" s="587">
        <f>IFERROR(VLOOKUP($B202,اسماء,8,0),0)</f>
        <v>0</v>
      </c>
      <c r="M202" s="588"/>
      <c r="N202" s="587">
        <f>IFERROR(VLOOKUP($B202,اسماء,9,0),0)</f>
        <v>0</v>
      </c>
      <c r="O202" s="605"/>
      <c r="P202" s="587">
        <f>IFERROR(VLOOKUP($B202,اسماء,10,0),0)</f>
        <v>0</v>
      </c>
      <c r="Q202" s="605"/>
      <c r="R202" s="606">
        <f>IFERROR(VLOOKUP($B202,اسماء,11,0),0)</f>
        <v>0</v>
      </c>
      <c r="S202" s="591"/>
      <c r="T202" s="587">
        <f>IFERROR(VLOOKUP($B202,اسماء,12,0),0)</f>
        <v>0</v>
      </c>
      <c r="U202" s="591"/>
      <c r="V202" s="263">
        <f t="shared" ref="V202:V204" si="581">SUM(F202:U202)</f>
        <v>0</v>
      </c>
      <c r="W202" s="373">
        <f>IFERROR(VLOOKUP($B202,اسماء,14,0),0)</f>
        <v>0</v>
      </c>
      <c r="X202" s="373">
        <f>IFERROR(VLOOKUP($B202,اسماء,15,0),0)</f>
        <v>0</v>
      </c>
      <c r="Y202" s="595" t="str">
        <f t="shared" ref="Y202" si="582">IF(AC202="غائب","راسب",IF(AND(F205&gt;=$G$8,H205&gt;=$I$8,J205&gt;=$K$8,L205&gt;=$M$8,N205&gt;=$O$8,P205&gt;=$Q$8,R205&gt;=$S$8,T205&gt;=$U$8),"ناجح","له دور ثان"))</f>
        <v>له دور ثان</v>
      </c>
      <c r="Z202" s="21" t="str">
        <f>LOOKUP(V202,$AF$6:$AG$10)</f>
        <v>ضعيف</v>
      </c>
      <c r="AA202" s="656">
        <f>V205/$AF$3</f>
        <v>0</v>
      </c>
      <c r="AB202" s="72"/>
      <c r="AC202" s="653" t="str">
        <f>IFERROR(VLOOKUP($B202,اسماء,54,0),"")</f>
        <v/>
      </c>
      <c r="AN202" s="607" t="str">
        <f t="shared" ref="AN202" si="583">IF(V205=0,"",V205/1+ROW()*0.00001)</f>
        <v/>
      </c>
      <c r="AO202" s="607">
        <f>B202</f>
        <v>0</v>
      </c>
      <c r="AP202" s="613"/>
      <c r="AQ202" s="612">
        <v>43</v>
      </c>
      <c r="AR202" s="611" t="str">
        <f>IFERROR(LARGE($AN$10:$AN$1006,AQ202),"")</f>
        <v/>
      </c>
      <c r="AS202" s="612" t="str">
        <f>VLOOKUP(AR202,$AN$10:$AO$1116,2,0)</f>
        <v>أحمد نورالدين أحمد الذيب</v>
      </c>
    </row>
    <row r="203" spans="1:45" ht="15" customHeight="1" thickBot="1" x14ac:dyDescent="0.3">
      <c r="A203" s="633"/>
      <c r="B203" s="630"/>
      <c r="C203" s="622"/>
      <c r="D203" s="625"/>
      <c r="E203" s="133" t="s">
        <v>31</v>
      </c>
      <c r="F203" s="589">
        <f>IFERROR(VLOOKUP($B202,اسماء,18,0),0)</f>
        <v>0</v>
      </c>
      <c r="G203" s="592"/>
      <c r="H203" s="608">
        <f>IFERROR(VLOOKUP($B202,اسماء,19,0),0)</f>
        <v>0</v>
      </c>
      <c r="I203" s="609"/>
      <c r="J203" s="589">
        <f>IFERROR(VLOOKUP($B202,اسماء,20,0),0)</f>
        <v>0</v>
      </c>
      <c r="K203" s="592"/>
      <c r="L203" s="589">
        <f>IFERROR(VLOOKUP($B202,اسماء,21,0),0)</f>
        <v>0</v>
      </c>
      <c r="M203" s="590"/>
      <c r="N203" s="589">
        <f>IFERROR(VLOOKUP($B202,اسماء,22,0),0)</f>
        <v>0</v>
      </c>
      <c r="O203" s="590"/>
      <c r="P203" s="589">
        <f>IFERROR(VLOOKUP($B202,اسماء,23,0),0)</f>
        <v>0</v>
      </c>
      <c r="Q203" s="609"/>
      <c r="R203" s="603">
        <f>IFERROR(VLOOKUP($B202,اسماء,24,0),0)</f>
        <v>0</v>
      </c>
      <c r="S203" s="592"/>
      <c r="T203" s="589">
        <f>IFERROR(VLOOKUP($B202,اسماء,25,0),0)</f>
        <v>0</v>
      </c>
      <c r="U203" s="592"/>
      <c r="V203" s="263">
        <f t="shared" si="581"/>
        <v>0</v>
      </c>
      <c r="W203" s="373">
        <f>IFERROR(VLOOKUP($B202,اسماء,27,0),0)</f>
        <v>0</v>
      </c>
      <c r="X203" s="373">
        <f>IFERROR(VLOOKUP($B202,اسماء,28,0),0)</f>
        <v>0</v>
      </c>
      <c r="Y203" s="596"/>
      <c r="Z203" s="22" t="str">
        <f>LOOKUP(V203,$AF$6:$AG$10)</f>
        <v>ضعيف</v>
      </c>
      <c r="AA203" s="657"/>
      <c r="AB203" s="10"/>
      <c r="AC203" s="654"/>
      <c r="AN203" s="607"/>
      <c r="AO203" s="607"/>
      <c r="AP203" s="613"/>
      <c r="AQ203" s="612"/>
      <c r="AR203" s="611"/>
      <c r="AS203" s="612"/>
    </row>
    <row r="204" spans="1:45" ht="15" customHeight="1" x14ac:dyDescent="0.25">
      <c r="A204" s="633"/>
      <c r="B204" s="630"/>
      <c r="C204" s="622"/>
      <c r="D204" s="625"/>
      <c r="E204" s="133" t="s">
        <v>32</v>
      </c>
      <c r="F204" s="589">
        <f>IFERROR(VLOOKUP($B202,اسماء,31,0),0)</f>
        <v>0</v>
      </c>
      <c r="G204" s="592"/>
      <c r="H204" s="608">
        <f>IFERROR(VLOOKUP($B202,اسماء,32,0),0)</f>
        <v>0</v>
      </c>
      <c r="I204" s="609"/>
      <c r="J204" s="589">
        <f>IFERROR(VLOOKUP($B202,اسماء,33,0),0)</f>
        <v>0</v>
      </c>
      <c r="K204" s="592"/>
      <c r="L204" s="589">
        <f>IFERROR(VLOOKUP($B202,اسماء,34,0),0)</f>
        <v>0</v>
      </c>
      <c r="M204" s="590"/>
      <c r="N204" s="589">
        <f>IFERROR(VLOOKUP($B202,اسماء,35,0),0)</f>
        <v>0</v>
      </c>
      <c r="O204" s="590"/>
      <c r="P204" s="589">
        <f>IFERROR(VLOOKUP($B202,اسماء,36,0),0)</f>
        <v>0</v>
      </c>
      <c r="Q204" s="609"/>
      <c r="R204" s="603">
        <f>IFERROR(VLOOKUP($B202,اسماء,37,0),0)</f>
        <v>0</v>
      </c>
      <c r="S204" s="592"/>
      <c r="T204" s="589">
        <f>IFERROR(VLOOKUP($B202,اسماء,38,0),0)</f>
        <v>0</v>
      </c>
      <c r="U204" s="592"/>
      <c r="V204" s="263">
        <f t="shared" si="581"/>
        <v>0</v>
      </c>
      <c r="W204" s="373">
        <f>IFERROR(VLOOKUP($B202,اسماء,40,0),0)</f>
        <v>0</v>
      </c>
      <c r="X204" s="373">
        <f>IFERROR(VLOOKUP($B202,اسماء,41,0),0)</f>
        <v>0</v>
      </c>
      <c r="Y204" s="596"/>
      <c r="Z204" s="22" t="str">
        <f>LOOKUP(V204,$AI$6:$AJ$10)</f>
        <v>ضعيف</v>
      </c>
      <c r="AA204" s="657"/>
      <c r="AB204" s="72"/>
      <c r="AC204" s="654"/>
      <c r="AN204" s="607"/>
      <c r="AO204" s="607"/>
      <c r="AP204" s="613"/>
      <c r="AQ204" s="612"/>
      <c r="AR204" s="611"/>
      <c r="AS204" s="612"/>
    </row>
    <row r="205" spans="1:45" ht="15" customHeight="1" thickBot="1" x14ac:dyDescent="0.3">
      <c r="A205" s="634"/>
      <c r="B205" s="631"/>
      <c r="C205" s="623"/>
      <c r="D205" s="626"/>
      <c r="E205" s="127" t="s">
        <v>33</v>
      </c>
      <c r="F205" s="585">
        <f t="shared" ref="F205" si="584">SUM(F202:G204)</f>
        <v>0</v>
      </c>
      <c r="G205" s="593"/>
      <c r="H205" s="604">
        <f t="shared" ref="H205" si="585">SUM(H202:I204)</f>
        <v>0</v>
      </c>
      <c r="I205" s="601"/>
      <c r="J205" s="585">
        <f t="shared" ref="J205" si="586">SUM(J202:K204)</f>
        <v>0</v>
      </c>
      <c r="K205" s="593"/>
      <c r="L205" s="585">
        <f t="shared" ref="L205" si="587">SUM(L202:M204)</f>
        <v>0</v>
      </c>
      <c r="M205" s="586"/>
      <c r="N205" s="585">
        <f t="shared" ref="N205" si="588">SUM(N202:O204)</f>
        <v>0</v>
      </c>
      <c r="O205" s="586"/>
      <c r="P205" s="585">
        <f t="shared" ref="P205" si="589">SUM(P202:Q204)</f>
        <v>0</v>
      </c>
      <c r="Q205" s="601"/>
      <c r="R205" s="602">
        <f t="shared" ref="R205" si="590">SUM(R202:S204)</f>
        <v>0</v>
      </c>
      <c r="S205" s="593"/>
      <c r="T205" s="585">
        <f t="shared" ref="T205" si="591">SUM(T202:U204)</f>
        <v>0</v>
      </c>
      <c r="U205" s="593"/>
      <c r="V205" s="210">
        <f t="shared" ref="V205" si="592">IF(AND(F205&gt;=$G$8,H205&gt;=$I$8,L205&gt;=$M$8,P205&gt;=$Q$8,R205&gt;=$S$8,T205&gt;=$U$8),SUM(F205:U205),0)</f>
        <v>0</v>
      </c>
      <c r="W205" s="264"/>
      <c r="X205" s="97"/>
      <c r="Y205" s="597"/>
      <c r="Z205" s="91" t="str">
        <f>LOOKUP(V205,$AL$6:$AM$10)</f>
        <v>ضعيف</v>
      </c>
      <c r="AA205" s="658"/>
      <c r="AB205" s="72"/>
      <c r="AC205" s="655"/>
      <c r="AN205" s="607"/>
      <c r="AO205" s="607"/>
      <c r="AP205" s="613"/>
      <c r="AQ205" s="612"/>
      <c r="AR205" s="611"/>
      <c r="AS205" s="612"/>
    </row>
    <row r="206" spans="1:45" ht="15" customHeight="1" thickBot="1" x14ac:dyDescent="0.3">
      <c r="A206" s="632">
        <v>44</v>
      </c>
      <c r="B206" s="629">
        <f>VLOOKUP(A206,مسلسل,2,0)</f>
        <v>0</v>
      </c>
      <c r="C206" s="621" t="str">
        <f>IFERROR(VLOOKUP(B206,اسماء,2,0),"")</f>
        <v/>
      </c>
      <c r="D206" s="624" t="str">
        <f>IFERROR(VLOOKUP($B206,اسماء,3,0),"")</f>
        <v/>
      </c>
      <c r="E206" s="132" t="s">
        <v>30</v>
      </c>
      <c r="F206" s="627">
        <f>IFERROR(VLOOKUP($B206,اسماء,5,0),0)</f>
        <v>0</v>
      </c>
      <c r="G206" s="606"/>
      <c r="H206" s="628">
        <f>IFERROR(VLOOKUP($B206,اسماء,6,0),0)</f>
        <v>0</v>
      </c>
      <c r="I206" s="605"/>
      <c r="J206" s="587">
        <f>IFERROR(VLOOKUP($B206,اسماء,7,0),0)</f>
        <v>0</v>
      </c>
      <c r="K206" s="591"/>
      <c r="L206" s="587">
        <f>IFERROR(VLOOKUP($B206,اسماء,8,0),0)</f>
        <v>0</v>
      </c>
      <c r="M206" s="588"/>
      <c r="N206" s="587">
        <f>IFERROR(VLOOKUP($B206,اسماء,9,0),0)</f>
        <v>0</v>
      </c>
      <c r="O206" s="605"/>
      <c r="P206" s="587">
        <f>IFERROR(VLOOKUP($B206,اسماء,10,0),0)</f>
        <v>0</v>
      </c>
      <c r="Q206" s="605"/>
      <c r="R206" s="606">
        <f>IFERROR(VLOOKUP($B206,اسماء,11,0),0)</f>
        <v>0</v>
      </c>
      <c r="S206" s="591"/>
      <c r="T206" s="587">
        <f>IFERROR(VLOOKUP($B206,اسماء,12,0),0)</f>
        <v>0</v>
      </c>
      <c r="U206" s="591"/>
      <c r="V206" s="263">
        <f t="shared" ref="V206:V208" si="593">SUM(F206:U206)</f>
        <v>0</v>
      </c>
      <c r="W206" s="373">
        <f>IFERROR(VLOOKUP($B206,اسماء,14,0),0)</f>
        <v>0</v>
      </c>
      <c r="X206" s="373">
        <f>IFERROR(VLOOKUP($B206,اسماء,15,0),0)</f>
        <v>0</v>
      </c>
      <c r="Y206" s="595" t="str">
        <f t="shared" ref="Y206" si="594">IF(AC206="غائب","راسب",IF(AND(F209&gt;=$G$8,H209&gt;=$I$8,J209&gt;=$K$8,L209&gt;=$M$8,N209&gt;=$O$8,P209&gt;=$Q$8,R209&gt;=$S$8,T209&gt;=$U$8),"ناجح","له دور ثان"))</f>
        <v>له دور ثان</v>
      </c>
      <c r="Z206" s="21" t="str">
        <f>LOOKUP(V206,$AF$6:$AG$10)</f>
        <v>ضعيف</v>
      </c>
      <c r="AA206" s="656">
        <f>V209/$AF$3</f>
        <v>0</v>
      </c>
      <c r="AB206" s="10"/>
      <c r="AC206" s="653" t="str">
        <f>IFERROR(VLOOKUP($B206,اسماء,54,0),"")</f>
        <v/>
      </c>
      <c r="AN206" s="607" t="str">
        <f t="shared" ref="AN206" si="595">IF(V209=0,"",V209/1+ROW()*0.00001)</f>
        <v/>
      </c>
      <c r="AO206" s="607">
        <f>B206</f>
        <v>0</v>
      </c>
      <c r="AP206" s="613"/>
      <c r="AQ206" s="612">
        <v>44</v>
      </c>
      <c r="AR206" s="611" t="str">
        <f>IFERROR(LARGE($AN$10:$AN$1006,AQ206),"")</f>
        <v/>
      </c>
      <c r="AS206" s="612" t="str">
        <f>VLOOKUP(AR206,$AN$10:$AO$1116,2,0)</f>
        <v>أحمد نورالدين أحمد الذيب</v>
      </c>
    </row>
    <row r="207" spans="1:45" ht="15" customHeight="1" thickBot="1" x14ac:dyDescent="0.3">
      <c r="A207" s="633"/>
      <c r="B207" s="630"/>
      <c r="C207" s="622"/>
      <c r="D207" s="625"/>
      <c r="E207" s="133" t="s">
        <v>31</v>
      </c>
      <c r="F207" s="589">
        <f>IFERROR(VLOOKUP($B206,اسماء,18,0),0)</f>
        <v>0</v>
      </c>
      <c r="G207" s="592"/>
      <c r="H207" s="608">
        <f>IFERROR(VLOOKUP($B206,اسماء,19,0),0)</f>
        <v>0</v>
      </c>
      <c r="I207" s="609"/>
      <c r="J207" s="589">
        <f>IFERROR(VLOOKUP($B206,اسماء,20,0),0)</f>
        <v>0</v>
      </c>
      <c r="K207" s="592"/>
      <c r="L207" s="589">
        <f>IFERROR(VLOOKUP($B206,اسماء,21,0),0)</f>
        <v>0</v>
      </c>
      <c r="M207" s="590"/>
      <c r="N207" s="589">
        <f>IFERROR(VLOOKUP($B206,اسماء,22,0),0)</f>
        <v>0</v>
      </c>
      <c r="O207" s="590"/>
      <c r="P207" s="589">
        <f>IFERROR(VLOOKUP($B206,اسماء,23,0),0)</f>
        <v>0</v>
      </c>
      <c r="Q207" s="609"/>
      <c r="R207" s="603">
        <f>IFERROR(VLOOKUP($B206,اسماء,24,0),0)</f>
        <v>0</v>
      </c>
      <c r="S207" s="592"/>
      <c r="T207" s="589">
        <f>IFERROR(VLOOKUP($B206,اسماء,25,0),0)</f>
        <v>0</v>
      </c>
      <c r="U207" s="592"/>
      <c r="V207" s="263">
        <f t="shared" si="593"/>
        <v>0</v>
      </c>
      <c r="W207" s="373">
        <f>IFERROR(VLOOKUP($B206,اسماء,27,0),0)</f>
        <v>0</v>
      </c>
      <c r="X207" s="373">
        <f>IFERROR(VLOOKUP($B206,اسماء,28,0),0)</f>
        <v>0</v>
      </c>
      <c r="Y207" s="596"/>
      <c r="Z207" s="22" t="str">
        <f>LOOKUP(V207,$AF$6:$AG$10)</f>
        <v>ضعيف</v>
      </c>
      <c r="AA207" s="657"/>
      <c r="AB207" s="72"/>
      <c r="AC207" s="654"/>
      <c r="AN207" s="607"/>
      <c r="AO207" s="607"/>
      <c r="AP207" s="613"/>
      <c r="AQ207" s="612"/>
      <c r="AR207" s="611"/>
      <c r="AS207" s="612"/>
    </row>
    <row r="208" spans="1:45" ht="15" customHeight="1" x14ac:dyDescent="0.25">
      <c r="A208" s="633"/>
      <c r="B208" s="630"/>
      <c r="C208" s="622"/>
      <c r="D208" s="625"/>
      <c r="E208" s="133" t="s">
        <v>32</v>
      </c>
      <c r="F208" s="589">
        <f>IFERROR(VLOOKUP($B206,اسماء,31,0),0)</f>
        <v>0</v>
      </c>
      <c r="G208" s="592"/>
      <c r="H208" s="608">
        <f>IFERROR(VLOOKUP($B206,اسماء,32,0),0)</f>
        <v>0</v>
      </c>
      <c r="I208" s="609"/>
      <c r="J208" s="589">
        <f>IFERROR(VLOOKUP($B206,اسماء,33,0),0)</f>
        <v>0</v>
      </c>
      <c r="K208" s="592"/>
      <c r="L208" s="589">
        <f>IFERROR(VLOOKUP($B206,اسماء,34,0),0)</f>
        <v>0</v>
      </c>
      <c r="M208" s="590"/>
      <c r="N208" s="589">
        <f>IFERROR(VLOOKUP($B206,اسماء,35,0),0)</f>
        <v>0</v>
      </c>
      <c r="O208" s="590"/>
      <c r="P208" s="589">
        <f>IFERROR(VLOOKUP($B206,اسماء,36,0),0)</f>
        <v>0</v>
      </c>
      <c r="Q208" s="609"/>
      <c r="R208" s="603">
        <f>IFERROR(VLOOKUP($B206,اسماء,37,0),0)</f>
        <v>0</v>
      </c>
      <c r="S208" s="592"/>
      <c r="T208" s="589">
        <f>IFERROR(VLOOKUP($B206,اسماء,38,0),0)</f>
        <v>0</v>
      </c>
      <c r="U208" s="592"/>
      <c r="V208" s="263">
        <f t="shared" si="593"/>
        <v>0</v>
      </c>
      <c r="W208" s="373">
        <f>IFERROR(VLOOKUP($B206,اسماء,40,0),0)</f>
        <v>0</v>
      </c>
      <c r="X208" s="373">
        <f>IFERROR(VLOOKUP($B206,اسماء,41,0),0)</f>
        <v>0</v>
      </c>
      <c r="Y208" s="596"/>
      <c r="Z208" s="22" t="str">
        <f>LOOKUP(V208,$AI$6:$AJ$10)</f>
        <v>ضعيف</v>
      </c>
      <c r="AA208" s="657"/>
      <c r="AB208" s="72"/>
      <c r="AC208" s="654"/>
      <c r="AN208" s="607"/>
      <c r="AO208" s="607"/>
      <c r="AP208" s="613"/>
      <c r="AQ208" s="612"/>
      <c r="AR208" s="611"/>
      <c r="AS208" s="612"/>
    </row>
    <row r="209" spans="1:45" ht="15" customHeight="1" thickBot="1" x14ac:dyDescent="0.3">
      <c r="A209" s="634"/>
      <c r="B209" s="631"/>
      <c r="C209" s="623"/>
      <c r="D209" s="626"/>
      <c r="E209" s="127" t="s">
        <v>33</v>
      </c>
      <c r="F209" s="585">
        <f t="shared" ref="F209" si="596">SUM(F206:G208)</f>
        <v>0</v>
      </c>
      <c r="G209" s="593"/>
      <c r="H209" s="604">
        <f t="shared" ref="H209" si="597">SUM(H206:I208)</f>
        <v>0</v>
      </c>
      <c r="I209" s="601"/>
      <c r="J209" s="585">
        <f t="shared" ref="J209" si="598">SUM(J206:K208)</f>
        <v>0</v>
      </c>
      <c r="K209" s="593"/>
      <c r="L209" s="585">
        <f t="shared" ref="L209" si="599">SUM(L206:M208)</f>
        <v>0</v>
      </c>
      <c r="M209" s="586"/>
      <c r="N209" s="585">
        <f t="shared" ref="N209" si="600">SUM(N206:O208)</f>
        <v>0</v>
      </c>
      <c r="O209" s="586"/>
      <c r="P209" s="585">
        <f t="shared" ref="P209" si="601">SUM(P206:Q208)</f>
        <v>0</v>
      </c>
      <c r="Q209" s="601"/>
      <c r="R209" s="602">
        <f t="shared" ref="R209" si="602">SUM(R206:S208)</f>
        <v>0</v>
      </c>
      <c r="S209" s="593"/>
      <c r="T209" s="585">
        <f t="shared" ref="T209" si="603">SUM(T206:U208)</f>
        <v>0</v>
      </c>
      <c r="U209" s="593"/>
      <c r="V209" s="210">
        <f t="shared" ref="V209" si="604">IF(AND(F209&gt;=$G$8,H209&gt;=$I$8,L209&gt;=$M$8,P209&gt;=$Q$8,R209&gt;=$S$8,T209&gt;=$U$8),SUM(F209:U209),0)</f>
        <v>0</v>
      </c>
      <c r="W209" s="264"/>
      <c r="X209" s="97"/>
      <c r="Y209" s="597"/>
      <c r="Z209" s="91" t="str">
        <f>LOOKUP(V209,$AL$6:$AM$10)</f>
        <v>ضعيف</v>
      </c>
      <c r="AA209" s="658"/>
      <c r="AB209" s="10"/>
      <c r="AC209" s="655"/>
      <c r="AN209" s="607"/>
      <c r="AO209" s="607"/>
      <c r="AP209" s="613"/>
      <c r="AQ209" s="612"/>
      <c r="AR209" s="611"/>
      <c r="AS209" s="612"/>
    </row>
    <row r="210" spans="1:45" ht="15" customHeight="1" thickBot="1" x14ac:dyDescent="0.3">
      <c r="A210" s="632">
        <v>45</v>
      </c>
      <c r="B210" s="629">
        <f>VLOOKUP(A210,مسلسل,2,0)</f>
        <v>0</v>
      </c>
      <c r="C210" s="621" t="str">
        <f>IFERROR(VLOOKUP(B210,اسماء,2,0),"")</f>
        <v/>
      </c>
      <c r="D210" s="624" t="str">
        <f>IFERROR(VLOOKUP($B210,اسماء,3,0),"")</f>
        <v/>
      </c>
      <c r="E210" s="132" t="s">
        <v>30</v>
      </c>
      <c r="F210" s="627">
        <f>IFERROR(VLOOKUP($B210,اسماء,5,0),0)</f>
        <v>0</v>
      </c>
      <c r="G210" s="606"/>
      <c r="H210" s="628">
        <f>IFERROR(VLOOKUP($B210,اسماء,6,0),0)</f>
        <v>0</v>
      </c>
      <c r="I210" s="605"/>
      <c r="J210" s="587">
        <f>IFERROR(VLOOKUP($B210,اسماء,7,0),0)</f>
        <v>0</v>
      </c>
      <c r="K210" s="591"/>
      <c r="L210" s="587">
        <f>IFERROR(VLOOKUP($B210,اسماء,8,0),0)</f>
        <v>0</v>
      </c>
      <c r="M210" s="588"/>
      <c r="N210" s="587">
        <f>IFERROR(VLOOKUP($B210,اسماء,9,0),0)</f>
        <v>0</v>
      </c>
      <c r="O210" s="605"/>
      <c r="P210" s="587">
        <f>IFERROR(VLOOKUP($B210,اسماء,10,0),0)</f>
        <v>0</v>
      </c>
      <c r="Q210" s="605"/>
      <c r="R210" s="606">
        <f>IFERROR(VLOOKUP($B210,اسماء,11,0),0)</f>
        <v>0</v>
      </c>
      <c r="S210" s="591"/>
      <c r="T210" s="587">
        <f>IFERROR(VLOOKUP($B210,اسماء,12,0),0)</f>
        <v>0</v>
      </c>
      <c r="U210" s="591"/>
      <c r="V210" s="263">
        <f t="shared" ref="V210:V212" si="605">SUM(F210:U210)</f>
        <v>0</v>
      </c>
      <c r="W210" s="373">
        <f>IFERROR(VLOOKUP($B210,اسماء,14,0),0)</f>
        <v>0</v>
      </c>
      <c r="X210" s="373">
        <f>IFERROR(VLOOKUP($B210,اسماء,15,0),0)</f>
        <v>0</v>
      </c>
      <c r="Y210" s="595" t="str">
        <f t="shared" ref="Y210" si="606">IF(AC210="غائب","راسب",IF(AND(F213&gt;=$G$8,H213&gt;=$I$8,J213&gt;=$K$8,L213&gt;=$M$8,N213&gt;=$O$8,P213&gt;=$Q$8,R213&gt;=$S$8,T213&gt;=$U$8),"ناجح","له دور ثان"))</f>
        <v>له دور ثان</v>
      </c>
      <c r="Z210" s="21" t="str">
        <f t="shared" ref="Z210:Z211" si="607">LOOKUP(V210,$AF$6:$AG$10)</f>
        <v>ضعيف</v>
      </c>
      <c r="AA210" s="656">
        <f t="shared" ref="AA210" si="608">V213/$AF$3</f>
        <v>0</v>
      </c>
      <c r="AB210" s="72"/>
      <c r="AC210" s="653" t="str">
        <f>IFERROR(VLOOKUP($B210,اسماء,54,0),"")</f>
        <v/>
      </c>
      <c r="AN210" s="607" t="str">
        <f t="shared" ref="AN210" si="609">IF(V213=0,"",V213/1+ROW()*0.00001)</f>
        <v/>
      </c>
      <c r="AO210" s="607">
        <f>B210</f>
        <v>0</v>
      </c>
      <c r="AP210" s="613"/>
      <c r="AQ210" s="612">
        <v>45</v>
      </c>
      <c r="AR210" s="611" t="str">
        <f>IFERROR(LARGE($AN$10:$AN$1006,AQ210),"")</f>
        <v/>
      </c>
      <c r="AS210" s="612" t="str">
        <f>VLOOKUP(AR210,$AN$10:$AO$1116,2,0)</f>
        <v>أحمد نورالدين أحمد الذيب</v>
      </c>
    </row>
    <row r="211" spans="1:45" ht="15" customHeight="1" thickBot="1" x14ac:dyDescent="0.3">
      <c r="A211" s="633"/>
      <c r="B211" s="630"/>
      <c r="C211" s="622"/>
      <c r="D211" s="625"/>
      <c r="E211" s="133" t="s">
        <v>31</v>
      </c>
      <c r="F211" s="589">
        <f>IFERROR(VLOOKUP($B210,اسماء,18,0),0)</f>
        <v>0</v>
      </c>
      <c r="G211" s="592"/>
      <c r="H211" s="608">
        <f>IFERROR(VLOOKUP($B210,اسماء,19,0),0)</f>
        <v>0</v>
      </c>
      <c r="I211" s="609"/>
      <c r="J211" s="589">
        <f>IFERROR(VLOOKUP($B210,اسماء,20,0),0)</f>
        <v>0</v>
      </c>
      <c r="K211" s="592"/>
      <c r="L211" s="589">
        <f>IFERROR(VLOOKUP($B210,اسماء,21,0),0)</f>
        <v>0</v>
      </c>
      <c r="M211" s="590"/>
      <c r="N211" s="589">
        <f>IFERROR(VLOOKUP($B210,اسماء,22,0),0)</f>
        <v>0</v>
      </c>
      <c r="O211" s="590"/>
      <c r="P211" s="589">
        <f>IFERROR(VLOOKUP($B210,اسماء,23,0),0)</f>
        <v>0</v>
      </c>
      <c r="Q211" s="609"/>
      <c r="R211" s="603">
        <f>IFERROR(VLOOKUP($B210,اسماء,24,0),0)</f>
        <v>0</v>
      </c>
      <c r="S211" s="592"/>
      <c r="T211" s="589">
        <f>IFERROR(VLOOKUP($B210,اسماء,25,0),0)</f>
        <v>0</v>
      </c>
      <c r="U211" s="592"/>
      <c r="V211" s="263">
        <f t="shared" si="605"/>
        <v>0</v>
      </c>
      <c r="W211" s="373">
        <f>IFERROR(VLOOKUP($B210,اسماء,27,0),0)</f>
        <v>0</v>
      </c>
      <c r="X211" s="373">
        <f>IFERROR(VLOOKUP($B210,اسماء,28,0),0)</f>
        <v>0</v>
      </c>
      <c r="Y211" s="596"/>
      <c r="Z211" s="22" t="str">
        <f t="shared" si="607"/>
        <v>ضعيف</v>
      </c>
      <c r="AA211" s="657"/>
      <c r="AB211" s="72"/>
      <c r="AC211" s="654"/>
      <c r="AN211" s="607"/>
      <c r="AO211" s="607"/>
      <c r="AP211" s="613"/>
      <c r="AQ211" s="612"/>
      <c r="AR211" s="611"/>
      <c r="AS211" s="612"/>
    </row>
    <row r="212" spans="1:45" ht="15" customHeight="1" x14ac:dyDescent="0.25">
      <c r="A212" s="633"/>
      <c r="B212" s="630"/>
      <c r="C212" s="622"/>
      <c r="D212" s="625"/>
      <c r="E212" s="133" t="s">
        <v>32</v>
      </c>
      <c r="F212" s="589">
        <f>IFERROR(VLOOKUP($B210,اسماء,31,0),0)</f>
        <v>0</v>
      </c>
      <c r="G212" s="592"/>
      <c r="H212" s="608">
        <f>IFERROR(VLOOKUP($B210,اسماء,32,0),0)</f>
        <v>0</v>
      </c>
      <c r="I212" s="609"/>
      <c r="J212" s="589">
        <f>IFERROR(VLOOKUP($B210,اسماء,33,0),0)</f>
        <v>0</v>
      </c>
      <c r="K212" s="592"/>
      <c r="L212" s="589">
        <f>IFERROR(VLOOKUP($B210,اسماء,34,0),0)</f>
        <v>0</v>
      </c>
      <c r="M212" s="590"/>
      <c r="N212" s="589">
        <f>IFERROR(VLOOKUP($B210,اسماء,35,0),0)</f>
        <v>0</v>
      </c>
      <c r="O212" s="590"/>
      <c r="P212" s="589">
        <f>IFERROR(VLOOKUP($B210,اسماء,36,0),0)</f>
        <v>0</v>
      </c>
      <c r="Q212" s="609"/>
      <c r="R212" s="603">
        <f>IFERROR(VLOOKUP($B210,اسماء,37,0),0)</f>
        <v>0</v>
      </c>
      <c r="S212" s="592"/>
      <c r="T212" s="589">
        <f>IFERROR(VLOOKUP($B210,اسماء,38,0),0)</f>
        <v>0</v>
      </c>
      <c r="U212" s="592"/>
      <c r="V212" s="263">
        <f t="shared" si="605"/>
        <v>0</v>
      </c>
      <c r="W212" s="373">
        <f>IFERROR(VLOOKUP($B210,اسماء,40,0),0)</f>
        <v>0</v>
      </c>
      <c r="X212" s="373">
        <f>IFERROR(VLOOKUP($B210,اسماء,41,0),0)</f>
        <v>0</v>
      </c>
      <c r="Y212" s="596"/>
      <c r="Z212" s="22" t="str">
        <f t="shared" ref="Z212" si="610">LOOKUP(V212,$AI$6:$AJ$10)</f>
        <v>ضعيف</v>
      </c>
      <c r="AA212" s="657"/>
      <c r="AB212" s="10"/>
      <c r="AC212" s="654"/>
      <c r="AN212" s="607"/>
      <c r="AO212" s="607"/>
      <c r="AP212" s="613"/>
      <c r="AQ212" s="612"/>
      <c r="AR212" s="611"/>
      <c r="AS212" s="612"/>
    </row>
    <row r="213" spans="1:45" ht="15" customHeight="1" thickBot="1" x14ac:dyDescent="0.3">
      <c r="A213" s="634"/>
      <c r="B213" s="631"/>
      <c r="C213" s="623"/>
      <c r="D213" s="626"/>
      <c r="E213" s="127" t="s">
        <v>33</v>
      </c>
      <c r="F213" s="585">
        <f t="shared" ref="F213" si="611">SUM(F210:G212)</f>
        <v>0</v>
      </c>
      <c r="G213" s="593"/>
      <c r="H213" s="604">
        <f t="shared" ref="H213" si="612">SUM(H210:I212)</f>
        <v>0</v>
      </c>
      <c r="I213" s="601"/>
      <c r="J213" s="585">
        <f t="shared" ref="J213" si="613">SUM(J210:K212)</f>
        <v>0</v>
      </c>
      <c r="K213" s="593"/>
      <c r="L213" s="585">
        <f t="shared" ref="L213" si="614">SUM(L210:M212)</f>
        <v>0</v>
      </c>
      <c r="M213" s="586"/>
      <c r="N213" s="585">
        <f t="shared" ref="N213" si="615">SUM(N210:O212)</f>
        <v>0</v>
      </c>
      <c r="O213" s="586"/>
      <c r="P213" s="585">
        <f t="shared" ref="P213" si="616">SUM(P210:Q212)</f>
        <v>0</v>
      </c>
      <c r="Q213" s="601"/>
      <c r="R213" s="602">
        <f t="shared" ref="R213" si="617">SUM(R210:S212)</f>
        <v>0</v>
      </c>
      <c r="S213" s="593"/>
      <c r="T213" s="585">
        <f t="shared" ref="T213" si="618">SUM(T210:U212)</f>
        <v>0</v>
      </c>
      <c r="U213" s="593"/>
      <c r="V213" s="210">
        <f t="shared" ref="V213" si="619">IF(AND(F213&gt;=$G$8,H213&gt;=$I$8,L213&gt;=$M$8,P213&gt;=$Q$8,R213&gt;=$S$8,T213&gt;=$U$8),SUM(F213:U213),0)</f>
        <v>0</v>
      </c>
      <c r="W213" s="264"/>
      <c r="X213" s="97"/>
      <c r="Y213" s="597"/>
      <c r="Z213" s="91" t="str">
        <f t="shared" ref="Z213" si="620">LOOKUP(V213,$AL$6:$AM$10)</f>
        <v>ضعيف</v>
      </c>
      <c r="AA213" s="658"/>
      <c r="AB213" s="72"/>
      <c r="AC213" s="655"/>
      <c r="AN213" s="607"/>
      <c r="AO213" s="607"/>
      <c r="AP213" s="613"/>
      <c r="AQ213" s="612"/>
      <c r="AR213" s="611"/>
      <c r="AS213" s="612"/>
    </row>
    <row r="214" spans="1:45" ht="15" customHeight="1" thickBot="1" x14ac:dyDescent="0.3">
      <c r="A214" s="632">
        <v>46</v>
      </c>
      <c r="B214" s="629">
        <f>VLOOKUP(A214,مسلسل,2,0)</f>
        <v>0</v>
      </c>
      <c r="C214" s="621" t="str">
        <f>IFERROR(VLOOKUP(B214,اسماء,2,0),"")</f>
        <v/>
      </c>
      <c r="D214" s="624" t="str">
        <f>IFERROR(VLOOKUP($B214,اسماء,3,0),"")</f>
        <v/>
      </c>
      <c r="E214" s="132" t="s">
        <v>30</v>
      </c>
      <c r="F214" s="627">
        <f>IFERROR(VLOOKUP($B214,اسماء,5,0),0)</f>
        <v>0</v>
      </c>
      <c r="G214" s="606"/>
      <c r="H214" s="628">
        <f>IFERROR(VLOOKUP($B214,اسماء,6,0),0)</f>
        <v>0</v>
      </c>
      <c r="I214" s="605"/>
      <c r="J214" s="587">
        <f>IFERROR(VLOOKUP($B214,اسماء,7,0),0)</f>
        <v>0</v>
      </c>
      <c r="K214" s="591"/>
      <c r="L214" s="587">
        <f>IFERROR(VLOOKUP($B214,اسماء,8,0),0)</f>
        <v>0</v>
      </c>
      <c r="M214" s="588"/>
      <c r="N214" s="587">
        <f>IFERROR(VLOOKUP($B214,اسماء,9,0),0)</f>
        <v>0</v>
      </c>
      <c r="O214" s="605"/>
      <c r="P214" s="587">
        <f>IFERROR(VLOOKUP($B214,اسماء,10,0),0)</f>
        <v>0</v>
      </c>
      <c r="Q214" s="605"/>
      <c r="R214" s="606">
        <f>IFERROR(VLOOKUP($B214,اسماء,11,0),0)</f>
        <v>0</v>
      </c>
      <c r="S214" s="591"/>
      <c r="T214" s="587">
        <f>IFERROR(VLOOKUP($B214,اسماء,12,0),0)</f>
        <v>0</v>
      </c>
      <c r="U214" s="591"/>
      <c r="V214" s="263">
        <f t="shared" ref="V214:V216" si="621">SUM(F214:U214)</f>
        <v>0</v>
      </c>
      <c r="W214" s="373">
        <f>IFERROR(VLOOKUP($B214,اسماء,14,0),0)</f>
        <v>0</v>
      </c>
      <c r="X214" s="373">
        <f>IFERROR(VLOOKUP($B214,اسماء,15,0),0)</f>
        <v>0</v>
      </c>
      <c r="Y214" s="595" t="str">
        <f t="shared" ref="Y214" si="622">IF(AC214="غائب","راسب",IF(AND(F217&gt;=$G$8,H217&gt;=$I$8,J217&gt;=$K$8,L217&gt;=$M$8,N217&gt;=$O$8,P217&gt;=$Q$8,R217&gt;=$S$8,T217&gt;=$U$8),"ناجح","له دور ثان"))</f>
        <v>له دور ثان</v>
      </c>
      <c r="Z214" s="21" t="str">
        <f t="shared" ref="Z214:Z215" si="623">LOOKUP(V214,$AF$6:$AG$10)</f>
        <v>ضعيف</v>
      </c>
      <c r="AA214" s="656">
        <f t="shared" ref="AA214" si="624">V217/$AF$3</f>
        <v>0</v>
      </c>
      <c r="AB214" s="72"/>
      <c r="AC214" s="653" t="str">
        <f>IFERROR(VLOOKUP($B214,اسماء,54,0),"")</f>
        <v/>
      </c>
      <c r="AN214" s="607" t="str">
        <f t="shared" ref="AN214" si="625">IF(V217=0,"",V217/1+ROW()*0.00001)</f>
        <v/>
      </c>
      <c r="AO214" s="607">
        <f>B214</f>
        <v>0</v>
      </c>
      <c r="AP214" s="613"/>
      <c r="AQ214" s="612">
        <v>46</v>
      </c>
      <c r="AR214" s="611" t="str">
        <f>IFERROR(LARGE($AN$10:$AN$1006,AQ214),"")</f>
        <v/>
      </c>
      <c r="AS214" s="612" t="str">
        <f>VLOOKUP(AR214,$AN$10:$AO$1116,2,0)</f>
        <v>أحمد نورالدين أحمد الذيب</v>
      </c>
    </row>
    <row r="215" spans="1:45" ht="15" customHeight="1" thickBot="1" x14ac:dyDescent="0.3">
      <c r="A215" s="633"/>
      <c r="B215" s="630"/>
      <c r="C215" s="622"/>
      <c r="D215" s="625"/>
      <c r="E215" s="133" t="s">
        <v>31</v>
      </c>
      <c r="F215" s="589">
        <f>IFERROR(VLOOKUP($B214,اسماء,18,0),0)</f>
        <v>0</v>
      </c>
      <c r="G215" s="592"/>
      <c r="H215" s="608">
        <f>IFERROR(VLOOKUP($B214,اسماء,19,0),0)</f>
        <v>0</v>
      </c>
      <c r="I215" s="609"/>
      <c r="J215" s="589">
        <f>IFERROR(VLOOKUP($B214,اسماء,20,0),0)</f>
        <v>0</v>
      </c>
      <c r="K215" s="592"/>
      <c r="L215" s="589">
        <f>IFERROR(VLOOKUP($B214,اسماء,21,0),0)</f>
        <v>0</v>
      </c>
      <c r="M215" s="590"/>
      <c r="N215" s="589">
        <f>IFERROR(VLOOKUP($B214,اسماء,22,0),0)</f>
        <v>0</v>
      </c>
      <c r="O215" s="590"/>
      <c r="P215" s="589">
        <f>IFERROR(VLOOKUP($B214,اسماء,23,0),0)</f>
        <v>0</v>
      </c>
      <c r="Q215" s="609"/>
      <c r="R215" s="603">
        <f>IFERROR(VLOOKUP($B214,اسماء,24,0),0)</f>
        <v>0</v>
      </c>
      <c r="S215" s="592"/>
      <c r="T215" s="589">
        <f>IFERROR(VLOOKUP($B214,اسماء,25,0),0)</f>
        <v>0</v>
      </c>
      <c r="U215" s="592"/>
      <c r="V215" s="263">
        <f t="shared" si="621"/>
        <v>0</v>
      </c>
      <c r="W215" s="373">
        <f>IFERROR(VLOOKUP($B214,اسماء,27,0),0)</f>
        <v>0</v>
      </c>
      <c r="X215" s="373">
        <f>IFERROR(VLOOKUP($B214,اسماء,28,0),0)</f>
        <v>0</v>
      </c>
      <c r="Y215" s="596"/>
      <c r="Z215" s="22" t="str">
        <f t="shared" si="623"/>
        <v>ضعيف</v>
      </c>
      <c r="AA215" s="657"/>
      <c r="AB215" s="10"/>
      <c r="AC215" s="654"/>
      <c r="AN215" s="607"/>
      <c r="AO215" s="607"/>
      <c r="AP215" s="613"/>
      <c r="AQ215" s="612"/>
      <c r="AR215" s="611"/>
      <c r="AS215" s="612"/>
    </row>
    <row r="216" spans="1:45" ht="15" customHeight="1" x14ac:dyDescent="0.25">
      <c r="A216" s="633"/>
      <c r="B216" s="630"/>
      <c r="C216" s="622"/>
      <c r="D216" s="625"/>
      <c r="E216" s="133" t="s">
        <v>32</v>
      </c>
      <c r="F216" s="589">
        <f>IFERROR(VLOOKUP($B214,اسماء,31,0),0)</f>
        <v>0</v>
      </c>
      <c r="G216" s="592"/>
      <c r="H216" s="608">
        <f>IFERROR(VLOOKUP($B214,اسماء,32,0),0)</f>
        <v>0</v>
      </c>
      <c r="I216" s="609"/>
      <c r="J216" s="589">
        <f>IFERROR(VLOOKUP($B214,اسماء,33,0),0)</f>
        <v>0</v>
      </c>
      <c r="K216" s="592"/>
      <c r="L216" s="589">
        <f>IFERROR(VLOOKUP($B214,اسماء,34,0),0)</f>
        <v>0</v>
      </c>
      <c r="M216" s="590"/>
      <c r="N216" s="589">
        <f>IFERROR(VLOOKUP($B214,اسماء,35,0),0)</f>
        <v>0</v>
      </c>
      <c r="O216" s="590"/>
      <c r="P216" s="589">
        <f>IFERROR(VLOOKUP($B214,اسماء,36,0),0)</f>
        <v>0</v>
      </c>
      <c r="Q216" s="609"/>
      <c r="R216" s="603">
        <f>IFERROR(VLOOKUP($B214,اسماء,37,0),0)</f>
        <v>0</v>
      </c>
      <c r="S216" s="592"/>
      <c r="T216" s="589">
        <f>IFERROR(VLOOKUP($B214,اسماء,38,0),0)</f>
        <v>0</v>
      </c>
      <c r="U216" s="592"/>
      <c r="V216" s="263">
        <f t="shared" si="621"/>
        <v>0</v>
      </c>
      <c r="W216" s="373">
        <f>IFERROR(VLOOKUP($B214,اسماء,40,0),0)</f>
        <v>0</v>
      </c>
      <c r="X216" s="373">
        <f>IFERROR(VLOOKUP($B214,اسماء,41,0),0)</f>
        <v>0</v>
      </c>
      <c r="Y216" s="596"/>
      <c r="Z216" s="22" t="str">
        <f t="shared" ref="Z216" si="626">LOOKUP(V216,$AI$6:$AJ$10)</f>
        <v>ضعيف</v>
      </c>
      <c r="AA216" s="657"/>
      <c r="AB216" s="72"/>
      <c r="AC216" s="654"/>
      <c r="AN216" s="607"/>
      <c r="AO216" s="607"/>
      <c r="AP216" s="613"/>
      <c r="AQ216" s="612"/>
      <c r="AR216" s="611"/>
      <c r="AS216" s="612"/>
    </row>
    <row r="217" spans="1:45" ht="15" customHeight="1" thickBot="1" x14ac:dyDescent="0.3">
      <c r="A217" s="634"/>
      <c r="B217" s="631"/>
      <c r="C217" s="623"/>
      <c r="D217" s="626"/>
      <c r="E217" s="127" t="s">
        <v>33</v>
      </c>
      <c r="F217" s="585">
        <f t="shared" ref="F217" si="627">SUM(F214:G216)</f>
        <v>0</v>
      </c>
      <c r="G217" s="593"/>
      <c r="H217" s="604">
        <f t="shared" ref="H217" si="628">SUM(H214:I216)</f>
        <v>0</v>
      </c>
      <c r="I217" s="601"/>
      <c r="J217" s="585">
        <f t="shared" ref="J217" si="629">SUM(J214:K216)</f>
        <v>0</v>
      </c>
      <c r="K217" s="593"/>
      <c r="L217" s="585">
        <f t="shared" ref="L217" si="630">SUM(L214:M216)</f>
        <v>0</v>
      </c>
      <c r="M217" s="586"/>
      <c r="N217" s="585">
        <f t="shared" ref="N217" si="631">SUM(N214:O216)</f>
        <v>0</v>
      </c>
      <c r="O217" s="586"/>
      <c r="P217" s="585">
        <f t="shared" ref="P217" si="632">SUM(P214:Q216)</f>
        <v>0</v>
      </c>
      <c r="Q217" s="601"/>
      <c r="R217" s="602">
        <f t="shared" ref="R217" si="633">SUM(R214:S216)</f>
        <v>0</v>
      </c>
      <c r="S217" s="593"/>
      <c r="T217" s="585">
        <f t="shared" ref="T217" si="634">SUM(T214:U216)</f>
        <v>0</v>
      </c>
      <c r="U217" s="593"/>
      <c r="V217" s="210">
        <f t="shared" ref="V217" si="635">IF(AND(F217&gt;=$G$8,H217&gt;=$I$8,L217&gt;=$M$8,P217&gt;=$Q$8,R217&gt;=$S$8,T217&gt;=$U$8),SUM(F217:U217),0)</f>
        <v>0</v>
      </c>
      <c r="W217" s="264"/>
      <c r="X217" s="97"/>
      <c r="Y217" s="597"/>
      <c r="Z217" s="91" t="str">
        <f t="shared" ref="Z217" si="636">LOOKUP(V217,$AL$6:$AM$10)</f>
        <v>ضعيف</v>
      </c>
      <c r="AA217" s="658"/>
      <c r="AB217" s="72"/>
      <c r="AC217" s="655"/>
      <c r="AN217" s="607"/>
      <c r="AO217" s="607"/>
      <c r="AP217" s="613"/>
      <c r="AQ217" s="612"/>
      <c r="AR217" s="611"/>
      <c r="AS217" s="612"/>
    </row>
    <row r="218" spans="1:45" ht="15" customHeight="1" thickBot="1" x14ac:dyDescent="0.3">
      <c r="A218" s="632">
        <v>47</v>
      </c>
      <c r="B218" s="629">
        <f>VLOOKUP(A218,مسلسل,2,0)</f>
        <v>0</v>
      </c>
      <c r="C218" s="621" t="str">
        <f>IFERROR(VLOOKUP(B218,اسماء,2,0),"")</f>
        <v/>
      </c>
      <c r="D218" s="624" t="str">
        <f>IFERROR(VLOOKUP($B218,اسماء,3,0),"")</f>
        <v/>
      </c>
      <c r="E218" s="132" t="s">
        <v>30</v>
      </c>
      <c r="F218" s="627">
        <f>IFERROR(VLOOKUP($B218,اسماء,5,0),0)</f>
        <v>0</v>
      </c>
      <c r="G218" s="606"/>
      <c r="H218" s="628">
        <f>IFERROR(VLOOKUP($B218,اسماء,6,0),0)</f>
        <v>0</v>
      </c>
      <c r="I218" s="605"/>
      <c r="J218" s="587">
        <f>IFERROR(VLOOKUP($B218,اسماء,7,0),0)</f>
        <v>0</v>
      </c>
      <c r="K218" s="591"/>
      <c r="L218" s="587">
        <f>IFERROR(VLOOKUP($B218,اسماء,8,0),0)</f>
        <v>0</v>
      </c>
      <c r="M218" s="588"/>
      <c r="N218" s="587">
        <f>IFERROR(VLOOKUP($B218,اسماء,9,0),0)</f>
        <v>0</v>
      </c>
      <c r="O218" s="605"/>
      <c r="P218" s="587">
        <f>IFERROR(VLOOKUP($B218,اسماء,10,0),0)</f>
        <v>0</v>
      </c>
      <c r="Q218" s="605"/>
      <c r="R218" s="606">
        <f>IFERROR(VLOOKUP($B218,اسماء,11,0),0)</f>
        <v>0</v>
      </c>
      <c r="S218" s="591"/>
      <c r="T218" s="587">
        <f>IFERROR(VLOOKUP($B218,اسماء,12,0),0)</f>
        <v>0</v>
      </c>
      <c r="U218" s="591"/>
      <c r="V218" s="263">
        <f t="shared" ref="V218:V220" si="637">SUM(F218:U218)</f>
        <v>0</v>
      </c>
      <c r="W218" s="373">
        <f>IFERROR(VLOOKUP($B218,اسماء,14,0),0)</f>
        <v>0</v>
      </c>
      <c r="X218" s="373">
        <f>IFERROR(VLOOKUP($B218,اسماء,15,0),0)</f>
        <v>0</v>
      </c>
      <c r="Y218" s="595" t="str">
        <f t="shared" ref="Y218" si="638">IF(AC218="غائب","راسب",IF(AND(F221&gt;=$G$8,H221&gt;=$I$8,J221&gt;=$K$8,L221&gt;=$M$8,N221&gt;=$O$8,P221&gt;=$Q$8,R221&gt;=$S$8,T221&gt;=$U$8),"ناجح","له دور ثان"))</f>
        <v>له دور ثان</v>
      </c>
      <c r="Z218" s="21" t="str">
        <f t="shared" ref="Z218:Z219" si="639">LOOKUP(V218,$AF$6:$AG$10)</f>
        <v>ضعيف</v>
      </c>
      <c r="AA218" s="656">
        <f t="shared" ref="AA218" si="640">V221/$AF$3</f>
        <v>0</v>
      </c>
      <c r="AB218" s="10"/>
      <c r="AC218" s="653" t="str">
        <f>IFERROR(VLOOKUP($B218,اسماء,54,0),"")</f>
        <v/>
      </c>
      <c r="AN218" s="607" t="str">
        <f t="shared" ref="AN218" si="641">IF(V221=0,"",V221/1+ROW()*0.00001)</f>
        <v/>
      </c>
      <c r="AO218" s="607">
        <f>B218</f>
        <v>0</v>
      </c>
      <c r="AP218" s="613"/>
      <c r="AQ218" s="612">
        <v>47</v>
      </c>
      <c r="AR218" s="611" t="str">
        <f>IFERROR(LARGE($AN$10:$AN$1006,AQ218),"")</f>
        <v/>
      </c>
      <c r="AS218" s="612" t="str">
        <f>VLOOKUP(AR218,$AN$10:$AO$1116,2,0)</f>
        <v>أحمد نورالدين أحمد الذيب</v>
      </c>
    </row>
    <row r="219" spans="1:45" ht="15" customHeight="1" thickBot="1" x14ac:dyDescent="0.3">
      <c r="A219" s="633"/>
      <c r="B219" s="630"/>
      <c r="C219" s="622"/>
      <c r="D219" s="625"/>
      <c r="E219" s="133" t="s">
        <v>31</v>
      </c>
      <c r="F219" s="589">
        <f>IFERROR(VLOOKUP($B218,اسماء,18,0),0)</f>
        <v>0</v>
      </c>
      <c r="G219" s="592"/>
      <c r="H219" s="608">
        <f>IFERROR(VLOOKUP($B218,اسماء,19,0),0)</f>
        <v>0</v>
      </c>
      <c r="I219" s="609"/>
      <c r="J219" s="589">
        <f>IFERROR(VLOOKUP($B218,اسماء,20,0),0)</f>
        <v>0</v>
      </c>
      <c r="K219" s="592"/>
      <c r="L219" s="589">
        <f>IFERROR(VLOOKUP($B218,اسماء,21,0),0)</f>
        <v>0</v>
      </c>
      <c r="M219" s="590"/>
      <c r="N219" s="589">
        <f>IFERROR(VLOOKUP($B218,اسماء,22,0),0)</f>
        <v>0</v>
      </c>
      <c r="O219" s="590"/>
      <c r="P219" s="589">
        <f>IFERROR(VLOOKUP($B218,اسماء,23,0),0)</f>
        <v>0</v>
      </c>
      <c r="Q219" s="609"/>
      <c r="R219" s="603">
        <f>IFERROR(VLOOKUP($B218,اسماء,24,0),0)</f>
        <v>0</v>
      </c>
      <c r="S219" s="592"/>
      <c r="T219" s="589">
        <f>IFERROR(VLOOKUP($B218,اسماء,25,0),0)</f>
        <v>0</v>
      </c>
      <c r="U219" s="592"/>
      <c r="V219" s="263">
        <f t="shared" si="637"/>
        <v>0</v>
      </c>
      <c r="W219" s="373">
        <f>IFERROR(VLOOKUP($B218,اسماء,27,0),0)</f>
        <v>0</v>
      </c>
      <c r="X219" s="373">
        <f>IFERROR(VLOOKUP($B218,اسماء,28,0),0)</f>
        <v>0</v>
      </c>
      <c r="Y219" s="596"/>
      <c r="Z219" s="22" t="str">
        <f t="shared" si="639"/>
        <v>ضعيف</v>
      </c>
      <c r="AA219" s="657"/>
      <c r="AB219" s="72"/>
      <c r="AC219" s="654"/>
      <c r="AN219" s="607"/>
      <c r="AO219" s="607"/>
      <c r="AP219" s="613"/>
      <c r="AQ219" s="612"/>
      <c r="AR219" s="611"/>
      <c r="AS219" s="612"/>
    </row>
    <row r="220" spans="1:45" ht="15" customHeight="1" x14ac:dyDescent="0.25">
      <c r="A220" s="633"/>
      <c r="B220" s="630"/>
      <c r="C220" s="622"/>
      <c r="D220" s="625"/>
      <c r="E220" s="133" t="s">
        <v>32</v>
      </c>
      <c r="F220" s="589">
        <f>IFERROR(VLOOKUP($B218,اسماء,31,0),0)</f>
        <v>0</v>
      </c>
      <c r="G220" s="592"/>
      <c r="H220" s="608">
        <f>IFERROR(VLOOKUP($B218,اسماء,32,0),0)</f>
        <v>0</v>
      </c>
      <c r="I220" s="609"/>
      <c r="J220" s="589">
        <f>IFERROR(VLOOKUP($B218,اسماء,33,0),0)</f>
        <v>0</v>
      </c>
      <c r="K220" s="592"/>
      <c r="L220" s="589">
        <f>IFERROR(VLOOKUP($B218,اسماء,34,0),0)</f>
        <v>0</v>
      </c>
      <c r="M220" s="590"/>
      <c r="N220" s="589">
        <f>IFERROR(VLOOKUP($B218,اسماء,35,0),0)</f>
        <v>0</v>
      </c>
      <c r="O220" s="590"/>
      <c r="P220" s="589">
        <f>IFERROR(VLOOKUP($B218,اسماء,36,0),0)</f>
        <v>0</v>
      </c>
      <c r="Q220" s="609"/>
      <c r="R220" s="603">
        <f>IFERROR(VLOOKUP($B218,اسماء,37,0),0)</f>
        <v>0</v>
      </c>
      <c r="S220" s="592"/>
      <c r="T220" s="589">
        <f>IFERROR(VLOOKUP($B218,اسماء,38,0),0)</f>
        <v>0</v>
      </c>
      <c r="U220" s="592"/>
      <c r="V220" s="263">
        <f t="shared" si="637"/>
        <v>0</v>
      </c>
      <c r="W220" s="373">
        <f>IFERROR(VLOOKUP($B218,اسماء,40,0),0)</f>
        <v>0</v>
      </c>
      <c r="X220" s="373">
        <f>IFERROR(VLOOKUP($B218,اسماء,41,0),0)</f>
        <v>0</v>
      </c>
      <c r="Y220" s="596"/>
      <c r="Z220" s="22" t="str">
        <f t="shared" ref="Z220" si="642">LOOKUP(V220,$AI$6:$AJ$10)</f>
        <v>ضعيف</v>
      </c>
      <c r="AA220" s="657"/>
      <c r="AB220" s="72"/>
      <c r="AC220" s="654"/>
      <c r="AN220" s="607"/>
      <c r="AO220" s="607"/>
      <c r="AP220" s="613"/>
      <c r="AQ220" s="612"/>
      <c r="AR220" s="611"/>
      <c r="AS220" s="612"/>
    </row>
    <row r="221" spans="1:45" ht="15" customHeight="1" thickBot="1" x14ac:dyDescent="0.3">
      <c r="A221" s="634"/>
      <c r="B221" s="631"/>
      <c r="C221" s="623"/>
      <c r="D221" s="626"/>
      <c r="E221" s="127" t="s">
        <v>33</v>
      </c>
      <c r="F221" s="585">
        <f t="shared" ref="F221" si="643">SUM(F218:G220)</f>
        <v>0</v>
      </c>
      <c r="G221" s="593"/>
      <c r="H221" s="604">
        <f t="shared" ref="H221" si="644">SUM(H218:I220)</f>
        <v>0</v>
      </c>
      <c r="I221" s="601"/>
      <c r="J221" s="585">
        <f t="shared" ref="J221" si="645">SUM(J218:K220)</f>
        <v>0</v>
      </c>
      <c r="K221" s="593"/>
      <c r="L221" s="585">
        <f t="shared" ref="L221" si="646">SUM(L218:M220)</f>
        <v>0</v>
      </c>
      <c r="M221" s="586"/>
      <c r="N221" s="585">
        <f t="shared" ref="N221" si="647">SUM(N218:O220)</f>
        <v>0</v>
      </c>
      <c r="O221" s="586"/>
      <c r="P221" s="585">
        <f t="shared" ref="P221" si="648">SUM(P218:Q220)</f>
        <v>0</v>
      </c>
      <c r="Q221" s="601"/>
      <c r="R221" s="602">
        <f t="shared" ref="R221" si="649">SUM(R218:S220)</f>
        <v>0</v>
      </c>
      <c r="S221" s="593"/>
      <c r="T221" s="585">
        <f t="shared" ref="T221" si="650">SUM(T218:U220)</f>
        <v>0</v>
      </c>
      <c r="U221" s="593"/>
      <c r="V221" s="210">
        <f t="shared" ref="V221" si="651">IF(AND(F221&gt;=$G$8,H221&gt;=$I$8,L221&gt;=$M$8,P221&gt;=$Q$8,R221&gt;=$S$8,T221&gt;=$U$8),SUM(F221:U221),0)</f>
        <v>0</v>
      </c>
      <c r="W221" s="264"/>
      <c r="X221" s="97"/>
      <c r="Y221" s="597"/>
      <c r="Z221" s="91" t="str">
        <f t="shared" ref="Z221" si="652">LOOKUP(V221,$AL$6:$AM$10)</f>
        <v>ضعيف</v>
      </c>
      <c r="AA221" s="658"/>
      <c r="AB221" s="10"/>
      <c r="AC221" s="655"/>
      <c r="AN221" s="607"/>
      <c r="AO221" s="607"/>
      <c r="AP221" s="613"/>
      <c r="AQ221" s="612"/>
      <c r="AR221" s="611"/>
      <c r="AS221" s="612"/>
    </row>
    <row r="222" spans="1:45" ht="15" customHeight="1" thickBot="1" x14ac:dyDescent="0.3">
      <c r="A222" s="632">
        <v>48</v>
      </c>
      <c r="B222" s="629">
        <f>VLOOKUP(A222,مسلسل,2,0)</f>
        <v>0</v>
      </c>
      <c r="C222" s="621" t="str">
        <f>IFERROR(VLOOKUP(B222,اسماء,2,0),"")</f>
        <v/>
      </c>
      <c r="D222" s="624" t="str">
        <f>IFERROR(VLOOKUP($B222,اسماء,3,0),"")</f>
        <v/>
      </c>
      <c r="E222" s="132" t="s">
        <v>30</v>
      </c>
      <c r="F222" s="627">
        <f>IFERROR(VLOOKUP($B222,اسماء,5,0),0)</f>
        <v>0</v>
      </c>
      <c r="G222" s="606"/>
      <c r="H222" s="628">
        <f>IFERROR(VLOOKUP($B222,اسماء,6,0),0)</f>
        <v>0</v>
      </c>
      <c r="I222" s="605"/>
      <c r="J222" s="587">
        <f>IFERROR(VLOOKUP($B222,اسماء,7,0),0)</f>
        <v>0</v>
      </c>
      <c r="K222" s="591"/>
      <c r="L222" s="587">
        <f>IFERROR(VLOOKUP($B222,اسماء,8,0),0)</f>
        <v>0</v>
      </c>
      <c r="M222" s="588"/>
      <c r="N222" s="587">
        <f>IFERROR(VLOOKUP($B222,اسماء,9,0),0)</f>
        <v>0</v>
      </c>
      <c r="O222" s="605"/>
      <c r="P222" s="587">
        <f>IFERROR(VLOOKUP($B222,اسماء,10,0),0)</f>
        <v>0</v>
      </c>
      <c r="Q222" s="605"/>
      <c r="R222" s="606">
        <f>IFERROR(VLOOKUP($B222,اسماء,11,0),0)</f>
        <v>0</v>
      </c>
      <c r="S222" s="591"/>
      <c r="T222" s="587">
        <f>IFERROR(VLOOKUP($B222,اسماء,12,0),0)</f>
        <v>0</v>
      </c>
      <c r="U222" s="591"/>
      <c r="V222" s="263">
        <f t="shared" ref="V222:V224" si="653">SUM(F222:U222)</f>
        <v>0</v>
      </c>
      <c r="W222" s="373">
        <f>IFERROR(VLOOKUP($B222,اسماء,14,0),0)</f>
        <v>0</v>
      </c>
      <c r="X222" s="373">
        <f>IFERROR(VLOOKUP($B222,اسماء,15,0),0)</f>
        <v>0</v>
      </c>
      <c r="Y222" s="595" t="str">
        <f t="shared" ref="Y222" si="654">IF(AC222="غائب","راسب",IF(AND(F225&gt;=$G$8,H225&gt;=$I$8,J225&gt;=$K$8,L225&gt;=$M$8,N225&gt;=$O$8,P225&gt;=$Q$8,R225&gt;=$S$8,T225&gt;=$U$8),"ناجح","له دور ثان"))</f>
        <v>له دور ثان</v>
      </c>
      <c r="Z222" s="21" t="str">
        <f t="shared" ref="Z222:Z223" si="655">LOOKUP(V222,$AF$6:$AG$10)</f>
        <v>ضعيف</v>
      </c>
      <c r="AA222" s="656">
        <f t="shared" ref="AA222" si="656">V225/$AF$3</f>
        <v>0</v>
      </c>
      <c r="AB222" s="72"/>
      <c r="AC222" s="653" t="str">
        <f>IFERROR(VLOOKUP($B222,اسماء,54,0),"")</f>
        <v/>
      </c>
      <c r="AN222" s="607" t="str">
        <f t="shared" ref="AN222" si="657">IF(V225=0,"",V225/1+ROW()*0.00001)</f>
        <v/>
      </c>
      <c r="AO222" s="607">
        <f>B222</f>
        <v>0</v>
      </c>
      <c r="AP222" s="613"/>
      <c r="AQ222" s="612">
        <v>48</v>
      </c>
      <c r="AR222" s="611" t="str">
        <f>IFERROR(LARGE($AN$10:$AN$1006,AQ222),"")</f>
        <v/>
      </c>
      <c r="AS222" s="612" t="str">
        <f>VLOOKUP(AR222,$AN$10:$AO$1116,2,0)</f>
        <v>أحمد نورالدين أحمد الذيب</v>
      </c>
    </row>
    <row r="223" spans="1:45" ht="15" customHeight="1" thickBot="1" x14ac:dyDescent="0.3">
      <c r="A223" s="633"/>
      <c r="B223" s="630"/>
      <c r="C223" s="622"/>
      <c r="D223" s="625"/>
      <c r="E223" s="133" t="s">
        <v>31</v>
      </c>
      <c r="F223" s="589">
        <f>IFERROR(VLOOKUP($B222,اسماء,18,0),0)</f>
        <v>0</v>
      </c>
      <c r="G223" s="592"/>
      <c r="H223" s="608">
        <f>IFERROR(VLOOKUP($B222,اسماء,19,0),0)</f>
        <v>0</v>
      </c>
      <c r="I223" s="609"/>
      <c r="J223" s="589">
        <f>IFERROR(VLOOKUP($B222,اسماء,20,0),0)</f>
        <v>0</v>
      </c>
      <c r="K223" s="592"/>
      <c r="L223" s="589">
        <f>IFERROR(VLOOKUP($B222,اسماء,21,0),0)</f>
        <v>0</v>
      </c>
      <c r="M223" s="590"/>
      <c r="N223" s="589">
        <f>IFERROR(VLOOKUP($B222,اسماء,22,0),0)</f>
        <v>0</v>
      </c>
      <c r="O223" s="590"/>
      <c r="P223" s="589">
        <f>IFERROR(VLOOKUP($B222,اسماء,23,0),0)</f>
        <v>0</v>
      </c>
      <c r="Q223" s="609"/>
      <c r="R223" s="603">
        <f>IFERROR(VLOOKUP($B222,اسماء,24,0),0)</f>
        <v>0</v>
      </c>
      <c r="S223" s="592"/>
      <c r="T223" s="589">
        <f>IFERROR(VLOOKUP($B222,اسماء,25,0),0)</f>
        <v>0</v>
      </c>
      <c r="U223" s="592"/>
      <c r="V223" s="263">
        <f t="shared" si="653"/>
        <v>0</v>
      </c>
      <c r="W223" s="373">
        <f>IFERROR(VLOOKUP($B222,اسماء,27,0),0)</f>
        <v>0</v>
      </c>
      <c r="X223" s="373">
        <f>IFERROR(VLOOKUP($B222,اسماء,28,0),0)</f>
        <v>0</v>
      </c>
      <c r="Y223" s="596"/>
      <c r="Z223" s="22" t="str">
        <f t="shared" si="655"/>
        <v>ضعيف</v>
      </c>
      <c r="AA223" s="657"/>
      <c r="AB223" s="72"/>
      <c r="AC223" s="654"/>
      <c r="AN223" s="607"/>
      <c r="AO223" s="607"/>
      <c r="AP223" s="613"/>
      <c r="AQ223" s="612"/>
      <c r="AR223" s="611"/>
      <c r="AS223" s="612"/>
    </row>
    <row r="224" spans="1:45" ht="15" customHeight="1" x14ac:dyDescent="0.25">
      <c r="A224" s="633"/>
      <c r="B224" s="630"/>
      <c r="C224" s="622"/>
      <c r="D224" s="625"/>
      <c r="E224" s="133" t="s">
        <v>32</v>
      </c>
      <c r="F224" s="589">
        <f>IFERROR(VLOOKUP($B222,اسماء,31,0),0)</f>
        <v>0</v>
      </c>
      <c r="G224" s="592"/>
      <c r="H224" s="608">
        <f>IFERROR(VLOOKUP($B222,اسماء,32,0),0)</f>
        <v>0</v>
      </c>
      <c r="I224" s="609"/>
      <c r="J224" s="589">
        <f>IFERROR(VLOOKUP($B222,اسماء,33,0),0)</f>
        <v>0</v>
      </c>
      <c r="K224" s="592"/>
      <c r="L224" s="589">
        <f>IFERROR(VLOOKUP($B222,اسماء,34,0),0)</f>
        <v>0</v>
      </c>
      <c r="M224" s="590"/>
      <c r="N224" s="589">
        <f>IFERROR(VLOOKUP($B222,اسماء,35,0),0)</f>
        <v>0</v>
      </c>
      <c r="O224" s="590"/>
      <c r="P224" s="589">
        <f>IFERROR(VLOOKUP($B222,اسماء,36,0),0)</f>
        <v>0</v>
      </c>
      <c r="Q224" s="609"/>
      <c r="R224" s="603">
        <f>IFERROR(VLOOKUP($B222,اسماء,37,0),0)</f>
        <v>0</v>
      </c>
      <c r="S224" s="592"/>
      <c r="T224" s="589">
        <f>IFERROR(VLOOKUP($B222,اسماء,38,0),0)</f>
        <v>0</v>
      </c>
      <c r="U224" s="592"/>
      <c r="V224" s="263">
        <f t="shared" si="653"/>
        <v>0</v>
      </c>
      <c r="W224" s="373">
        <f>IFERROR(VLOOKUP($B222,اسماء,40,0),0)</f>
        <v>0</v>
      </c>
      <c r="X224" s="373">
        <f>IFERROR(VLOOKUP($B222,اسماء,41,0),0)</f>
        <v>0</v>
      </c>
      <c r="Y224" s="596"/>
      <c r="Z224" s="22" t="str">
        <f t="shared" ref="Z224" si="658">LOOKUP(V224,$AI$6:$AJ$10)</f>
        <v>ضعيف</v>
      </c>
      <c r="AA224" s="657"/>
      <c r="AB224" s="10"/>
      <c r="AC224" s="654"/>
      <c r="AN224" s="607"/>
      <c r="AO224" s="607"/>
      <c r="AP224" s="613"/>
      <c r="AQ224" s="612"/>
      <c r="AR224" s="611"/>
      <c r="AS224" s="612"/>
    </row>
    <row r="225" spans="1:45" ht="15" customHeight="1" thickBot="1" x14ac:dyDescent="0.3">
      <c r="A225" s="634"/>
      <c r="B225" s="631"/>
      <c r="C225" s="623"/>
      <c r="D225" s="626"/>
      <c r="E225" s="127" t="s">
        <v>33</v>
      </c>
      <c r="F225" s="585">
        <f t="shared" ref="F225" si="659">SUM(F222:G224)</f>
        <v>0</v>
      </c>
      <c r="G225" s="593"/>
      <c r="H225" s="604">
        <f t="shared" ref="H225" si="660">SUM(H222:I224)</f>
        <v>0</v>
      </c>
      <c r="I225" s="601"/>
      <c r="J225" s="585">
        <f t="shared" ref="J225" si="661">SUM(J222:K224)</f>
        <v>0</v>
      </c>
      <c r="K225" s="593"/>
      <c r="L225" s="585">
        <f t="shared" ref="L225" si="662">SUM(L222:M224)</f>
        <v>0</v>
      </c>
      <c r="M225" s="586"/>
      <c r="N225" s="585">
        <f t="shared" ref="N225" si="663">SUM(N222:O224)</f>
        <v>0</v>
      </c>
      <c r="O225" s="586"/>
      <c r="P225" s="585">
        <f t="shared" ref="P225" si="664">SUM(P222:Q224)</f>
        <v>0</v>
      </c>
      <c r="Q225" s="601"/>
      <c r="R225" s="602">
        <f t="shared" ref="R225" si="665">SUM(R222:S224)</f>
        <v>0</v>
      </c>
      <c r="S225" s="593"/>
      <c r="T225" s="585">
        <f t="shared" ref="T225" si="666">SUM(T222:U224)</f>
        <v>0</v>
      </c>
      <c r="U225" s="593"/>
      <c r="V225" s="210">
        <f t="shared" ref="V225" si="667">IF(AND(F225&gt;=$G$8,H225&gt;=$I$8,L225&gt;=$M$8,P225&gt;=$Q$8,R225&gt;=$S$8,T225&gt;=$U$8),SUM(F225:U225),0)</f>
        <v>0</v>
      </c>
      <c r="W225" s="264"/>
      <c r="X225" s="97"/>
      <c r="Y225" s="597"/>
      <c r="Z225" s="91" t="str">
        <f t="shared" ref="Z225" si="668">LOOKUP(V225,$AL$6:$AM$10)</f>
        <v>ضعيف</v>
      </c>
      <c r="AA225" s="658"/>
      <c r="AB225" s="72"/>
      <c r="AC225" s="655"/>
      <c r="AN225" s="607"/>
      <c r="AO225" s="607"/>
      <c r="AP225" s="613"/>
      <c r="AQ225" s="612"/>
      <c r="AR225" s="611"/>
      <c r="AS225" s="612"/>
    </row>
    <row r="226" spans="1:45" ht="15" customHeight="1" thickBot="1" x14ac:dyDescent="0.3">
      <c r="A226" s="632">
        <v>49</v>
      </c>
      <c r="B226" s="629">
        <f>VLOOKUP(A226,مسلسل,2,0)</f>
        <v>0</v>
      </c>
      <c r="C226" s="621" t="str">
        <f>IFERROR(VLOOKUP(B226,اسماء,2,0),"")</f>
        <v/>
      </c>
      <c r="D226" s="624" t="str">
        <f>IFERROR(VLOOKUP($B226,اسماء,3,0),"")</f>
        <v/>
      </c>
      <c r="E226" s="132" t="s">
        <v>30</v>
      </c>
      <c r="F226" s="627">
        <f>IFERROR(VLOOKUP($B226,اسماء,5,0),0)</f>
        <v>0</v>
      </c>
      <c r="G226" s="606"/>
      <c r="H226" s="628">
        <f>IFERROR(VLOOKUP($B226,اسماء,6,0),0)</f>
        <v>0</v>
      </c>
      <c r="I226" s="605"/>
      <c r="J226" s="587">
        <f>IFERROR(VLOOKUP($B226,اسماء,7,0),0)</f>
        <v>0</v>
      </c>
      <c r="K226" s="591"/>
      <c r="L226" s="587">
        <f>IFERROR(VLOOKUP($B226,اسماء,8,0),0)</f>
        <v>0</v>
      </c>
      <c r="M226" s="588"/>
      <c r="N226" s="587">
        <f>IFERROR(VLOOKUP($B226,اسماء,9,0),0)</f>
        <v>0</v>
      </c>
      <c r="O226" s="605"/>
      <c r="P226" s="587">
        <f>IFERROR(VLOOKUP($B226,اسماء,10,0),0)</f>
        <v>0</v>
      </c>
      <c r="Q226" s="605"/>
      <c r="R226" s="606">
        <f>IFERROR(VLOOKUP($B226,اسماء,11,0),0)</f>
        <v>0</v>
      </c>
      <c r="S226" s="591"/>
      <c r="T226" s="587">
        <f>IFERROR(VLOOKUP($B226,اسماء,12,0),0)</f>
        <v>0</v>
      </c>
      <c r="U226" s="591"/>
      <c r="V226" s="263">
        <f t="shared" ref="V226:V228" si="669">SUM(F226:U226)</f>
        <v>0</v>
      </c>
      <c r="W226" s="373">
        <f>IFERROR(VLOOKUP($B226,اسماء,14,0),0)</f>
        <v>0</v>
      </c>
      <c r="X226" s="373">
        <f>IFERROR(VLOOKUP($B226,اسماء,15,0),0)</f>
        <v>0</v>
      </c>
      <c r="Y226" s="595" t="str">
        <f t="shared" ref="Y226" si="670">IF(AC226="غائب","راسب",IF(AND(F229&gt;=$G$8,H229&gt;=$I$8,J229&gt;=$K$8,L229&gt;=$M$8,N229&gt;=$O$8,P229&gt;=$Q$8,R229&gt;=$S$8,T229&gt;=$U$8),"ناجح","له دور ثان"))</f>
        <v>له دور ثان</v>
      </c>
      <c r="Z226" s="21" t="str">
        <f t="shared" ref="Z226:Z227" si="671">LOOKUP(V226,$AF$6:$AG$10)</f>
        <v>ضعيف</v>
      </c>
      <c r="AA226" s="656">
        <f t="shared" ref="AA226" si="672">V229/$AF$3</f>
        <v>0</v>
      </c>
      <c r="AB226" s="72"/>
      <c r="AC226" s="653" t="str">
        <f>IFERROR(VLOOKUP($B226,اسماء,54,0),"")</f>
        <v/>
      </c>
      <c r="AN226" s="607" t="str">
        <f t="shared" ref="AN226" si="673">IF(V229=0,"",V229/1+ROW()*0.00001)</f>
        <v/>
      </c>
      <c r="AO226" s="607">
        <f>B226</f>
        <v>0</v>
      </c>
      <c r="AP226" s="613"/>
      <c r="AQ226" s="612">
        <v>49</v>
      </c>
      <c r="AR226" s="611" t="str">
        <f>IFERROR(LARGE($AN$10:$AN$1006,AQ226),"")</f>
        <v/>
      </c>
      <c r="AS226" s="612" t="str">
        <f>VLOOKUP(AR226,$AN$10:$AO$1116,2,0)</f>
        <v>أحمد نورالدين أحمد الذيب</v>
      </c>
    </row>
    <row r="227" spans="1:45" ht="15" customHeight="1" thickBot="1" x14ac:dyDescent="0.3">
      <c r="A227" s="633"/>
      <c r="B227" s="630"/>
      <c r="C227" s="622"/>
      <c r="D227" s="625"/>
      <c r="E227" s="133" t="s">
        <v>31</v>
      </c>
      <c r="F227" s="589">
        <f>IFERROR(VLOOKUP($B226,اسماء,18,0),0)</f>
        <v>0</v>
      </c>
      <c r="G227" s="592"/>
      <c r="H227" s="608">
        <f>IFERROR(VLOOKUP($B226,اسماء,19,0),0)</f>
        <v>0</v>
      </c>
      <c r="I227" s="609"/>
      <c r="J227" s="589">
        <f>IFERROR(VLOOKUP($B226,اسماء,20,0),0)</f>
        <v>0</v>
      </c>
      <c r="K227" s="592"/>
      <c r="L227" s="589">
        <f>IFERROR(VLOOKUP($B226,اسماء,21,0),0)</f>
        <v>0</v>
      </c>
      <c r="M227" s="590"/>
      <c r="N227" s="589">
        <f>IFERROR(VLOOKUP($B226,اسماء,22,0),0)</f>
        <v>0</v>
      </c>
      <c r="O227" s="590"/>
      <c r="P227" s="589">
        <f>IFERROR(VLOOKUP($B226,اسماء,23,0),0)</f>
        <v>0</v>
      </c>
      <c r="Q227" s="609"/>
      <c r="R227" s="603">
        <f>IFERROR(VLOOKUP($B226,اسماء,24,0),0)</f>
        <v>0</v>
      </c>
      <c r="S227" s="592"/>
      <c r="T227" s="589">
        <f>IFERROR(VLOOKUP($B226,اسماء,25,0),0)</f>
        <v>0</v>
      </c>
      <c r="U227" s="592"/>
      <c r="V227" s="263">
        <f t="shared" si="669"/>
        <v>0</v>
      </c>
      <c r="W227" s="373">
        <f>IFERROR(VLOOKUP($B226,اسماء,27,0),0)</f>
        <v>0</v>
      </c>
      <c r="X227" s="373">
        <f>IFERROR(VLOOKUP($B226,اسماء,28,0),0)</f>
        <v>0</v>
      </c>
      <c r="Y227" s="596"/>
      <c r="Z227" s="22" t="str">
        <f t="shared" si="671"/>
        <v>ضعيف</v>
      </c>
      <c r="AA227" s="657"/>
      <c r="AB227" s="10"/>
      <c r="AC227" s="654"/>
      <c r="AN227" s="607"/>
      <c r="AO227" s="607"/>
      <c r="AP227" s="613"/>
      <c r="AQ227" s="612"/>
      <c r="AR227" s="611"/>
      <c r="AS227" s="612"/>
    </row>
    <row r="228" spans="1:45" ht="15" customHeight="1" x14ac:dyDescent="0.25">
      <c r="A228" s="633"/>
      <c r="B228" s="630"/>
      <c r="C228" s="622"/>
      <c r="D228" s="625"/>
      <c r="E228" s="133" t="s">
        <v>32</v>
      </c>
      <c r="F228" s="589">
        <f>IFERROR(VLOOKUP($B226,اسماء,31,0),0)</f>
        <v>0</v>
      </c>
      <c r="G228" s="592"/>
      <c r="H228" s="608">
        <f>IFERROR(VLOOKUP($B226,اسماء,32,0),0)</f>
        <v>0</v>
      </c>
      <c r="I228" s="609"/>
      <c r="J228" s="589">
        <f>IFERROR(VLOOKUP($B226,اسماء,33,0),0)</f>
        <v>0</v>
      </c>
      <c r="K228" s="592"/>
      <c r="L228" s="589">
        <f>IFERROR(VLOOKUP($B226,اسماء,34,0),0)</f>
        <v>0</v>
      </c>
      <c r="M228" s="590"/>
      <c r="N228" s="589">
        <f>IFERROR(VLOOKUP($B226,اسماء,35,0),0)</f>
        <v>0</v>
      </c>
      <c r="O228" s="590"/>
      <c r="P228" s="589">
        <f>IFERROR(VLOOKUP($B226,اسماء,36,0),0)</f>
        <v>0</v>
      </c>
      <c r="Q228" s="609"/>
      <c r="R228" s="603">
        <f>IFERROR(VLOOKUP($B226,اسماء,37,0),0)</f>
        <v>0</v>
      </c>
      <c r="S228" s="592"/>
      <c r="T228" s="589">
        <f>IFERROR(VLOOKUP($B226,اسماء,38,0),0)</f>
        <v>0</v>
      </c>
      <c r="U228" s="592"/>
      <c r="V228" s="263">
        <f t="shared" si="669"/>
        <v>0</v>
      </c>
      <c r="W228" s="373">
        <f>IFERROR(VLOOKUP($B226,اسماء,40,0),0)</f>
        <v>0</v>
      </c>
      <c r="X228" s="373">
        <f>IFERROR(VLOOKUP($B226,اسماء,41,0),0)</f>
        <v>0</v>
      </c>
      <c r="Y228" s="596"/>
      <c r="Z228" s="22" t="str">
        <f t="shared" ref="Z228" si="674">LOOKUP(V228,$AI$6:$AJ$10)</f>
        <v>ضعيف</v>
      </c>
      <c r="AA228" s="657"/>
      <c r="AB228" s="72"/>
      <c r="AC228" s="654"/>
      <c r="AN228" s="607"/>
      <c r="AO228" s="607"/>
      <c r="AP228" s="613"/>
      <c r="AQ228" s="612"/>
      <c r="AR228" s="611"/>
      <c r="AS228" s="612"/>
    </row>
    <row r="229" spans="1:45" ht="15" customHeight="1" thickBot="1" x14ac:dyDescent="0.3">
      <c r="A229" s="634"/>
      <c r="B229" s="631"/>
      <c r="C229" s="623"/>
      <c r="D229" s="626"/>
      <c r="E229" s="127" t="s">
        <v>33</v>
      </c>
      <c r="F229" s="585">
        <f t="shared" ref="F229" si="675">SUM(F226:G228)</f>
        <v>0</v>
      </c>
      <c r="G229" s="593"/>
      <c r="H229" s="604">
        <f t="shared" ref="H229" si="676">SUM(H226:I228)</f>
        <v>0</v>
      </c>
      <c r="I229" s="601"/>
      <c r="J229" s="585">
        <f t="shared" ref="J229" si="677">SUM(J226:K228)</f>
        <v>0</v>
      </c>
      <c r="K229" s="593"/>
      <c r="L229" s="585">
        <f t="shared" ref="L229" si="678">SUM(L226:M228)</f>
        <v>0</v>
      </c>
      <c r="M229" s="586"/>
      <c r="N229" s="585">
        <f t="shared" ref="N229" si="679">SUM(N226:O228)</f>
        <v>0</v>
      </c>
      <c r="O229" s="586"/>
      <c r="P229" s="585">
        <f t="shared" ref="P229" si="680">SUM(P226:Q228)</f>
        <v>0</v>
      </c>
      <c r="Q229" s="601"/>
      <c r="R229" s="602">
        <f t="shared" ref="R229" si="681">SUM(R226:S228)</f>
        <v>0</v>
      </c>
      <c r="S229" s="593"/>
      <c r="T229" s="585">
        <f t="shared" ref="T229" si="682">SUM(T226:U228)</f>
        <v>0</v>
      </c>
      <c r="U229" s="593"/>
      <c r="V229" s="210">
        <f t="shared" ref="V229" si="683">IF(AND(F229&gt;=$G$8,H229&gt;=$I$8,L229&gt;=$M$8,P229&gt;=$Q$8,R229&gt;=$S$8,T229&gt;=$U$8),SUM(F229:U229),0)</f>
        <v>0</v>
      </c>
      <c r="W229" s="264"/>
      <c r="X229" s="97"/>
      <c r="Y229" s="597"/>
      <c r="Z229" s="91" t="str">
        <f t="shared" ref="Z229" si="684">LOOKUP(V229,$AL$6:$AM$10)</f>
        <v>ضعيف</v>
      </c>
      <c r="AA229" s="658"/>
      <c r="AB229" s="72"/>
      <c r="AC229" s="655"/>
      <c r="AN229" s="607"/>
      <c r="AO229" s="607"/>
      <c r="AP229" s="613"/>
      <c r="AQ229" s="612"/>
      <c r="AR229" s="611"/>
      <c r="AS229" s="612"/>
    </row>
    <row r="230" spans="1:45" ht="15" customHeight="1" thickBot="1" x14ac:dyDescent="0.3">
      <c r="A230" s="632">
        <v>50</v>
      </c>
      <c r="B230" s="629">
        <f>VLOOKUP(A230,مسلسل,2,0)</f>
        <v>0</v>
      </c>
      <c r="C230" s="621" t="str">
        <f>IFERROR(VLOOKUP(B230,اسماء,2,0),"")</f>
        <v/>
      </c>
      <c r="D230" s="624" t="str">
        <f>IFERROR(VLOOKUP($B230,اسماء,3,0),"")</f>
        <v/>
      </c>
      <c r="E230" s="132" t="s">
        <v>30</v>
      </c>
      <c r="F230" s="627">
        <f>IFERROR(VLOOKUP($B230,اسماء,5,0),0)</f>
        <v>0</v>
      </c>
      <c r="G230" s="606"/>
      <c r="H230" s="628">
        <f>IFERROR(VLOOKUP($B230,اسماء,6,0),0)</f>
        <v>0</v>
      </c>
      <c r="I230" s="605"/>
      <c r="J230" s="587">
        <f>IFERROR(VLOOKUP($B230,اسماء,7,0),0)</f>
        <v>0</v>
      </c>
      <c r="K230" s="591"/>
      <c r="L230" s="587">
        <f>IFERROR(VLOOKUP($B230,اسماء,8,0),0)</f>
        <v>0</v>
      </c>
      <c r="M230" s="588"/>
      <c r="N230" s="587">
        <f>IFERROR(VLOOKUP($B230,اسماء,9,0),0)</f>
        <v>0</v>
      </c>
      <c r="O230" s="605"/>
      <c r="P230" s="587">
        <f>IFERROR(VLOOKUP($B230,اسماء,10,0),0)</f>
        <v>0</v>
      </c>
      <c r="Q230" s="605"/>
      <c r="R230" s="606">
        <f>IFERROR(VLOOKUP($B230,اسماء,11,0),0)</f>
        <v>0</v>
      </c>
      <c r="S230" s="591"/>
      <c r="T230" s="587">
        <f>IFERROR(VLOOKUP($B230,اسماء,12,0),0)</f>
        <v>0</v>
      </c>
      <c r="U230" s="591"/>
      <c r="V230" s="263">
        <f t="shared" ref="V230:V232" si="685">SUM(F230:U230)</f>
        <v>0</v>
      </c>
      <c r="W230" s="373">
        <f>IFERROR(VLOOKUP($B230,اسماء,14,0),0)</f>
        <v>0</v>
      </c>
      <c r="X230" s="373">
        <f>IFERROR(VLOOKUP($B230,اسماء,15,0),0)</f>
        <v>0</v>
      </c>
      <c r="Y230" s="595" t="str">
        <f t="shared" ref="Y230" si="686">IF(AC230="غائب","راسب",IF(AND(F233&gt;=$G$8,H233&gt;=$I$8,J233&gt;=$K$8,L233&gt;=$M$8,N233&gt;=$O$8,P233&gt;=$Q$8,R233&gt;=$S$8,T233&gt;=$U$8),"ناجح","له دور ثان"))</f>
        <v>له دور ثان</v>
      </c>
      <c r="Z230" s="21" t="str">
        <f t="shared" ref="Z230:Z231" si="687">LOOKUP(V230,$AF$6:$AG$10)</f>
        <v>ضعيف</v>
      </c>
      <c r="AA230" s="656">
        <f t="shared" ref="AA230" si="688">V233/$AF$3</f>
        <v>0</v>
      </c>
      <c r="AB230" s="10"/>
      <c r="AC230" s="653" t="str">
        <f>IFERROR(VLOOKUP($B230,اسماء,54,0),"")</f>
        <v/>
      </c>
      <c r="AN230" s="607" t="str">
        <f t="shared" ref="AN230" si="689">IF(V233=0,"",V233/1+ROW()*0.00001)</f>
        <v/>
      </c>
      <c r="AO230" s="607">
        <f>B230</f>
        <v>0</v>
      </c>
      <c r="AP230" s="613"/>
      <c r="AQ230" s="612">
        <v>50</v>
      </c>
      <c r="AR230" s="611" t="str">
        <f>IFERROR(LARGE($AN$10:$AN$1006,AQ230),"")</f>
        <v/>
      </c>
      <c r="AS230" s="612" t="str">
        <f>VLOOKUP(AR230,$AN$10:$AO$1116,2,0)</f>
        <v>أحمد نورالدين أحمد الذيب</v>
      </c>
    </row>
    <row r="231" spans="1:45" ht="15" customHeight="1" thickBot="1" x14ac:dyDescent="0.3">
      <c r="A231" s="633"/>
      <c r="B231" s="630"/>
      <c r="C231" s="622"/>
      <c r="D231" s="625"/>
      <c r="E231" s="133" t="s">
        <v>31</v>
      </c>
      <c r="F231" s="589">
        <f>IFERROR(VLOOKUP($B230,اسماء,18,0),0)</f>
        <v>0</v>
      </c>
      <c r="G231" s="592"/>
      <c r="H231" s="608">
        <f>IFERROR(VLOOKUP($B230,اسماء,19,0),0)</f>
        <v>0</v>
      </c>
      <c r="I231" s="609"/>
      <c r="J231" s="589">
        <f>IFERROR(VLOOKUP($B230,اسماء,20,0),0)</f>
        <v>0</v>
      </c>
      <c r="K231" s="592"/>
      <c r="L231" s="589">
        <f>IFERROR(VLOOKUP($B230,اسماء,21,0),0)</f>
        <v>0</v>
      </c>
      <c r="M231" s="590"/>
      <c r="N231" s="589">
        <f>IFERROR(VLOOKUP($B230,اسماء,22,0),0)</f>
        <v>0</v>
      </c>
      <c r="O231" s="590"/>
      <c r="P231" s="589">
        <f>IFERROR(VLOOKUP($B230,اسماء,23,0),0)</f>
        <v>0</v>
      </c>
      <c r="Q231" s="609"/>
      <c r="R231" s="603">
        <f>IFERROR(VLOOKUP($B230,اسماء,24,0),0)</f>
        <v>0</v>
      </c>
      <c r="S231" s="592"/>
      <c r="T231" s="589">
        <f>IFERROR(VLOOKUP($B230,اسماء,25,0),0)</f>
        <v>0</v>
      </c>
      <c r="U231" s="592"/>
      <c r="V231" s="263">
        <f t="shared" si="685"/>
        <v>0</v>
      </c>
      <c r="W231" s="373">
        <f>IFERROR(VLOOKUP($B230,اسماء,27,0),0)</f>
        <v>0</v>
      </c>
      <c r="X231" s="373">
        <f>IFERROR(VLOOKUP($B230,اسماء,28,0),0)</f>
        <v>0</v>
      </c>
      <c r="Y231" s="596"/>
      <c r="Z231" s="22" t="str">
        <f t="shared" si="687"/>
        <v>ضعيف</v>
      </c>
      <c r="AA231" s="657"/>
      <c r="AB231" s="72"/>
      <c r="AC231" s="654"/>
      <c r="AN231" s="607"/>
      <c r="AO231" s="607"/>
      <c r="AP231" s="613"/>
      <c r="AQ231" s="612"/>
      <c r="AR231" s="611"/>
      <c r="AS231" s="612"/>
    </row>
    <row r="232" spans="1:45" ht="15" customHeight="1" x14ac:dyDescent="0.25">
      <c r="A232" s="633"/>
      <c r="B232" s="630"/>
      <c r="C232" s="622"/>
      <c r="D232" s="625"/>
      <c r="E232" s="133" t="s">
        <v>32</v>
      </c>
      <c r="F232" s="589">
        <f>IFERROR(VLOOKUP($B230,اسماء,31,0),0)</f>
        <v>0</v>
      </c>
      <c r="G232" s="592"/>
      <c r="H232" s="608">
        <f>IFERROR(VLOOKUP($B230,اسماء,32,0),0)</f>
        <v>0</v>
      </c>
      <c r="I232" s="609"/>
      <c r="J232" s="589">
        <f>IFERROR(VLOOKUP($B230,اسماء,33,0),0)</f>
        <v>0</v>
      </c>
      <c r="K232" s="592"/>
      <c r="L232" s="589">
        <f>IFERROR(VLOOKUP($B230,اسماء,34,0),0)</f>
        <v>0</v>
      </c>
      <c r="M232" s="590"/>
      <c r="N232" s="589">
        <f>IFERROR(VLOOKUP($B230,اسماء,35,0),0)</f>
        <v>0</v>
      </c>
      <c r="O232" s="590"/>
      <c r="P232" s="589">
        <f>IFERROR(VLOOKUP($B230,اسماء,36,0),0)</f>
        <v>0</v>
      </c>
      <c r="Q232" s="609"/>
      <c r="R232" s="603">
        <f>IFERROR(VLOOKUP($B230,اسماء,37,0),0)</f>
        <v>0</v>
      </c>
      <c r="S232" s="592"/>
      <c r="T232" s="589">
        <f>IFERROR(VLOOKUP($B230,اسماء,38,0),0)</f>
        <v>0</v>
      </c>
      <c r="U232" s="592"/>
      <c r="V232" s="263">
        <f t="shared" si="685"/>
        <v>0</v>
      </c>
      <c r="W232" s="373">
        <f>IFERROR(VLOOKUP($B230,اسماء,40,0),0)</f>
        <v>0</v>
      </c>
      <c r="X232" s="373">
        <f>IFERROR(VLOOKUP($B230,اسماء,41,0),0)</f>
        <v>0</v>
      </c>
      <c r="Y232" s="596"/>
      <c r="Z232" s="22" t="str">
        <f t="shared" ref="Z232" si="690">LOOKUP(V232,$AI$6:$AJ$10)</f>
        <v>ضعيف</v>
      </c>
      <c r="AA232" s="657"/>
      <c r="AB232" s="72"/>
      <c r="AC232" s="654"/>
      <c r="AN232" s="607"/>
      <c r="AO232" s="607"/>
      <c r="AP232" s="613"/>
      <c r="AQ232" s="612"/>
      <c r="AR232" s="611"/>
      <c r="AS232" s="612"/>
    </row>
    <row r="233" spans="1:45" ht="15" customHeight="1" thickBot="1" x14ac:dyDescent="0.3">
      <c r="A233" s="634"/>
      <c r="B233" s="631"/>
      <c r="C233" s="623"/>
      <c r="D233" s="626"/>
      <c r="E233" s="127" t="s">
        <v>33</v>
      </c>
      <c r="F233" s="585">
        <f t="shared" ref="F233" si="691">SUM(F230:G232)</f>
        <v>0</v>
      </c>
      <c r="G233" s="593"/>
      <c r="H233" s="604">
        <f t="shared" ref="H233" si="692">SUM(H230:I232)</f>
        <v>0</v>
      </c>
      <c r="I233" s="601"/>
      <c r="J233" s="585">
        <f t="shared" ref="J233" si="693">SUM(J230:K232)</f>
        <v>0</v>
      </c>
      <c r="K233" s="593"/>
      <c r="L233" s="585">
        <f t="shared" ref="L233" si="694">SUM(L230:M232)</f>
        <v>0</v>
      </c>
      <c r="M233" s="586"/>
      <c r="N233" s="585">
        <f t="shared" ref="N233" si="695">SUM(N230:O232)</f>
        <v>0</v>
      </c>
      <c r="O233" s="586"/>
      <c r="P233" s="585">
        <f t="shared" ref="P233" si="696">SUM(P230:Q232)</f>
        <v>0</v>
      </c>
      <c r="Q233" s="601"/>
      <c r="R233" s="602">
        <f t="shared" ref="R233" si="697">SUM(R230:S232)</f>
        <v>0</v>
      </c>
      <c r="S233" s="593"/>
      <c r="T233" s="585">
        <f t="shared" ref="T233" si="698">SUM(T230:U232)</f>
        <v>0</v>
      </c>
      <c r="U233" s="593"/>
      <c r="V233" s="210">
        <f t="shared" ref="V233" si="699">IF(AND(F233&gt;=$G$8,H233&gt;=$I$8,L233&gt;=$M$8,P233&gt;=$Q$8,R233&gt;=$S$8,T233&gt;=$U$8),SUM(F233:U233),0)</f>
        <v>0</v>
      </c>
      <c r="W233" s="264"/>
      <c r="X233" s="97"/>
      <c r="Y233" s="597"/>
      <c r="Z233" s="91" t="str">
        <f t="shared" ref="Z233" si="700">LOOKUP(V233,$AL$6:$AM$10)</f>
        <v>ضعيف</v>
      </c>
      <c r="AA233" s="658"/>
      <c r="AB233" s="10"/>
      <c r="AC233" s="655"/>
      <c r="AN233" s="607"/>
      <c r="AO233" s="607"/>
      <c r="AP233" s="613"/>
      <c r="AQ233" s="612"/>
      <c r="AR233" s="611"/>
      <c r="AS233" s="612"/>
    </row>
    <row r="234" spans="1:45" ht="15" customHeight="1" thickBot="1" x14ac:dyDescent="0.3">
      <c r="F234" s="75"/>
      <c r="G234" s="76"/>
      <c r="H234" s="75"/>
      <c r="I234" s="76"/>
      <c r="J234" s="75"/>
      <c r="K234" s="76"/>
      <c r="L234" s="75"/>
      <c r="M234" s="76"/>
      <c r="N234" s="76"/>
      <c r="O234" s="76"/>
      <c r="P234" s="75"/>
      <c r="Q234" s="76"/>
      <c r="R234" s="75"/>
      <c r="S234" s="76"/>
      <c r="T234" s="75"/>
      <c r="U234" s="76"/>
      <c r="V234" s="74"/>
      <c r="W234" s="77"/>
      <c r="X234" s="74"/>
      <c r="Y234" s="362"/>
      <c r="Z234" s="74"/>
      <c r="AA234" s="267"/>
      <c r="AB234" s="72"/>
      <c r="AK234" s="78"/>
    </row>
    <row r="235" spans="1:45" customFormat="1" ht="15" customHeight="1" x14ac:dyDescent="0.3">
      <c r="A235" s="617" t="s">
        <v>9</v>
      </c>
      <c r="B235" s="618"/>
      <c r="C235" s="619"/>
      <c r="D235" s="288" t="s">
        <v>11</v>
      </c>
      <c r="E235" s="600" t="s">
        <v>97</v>
      </c>
      <c r="F235" s="598"/>
      <c r="G235" s="598"/>
      <c r="H235" s="598"/>
      <c r="I235" s="598"/>
      <c r="J235" s="9"/>
      <c r="K235" s="9"/>
      <c r="L235" s="9"/>
      <c r="M235" s="9"/>
      <c r="N235" s="9"/>
      <c r="O235" s="9"/>
      <c r="P235" s="9"/>
      <c r="Q235" s="9"/>
      <c r="R235" s="9"/>
      <c r="S235" s="598" t="s">
        <v>156</v>
      </c>
      <c r="T235" s="598"/>
      <c r="U235" s="598"/>
      <c r="V235" s="598"/>
      <c r="W235" s="598"/>
      <c r="X235" s="598"/>
      <c r="Y235" s="598"/>
      <c r="Z235" s="1"/>
      <c r="AA235" s="268"/>
      <c r="AC235" s="79"/>
      <c r="AD235" s="80"/>
      <c r="AE235" s="80"/>
      <c r="AF235" s="80"/>
      <c r="AG235" s="80"/>
    </row>
    <row r="236" spans="1:45" customFormat="1" ht="15" customHeight="1" x14ac:dyDescent="0.25">
      <c r="A236" s="81" t="s">
        <v>8</v>
      </c>
      <c r="B236" s="610">
        <f>ادخال1!$BP$3</f>
        <v>0</v>
      </c>
      <c r="C236" s="620"/>
      <c r="D236" s="289"/>
      <c r="E236" s="9" t="s">
        <v>9</v>
      </c>
      <c r="F236" s="599" t="str">
        <f>ادخال1!$BP$5</f>
        <v>د.عبدالرحمن خليفة العريبي</v>
      </c>
      <c r="G236" s="599"/>
      <c r="H236" s="599"/>
      <c r="I236" s="599"/>
      <c r="J236" s="599"/>
      <c r="K236" s="599"/>
      <c r="L236" s="599"/>
      <c r="M236" s="599"/>
      <c r="N236" s="599"/>
      <c r="O236" s="599"/>
      <c r="P236" s="599"/>
      <c r="Q236" s="599"/>
      <c r="R236" s="9"/>
      <c r="S236" s="599" t="str">
        <f>ادخال1!$BP$6</f>
        <v>تاجوراء</v>
      </c>
      <c r="T236" s="599"/>
      <c r="U236" s="599"/>
      <c r="V236" s="599"/>
      <c r="W236" s="599"/>
      <c r="X236" s="599"/>
      <c r="Y236" s="599"/>
      <c r="Z236" s="599"/>
      <c r="AA236" s="67"/>
      <c r="AB236" s="67"/>
      <c r="AC236" s="79"/>
      <c r="AD236" s="79"/>
      <c r="AE236" s="79"/>
      <c r="AF236" s="79"/>
    </row>
    <row r="237" spans="1:45" customFormat="1" ht="15" customHeight="1" thickBot="1" x14ac:dyDescent="0.3">
      <c r="A237" s="82" t="s">
        <v>98</v>
      </c>
      <c r="B237" s="615">
        <f>ادخال1!$BP$4</f>
        <v>0</v>
      </c>
      <c r="C237" s="616"/>
      <c r="D237" s="290"/>
      <c r="E237" s="9" t="s">
        <v>11</v>
      </c>
      <c r="F237" s="607"/>
      <c r="G237" s="607"/>
      <c r="H237" s="607"/>
      <c r="I237" s="607"/>
      <c r="J237" s="607"/>
      <c r="K237" s="607"/>
      <c r="L237" s="607"/>
      <c r="M237" s="607"/>
      <c r="N237" s="607"/>
      <c r="O237" s="607"/>
      <c r="P237" s="607"/>
      <c r="Q237" s="607"/>
      <c r="R237" s="9"/>
      <c r="S237" s="9" t="s">
        <v>11</v>
      </c>
      <c r="T237" s="9"/>
      <c r="U237" s="9" t="s">
        <v>11</v>
      </c>
      <c r="V237" s="1"/>
      <c r="W237" s="1"/>
      <c r="X237" s="1"/>
      <c r="Y237" s="363"/>
      <c r="Z237" s="1"/>
      <c r="AA237" s="268"/>
      <c r="AC237" s="79"/>
      <c r="AD237" s="79"/>
      <c r="AE237" s="79"/>
      <c r="AF237" s="79"/>
    </row>
    <row r="238" spans="1:45" customFormat="1" ht="15" customHeight="1" x14ac:dyDescent="0.25">
      <c r="A238" s="598" t="s">
        <v>99</v>
      </c>
      <c r="B238" s="598"/>
      <c r="C238" s="598"/>
      <c r="D238" s="598"/>
      <c r="E238" s="598" t="s">
        <v>100</v>
      </c>
      <c r="F238" s="598"/>
      <c r="G238" s="598"/>
      <c r="H238" s="598"/>
      <c r="I238" s="598"/>
      <c r="J238" s="598"/>
      <c r="K238" s="598"/>
      <c r="L238" s="598"/>
      <c r="M238" s="598"/>
      <c r="N238" s="598"/>
      <c r="O238" s="598"/>
      <c r="P238" s="598"/>
      <c r="Q238" s="598"/>
      <c r="R238" s="598"/>
      <c r="S238" s="598"/>
      <c r="T238" s="9"/>
      <c r="U238" s="9"/>
      <c r="V238" s="9"/>
      <c r="W238" s="594">
        <f ca="1">TODAY()</f>
        <v>46035</v>
      </c>
      <c r="X238" s="594"/>
      <c r="Y238" s="594"/>
      <c r="Z238" s="594"/>
      <c r="AA238" s="268"/>
    </row>
    <row r="239" spans="1:45" customFormat="1" ht="15" customHeight="1" thickBot="1" x14ac:dyDescent="0.3">
      <c r="A239" s="9"/>
      <c r="B239" s="598" t="s">
        <v>101</v>
      </c>
      <c r="C239" s="598"/>
      <c r="D239" s="598"/>
      <c r="E239" s="598" t="s">
        <v>102</v>
      </c>
      <c r="F239" s="598"/>
      <c r="G239" s="598"/>
      <c r="H239" s="598"/>
      <c r="I239" s="598"/>
      <c r="J239" s="598"/>
      <c r="K239" s="598"/>
      <c r="L239" s="598"/>
      <c r="M239" s="598"/>
      <c r="N239" s="598"/>
      <c r="O239" s="598"/>
      <c r="P239" s="598"/>
      <c r="Q239" s="598"/>
      <c r="R239" s="598"/>
      <c r="S239" s="598"/>
      <c r="T239" s="9"/>
      <c r="U239" s="9"/>
      <c r="V239" s="1"/>
      <c r="W239" s="1"/>
      <c r="X239" s="1"/>
      <c r="Y239" s="363"/>
      <c r="Z239" s="1"/>
      <c r="AA239" s="268"/>
    </row>
    <row r="240" spans="1:45" ht="15" customHeight="1" thickBot="1" x14ac:dyDescent="0.3">
      <c r="A240" s="632">
        <v>51</v>
      </c>
      <c r="B240" s="629">
        <f>VLOOKUP(A240,مسلسل,2,0)</f>
        <v>0</v>
      </c>
      <c r="C240" s="621" t="str">
        <f>IFERROR(VLOOKUP(B240,اسماء,2,0),"")</f>
        <v/>
      </c>
      <c r="D240" s="624" t="str">
        <f>IFERROR(VLOOKUP($B240,اسماء,3,0),"")</f>
        <v/>
      </c>
      <c r="E240" s="132" t="s">
        <v>30</v>
      </c>
      <c r="F240" s="627">
        <f>IFERROR(VLOOKUP($B240,اسماء,5,0),0)</f>
        <v>0</v>
      </c>
      <c r="G240" s="606"/>
      <c r="H240" s="628">
        <f>IFERROR(VLOOKUP($B240,اسماء,6,0),0)</f>
        <v>0</v>
      </c>
      <c r="I240" s="605"/>
      <c r="J240" s="587">
        <f>IFERROR(VLOOKUP($B240,اسماء,7,0),0)</f>
        <v>0</v>
      </c>
      <c r="K240" s="591"/>
      <c r="L240" s="587">
        <f>IFERROR(VLOOKUP($B240,اسماء,8,0),0)</f>
        <v>0</v>
      </c>
      <c r="M240" s="588"/>
      <c r="N240" s="587">
        <f>IFERROR(VLOOKUP($B240,اسماء,9,0),0)</f>
        <v>0</v>
      </c>
      <c r="O240" s="605"/>
      <c r="P240" s="587">
        <f>IFERROR(VLOOKUP($B240,اسماء,10,0),0)</f>
        <v>0</v>
      </c>
      <c r="Q240" s="605"/>
      <c r="R240" s="606">
        <f>IFERROR(VLOOKUP($B240,اسماء,11,0),0)</f>
        <v>0</v>
      </c>
      <c r="S240" s="591"/>
      <c r="T240" s="587">
        <f>IFERROR(VLOOKUP($B240,اسماء,12,0),0)</f>
        <v>0</v>
      </c>
      <c r="U240" s="591"/>
      <c r="V240" s="263">
        <f t="shared" ref="V240:V242" si="701">SUM(F240:U240)</f>
        <v>0</v>
      </c>
      <c r="W240" s="373">
        <f>IFERROR(VLOOKUP($B240,اسماء,14,0),0)</f>
        <v>0</v>
      </c>
      <c r="X240" s="373">
        <f>IFERROR(VLOOKUP($B240,اسماء,15,0),0)</f>
        <v>0</v>
      </c>
      <c r="Y240" s="595" t="str">
        <f>IF(AC240="غائب","راسب",IF(AND(F243&gt;=$G$8,H243&gt;=$I$8,J243&gt;=$K$8,L243&gt;=$M$8,N243&gt;=$O$8,P243&gt;=$Q$8,R243&gt;=$S$8,T243&gt;=$U$8),"ناجح","له دور ثان"))</f>
        <v>له دور ثان</v>
      </c>
      <c r="Z240" s="21" t="str">
        <f>LOOKUP(V240,$AF$6:$AG$10)</f>
        <v>ضعيف</v>
      </c>
      <c r="AA240" s="656">
        <f>V243/$AF$3</f>
        <v>0</v>
      </c>
      <c r="AB240" s="72"/>
      <c r="AC240" s="653" t="str">
        <f>IFERROR(VLOOKUP($B240,اسماء,54,0),"")</f>
        <v/>
      </c>
      <c r="AN240" s="610" t="str">
        <f>IF(V243=0,"",V243/1+ROW()*0.00001)</f>
        <v/>
      </c>
      <c r="AO240" s="610">
        <f>B240</f>
        <v>0</v>
      </c>
      <c r="AP240" s="613"/>
      <c r="AQ240" s="612">
        <v>51</v>
      </c>
      <c r="AR240" s="611" t="str">
        <f>IFERROR(LARGE($AN$10:$AN$1006,AQ240),"")</f>
        <v/>
      </c>
      <c r="AS240" s="612" t="str">
        <f>VLOOKUP(AR240,$AN$10:$AO$1116,2,0)</f>
        <v>أحمد نورالدين أحمد الذيب</v>
      </c>
    </row>
    <row r="241" spans="1:45" ht="15" customHeight="1" thickBot="1" x14ac:dyDescent="0.3">
      <c r="A241" s="633"/>
      <c r="B241" s="630"/>
      <c r="C241" s="622"/>
      <c r="D241" s="625"/>
      <c r="E241" s="133" t="s">
        <v>31</v>
      </c>
      <c r="F241" s="589">
        <f>IFERROR(VLOOKUP($B240,اسماء,18,0),0)</f>
        <v>0</v>
      </c>
      <c r="G241" s="592"/>
      <c r="H241" s="608">
        <f>IFERROR(VLOOKUP($B240,اسماء,19,0),0)</f>
        <v>0</v>
      </c>
      <c r="I241" s="609"/>
      <c r="J241" s="589">
        <f>IFERROR(VLOOKUP($B240,اسماء,20,0),0)</f>
        <v>0</v>
      </c>
      <c r="K241" s="592"/>
      <c r="L241" s="589">
        <f>IFERROR(VLOOKUP($B240,اسماء,21,0),0)</f>
        <v>0</v>
      </c>
      <c r="M241" s="590"/>
      <c r="N241" s="589">
        <f>IFERROR(VLOOKUP($B240,اسماء,22,0),0)</f>
        <v>0</v>
      </c>
      <c r="O241" s="590"/>
      <c r="P241" s="589">
        <f>IFERROR(VLOOKUP($B240,اسماء,23,0),0)</f>
        <v>0</v>
      </c>
      <c r="Q241" s="609"/>
      <c r="R241" s="603">
        <f>IFERROR(VLOOKUP($B240,اسماء,24,0),0)</f>
        <v>0</v>
      </c>
      <c r="S241" s="592"/>
      <c r="T241" s="589">
        <f>IFERROR(VLOOKUP($B240,اسماء,25,0),0)</f>
        <v>0</v>
      </c>
      <c r="U241" s="592"/>
      <c r="V241" s="263">
        <f t="shared" si="701"/>
        <v>0</v>
      </c>
      <c r="W241" s="373">
        <f>IFERROR(VLOOKUP($B240,اسماء,27,0),0)</f>
        <v>0</v>
      </c>
      <c r="X241" s="373">
        <f>IFERROR(VLOOKUP($B240,اسماء,28,0),0)</f>
        <v>0</v>
      </c>
      <c r="Y241" s="596"/>
      <c r="Z241" s="22" t="str">
        <f>LOOKUP(V241,$AF$6:$AG$10)</f>
        <v>ضعيف</v>
      </c>
      <c r="AA241" s="657"/>
      <c r="AB241" s="72"/>
      <c r="AC241" s="654"/>
      <c r="AN241" s="610"/>
      <c r="AO241" s="610"/>
      <c r="AP241" s="613"/>
      <c r="AQ241" s="612"/>
      <c r="AR241" s="611"/>
      <c r="AS241" s="612"/>
    </row>
    <row r="242" spans="1:45" ht="15" customHeight="1" x14ac:dyDescent="0.25">
      <c r="A242" s="633"/>
      <c r="B242" s="630"/>
      <c r="C242" s="622"/>
      <c r="D242" s="625"/>
      <c r="E242" s="133" t="s">
        <v>32</v>
      </c>
      <c r="F242" s="589">
        <f>IFERROR(VLOOKUP($B240,اسماء,31,0),0)</f>
        <v>0</v>
      </c>
      <c r="G242" s="592"/>
      <c r="H242" s="608">
        <f>IFERROR(VLOOKUP($B240,اسماء,32,0),0)</f>
        <v>0</v>
      </c>
      <c r="I242" s="609"/>
      <c r="J242" s="589">
        <f>IFERROR(VLOOKUP($B240,اسماء,33,0),0)</f>
        <v>0</v>
      </c>
      <c r="K242" s="592"/>
      <c r="L242" s="589">
        <f>IFERROR(VLOOKUP($B240,اسماء,34,0),0)</f>
        <v>0</v>
      </c>
      <c r="M242" s="590"/>
      <c r="N242" s="589">
        <f>IFERROR(VLOOKUP($B240,اسماء,35,0),0)</f>
        <v>0</v>
      </c>
      <c r="O242" s="590"/>
      <c r="P242" s="589">
        <f>IFERROR(VLOOKUP($B240,اسماء,36,0),0)</f>
        <v>0</v>
      </c>
      <c r="Q242" s="609"/>
      <c r="R242" s="603">
        <f>IFERROR(VLOOKUP($B240,اسماء,37,0),0)</f>
        <v>0</v>
      </c>
      <c r="S242" s="592"/>
      <c r="T242" s="589">
        <f>IFERROR(VLOOKUP($B240,اسماء,38,0),0)</f>
        <v>0</v>
      </c>
      <c r="U242" s="592"/>
      <c r="V242" s="263">
        <f t="shared" si="701"/>
        <v>0</v>
      </c>
      <c r="W242" s="373">
        <f>IFERROR(VLOOKUP($B240,اسماء,40,0),0)</f>
        <v>0</v>
      </c>
      <c r="X242" s="373">
        <f>IFERROR(VLOOKUP($B240,اسماء,41,0),0)</f>
        <v>0</v>
      </c>
      <c r="Y242" s="596"/>
      <c r="Z242" s="22" t="str">
        <f>LOOKUP(V242,$AI$6:$AJ$10)</f>
        <v>ضعيف</v>
      </c>
      <c r="AA242" s="657"/>
      <c r="AB242" s="10"/>
      <c r="AC242" s="654"/>
      <c r="AN242" s="610"/>
      <c r="AO242" s="610"/>
      <c r="AP242" s="613"/>
      <c r="AQ242" s="612"/>
      <c r="AR242" s="611"/>
      <c r="AS242" s="612"/>
    </row>
    <row r="243" spans="1:45" ht="15" customHeight="1" thickBot="1" x14ac:dyDescent="0.3">
      <c r="A243" s="634"/>
      <c r="B243" s="631"/>
      <c r="C243" s="623"/>
      <c r="D243" s="626"/>
      <c r="E243" s="127" t="s">
        <v>33</v>
      </c>
      <c r="F243" s="585">
        <f t="shared" ref="F243" si="702">SUM(F240:G242)</f>
        <v>0</v>
      </c>
      <c r="G243" s="593"/>
      <c r="H243" s="604">
        <f t="shared" ref="H243" si="703">SUM(H240:I242)</f>
        <v>0</v>
      </c>
      <c r="I243" s="601"/>
      <c r="J243" s="585">
        <f t="shared" ref="J243" si="704">SUM(J240:K242)</f>
        <v>0</v>
      </c>
      <c r="K243" s="593"/>
      <c r="L243" s="585">
        <f t="shared" ref="L243" si="705">SUM(L240:M242)</f>
        <v>0</v>
      </c>
      <c r="M243" s="586"/>
      <c r="N243" s="585">
        <f t="shared" ref="N243" si="706">SUM(N240:O242)</f>
        <v>0</v>
      </c>
      <c r="O243" s="586"/>
      <c r="P243" s="585">
        <f t="shared" ref="P243" si="707">SUM(P240:Q242)</f>
        <v>0</v>
      </c>
      <c r="Q243" s="601"/>
      <c r="R243" s="602">
        <f t="shared" ref="R243" si="708">SUM(R240:S242)</f>
        <v>0</v>
      </c>
      <c r="S243" s="593"/>
      <c r="T243" s="585">
        <f t="shared" ref="T243" si="709">SUM(T240:U242)</f>
        <v>0</v>
      </c>
      <c r="U243" s="593"/>
      <c r="V243" s="210">
        <f t="shared" ref="V243" si="710">IF(AND(F243&gt;=$G$8,H243&gt;=$I$8,L243&gt;=$M$8,P243&gt;=$Q$8,R243&gt;=$S$8,T243&gt;=$U$8),SUM(F243:U243),0)</f>
        <v>0</v>
      </c>
      <c r="W243" s="264"/>
      <c r="X243" s="97"/>
      <c r="Y243" s="597"/>
      <c r="Z243" s="91" t="str">
        <f>LOOKUP(V243,$AL$6:$AM$10)</f>
        <v>ضعيف</v>
      </c>
      <c r="AA243" s="658"/>
      <c r="AB243" s="72"/>
      <c r="AC243" s="655"/>
      <c r="AN243" s="610"/>
      <c r="AO243" s="610"/>
      <c r="AP243" s="613"/>
      <c r="AQ243" s="612"/>
      <c r="AR243" s="611"/>
      <c r="AS243" s="612"/>
    </row>
    <row r="244" spans="1:45" ht="15" customHeight="1" thickBot="1" x14ac:dyDescent="0.3">
      <c r="A244" s="632">
        <v>52</v>
      </c>
      <c r="B244" s="629">
        <f>VLOOKUP(A244,مسلسل,2,0)</f>
        <v>0</v>
      </c>
      <c r="C244" s="621" t="str">
        <f>IFERROR(VLOOKUP(B244,اسماء,2,0),"")</f>
        <v/>
      </c>
      <c r="D244" s="624" t="str">
        <f>IFERROR(VLOOKUP($B244,اسماء,3,0),"")</f>
        <v/>
      </c>
      <c r="E244" s="132" t="s">
        <v>30</v>
      </c>
      <c r="F244" s="627">
        <f>IFERROR(VLOOKUP($B244,اسماء,5,0),0)</f>
        <v>0</v>
      </c>
      <c r="G244" s="606"/>
      <c r="H244" s="628">
        <f>IFERROR(VLOOKUP($B244,اسماء,6,0),0)</f>
        <v>0</v>
      </c>
      <c r="I244" s="605"/>
      <c r="J244" s="587">
        <f>IFERROR(VLOOKUP($B244,اسماء,7,0),0)</f>
        <v>0</v>
      </c>
      <c r="K244" s="591"/>
      <c r="L244" s="587">
        <f>IFERROR(VLOOKUP($B244,اسماء,8,0),0)</f>
        <v>0</v>
      </c>
      <c r="M244" s="588"/>
      <c r="N244" s="587">
        <f>IFERROR(VLOOKUP($B244,اسماء,9,0),0)</f>
        <v>0</v>
      </c>
      <c r="O244" s="605"/>
      <c r="P244" s="587">
        <f>IFERROR(VLOOKUP($B244,اسماء,10,0),0)</f>
        <v>0</v>
      </c>
      <c r="Q244" s="605"/>
      <c r="R244" s="606">
        <f>IFERROR(VLOOKUP($B244,اسماء,11,0),0)</f>
        <v>0</v>
      </c>
      <c r="S244" s="591"/>
      <c r="T244" s="587">
        <f>IFERROR(VLOOKUP($B244,اسماء,12,0),0)</f>
        <v>0</v>
      </c>
      <c r="U244" s="591"/>
      <c r="V244" s="263">
        <f t="shared" ref="V244:V246" si="711">SUM(F244:U244)</f>
        <v>0</v>
      </c>
      <c r="W244" s="373">
        <f>IFERROR(VLOOKUP($B244,اسماء,14,0),0)</f>
        <v>0</v>
      </c>
      <c r="X244" s="373">
        <f>IFERROR(VLOOKUP($B244,اسماء,15,0),0)</f>
        <v>0</v>
      </c>
      <c r="Y244" s="595" t="str">
        <f t="shared" ref="Y244" si="712">IF(AC244="غائب","راسب",IF(AND(F247&gt;=$G$8,H247&gt;=$I$8,J247&gt;=$K$8,L247&gt;=$M$8,N247&gt;=$O$8,P247&gt;=$Q$8,R247&gt;=$S$8,T247&gt;=$U$8),"ناجح","له دور ثان"))</f>
        <v>له دور ثان</v>
      </c>
      <c r="Z244" s="21" t="str">
        <f>LOOKUP(V244,$AF$6:$AG$10)</f>
        <v>ضعيف</v>
      </c>
      <c r="AA244" s="656">
        <f>V247/$AF$3</f>
        <v>0</v>
      </c>
      <c r="AB244" s="72"/>
      <c r="AC244" s="653" t="str">
        <f>IFERROR(VLOOKUP($B244,اسماء,54,0),"")</f>
        <v/>
      </c>
      <c r="AN244" s="607" t="str">
        <f t="shared" ref="AN244" si="713">IF(V247=0,"",V247/1+ROW()*0.00001)</f>
        <v/>
      </c>
      <c r="AO244" s="607">
        <f>B244</f>
        <v>0</v>
      </c>
      <c r="AP244" s="613"/>
      <c r="AQ244" s="612">
        <v>52</v>
      </c>
      <c r="AR244" s="611" t="str">
        <f>IFERROR(LARGE($AN$10:$AN$1006,AQ244),"")</f>
        <v/>
      </c>
      <c r="AS244" s="612" t="str">
        <f>VLOOKUP(AR244,$AN$10:$AO$1116,2,0)</f>
        <v>أحمد نورالدين أحمد الذيب</v>
      </c>
    </row>
    <row r="245" spans="1:45" ht="15" customHeight="1" thickBot="1" x14ac:dyDescent="0.3">
      <c r="A245" s="633"/>
      <c r="B245" s="630"/>
      <c r="C245" s="622"/>
      <c r="D245" s="625"/>
      <c r="E245" s="133" t="s">
        <v>31</v>
      </c>
      <c r="F245" s="589">
        <f>IFERROR(VLOOKUP($B244,اسماء,18,0),0)</f>
        <v>0</v>
      </c>
      <c r="G245" s="592"/>
      <c r="H245" s="608">
        <f>IFERROR(VLOOKUP($B244,اسماء,19,0),0)</f>
        <v>0</v>
      </c>
      <c r="I245" s="609"/>
      <c r="J245" s="589">
        <f>IFERROR(VLOOKUP($B244,اسماء,20,0),0)</f>
        <v>0</v>
      </c>
      <c r="K245" s="592"/>
      <c r="L245" s="589">
        <f>IFERROR(VLOOKUP($B244,اسماء,21,0),0)</f>
        <v>0</v>
      </c>
      <c r="M245" s="590"/>
      <c r="N245" s="589">
        <f>IFERROR(VLOOKUP($B244,اسماء,22,0),0)</f>
        <v>0</v>
      </c>
      <c r="O245" s="590"/>
      <c r="P245" s="589">
        <f>IFERROR(VLOOKUP($B244,اسماء,23,0),0)</f>
        <v>0</v>
      </c>
      <c r="Q245" s="609"/>
      <c r="R245" s="603">
        <f>IFERROR(VLOOKUP($B244,اسماء,24,0),0)</f>
        <v>0</v>
      </c>
      <c r="S245" s="592"/>
      <c r="T245" s="589">
        <f>IFERROR(VLOOKUP($B244,اسماء,25,0),0)</f>
        <v>0</v>
      </c>
      <c r="U245" s="592"/>
      <c r="V245" s="263">
        <f t="shared" si="711"/>
        <v>0</v>
      </c>
      <c r="W245" s="373">
        <f>IFERROR(VLOOKUP($B244,اسماء,27,0),0)</f>
        <v>0</v>
      </c>
      <c r="X245" s="373">
        <f>IFERROR(VLOOKUP($B244,اسماء,28,0),0)</f>
        <v>0</v>
      </c>
      <c r="Y245" s="596"/>
      <c r="Z245" s="22" t="str">
        <f>LOOKUP(V245,$AF$6:$AG$10)</f>
        <v>ضعيف</v>
      </c>
      <c r="AA245" s="657"/>
      <c r="AB245" s="10"/>
      <c r="AC245" s="654"/>
      <c r="AN245" s="607"/>
      <c r="AO245" s="607"/>
      <c r="AP245" s="613"/>
      <c r="AQ245" s="612"/>
      <c r="AR245" s="611"/>
      <c r="AS245" s="612"/>
    </row>
    <row r="246" spans="1:45" ht="15" customHeight="1" x14ac:dyDescent="0.25">
      <c r="A246" s="633"/>
      <c r="B246" s="630"/>
      <c r="C246" s="622"/>
      <c r="D246" s="625"/>
      <c r="E246" s="133" t="s">
        <v>32</v>
      </c>
      <c r="F246" s="589">
        <f>IFERROR(VLOOKUP($B244,اسماء,31,0),0)</f>
        <v>0</v>
      </c>
      <c r="G246" s="592"/>
      <c r="H246" s="608">
        <f>IFERROR(VLOOKUP($B244,اسماء,32,0),0)</f>
        <v>0</v>
      </c>
      <c r="I246" s="609"/>
      <c r="J246" s="589">
        <f>IFERROR(VLOOKUP($B244,اسماء,33,0),0)</f>
        <v>0</v>
      </c>
      <c r="K246" s="592"/>
      <c r="L246" s="589">
        <f>IFERROR(VLOOKUP($B244,اسماء,34,0),0)</f>
        <v>0</v>
      </c>
      <c r="M246" s="590"/>
      <c r="N246" s="589">
        <f>IFERROR(VLOOKUP($B244,اسماء,35,0),0)</f>
        <v>0</v>
      </c>
      <c r="O246" s="590"/>
      <c r="P246" s="589">
        <f>IFERROR(VLOOKUP($B244,اسماء,36,0),0)</f>
        <v>0</v>
      </c>
      <c r="Q246" s="609"/>
      <c r="R246" s="603">
        <f>IFERROR(VLOOKUP($B244,اسماء,37,0),0)</f>
        <v>0</v>
      </c>
      <c r="S246" s="592"/>
      <c r="T246" s="589">
        <f>IFERROR(VLOOKUP($B244,اسماء,38,0),0)</f>
        <v>0</v>
      </c>
      <c r="U246" s="592"/>
      <c r="V246" s="263">
        <f t="shared" si="711"/>
        <v>0</v>
      </c>
      <c r="W246" s="373">
        <f>IFERROR(VLOOKUP($B244,اسماء,40,0),0)</f>
        <v>0</v>
      </c>
      <c r="X246" s="373">
        <f>IFERROR(VLOOKUP($B244,اسماء,41,0),0)</f>
        <v>0</v>
      </c>
      <c r="Y246" s="596"/>
      <c r="Z246" s="22" t="str">
        <f>LOOKUP(V246,$AI$6:$AJ$10)</f>
        <v>ضعيف</v>
      </c>
      <c r="AA246" s="657"/>
      <c r="AB246" s="72"/>
      <c r="AC246" s="654"/>
      <c r="AN246" s="607"/>
      <c r="AO246" s="607"/>
      <c r="AP246" s="613"/>
      <c r="AQ246" s="612"/>
      <c r="AR246" s="611"/>
      <c r="AS246" s="612"/>
    </row>
    <row r="247" spans="1:45" ht="15" customHeight="1" thickBot="1" x14ac:dyDescent="0.3">
      <c r="A247" s="634"/>
      <c r="B247" s="631"/>
      <c r="C247" s="623"/>
      <c r="D247" s="626"/>
      <c r="E247" s="127" t="s">
        <v>33</v>
      </c>
      <c r="F247" s="585">
        <f t="shared" ref="F247" si="714">SUM(F244:G246)</f>
        <v>0</v>
      </c>
      <c r="G247" s="593"/>
      <c r="H247" s="604">
        <f t="shared" ref="H247" si="715">SUM(H244:I246)</f>
        <v>0</v>
      </c>
      <c r="I247" s="601"/>
      <c r="J247" s="585">
        <f t="shared" ref="J247" si="716">SUM(J244:K246)</f>
        <v>0</v>
      </c>
      <c r="K247" s="593"/>
      <c r="L247" s="585">
        <f t="shared" ref="L247" si="717">SUM(L244:M246)</f>
        <v>0</v>
      </c>
      <c r="M247" s="586"/>
      <c r="N247" s="585">
        <f t="shared" ref="N247" si="718">SUM(N244:O246)</f>
        <v>0</v>
      </c>
      <c r="O247" s="586"/>
      <c r="P247" s="585">
        <f t="shared" ref="P247" si="719">SUM(P244:Q246)</f>
        <v>0</v>
      </c>
      <c r="Q247" s="601"/>
      <c r="R247" s="602">
        <f t="shared" ref="R247" si="720">SUM(R244:S246)</f>
        <v>0</v>
      </c>
      <c r="S247" s="593"/>
      <c r="T247" s="585">
        <f t="shared" ref="T247" si="721">SUM(T244:U246)</f>
        <v>0</v>
      </c>
      <c r="U247" s="593"/>
      <c r="V247" s="210">
        <f t="shared" ref="V247" si="722">IF(AND(F247&gt;=$G$8,H247&gt;=$I$8,L247&gt;=$M$8,P247&gt;=$Q$8,R247&gt;=$S$8,T247&gt;=$U$8),SUM(F247:U247),0)</f>
        <v>0</v>
      </c>
      <c r="W247" s="264"/>
      <c r="X247" s="97"/>
      <c r="Y247" s="597"/>
      <c r="Z247" s="91" t="str">
        <f>LOOKUP(V247,$AL$6:$AM$10)</f>
        <v>ضعيف</v>
      </c>
      <c r="AA247" s="658"/>
      <c r="AB247" s="72"/>
      <c r="AC247" s="655"/>
      <c r="AN247" s="607"/>
      <c r="AO247" s="607"/>
      <c r="AP247" s="613"/>
      <c r="AQ247" s="612"/>
      <c r="AR247" s="611"/>
      <c r="AS247" s="612"/>
    </row>
    <row r="248" spans="1:45" ht="15" customHeight="1" thickBot="1" x14ac:dyDescent="0.3">
      <c r="A248" s="632">
        <v>53</v>
      </c>
      <c r="B248" s="629">
        <f>VLOOKUP(A248,مسلسل,2,0)</f>
        <v>0</v>
      </c>
      <c r="C248" s="621" t="str">
        <f>IFERROR(VLOOKUP(B248,اسماء,2,0),"")</f>
        <v/>
      </c>
      <c r="D248" s="624" t="str">
        <f>IFERROR(VLOOKUP($B248,اسماء,3,0),"")</f>
        <v/>
      </c>
      <c r="E248" s="132" t="s">
        <v>30</v>
      </c>
      <c r="F248" s="627">
        <f>IFERROR(VLOOKUP($B248,اسماء,5,0),0)</f>
        <v>0</v>
      </c>
      <c r="G248" s="606"/>
      <c r="H248" s="628">
        <f>IFERROR(VLOOKUP($B248,اسماء,6,0),0)</f>
        <v>0</v>
      </c>
      <c r="I248" s="605"/>
      <c r="J248" s="587">
        <f>IFERROR(VLOOKUP($B248,اسماء,7,0),0)</f>
        <v>0</v>
      </c>
      <c r="K248" s="591"/>
      <c r="L248" s="587">
        <f>IFERROR(VLOOKUP($B248,اسماء,8,0),0)</f>
        <v>0</v>
      </c>
      <c r="M248" s="588"/>
      <c r="N248" s="587">
        <f>IFERROR(VLOOKUP($B248,اسماء,9,0),0)</f>
        <v>0</v>
      </c>
      <c r="O248" s="605"/>
      <c r="P248" s="587">
        <f>IFERROR(VLOOKUP($B248,اسماء,10,0),0)</f>
        <v>0</v>
      </c>
      <c r="Q248" s="605"/>
      <c r="R248" s="606">
        <f>IFERROR(VLOOKUP($B248,اسماء,11,0),0)</f>
        <v>0</v>
      </c>
      <c r="S248" s="591"/>
      <c r="T248" s="587">
        <f>IFERROR(VLOOKUP($B248,اسماء,12,0),0)</f>
        <v>0</v>
      </c>
      <c r="U248" s="591"/>
      <c r="V248" s="263">
        <f t="shared" ref="V248:V250" si="723">SUM(F248:U248)</f>
        <v>0</v>
      </c>
      <c r="W248" s="373">
        <f>IFERROR(VLOOKUP($B248,اسماء,14,0),0)</f>
        <v>0</v>
      </c>
      <c r="X248" s="373">
        <f>IFERROR(VLOOKUP($B248,اسماء,15,0),0)</f>
        <v>0</v>
      </c>
      <c r="Y248" s="595" t="str">
        <f t="shared" ref="Y248" si="724">IF(AC248="غائب","راسب",IF(AND(F251&gt;=$G$8,H251&gt;=$I$8,J251&gt;=$K$8,L251&gt;=$M$8,N251&gt;=$O$8,P251&gt;=$Q$8,R251&gt;=$S$8,T251&gt;=$U$8),"ناجح","له دور ثان"))</f>
        <v>له دور ثان</v>
      </c>
      <c r="Z248" s="21" t="str">
        <f>LOOKUP(V248,$AF$6:$AG$10)</f>
        <v>ضعيف</v>
      </c>
      <c r="AA248" s="656">
        <f>V251/$AF$3</f>
        <v>0</v>
      </c>
      <c r="AB248" s="10"/>
      <c r="AC248" s="653" t="str">
        <f>IFERROR(VLOOKUP($B248,اسماء,54,0),"")</f>
        <v/>
      </c>
      <c r="AN248" s="607" t="str">
        <f t="shared" ref="AN248" si="725">IF(V251=0,"",V251/1+ROW()*0.00001)</f>
        <v/>
      </c>
      <c r="AO248" s="607">
        <f>B248</f>
        <v>0</v>
      </c>
      <c r="AP248" s="613"/>
      <c r="AQ248" s="612">
        <v>53</v>
      </c>
      <c r="AR248" s="611" t="str">
        <f>IFERROR(LARGE($AN$10:$AN$1006,AQ248),"")</f>
        <v/>
      </c>
      <c r="AS248" s="612" t="str">
        <f>VLOOKUP(AR248,$AN$10:$AO$1116,2,0)</f>
        <v>أحمد نورالدين أحمد الذيب</v>
      </c>
    </row>
    <row r="249" spans="1:45" ht="15" customHeight="1" thickBot="1" x14ac:dyDescent="0.3">
      <c r="A249" s="633"/>
      <c r="B249" s="630"/>
      <c r="C249" s="622"/>
      <c r="D249" s="625"/>
      <c r="E249" s="133" t="s">
        <v>31</v>
      </c>
      <c r="F249" s="589">
        <f>IFERROR(VLOOKUP($B248,اسماء,18,0),0)</f>
        <v>0</v>
      </c>
      <c r="G249" s="592"/>
      <c r="H249" s="608">
        <f>IFERROR(VLOOKUP($B248,اسماء,19,0),0)</f>
        <v>0</v>
      </c>
      <c r="I249" s="609"/>
      <c r="J249" s="589">
        <f>IFERROR(VLOOKUP($B248,اسماء,20,0),0)</f>
        <v>0</v>
      </c>
      <c r="K249" s="592"/>
      <c r="L249" s="589">
        <f>IFERROR(VLOOKUP($B248,اسماء,21,0),0)</f>
        <v>0</v>
      </c>
      <c r="M249" s="590"/>
      <c r="N249" s="589">
        <f>IFERROR(VLOOKUP($B248,اسماء,22,0),0)</f>
        <v>0</v>
      </c>
      <c r="O249" s="590"/>
      <c r="P249" s="589">
        <f>IFERROR(VLOOKUP($B248,اسماء,23,0),0)</f>
        <v>0</v>
      </c>
      <c r="Q249" s="609"/>
      <c r="R249" s="603">
        <f>IFERROR(VLOOKUP($B248,اسماء,24,0),0)</f>
        <v>0</v>
      </c>
      <c r="S249" s="592"/>
      <c r="T249" s="589">
        <f>IFERROR(VLOOKUP($B248,اسماء,25,0),0)</f>
        <v>0</v>
      </c>
      <c r="U249" s="592"/>
      <c r="V249" s="263">
        <f t="shared" si="723"/>
        <v>0</v>
      </c>
      <c r="W249" s="373">
        <f>IFERROR(VLOOKUP($B248,اسماء,27,0),0)</f>
        <v>0</v>
      </c>
      <c r="X249" s="373">
        <f>IFERROR(VLOOKUP($B248,اسماء,28,0),0)</f>
        <v>0</v>
      </c>
      <c r="Y249" s="596"/>
      <c r="Z249" s="22" t="str">
        <f>LOOKUP(V249,$AF$6:$AG$10)</f>
        <v>ضعيف</v>
      </c>
      <c r="AA249" s="657"/>
      <c r="AB249" s="72"/>
      <c r="AC249" s="654"/>
      <c r="AN249" s="607"/>
      <c r="AO249" s="607"/>
      <c r="AP249" s="613"/>
      <c r="AQ249" s="612"/>
      <c r="AR249" s="611"/>
      <c r="AS249" s="612"/>
    </row>
    <row r="250" spans="1:45" ht="15" customHeight="1" x14ac:dyDescent="0.25">
      <c r="A250" s="633"/>
      <c r="B250" s="630"/>
      <c r="C250" s="622"/>
      <c r="D250" s="625"/>
      <c r="E250" s="133" t="s">
        <v>32</v>
      </c>
      <c r="F250" s="589">
        <f>IFERROR(VLOOKUP($B248,اسماء,31,0),0)</f>
        <v>0</v>
      </c>
      <c r="G250" s="592"/>
      <c r="H250" s="608">
        <f>IFERROR(VLOOKUP($B248,اسماء,32,0),0)</f>
        <v>0</v>
      </c>
      <c r="I250" s="609"/>
      <c r="J250" s="589">
        <f>IFERROR(VLOOKUP($B248,اسماء,33,0),0)</f>
        <v>0</v>
      </c>
      <c r="K250" s="592"/>
      <c r="L250" s="589">
        <f>IFERROR(VLOOKUP($B248,اسماء,34,0),0)</f>
        <v>0</v>
      </c>
      <c r="M250" s="590"/>
      <c r="N250" s="589">
        <f>IFERROR(VLOOKUP($B248,اسماء,35,0),0)</f>
        <v>0</v>
      </c>
      <c r="O250" s="590"/>
      <c r="P250" s="589">
        <f>IFERROR(VLOOKUP($B248,اسماء,36,0),0)</f>
        <v>0</v>
      </c>
      <c r="Q250" s="609"/>
      <c r="R250" s="603">
        <f>IFERROR(VLOOKUP($B248,اسماء,37,0),0)</f>
        <v>0</v>
      </c>
      <c r="S250" s="592"/>
      <c r="T250" s="589">
        <f>IFERROR(VLOOKUP($B248,اسماء,38,0),0)</f>
        <v>0</v>
      </c>
      <c r="U250" s="592"/>
      <c r="V250" s="263">
        <f t="shared" si="723"/>
        <v>0</v>
      </c>
      <c r="W250" s="373">
        <f>IFERROR(VLOOKUP($B248,اسماء,40,0),0)</f>
        <v>0</v>
      </c>
      <c r="X250" s="373">
        <f>IFERROR(VLOOKUP($B248,اسماء,41,0),0)</f>
        <v>0</v>
      </c>
      <c r="Y250" s="596"/>
      <c r="Z250" s="22" t="str">
        <f>LOOKUP(V250,$AI$6:$AJ$10)</f>
        <v>ضعيف</v>
      </c>
      <c r="AA250" s="657"/>
      <c r="AB250" s="72"/>
      <c r="AC250" s="654"/>
      <c r="AN250" s="607"/>
      <c r="AO250" s="607"/>
      <c r="AP250" s="613"/>
      <c r="AQ250" s="612"/>
      <c r="AR250" s="611"/>
      <c r="AS250" s="612"/>
    </row>
    <row r="251" spans="1:45" ht="15" customHeight="1" thickBot="1" x14ac:dyDescent="0.3">
      <c r="A251" s="634"/>
      <c r="B251" s="631"/>
      <c r="C251" s="623"/>
      <c r="D251" s="626"/>
      <c r="E251" s="127" t="s">
        <v>33</v>
      </c>
      <c r="F251" s="585">
        <f t="shared" ref="F251" si="726">SUM(F248:G250)</f>
        <v>0</v>
      </c>
      <c r="G251" s="593"/>
      <c r="H251" s="604">
        <f t="shared" ref="H251" si="727">SUM(H248:I250)</f>
        <v>0</v>
      </c>
      <c r="I251" s="601"/>
      <c r="J251" s="585">
        <f t="shared" ref="J251" si="728">SUM(J248:K250)</f>
        <v>0</v>
      </c>
      <c r="K251" s="593"/>
      <c r="L251" s="585">
        <f t="shared" ref="L251" si="729">SUM(L248:M250)</f>
        <v>0</v>
      </c>
      <c r="M251" s="586"/>
      <c r="N251" s="585">
        <f t="shared" ref="N251" si="730">SUM(N248:O250)</f>
        <v>0</v>
      </c>
      <c r="O251" s="586"/>
      <c r="P251" s="585">
        <f t="shared" ref="P251" si="731">SUM(P248:Q250)</f>
        <v>0</v>
      </c>
      <c r="Q251" s="601"/>
      <c r="R251" s="602">
        <f t="shared" ref="R251" si="732">SUM(R248:S250)</f>
        <v>0</v>
      </c>
      <c r="S251" s="593"/>
      <c r="T251" s="585">
        <f t="shared" ref="T251" si="733">SUM(T248:U250)</f>
        <v>0</v>
      </c>
      <c r="U251" s="593"/>
      <c r="V251" s="210">
        <f t="shared" ref="V251" si="734">IF(AND(F251&gt;=$G$8,H251&gt;=$I$8,L251&gt;=$M$8,P251&gt;=$Q$8,R251&gt;=$S$8,T251&gt;=$U$8),SUM(F251:U251),0)</f>
        <v>0</v>
      </c>
      <c r="W251" s="264"/>
      <c r="X251" s="97"/>
      <c r="Y251" s="597"/>
      <c r="Z251" s="91" t="str">
        <f>LOOKUP(V251,$AL$6:$AM$10)</f>
        <v>ضعيف</v>
      </c>
      <c r="AA251" s="658"/>
      <c r="AB251" s="10"/>
      <c r="AC251" s="655"/>
      <c r="AN251" s="607"/>
      <c r="AO251" s="607"/>
      <c r="AP251" s="613"/>
      <c r="AQ251" s="612"/>
      <c r="AR251" s="611"/>
      <c r="AS251" s="612"/>
    </row>
    <row r="252" spans="1:45" ht="15" customHeight="1" thickBot="1" x14ac:dyDescent="0.3">
      <c r="A252" s="632">
        <v>54</v>
      </c>
      <c r="B252" s="629">
        <f>VLOOKUP(A252,مسلسل,2,0)</f>
        <v>0</v>
      </c>
      <c r="C252" s="621" t="str">
        <f>IFERROR(VLOOKUP(B252,اسماء,2,0),"")</f>
        <v/>
      </c>
      <c r="D252" s="624" t="str">
        <f>IFERROR(VLOOKUP($B252,اسماء,3,0),"")</f>
        <v/>
      </c>
      <c r="E252" s="132" t="s">
        <v>30</v>
      </c>
      <c r="F252" s="627">
        <f>IFERROR(VLOOKUP($B252,اسماء,5,0),0)</f>
        <v>0</v>
      </c>
      <c r="G252" s="606"/>
      <c r="H252" s="628">
        <f>IFERROR(VLOOKUP($B252,اسماء,6,0),0)</f>
        <v>0</v>
      </c>
      <c r="I252" s="605"/>
      <c r="J252" s="587">
        <f>IFERROR(VLOOKUP($B252,اسماء,7,0),0)</f>
        <v>0</v>
      </c>
      <c r="K252" s="591"/>
      <c r="L252" s="587">
        <f>IFERROR(VLOOKUP($B252,اسماء,8,0),0)</f>
        <v>0</v>
      </c>
      <c r="M252" s="588"/>
      <c r="N252" s="587">
        <f>IFERROR(VLOOKUP($B252,اسماء,9,0),0)</f>
        <v>0</v>
      </c>
      <c r="O252" s="605"/>
      <c r="P252" s="587">
        <f>IFERROR(VLOOKUP($B252,اسماء,10,0),0)</f>
        <v>0</v>
      </c>
      <c r="Q252" s="605"/>
      <c r="R252" s="606">
        <f>IFERROR(VLOOKUP($B252,اسماء,11,0),0)</f>
        <v>0</v>
      </c>
      <c r="S252" s="591"/>
      <c r="T252" s="587">
        <f>IFERROR(VLOOKUP($B252,اسماء,12,0),0)</f>
        <v>0</v>
      </c>
      <c r="U252" s="591"/>
      <c r="V252" s="263">
        <f t="shared" ref="V252:V254" si="735">SUM(F252:U252)</f>
        <v>0</v>
      </c>
      <c r="W252" s="373">
        <f>IFERROR(VLOOKUP($B252,اسماء,14,0),0)</f>
        <v>0</v>
      </c>
      <c r="X252" s="373">
        <f>IFERROR(VLOOKUP($B252,اسماء,15,0),0)</f>
        <v>0</v>
      </c>
      <c r="Y252" s="595" t="str">
        <f t="shared" ref="Y252" si="736">IF(AC252="غائب","راسب",IF(AND(F255&gt;=$G$8,H255&gt;=$I$8,J255&gt;=$K$8,L255&gt;=$M$8,N255&gt;=$O$8,P255&gt;=$Q$8,R255&gt;=$S$8,T255&gt;=$U$8),"ناجح","له دور ثان"))</f>
        <v>له دور ثان</v>
      </c>
      <c r="Z252" s="21" t="str">
        <f>LOOKUP(V252,$AF$6:$AG$10)</f>
        <v>ضعيف</v>
      </c>
      <c r="AA252" s="656">
        <f>V255/$AF$3</f>
        <v>0</v>
      </c>
      <c r="AB252" s="72"/>
      <c r="AC252" s="653" t="str">
        <f>IFERROR(VLOOKUP($B252,اسماء,54,0),"")</f>
        <v/>
      </c>
      <c r="AN252" s="607" t="str">
        <f t="shared" ref="AN252" si="737">IF(V255=0,"",V255/1+ROW()*0.00001)</f>
        <v/>
      </c>
      <c r="AO252" s="607">
        <f>B252</f>
        <v>0</v>
      </c>
      <c r="AP252" s="613"/>
      <c r="AQ252" s="612">
        <v>54</v>
      </c>
      <c r="AR252" s="611" t="str">
        <f>IFERROR(LARGE($AN$10:$AN$1006,AQ252),"")</f>
        <v/>
      </c>
      <c r="AS252" s="612" t="str">
        <f>VLOOKUP(AR252,$AN$10:$AO$1116,2,0)</f>
        <v>أحمد نورالدين أحمد الذيب</v>
      </c>
    </row>
    <row r="253" spans="1:45" ht="15" customHeight="1" thickBot="1" x14ac:dyDescent="0.3">
      <c r="A253" s="633"/>
      <c r="B253" s="630"/>
      <c r="C253" s="622"/>
      <c r="D253" s="625"/>
      <c r="E253" s="133" t="s">
        <v>31</v>
      </c>
      <c r="F253" s="589">
        <f>IFERROR(VLOOKUP($B252,اسماء,18,0),0)</f>
        <v>0</v>
      </c>
      <c r="G253" s="592"/>
      <c r="H253" s="608">
        <f>IFERROR(VLOOKUP($B252,اسماء,19,0),0)</f>
        <v>0</v>
      </c>
      <c r="I253" s="609"/>
      <c r="J253" s="589">
        <f>IFERROR(VLOOKUP($B252,اسماء,20,0),0)</f>
        <v>0</v>
      </c>
      <c r="K253" s="592"/>
      <c r="L253" s="589">
        <f>IFERROR(VLOOKUP($B252,اسماء,21,0),0)</f>
        <v>0</v>
      </c>
      <c r="M253" s="590"/>
      <c r="N253" s="589">
        <f>IFERROR(VLOOKUP($B252,اسماء,22,0),0)</f>
        <v>0</v>
      </c>
      <c r="O253" s="590"/>
      <c r="P253" s="589">
        <f>IFERROR(VLOOKUP($B252,اسماء,23,0),0)</f>
        <v>0</v>
      </c>
      <c r="Q253" s="609"/>
      <c r="R253" s="603">
        <f>IFERROR(VLOOKUP($B252,اسماء,24,0),0)</f>
        <v>0</v>
      </c>
      <c r="S253" s="592"/>
      <c r="T253" s="589">
        <f>IFERROR(VLOOKUP($B252,اسماء,25,0),0)</f>
        <v>0</v>
      </c>
      <c r="U253" s="592"/>
      <c r="V253" s="263">
        <f t="shared" si="735"/>
        <v>0</v>
      </c>
      <c r="W253" s="373">
        <f>IFERROR(VLOOKUP($B252,اسماء,27,0),0)</f>
        <v>0</v>
      </c>
      <c r="X253" s="373">
        <f>IFERROR(VLOOKUP($B252,اسماء,28,0),0)</f>
        <v>0</v>
      </c>
      <c r="Y253" s="596"/>
      <c r="Z253" s="22" t="str">
        <f>LOOKUP(V253,$AF$6:$AG$10)</f>
        <v>ضعيف</v>
      </c>
      <c r="AA253" s="657"/>
      <c r="AB253" s="72"/>
      <c r="AC253" s="654"/>
      <c r="AN253" s="607"/>
      <c r="AO253" s="607"/>
      <c r="AP253" s="613"/>
      <c r="AQ253" s="612"/>
      <c r="AR253" s="611"/>
      <c r="AS253" s="612"/>
    </row>
    <row r="254" spans="1:45" ht="15" customHeight="1" x14ac:dyDescent="0.25">
      <c r="A254" s="633"/>
      <c r="B254" s="630"/>
      <c r="C254" s="622"/>
      <c r="D254" s="625"/>
      <c r="E254" s="133" t="s">
        <v>32</v>
      </c>
      <c r="F254" s="589">
        <f>IFERROR(VLOOKUP($B252,اسماء,31,0),0)</f>
        <v>0</v>
      </c>
      <c r="G254" s="592"/>
      <c r="H254" s="608">
        <f>IFERROR(VLOOKUP($B252,اسماء,32,0),0)</f>
        <v>0</v>
      </c>
      <c r="I254" s="609"/>
      <c r="J254" s="589">
        <f>IFERROR(VLOOKUP($B252,اسماء,33,0),0)</f>
        <v>0</v>
      </c>
      <c r="K254" s="592"/>
      <c r="L254" s="589">
        <f>IFERROR(VLOOKUP($B252,اسماء,34,0),0)</f>
        <v>0</v>
      </c>
      <c r="M254" s="590"/>
      <c r="N254" s="589">
        <f>IFERROR(VLOOKUP($B252,اسماء,35,0),0)</f>
        <v>0</v>
      </c>
      <c r="O254" s="590"/>
      <c r="P254" s="589">
        <f>IFERROR(VLOOKUP($B252,اسماء,36,0),0)</f>
        <v>0</v>
      </c>
      <c r="Q254" s="609"/>
      <c r="R254" s="603">
        <f>IFERROR(VLOOKUP($B252,اسماء,37,0),0)</f>
        <v>0</v>
      </c>
      <c r="S254" s="592"/>
      <c r="T254" s="589">
        <f>IFERROR(VLOOKUP($B252,اسماء,38,0),0)</f>
        <v>0</v>
      </c>
      <c r="U254" s="592"/>
      <c r="V254" s="263">
        <f t="shared" si="735"/>
        <v>0</v>
      </c>
      <c r="W254" s="373">
        <f>IFERROR(VLOOKUP($B252,اسماء,40,0),0)</f>
        <v>0</v>
      </c>
      <c r="X254" s="373">
        <f>IFERROR(VLOOKUP($B252,اسماء,41,0),0)</f>
        <v>0</v>
      </c>
      <c r="Y254" s="596"/>
      <c r="Z254" s="22" t="str">
        <f>LOOKUP(V254,$AI$6:$AJ$10)</f>
        <v>ضعيف</v>
      </c>
      <c r="AA254" s="657"/>
      <c r="AB254" s="10"/>
      <c r="AC254" s="654"/>
      <c r="AN254" s="607"/>
      <c r="AO254" s="607"/>
      <c r="AP254" s="613"/>
      <c r="AQ254" s="612"/>
      <c r="AR254" s="611"/>
      <c r="AS254" s="612"/>
    </row>
    <row r="255" spans="1:45" ht="15" customHeight="1" thickBot="1" x14ac:dyDescent="0.3">
      <c r="A255" s="634"/>
      <c r="B255" s="631"/>
      <c r="C255" s="623"/>
      <c r="D255" s="626"/>
      <c r="E255" s="127" t="s">
        <v>33</v>
      </c>
      <c r="F255" s="585">
        <f t="shared" ref="F255" si="738">SUM(F252:G254)</f>
        <v>0</v>
      </c>
      <c r="G255" s="593"/>
      <c r="H255" s="604">
        <f t="shared" ref="H255" si="739">SUM(H252:I254)</f>
        <v>0</v>
      </c>
      <c r="I255" s="601"/>
      <c r="J255" s="585">
        <f t="shared" ref="J255" si="740">SUM(J252:K254)</f>
        <v>0</v>
      </c>
      <c r="K255" s="593"/>
      <c r="L255" s="585">
        <f t="shared" ref="L255" si="741">SUM(L252:M254)</f>
        <v>0</v>
      </c>
      <c r="M255" s="586"/>
      <c r="N255" s="585">
        <f t="shared" ref="N255" si="742">SUM(N252:O254)</f>
        <v>0</v>
      </c>
      <c r="O255" s="586"/>
      <c r="P255" s="585">
        <f t="shared" ref="P255" si="743">SUM(P252:Q254)</f>
        <v>0</v>
      </c>
      <c r="Q255" s="601"/>
      <c r="R255" s="602">
        <f t="shared" ref="R255" si="744">SUM(R252:S254)</f>
        <v>0</v>
      </c>
      <c r="S255" s="593"/>
      <c r="T255" s="585">
        <f t="shared" ref="T255" si="745">SUM(T252:U254)</f>
        <v>0</v>
      </c>
      <c r="U255" s="593"/>
      <c r="V255" s="210">
        <f t="shared" ref="V255" si="746">IF(AND(F255&gt;=$G$8,H255&gt;=$I$8,L255&gt;=$M$8,P255&gt;=$Q$8,R255&gt;=$S$8,T255&gt;=$U$8),SUM(F255:U255),0)</f>
        <v>0</v>
      </c>
      <c r="W255" s="264"/>
      <c r="X255" s="97"/>
      <c r="Y255" s="597"/>
      <c r="Z255" s="91" t="str">
        <f>LOOKUP(V255,$AL$6:$AM$10)</f>
        <v>ضعيف</v>
      </c>
      <c r="AA255" s="658"/>
      <c r="AB255" s="72"/>
      <c r="AC255" s="655"/>
      <c r="AN255" s="607"/>
      <c r="AO255" s="607"/>
      <c r="AP255" s="613"/>
      <c r="AQ255" s="612"/>
      <c r="AR255" s="611"/>
      <c r="AS255" s="612"/>
    </row>
    <row r="256" spans="1:45" ht="15" customHeight="1" thickBot="1" x14ac:dyDescent="0.3">
      <c r="A256" s="632">
        <v>55</v>
      </c>
      <c r="B256" s="629">
        <f>VLOOKUP(A256,مسلسل,2,0)</f>
        <v>0</v>
      </c>
      <c r="C256" s="621" t="str">
        <f>IFERROR(VLOOKUP(B256,اسماء,2,0),"")</f>
        <v/>
      </c>
      <c r="D256" s="624" t="str">
        <f>IFERROR(VLOOKUP($B256,اسماء,3,0),"")</f>
        <v/>
      </c>
      <c r="E256" s="132" t="s">
        <v>30</v>
      </c>
      <c r="F256" s="627">
        <f>IFERROR(VLOOKUP($B256,اسماء,5,0),0)</f>
        <v>0</v>
      </c>
      <c r="G256" s="606"/>
      <c r="H256" s="628">
        <f>IFERROR(VLOOKUP($B256,اسماء,6,0),0)</f>
        <v>0</v>
      </c>
      <c r="I256" s="605"/>
      <c r="J256" s="587">
        <f>IFERROR(VLOOKUP($B256,اسماء,7,0),0)</f>
        <v>0</v>
      </c>
      <c r="K256" s="591"/>
      <c r="L256" s="587">
        <f>IFERROR(VLOOKUP($B256,اسماء,8,0),0)</f>
        <v>0</v>
      </c>
      <c r="M256" s="588"/>
      <c r="N256" s="587">
        <f>IFERROR(VLOOKUP($B256,اسماء,9,0),0)</f>
        <v>0</v>
      </c>
      <c r="O256" s="605"/>
      <c r="P256" s="587">
        <f>IFERROR(VLOOKUP($B256,اسماء,10,0),0)</f>
        <v>0</v>
      </c>
      <c r="Q256" s="605"/>
      <c r="R256" s="606">
        <f>IFERROR(VLOOKUP($B256,اسماء,11,0),0)</f>
        <v>0</v>
      </c>
      <c r="S256" s="591"/>
      <c r="T256" s="587">
        <f>IFERROR(VLOOKUP($B256,اسماء,12,0),0)</f>
        <v>0</v>
      </c>
      <c r="U256" s="591"/>
      <c r="V256" s="263">
        <f t="shared" ref="V256:V258" si="747">SUM(F256:U256)</f>
        <v>0</v>
      </c>
      <c r="W256" s="373">
        <f>IFERROR(VLOOKUP($B256,اسماء,14,0),0)</f>
        <v>0</v>
      </c>
      <c r="X256" s="373">
        <f>IFERROR(VLOOKUP($B256,اسماء,15,0),0)</f>
        <v>0</v>
      </c>
      <c r="Y256" s="595" t="str">
        <f t="shared" ref="Y256" si="748">IF(AC256="غائب","راسب",IF(AND(F259&gt;=$G$8,H259&gt;=$I$8,J259&gt;=$K$8,L259&gt;=$M$8,N259&gt;=$O$8,P259&gt;=$Q$8,R259&gt;=$S$8,T259&gt;=$U$8),"ناجح","له دور ثان"))</f>
        <v>له دور ثان</v>
      </c>
      <c r="Z256" s="21" t="str">
        <f t="shared" ref="Z256:Z257" si="749">LOOKUP(V256,$AF$6:$AG$10)</f>
        <v>ضعيف</v>
      </c>
      <c r="AA256" s="656">
        <f t="shared" ref="AA256" si="750">V259/$AF$3</f>
        <v>0</v>
      </c>
      <c r="AB256" s="72"/>
      <c r="AC256" s="653" t="str">
        <f>IFERROR(VLOOKUP($B256,اسماء,54,0),"")</f>
        <v/>
      </c>
      <c r="AN256" s="607" t="str">
        <f t="shared" ref="AN256" si="751">IF(V259=0,"",V259/1+ROW()*0.00001)</f>
        <v/>
      </c>
      <c r="AO256" s="607">
        <f>B256</f>
        <v>0</v>
      </c>
      <c r="AP256" s="613"/>
      <c r="AQ256" s="612">
        <v>55</v>
      </c>
      <c r="AR256" s="611" t="str">
        <f>IFERROR(LARGE($AN$10:$AN$1006,AQ256),"")</f>
        <v/>
      </c>
      <c r="AS256" s="612" t="str">
        <f>VLOOKUP(AR256,$AN$10:$AO$1116,2,0)</f>
        <v>أحمد نورالدين أحمد الذيب</v>
      </c>
    </row>
    <row r="257" spans="1:45" ht="15" customHeight="1" thickBot="1" x14ac:dyDescent="0.3">
      <c r="A257" s="633"/>
      <c r="B257" s="630"/>
      <c r="C257" s="622"/>
      <c r="D257" s="625"/>
      <c r="E257" s="133" t="s">
        <v>31</v>
      </c>
      <c r="F257" s="589">
        <f>IFERROR(VLOOKUP($B256,اسماء,18,0),0)</f>
        <v>0</v>
      </c>
      <c r="G257" s="592"/>
      <c r="H257" s="608">
        <f>IFERROR(VLOOKUP($B256,اسماء,19,0),0)</f>
        <v>0</v>
      </c>
      <c r="I257" s="609"/>
      <c r="J257" s="589">
        <f>IFERROR(VLOOKUP($B256,اسماء,20,0),0)</f>
        <v>0</v>
      </c>
      <c r="K257" s="592"/>
      <c r="L257" s="589">
        <f>IFERROR(VLOOKUP($B256,اسماء,21,0),0)</f>
        <v>0</v>
      </c>
      <c r="M257" s="590"/>
      <c r="N257" s="589">
        <f>IFERROR(VLOOKUP($B256,اسماء,22,0),0)</f>
        <v>0</v>
      </c>
      <c r="O257" s="590"/>
      <c r="P257" s="589">
        <f>IFERROR(VLOOKUP($B256,اسماء,23,0),0)</f>
        <v>0</v>
      </c>
      <c r="Q257" s="609"/>
      <c r="R257" s="603">
        <f>IFERROR(VLOOKUP($B256,اسماء,24,0),0)</f>
        <v>0</v>
      </c>
      <c r="S257" s="592"/>
      <c r="T257" s="589">
        <f>IFERROR(VLOOKUP($B256,اسماء,25,0),0)</f>
        <v>0</v>
      </c>
      <c r="U257" s="592"/>
      <c r="V257" s="263">
        <f t="shared" si="747"/>
        <v>0</v>
      </c>
      <c r="W257" s="373">
        <f>IFERROR(VLOOKUP($B256,اسماء,27,0),0)</f>
        <v>0</v>
      </c>
      <c r="X257" s="373">
        <f>IFERROR(VLOOKUP($B256,اسماء,28,0),0)</f>
        <v>0</v>
      </c>
      <c r="Y257" s="596"/>
      <c r="Z257" s="22" t="str">
        <f t="shared" si="749"/>
        <v>ضعيف</v>
      </c>
      <c r="AA257" s="657"/>
      <c r="AB257" s="10"/>
      <c r="AC257" s="654"/>
      <c r="AN257" s="607"/>
      <c r="AO257" s="607"/>
      <c r="AP257" s="613"/>
      <c r="AQ257" s="612"/>
      <c r="AR257" s="611"/>
      <c r="AS257" s="612"/>
    </row>
    <row r="258" spans="1:45" ht="15" customHeight="1" x14ac:dyDescent="0.25">
      <c r="A258" s="633"/>
      <c r="B258" s="630"/>
      <c r="C258" s="622"/>
      <c r="D258" s="625"/>
      <c r="E258" s="133" t="s">
        <v>32</v>
      </c>
      <c r="F258" s="589">
        <f>IFERROR(VLOOKUP($B256,اسماء,31,0),0)</f>
        <v>0</v>
      </c>
      <c r="G258" s="592"/>
      <c r="H258" s="608">
        <f>IFERROR(VLOOKUP($B256,اسماء,32,0),0)</f>
        <v>0</v>
      </c>
      <c r="I258" s="609"/>
      <c r="J258" s="589">
        <f>IFERROR(VLOOKUP($B256,اسماء,33,0),0)</f>
        <v>0</v>
      </c>
      <c r="K258" s="592"/>
      <c r="L258" s="589">
        <f>IFERROR(VLOOKUP($B256,اسماء,34,0),0)</f>
        <v>0</v>
      </c>
      <c r="M258" s="590"/>
      <c r="N258" s="589">
        <f>IFERROR(VLOOKUP($B256,اسماء,35,0),0)</f>
        <v>0</v>
      </c>
      <c r="O258" s="590"/>
      <c r="P258" s="589">
        <f>IFERROR(VLOOKUP($B256,اسماء,36,0),0)</f>
        <v>0</v>
      </c>
      <c r="Q258" s="609"/>
      <c r="R258" s="603">
        <f>IFERROR(VLOOKUP($B256,اسماء,37,0),0)</f>
        <v>0</v>
      </c>
      <c r="S258" s="592"/>
      <c r="T258" s="589">
        <f>IFERROR(VLOOKUP($B256,اسماء,38,0),0)</f>
        <v>0</v>
      </c>
      <c r="U258" s="592"/>
      <c r="V258" s="263">
        <f t="shared" si="747"/>
        <v>0</v>
      </c>
      <c r="W258" s="373">
        <f>IFERROR(VLOOKUP($B256,اسماء,40,0),0)</f>
        <v>0</v>
      </c>
      <c r="X258" s="373">
        <f>IFERROR(VLOOKUP($B256,اسماء,41,0),0)</f>
        <v>0</v>
      </c>
      <c r="Y258" s="596"/>
      <c r="Z258" s="22" t="str">
        <f t="shared" ref="Z258" si="752">LOOKUP(V258,$AI$6:$AJ$10)</f>
        <v>ضعيف</v>
      </c>
      <c r="AA258" s="657"/>
      <c r="AB258" s="72"/>
      <c r="AC258" s="654"/>
      <c r="AN258" s="607"/>
      <c r="AO258" s="607"/>
      <c r="AP258" s="613"/>
      <c r="AQ258" s="612"/>
      <c r="AR258" s="611"/>
      <c r="AS258" s="612"/>
    </row>
    <row r="259" spans="1:45" ht="15" customHeight="1" thickBot="1" x14ac:dyDescent="0.3">
      <c r="A259" s="634"/>
      <c r="B259" s="631"/>
      <c r="C259" s="623"/>
      <c r="D259" s="626"/>
      <c r="E259" s="127" t="s">
        <v>33</v>
      </c>
      <c r="F259" s="585">
        <f t="shared" ref="F259" si="753">SUM(F256:G258)</f>
        <v>0</v>
      </c>
      <c r="G259" s="593"/>
      <c r="H259" s="604">
        <f t="shared" ref="H259" si="754">SUM(H256:I258)</f>
        <v>0</v>
      </c>
      <c r="I259" s="601"/>
      <c r="J259" s="585">
        <f t="shared" ref="J259" si="755">SUM(J256:K258)</f>
        <v>0</v>
      </c>
      <c r="K259" s="593"/>
      <c r="L259" s="585">
        <f t="shared" ref="L259" si="756">SUM(L256:M258)</f>
        <v>0</v>
      </c>
      <c r="M259" s="586"/>
      <c r="N259" s="585">
        <f t="shared" ref="N259" si="757">SUM(N256:O258)</f>
        <v>0</v>
      </c>
      <c r="O259" s="586"/>
      <c r="P259" s="585">
        <f t="shared" ref="P259" si="758">SUM(P256:Q258)</f>
        <v>0</v>
      </c>
      <c r="Q259" s="601"/>
      <c r="R259" s="602">
        <f t="shared" ref="R259" si="759">SUM(R256:S258)</f>
        <v>0</v>
      </c>
      <c r="S259" s="593"/>
      <c r="T259" s="585">
        <f t="shared" ref="T259" si="760">SUM(T256:U258)</f>
        <v>0</v>
      </c>
      <c r="U259" s="593"/>
      <c r="V259" s="210">
        <f t="shared" ref="V259" si="761">IF(AND(F259&gt;=$G$8,H259&gt;=$I$8,L259&gt;=$M$8,P259&gt;=$Q$8,R259&gt;=$S$8,T259&gt;=$U$8),SUM(F259:U259),0)</f>
        <v>0</v>
      </c>
      <c r="W259" s="264"/>
      <c r="X259" s="97"/>
      <c r="Y259" s="597"/>
      <c r="Z259" s="91" t="str">
        <f t="shared" ref="Z259" si="762">LOOKUP(V259,$AL$6:$AM$10)</f>
        <v>ضعيف</v>
      </c>
      <c r="AA259" s="658"/>
      <c r="AB259" s="72"/>
      <c r="AC259" s="655"/>
      <c r="AN259" s="607"/>
      <c r="AO259" s="607"/>
      <c r="AP259" s="613"/>
      <c r="AQ259" s="612"/>
      <c r="AR259" s="611"/>
      <c r="AS259" s="612"/>
    </row>
    <row r="260" spans="1:45" ht="15" customHeight="1" thickBot="1" x14ac:dyDescent="0.3">
      <c r="A260" s="632">
        <v>56</v>
      </c>
      <c r="B260" s="629">
        <f>VLOOKUP(A260,مسلسل,2,0)</f>
        <v>0</v>
      </c>
      <c r="C260" s="621" t="str">
        <f>IFERROR(VLOOKUP(B260,اسماء,2,0),"")</f>
        <v/>
      </c>
      <c r="D260" s="624" t="str">
        <f>IFERROR(VLOOKUP($B260,اسماء,3,0),"")</f>
        <v/>
      </c>
      <c r="E260" s="132" t="s">
        <v>30</v>
      </c>
      <c r="F260" s="627">
        <f>IFERROR(VLOOKUP($B260,اسماء,5,0),0)</f>
        <v>0</v>
      </c>
      <c r="G260" s="606"/>
      <c r="H260" s="628">
        <f>IFERROR(VLOOKUP($B260,اسماء,6,0),0)</f>
        <v>0</v>
      </c>
      <c r="I260" s="605"/>
      <c r="J260" s="587">
        <f>IFERROR(VLOOKUP($B260,اسماء,7,0),0)</f>
        <v>0</v>
      </c>
      <c r="K260" s="591"/>
      <c r="L260" s="587">
        <f>IFERROR(VLOOKUP($B260,اسماء,8,0),0)</f>
        <v>0</v>
      </c>
      <c r="M260" s="588"/>
      <c r="N260" s="587">
        <f>IFERROR(VLOOKUP($B260,اسماء,9,0),0)</f>
        <v>0</v>
      </c>
      <c r="O260" s="605"/>
      <c r="P260" s="587">
        <f>IFERROR(VLOOKUP($B260,اسماء,10,0),0)</f>
        <v>0</v>
      </c>
      <c r="Q260" s="605"/>
      <c r="R260" s="606">
        <f>IFERROR(VLOOKUP($B260,اسماء,11,0),0)</f>
        <v>0</v>
      </c>
      <c r="S260" s="591"/>
      <c r="T260" s="587">
        <f>IFERROR(VLOOKUP($B260,اسماء,12,0),0)</f>
        <v>0</v>
      </c>
      <c r="U260" s="591"/>
      <c r="V260" s="263">
        <f t="shared" ref="V260:V262" si="763">SUM(F260:U260)</f>
        <v>0</v>
      </c>
      <c r="W260" s="373">
        <f>IFERROR(VLOOKUP($B260,اسماء,14,0),0)</f>
        <v>0</v>
      </c>
      <c r="X260" s="373">
        <f>IFERROR(VLOOKUP($B260,اسماء,15,0),0)</f>
        <v>0</v>
      </c>
      <c r="Y260" s="595" t="str">
        <f t="shared" ref="Y260" si="764">IF(AC260="غائب","راسب",IF(AND(F263&gt;=$G$8,H263&gt;=$I$8,J263&gt;=$K$8,L263&gt;=$M$8,N263&gt;=$O$8,P263&gt;=$Q$8,R263&gt;=$S$8,T263&gt;=$U$8),"ناجح","له دور ثان"))</f>
        <v>له دور ثان</v>
      </c>
      <c r="Z260" s="21" t="str">
        <f t="shared" ref="Z260:Z261" si="765">LOOKUP(V260,$AF$6:$AG$10)</f>
        <v>ضعيف</v>
      </c>
      <c r="AA260" s="656">
        <f t="shared" ref="AA260" si="766">V263/$AF$3</f>
        <v>0</v>
      </c>
      <c r="AB260" s="10"/>
      <c r="AC260" s="653" t="str">
        <f>IFERROR(VLOOKUP($B260,اسماء,54,0),"")</f>
        <v/>
      </c>
      <c r="AN260" s="607" t="str">
        <f t="shared" ref="AN260" si="767">IF(V263=0,"",V263/1+ROW()*0.00001)</f>
        <v/>
      </c>
      <c r="AO260" s="607">
        <f>B260</f>
        <v>0</v>
      </c>
      <c r="AP260" s="613"/>
      <c r="AQ260" s="612">
        <v>56</v>
      </c>
      <c r="AR260" s="611" t="str">
        <f>IFERROR(LARGE($AN$10:$AN$1006,AQ260),"")</f>
        <v/>
      </c>
      <c r="AS260" s="612" t="str">
        <f>VLOOKUP(AR260,$AN$10:$AO$1116,2,0)</f>
        <v>أحمد نورالدين أحمد الذيب</v>
      </c>
    </row>
    <row r="261" spans="1:45" ht="15" customHeight="1" thickBot="1" x14ac:dyDescent="0.3">
      <c r="A261" s="633"/>
      <c r="B261" s="630"/>
      <c r="C261" s="622"/>
      <c r="D261" s="625"/>
      <c r="E261" s="133" t="s">
        <v>31</v>
      </c>
      <c r="F261" s="589">
        <f>IFERROR(VLOOKUP($B260,اسماء,18,0),0)</f>
        <v>0</v>
      </c>
      <c r="G261" s="592"/>
      <c r="H261" s="608">
        <f>IFERROR(VLOOKUP($B260,اسماء,19,0),0)</f>
        <v>0</v>
      </c>
      <c r="I261" s="609"/>
      <c r="J261" s="589">
        <f>IFERROR(VLOOKUP($B260,اسماء,20,0),0)</f>
        <v>0</v>
      </c>
      <c r="K261" s="592"/>
      <c r="L261" s="589">
        <f>IFERROR(VLOOKUP($B260,اسماء,21,0),0)</f>
        <v>0</v>
      </c>
      <c r="M261" s="590"/>
      <c r="N261" s="589">
        <f>IFERROR(VLOOKUP($B260,اسماء,22,0),0)</f>
        <v>0</v>
      </c>
      <c r="O261" s="590"/>
      <c r="P261" s="589">
        <f>IFERROR(VLOOKUP($B260,اسماء,23,0),0)</f>
        <v>0</v>
      </c>
      <c r="Q261" s="609"/>
      <c r="R261" s="603">
        <f>IFERROR(VLOOKUP($B260,اسماء,24,0),0)</f>
        <v>0</v>
      </c>
      <c r="S261" s="592"/>
      <c r="T261" s="589">
        <f>IFERROR(VLOOKUP($B260,اسماء,25,0),0)</f>
        <v>0</v>
      </c>
      <c r="U261" s="592"/>
      <c r="V261" s="263">
        <f t="shared" si="763"/>
        <v>0</v>
      </c>
      <c r="W261" s="373">
        <f>IFERROR(VLOOKUP($B260,اسماء,27,0),0)</f>
        <v>0</v>
      </c>
      <c r="X261" s="373">
        <f>IFERROR(VLOOKUP($B260,اسماء,28,0),0)</f>
        <v>0</v>
      </c>
      <c r="Y261" s="596"/>
      <c r="Z261" s="22" t="str">
        <f t="shared" si="765"/>
        <v>ضعيف</v>
      </c>
      <c r="AA261" s="657"/>
      <c r="AB261" s="72"/>
      <c r="AC261" s="654"/>
      <c r="AN261" s="607"/>
      <c r="AO261" s="607"/>
      <c r="AP261" s="613"/>
      <c r="AQ261" s="612"/>
      <c r="AR261" s="611"/>
      <c r="AS261" s="612"/>
    </row>
    <row r="262" spans="1:45" ht="15" customHeight="1" x14ac:dyDescent="0.25">
      <c r="A262" s="633"/>
      <c r="B262" s="630"/>
      <c r="C262" s="622"/>
      <c r="D262" s="625"/>
      <c r="E262" s="133" t="s">
        <v>32</v>
      </c>
      <c r="F262" s="589">
        <f>IFERROR(VLOOKUP($B260,اسماء,31,0),0)</f>
        <v>0</v>
      </c>
      <c r="G262" s="592"/>
      <c r="H262" s="608">
        <f>IFERROR(VLOOKUP($B260,اسماء,32,0),0)</f>
        <v>0</v>
      </c>
      <c r="I262" s="609"/>
      <c r="J262" s="589">
        <f>IFERROR(VLOOKUP($B260,اسماء,33,0),0)</f>
        <v>0</v>
      </c>
      <c r="K262" s="592"/>
      <c r="L262" s="589">
        <f>IFERROR(VLOOKUP($B260,اسماء,34,0),0)</f>
        <v>0</v>
      </c>
      <c r="M262" s="590"/>
      <c r="N262" s="589">
        <f>IFERROR(VLOOKUP($B260,اسماء,35,0),0)</f>
        <v>0</v>
      </c>
      <c r="O262" s="590"/>
      <c r="P262" s="589">
        <f>IFERROR(VLOOKUP($B260,اسماء,36,0),0)</f>
        <v>0</v>
      </c>
      <c r="Q262" s="609"/>
      <c r="R262" s="603">
        <f>IFERROR(VLOOKUP($B260,اسماء,37,0),0)</f>
        <v>0</v>
      </c>
      <c r="S262" s="592"/>
      <c r="T262" s="589">
        <f>IFERROR(VLOOKUP($B260,اسماء,38,0),0)</f>
        <v>0</v>
      </c>
      <c r="U262" s="592"/>
      <c r="V262" s="263">
        <f t="shared" si="763"/>
        <v>0</v>
      </c>
      <c r="W262" s="373">
        <f>IFERROR(VLOOKUP($B260,اسماء,40,0),0)</f>
        <v>0</v>
      </c>
      <c r="X262" s="373">
        <f>IFERROR(VLOOKUP($B260,اسماء,41,0),0)</f>
        <v>0</v>
      </c>
      <c r="Y262" s="596"/>
      <c r="Z262" s="22" t="str">
        <f t="shared" ref="Z262" si="768">LOOKUP(V262,$AI$6:$AJ$10)</f>
        <v>ضعيف</v>
      </c>
      <c r="AA262" s="657"/>
      <c r="AB262" s="72"/>
      <c r="AC262" s="654"/>
      <c r="AN262" s="607"/>
      <c r="AO262" s="607"/>
      <c r="AP262" s="613"/>
      <c r="AQ262" s="612"/>
      <c r="AR262" s="611"/>
      <c r="AS262" s="612"/>
    </row>
    <row r="263" spans="1:45" ht="15" customHeight="1" thickBot="1" x14ac:dyDescent="0.3">
      <c r="A263" s="634"/>
      <c r="B263" s="631"/>
      <c r="C263" s="623"/>
      <c r="D263" s="626"/>
      <c r="E263" s="127" t="s">
        <v>33</v>
      </c>
      <c r="F263" s="585">
        <f t="shared" ref="F263" si="769">SUM(F260:G262)</f>
        <v>0</v>
      </c>
      <c r="G263" s="593"/>
      <c r="H263" s="604">
        <f t="shared" ref="H263" si="770">SUM(H260:I262)</f>
        <v>0</v>
      </c>
      <c r="I263" s="601"/>
      <c r="J263" s="585">
        <f t="shared" ref="J263" si="771">SUM(J260:K262)</f>
        <v>0</v>
      </c>
      <c r="K263" s="593"/>
      <c r="L263" s="585">
        <f t="shared" ref="L263" si="772">SUM(L260:M262)</f>
        <v>0</v>
      </c>
      <c r="M263" s="586"/>
      <c r="N263" s="585">
        <f t="shared" ref="N263" si="773">SUM(N260:O262)</f>
        <v>0</v>
      </c>
      <c r="O263" s="586"/>
      <c r="P263" s="585">
        <f t="shared" ref="P263" si="774">SUM(P260:Q262)</f>
        <v>0</v>
      </c>
      <c r="Q263" s="601"/>
      <c r="R263" s="602">
        <f t="shared" ref="R263" si="775">SUM(R260:S262)</f>
        <v>0</v>
      </c>
      <c r="S263" s="593"/>
      <c r="T263" s="585">
        <f t="shared" ref="T263" si="776">SUM(T260:U262)</f>
        <v>0</v>
      </c>
      <c r="U263" s="593"/>
      <c r="V263" s="210">
        <f t="shared" ref="V263" si="777">IF(AND(F263&gt;=$G$8,H263&gt;=$I$8,L263&gt;=$M$8,P263&gt;=$Q$8,R263&gt;=$S$8,T263&gt;=$U$8),SUM(F263:U263),0)</f>
        <v>0</v>
      </c>
      <c r="W263" s="264"/>
      <c r="X263" s="97"/>
      <c r="Y263" s="597"/>
      <c r="Z263" s="91" t="str">
        <f t="shared" ref="Z263" si="778">LOOKUP(V263,$AL$6:$AM$10)</f>
        <v>ضعيف</v>
      </c>
      <c r="AA263" s="658"/>
      <c r="AB263" s="10"/>
      <c r="AC263" s="655"/>
      <c r="AN263" s="607"/>
      <c r="AO263" s="607"/>
      <c r="AP263" s="613"/>
      <c r="AQ263" s="612"/>
      <c r="AR263" s="611"/>
      <c r="AS263" s="612"/>
    </row>
    <row r="264" spans="1:45" ht="15" customHeight="1" thickBot="1" x14ac:dyDescent="0.3">
      <c r="A264" s="632">
        <v>57</v>
      </c>
      <c r="B264" s="629">
        <f>VLOOKUP(A264,مسلسل,2,0)</f>
        <v>0</v>
      </c>
      <c r="C264" s="621" t="str">
        <f>IFERROR(VLOOKUP(B264,اسماء,2,0),"")</f>
        <v/>
      </c>
      <c r="D264" s="624" t="str">
        <f>IFERROR(VLOOKUP($B264,اسماء,3,0),"")</f>
        <v/>
      </c>
      <c r="E264" s="132" t="s">
        <v>30</v>
      </c>
      <c r="F264" s="627">
        <f>IFERROR(VLOOKUP($B264,اسماء,5,0),0)</f>
        <v>0</v>
      </c>
      <c r="G264" s="606"/>
      <c r="H264" s="628">
        <f>IFERROR(VLOOKUP($B264,اسماء,6,0),0)</f>
        <v>0</v>
      </c>
      <c r="I264" s="605"/>
      <c r="J264" s="587">
        <f>IFERROR(VLOOKUP($B264,اسماء,7,0),0)</f>
        <v>0</v>
      </c>
      <c r="K264" s="591"/>
      <c r="L264" s="587">
        <f>IFERROR(VLOOKUP($B264,اسماء,8,0),0)</f>
        <v>0</v>
      </c>
      <c r="M264" s="588"/>
      <c r="N264" s="587">
        <f>IFERROR(VLOOKUP($B264,اسماء,9,0),0)</f>
        <v>0</v>
      </c>
      <c r="O264" s="605"/>
      <c r="P264" s="587">
        <f>IFERROR(VLOOKUP($B264,اسماء,10,0),0)</f>
        <v>0</v>
      </c>
      <c r="Q264" s="605"/>
      <c r="R264" s="606">
        <f>IFERROR(VLOOKUP($B264,اسماء,11,0),0)</f>
        <v>0</v>
      </c>
      <c r="S264" s="591"/>
      <c r="T264" s="587">
        <f>IFERROR(VLOOKUP($B264,اسماء,12,0),0)</f>
        <v>0</v>
      </c>
      <c r="U264" s="591"/>
      <c r="V264" s="263">
        <f t="shared" ref="V264:V266" si="779">SUM(F264:U264)</f>
        <v>0</v>
      </c>
      <c r="W264" s="373">
        <f>IFERROR(VLOOKUP($B264,اسماء,14,0),0)</f>
        <v>0</v>
      </c>
      <c r="X264" s="373">
        <f>IFERROR(VLOOKUP($B264,اسماء,15,0),0)</f>
        <v>0</v>
      </c>
      <c r="Y264" s="595" t="str">
        <f t="shared" ref="Y264" si="780">IF(AC264="غائب","راسب",IF(AND(F267&gt;=$G$8,H267&gt;=$I$8,J267&gt;=$K$8,L267&gt;=$M$8,N267&gt;=$O$8,P267&gt;=$Q$8,R267&gt;=$S$8,T267&gt;=$U$8),"ناجح","له دور ثان"))</f>
        <v>له دور ثان</v>
      </c>
      <c r="Z264" s="21" t="str">
        <f t="shared" ref="Z264:Z265" si="781">LOOKUP(V264,$AF$6:$AG$10)</f>
        <v>ضعيف</v>
      </c>
      <c r="AA264" s="656">
        <f t="shared" ref="AA264" si="782">V267/$AF$3</f>
        <v>0</v>
      </c>
      <c r="AB264" s="72"/>
      <c r="AC264" s="653" t="str">
        <f>IFERROR(VLOOKUP($B264,اسماء,54,0),"")</f>
        <v/>
      </c>
      <c r="AN264" s="607" t="str">
        <f t="shared" ref="AN264" si="783">IF(V267=0,"",V267/1+ROW()*0.00001)</f>
        <v/>
      </c>
      <c r="AO264" s="607">
        <f>B264</f>
        <v>0</v>
      </c>
      <c r="AP264" s="613"/>
      <c r="AQ264" s="612">
        <v>57</v>
      </c>
      <c r="AR264" s="611" t="str">
        <f>IFERROR(LARGE($AN$10:$AN$1006,AQ264),"")</f>
        <v/>
      </c>
      <c r="AS264" s="612" t="str">
        <f>VLOOKUP(AR264,$AN$10:$AO$1116,2,0)</f>
        <v>أحمد نورالدين أحمد الذيب</v>
      </c>
    </row>
    <row r="265" spans="1:45" ht="15" customHeight="1" thickBot="1" x14ac:dyDescent="0.3">
      <c r="A265" s="633"/>
      <c r="B265" s="630"/>
      <c r="C265" s="622"/>
      <c r="D265" s="625"/>
      <c r="E265" s="133" t="s">
        <v>31</v>
      </c>
      <c r="F265" s="589">
        <f>IFERROR(VLOOKUP($B264,اسماء,18,0),0)</f>
        <v>0</v>
      </c>
      <c r="G265" s="592"/>
      <c r="H265" s="608">
        <f>IFERROR(VLOOKUP($B264,اسماء,19,0),0)</f>
        <v>0</v>
      </c>
      <c r="I265" s="609"/>
      <c r="J265" s="589">
        <f>IFERROR(VLOOKUP($B264,اسماء,20,0),0)</f>
        <v>0</v>
      </c>
      <c r="K265" s="592"/>
      <c r="L265" s="589">
        <f>IFERROR(VLOOKUP($B264,اسماء,21,0),0)</f>
        <v>0</v>
      </c>
      <c r="M265" s="590"/>
      <c r="N265" s="589">
        <f>IFERROR(VLOOKUP($B264,اسماء,22,0),0)</f>
        <v>0</v>
      </c>
      <c r="O265" s="590"/>
      <c r="P265" s="589">
        <f>IFERROR(VLOOKUP($B264,اسماء,23,0),0)</f>
        <v>0</v>
      </c>
      <c r="Q265" s="609"/>
      <c r="R265" s="603">
        <f>IFERROR(VLOOKUP($B264,اسماء,24,0),0)</f>
        <v>0</v>
      </c>
      <c r="S265" s="592"/>
      <c r="T265" s="589">
        <f>IFERROR(VLOOKUP($B264,اسماء,25,0),0)</f>
        <v>0</v>
      </c>
      <c r="U265" s="592"/>
      <c r="V265" s="263">
        <f t="shared" si="779"/>
        <v>0</v>
      </c>
      <c r="W265" s="373">
        <f>IFERROR(VLOOKUP($B264,اسماء,27,0),0)</f>
        <v>0</v>
      </c>
      <c r="X265" s="373">
        <f>IFERROR(VLOOKUP($B264,اسماء,28,0),0)</f>
        <v>0</v>
      </c>
      <c r="Y265" s="596"/>
      <c r="Z265" s="22" t="str">
        <f t="shared" si="781"/>
        <v>ضعيف</v>
      </c>
      <c r="AA265" s="657"/>
      <c r="AB265" s="72"/>
      <c r="AC265" s="654"/>
      <c r="AN265" s="607"/>
      <c r="AO265" s="607"/>
      <c r="AP265" s="613"/>
      <c r="AQ265" s="612"/>
      <c r="AR265" s="611"/>
      <c r="AS265" s="612"/>
    </row>
    <row r="266" spans="1:45" ht="15" customHeight="1" x14ac:dyDescent="0.25">
      <c r="A266" s="633"/>
      <c r="B266" s="630"/>
      <c r="C266" s="622"/>
      <c r="D266" s="625"/>
      <c r="E266" s="133" t="s">
        <v>32</v>
      </c>
      <c r="F266" s="589">
        <f>IFERROR(VLOOKUP($B264,اسماء,31,0),0)</f>
        <v>0</v>
      </c>
      <c r="G266" s="592"/>
      <c r="H266" s="608">
        <f>IFERROR(VLOOKUP($B264,اسماء,32,0),0)</f>
        <v>0</v>
      </c>
      <c r="I266" s="609"/>
      <c r="J266" s="589">
        <f>IFERROR(VLOOKUP($B264,اسماء,33,0),0)</f>
        <v>0</v>
      </c>
      <c r="K266" s="592"/>
      <c r="L266" s="589">
        <f>IFERROR(VLOOKUP($B264,اسماء,34,0),0)</f>
        <v>0</v>
      </c>
      <c r="M266" s="590"/>
      <c r="N266" s="589">
        <f>IFERROR(VLOOKUP($B264,اسماء,35,0),0)</f>
        <v>0</v>
      </c>
      <c r="O266" s="590"/>
      <c r="P266" s="589">
        <f>IFERROR(VLOOKUP($B264,اسماء,36,0),0)</f>
        <v>0</v>
      </c>
      <c r="Q266" s="609"/>
      <c r="R266" s="603">
        <f>IFERROR(VLOOKUP($B264,اسماء,37,0),0)</f>
        <v>0</v>
      </c>
      <c r="S266" s="592"/>
      <c r="T266" s="589">
        <f>IFERROR(VLOOKUP($B264,اسماء,38,0),0)</f>
        <v>0</v>
      </c>
      <c r="U266" s="592"/>
      <c r="V266" s="263">
        <f t="shared" si="779"/>
        <v>0</v>
      </c>
      <c r="W266" s="373">
        <f>IFERROR(VLOOKUP($B264,اسماء,40,0),0)</f>
        <v>0</v>
      </c>
      <c r="X266" s="373">
        <f>IFERROR(VLOOKUP($B264,اسماء,41,0),0)</f>
        <v>0</v>
      </c>
      <c r="Y266" s="596"/>
      <c r="Z266" s="22" t="str">
        <f t="shared" ref="Z266" si="784">LOOKUP(V266,$AI$6:$AJ$10)</f>
        <v>ضعيف</v>
      </c>
      <c r="AA266" s="657"/>
      <c r="AB266" s="10"/>
      <c r="AC266" s="654"/>
      <c r="AN266" s="607"/>
      <c r="AO266" s="607"/>
      <c r="AP266" s="613"/>
      <c r="AQ266" s="612"/>
      <c r="AR266" s="611"/>
      <c r="AS266" s="612"/>
    </row>
    <row r="267" spans="1:45" ht="15" customHeight="1" thickBot="1" x14ac:dyDescent="0.3">
      <c r="A267" s="634"/>
      <c r="B267" s="631"/>
      <c r="C267" s="623"/>
      <c r="D267" s="626"/>
      <c r="E267" s="127" t="s">
        <v>33</v>
      </c>
      <c r="F267" s="585">
        <f t="shared" ref="F267" si="785">SUM(F264:G266)</f>
        <v>0</v>
      </c>
      <c r="G267" s="593"/>
      <c r="H267" s="604">
        <f t="shared" ref="H267" si="786">SUM(H264:I266)</f>
        <v>0</v>
      </c>
      <c r="I267" s="601"/>
      <c r="J267" s="585">
        <f t="shared" ref="J267" si="787">SUM(J264:K266)</f>
        <v>0</v>
      </c>
      <c r="K267" s="593"/>
      <c r="L267" s="585">
        <f t="shared" ref="L267" si="788">SUM(L264:M266)</f>
        <v>0</v>
      </c>
      <c r="M267" s="586"/>
      <c r="N267" s="585">
        <f t="shared" ref="N267" si="789">SUM(N264:O266)</f>
        <v>0</v>
      </c>
      <c r="O267" s="586"/>
      <c r="P267" s="585">
        <f t="shared" ref="P267" si="790">SUM(P264:Q266)</f>
        <v>0</v>
      </c>
      <c r="Q267" s="601"/>
      <c r="R267" s="602">
        <f t="shared" ref="R267" si="791">SUM(R264:S266)</f>
        <v>0</v>
      </c>
      <c r="S267" s="593"/>
      <c r="T267" s="585">
        <f t="shared" ref="T267" si="792">SUM(T264:U266)</f>
        <v>0</v>
      </c>
      <c r="U267" s="593"/>
      <c r="V267" s="210">
        <f t="shared" ref="V267" si="793">IF(AND(F267&gt;=$G$8,H267&gt;=$I$8,L267&gt;=$M$8,P267&gt;=$Q$8,R267&gt;=$S$8,T267&gt;=$U$8),SUM(F267:U267),0)</f>
        <v>0</v>
      </c>
      <c r="W267" s="264"/>
      <c r="X267" s="97"/>
      <c r="Y267" s="597"/>
      <c r="Z267" s="91" t="str">
        <f t="shared" ref="Z267" si="794">LOOKUP(V267,$AL$6:$AM$10)</f>
        <v>ضعيف</v>
      </c>
      <c r="AA267" s="658"/>
      <c r="AB267" s="72"/>
      <c r="AC267" s="655"/>
      <c r="AN267" s="607"/>
      <c r="AO267" s="607"/>
      <c r="AP267" s="613"/>
      <c r="AQ267" s="612"/>
      <c r="AR267" s="611"/>
      <c r="AS267" s="612"/>
    </row>
    <row r="268" spans="1:45" ht="15" customHeight="1" thickBot="1" x14ac:dyDescent="0.3">
      <c r="A268" s="632">
        <v>58</v>
      </c>
      <c r="B268" s="629">
        <f>VLOOKUP(A268,مسلسل,2,0)</f>
        <v>0</v>
      </c>
      <c r="C268" s="621" t="str">
        <f>IFERROR(VLOOKUP(B268,اسماء,2,0),"")</f>
        <v/>
      </c>
      <c r="D268" s="624" t="str">
        <f>IFERROR(VLOOKUP($B268,اسماء,3,0),"")</f>
        <v/>
      </c>
      <c r="E268" s="132" t="s">
        <v>30</v>
      </c>
      <c r="F268" s="627">
        <f>IFERROR(VLOOKUP($B268,اسماء,5,0),0)</f>
        <v>0</v>
      </c>
      <c r="G268" s="606"/>
      <c r="H268" s="628">
        <f>IFERROR(VLOOKUP($B268,اسماء,6,0),0)</f>
        <v>0</v>
      </c>
      <c r="I268" s="605"/>
      <c r="J268" s="587">
        <f>IFERROR(VLOOKUP($B268,اسماء,7,0),0)</f>
        <v>0</v>
      </c>
      <c r="K268" s="591"/>
      <c r="L268" s="587">
        <f>IFERROR(VLOOKUP($B268,اسماء,8,0),0)</f>
        <v>0</v>
      </c>
      <c r="M268" s="588"/>
      <c r="N268" s="587">
        <f>IFERROR(VLOOKUP($B268,اسماء,9,0),0)</f>
        <v>0</v>
      </c>
      <c r="O268" s="605"/>
      <c r="P268" s="587">
        <f>IFERROR(VLOOKUP($B268,اسماء,10,0),0)</f>
        <v>0</v>
      </c>
      <c r="Q268" s="605"/>
      <c r="R268" s="606">
        <f>IFERROR(VLOOKUP($B268,اسماء,11,0),0)</f>
        <v>0</v>
      </c>
      <c r="S268" s="591"/>
      <c r="T268" s="587">
        <f>IFERROR(VLOOKUP($B268,اسماء,12,0),0)</f>
        <v>0</v>
      </c>
      <c r="U268" s="591"/>
      <c r="V268" s="263">
        <f t="shared" ref="V268:V270" si="795">SUM(F268:U268)</f>
        <v>0</v>
      </c>
      <c r="W268" s="373">
        <f>IFERROR(VLOOKUP($B268,اسماء,14,0),0)</f>
        <v>0</v>
      </c>
      <c r="X268" s="373">
        <f>IFERROR(VLOOKUP($B268,اسماء,15,0),0)</f>
        <v>0</v>
      </c>
      <c r="Y268" s="595" t="str">
        <f t="shared" ref="Y268" si="796">IF(AC268="غائب","راسب",IF(AND(F271&gt;=$G$8,H271&gt;=$I$8,J271&gt;=$K$8,L271&gt;=$M$8,N271&gt;=$O$8,P271&gt;=$Q$8,R271&gt;=$S$8,T271&gt;=$U$8),"ناجح","له دور ثان"))</f>
        <v>له دور ثان</v>
      </c>
      <c r="Z268" s="21" t="str">
        <f t="shared" ref="Z268:Z269" si="797">LOOKUP(V268,$AF$6:$AG$10)</f>
        <v>ضعيف</v>
      </c>
      <c r="AA268" s="656">
        <f t="shared" ref="AA268" si="798">V271/$AF$3</f>
        <v>0</v>
      </c>
      <c r="AB268" s="72"/>
      <c r="AC268" s="653" t="str">
        <f>IFERROR(VLOOKUP($B268,اسماء,54,0),"")</f>
        <v/>
      </c>
      <c r="AN268" s="607" t="str">
        <f t="shared" ref="AN268" si="799">IF(V271=0,"",V271/1+ROW()*0.00001)</f>
        <v/>
      </c>
      <c r="AO268" s="607">
        <f>B268</f>
        <v>0</v>
      </c>
      <c r="AP268" s="613"/>
      <c r="AQ268" s="612">
        <v>58</v>
      </c>
      <c r="AR268" s="611" t="str">
        <f>IFERROR(LARGE($AN$10:$AN$1006,AQ268),"")</f>
        <v/>
      </c>
      <c r="AS268" s="612" t="str">
        <f>VLOOKUP(AR268,$AN$10:$AO$1116,2,0)</f>
        <v>أحمد نورالدين أحمد الذيب</v>
      </c>
    </row>
    <row r="269" spans="1:45" ht="15" customHeight="1" thickBot="1" x14ac:dyDescent="0.3">
      <c r="A269" s="633"/>
      <c r="B269" s="630"/>
      <c r="C269" s="622"/>
      <c r="D269" s="625"/>
      <c r="E269" s="133" t="s">
        <v>31</v>
      </c>
      <c r="F269" s="589">
        <f>IFERROR(VLOOKUP($B268,اسماء,18,0),0)</f>
        <v>0</v>
      </c>
      <c r="G269" s="592"/>
      <c r="H269" s="608">
        <f>IFERROR(VLOOKUP($B268,اسماء,19,0),0)</f>
        <v>0</v>
      </c>
      <c r="I269" s="609"/>
      <c r="J269" s="589">
        <f>IFERROR(VLOOKUP($B268,اسماء,20,0),0)</f>
        <v>0</v>
      </c>
      <c r="K269" s="592"/>
      <c r="L269" s="589">
        <f>IFERROR(VLOOKUP($B268,اسماء,21,0),0)</f>
        <v>0</v>
      </c>
      <c r="M269" s="590"/>
      <c r="N269" s="589">
        <f>IFERROR(VLOOKUP($B268,اسماء,22,0),0)</f>
        <v>0</v>
      </c>
      <c r="O269" s="590"/>
      <c r="P269" s="589">
        <f>IFERROR(VLOOKUP($B268,اسماء,23,0),0)</f>
        <v>0</v>
      </c>
      <c r="Q269" s="609"/>
      <c r="R269" s="603">
        <f>IFERROR(VLOOKUP($B268,اسماء,24,0),0)</f>
        <v>0</v>
      </c>
      <c r="S269" s="592"/>
      <c r="T269" s="589">
        <f>IFERROR(VLOOKUP($B268,اسماء,25,0),0)</f>
        <v>0</v>
      </c>
      <c r="U269" s="592"/>
      <c r="V269" s="263">
        <f t="shared" si="795"/>
        <v>0</v>
      </c>
      <c r="W269" s="373">
        <f>IFERROR(VLOOKUP($B268,اسماء,27,0),0)</f>
        <v>0</v>
      </c>
      <c r="X269" s="373">
        <f>IFERROR(VLOOKUP($B268,اسماء,28,0),0)</f>
        <v>0</v>
      </c>
      <c r="Y269" s="596"/>
      <c r="Z269" s="22" t="str">
        <f t="shared" si="797"/>
        <v>ضعيف</v>
      </c>
      <c r="AA269" s="657"/>
      <c r="AB269" s="10"/>
      <c r="AC269" s="654"/>
      <c r="AN269" s="607"/>
      <c r="AO269" s="607"/>
      <c r="AP269" s="613"/>
      <c r="AQ269" s="612"/>
      <c r="AR269" s="611"/>
      <c r="AS269" s="612"/>
    </row>
    <row r="270" spans="1:45" ht="15" customHeight="1" x14ac:dyDescent="0.25">
      <c r="A270" s="633"/>
      <c r="B270" s="630"/>
      <c r="C270" s="622"/>
      <c r="D270" s="625"/>
      <c r="E270" s="133" t="s">
        <v>32</v>
      </c>
      <c r="F270" s="589">
        <f>IFERROR(VLOOKUP($B268,اسماء,31,0),0)</f>
        <v>0</v>
      </c>
      <c r="G270" s="592"/>
      <c r="H270" s="608">
        <f>IFERROR(VLOOKUP($B268,اسماء,32,0),0)</f>
        <v>0</v>
      </c>
      <c r="I270" s="609"/>
      <c r="J270" s="589">
        <f>IFERROR(VLOOKUP($B268,اسماء,33,0),0)</f>
        <v>0</v>
      </c>
      <c r="K270" s="592"/>
      <c r="L270" s="589">
        <f>IFERROR(VLOOKUP($B268,اسماء,34,0),0)</f>
        <v>0</v>
      </c>
      <c r="M270" s="590"/>
      <c r="N270" s="589">
        <f>IFERROR(VLOOKUP($B268,اسماء,35,0),0)</f>
        <v>0</v>
      </c>
      <c r="O270" s="590"/>
      <c r="P270" s="589">
        <f>IFERROR(VLOOKUP($B268,اسماء,36,0),0)</f>
        <v>0</v>
      </c>
      <c r="Q270" s="609"/>
      <c r="R270" s="603">
        <f>IFERROR(VLOOKUP($B268,اسماء,37,0),0)</f>
        <v>0</v>
      </c>
      <c r="S270" s="592"/>
      <c r="T270" s="589">
        <f>IFERROR(VLOOKUP($B268,اسماء,38,0),0)</f>
        <v>0</v>
      </c>
      <c r="U270" s="592"/>
      <c r="V270" s="263">
        <f t="shared" si="795"/>
        <v>0</v>
      </c>
      <c r="W270" s="373">
        <f>IFERROR(VLOOKUP($B268,اسماء,40,0),0)</f>
        <v>0</v>
      </c>
      <c r="X270" s="373">
        <f>IFERROR(VLOOKUP($B268,اسماء,41,0),0)</f>
        <v>0</v>
      </c>
      <c r="Y270" s="596"/>
      <c r="Z270" s="22" t="str">
        <f t="shared" ref="Z270" si="800">LOOKUP(V270,$AI$6:$AJ$10)</f>
        <v>ضعيف</v>
      </c>
      <c r="AA270" s="657"/>
      <c r="AB270" s="72"/>
      <c r="AC270" s="654"/>
      <c r="AN270" s="607"/>
      <c r="AO270" s="607"/>
      <c r="AP270" s="613"/>
      <c r="AQ270" s="612"/>
      <c r="AR270" s="611"/>
      <c r="AS270" s="612"/>
    </row>
    <row r="271" spans="1:45" ht="15" customHeight="1" thickBot="1" x14ac:dyDescent="0.3">
      <c r="A271" s="634"/>
      <c r="B271" s="631"/>
      <c r="C271" s="623"/>
      <c r="D271" s="626"/>
      <c r="E271" s="127" t="s">
        <v>33</v>
      </c>
      <c r="F271" s="585">
        <f t="shared" ref="F271" si="801">SUM(F268:G270)</f>
        <v>0</v>
      </c>
      <c r="G271" s="593"/>
      <c r="H271" s="604">
        <f t="shared" ref="H271" si="802">SUM(H268:I270)</f>
        <v>0</v>
      </c>
      <c r="I271" s="601"/>
      <c r="J271" s="585">
        <f t="shared" ref="J271" si="803">SUM(J268:K270)</f>
        <v>0</v>
      </c>
      <c r="K271" s="593"/>
      <c r="L271" s="585">
        <f t="shared" ref="L271" si="804">SUM(L268:M270)</f>
        <v>0</v>
      </c>
      <c r="M271" s="586"/>
      <c r="N271" s="585">
        <f t="shared" ref="N271" si="805">SUM(N268:O270)</f>
        <v>0</v>
      </c>
      <c r="O271" s="586"/>
      <c r="P271" s="585">
        <f t="shared" ref="P271" si="806">SUM(P268:Q270)</f>
        <v>0</v>
      </c>
      <c r="Q271" s="601"/>
      <c r="R271" s="602">
        <f t="shared" ref="R271" si="807">SUM(R268:S270)</f>
        <v>0</v>
      </c>
      <c r="S271" s="593"/>
      <c r="T271" s="585">
        <f t="shared" ref="T271" si="808">SUM(T268:U270)</f>
        <v>0</v>
      </c>
      <c r="U271" s="593"/>
      <c r="V271" s="210">
        <f t="shared" ref="V271" si="809">IF(AND(F271&gt;=$G$8,H271&gt;=$I$8,L271&gt;=$M$8,P271&gt;=$Q$8,R271&gt;=$S$8,T271&gt;=$U$8),SUM(F271:U271),0)</f>
        <v>0</v>
      </c>
      <c r="W271" s="264"/>
      <c r="X271" s="97"/>
      <c r="Y271" s="597"/>
      <c r="Z271" s="91" t="str">
        <f t="shared" ref="Z271" si="810">LOOKUP(V271,$AL$6:$AM$10)</f>
        <v>ضعيف</v>
      </c>
      <c r="AA271" s="658"/>
      <c r="AB271" s="72"/>
      <c r="AC271" s="655"/>
      <c r="AN271" s="607"/>
      <c r="AO271" s="607"/>
      <c r="AP271" s="613"/>
      <c r="AQ271" s="612"/>
      <c r="AR271" s="611"/>
      <c r="AS271" s="612"/>
    </row>
    <row r="272" spans="1:45" ht="15" customHeight="1" thickBot="1" x14ac:dyDescent="0.3">
      <c r="A272" s="632">
        <v>59</v>
      </c>
      <c r="B272" s="629">
        <f>VLOOKUP(A272,مسلسل,2,0)</f>
        <v>0</v>
      </c>
      <c r="C272" s="621" t="str">
        <f>IFERROR(VLOOKUP(B272,اسماء,2,0),"")</f>
        <v/>
      </c>
      <c r="D272" s="624" t="str">
        <f>IFERROR(VLOOKUP($B272,اسماء,3,0),"")</f>
        <v/>
      </c>
      <c r="E272" s="132" t="s">
        <v>30</v>
      </c>
      <c r="F272" s="627">
        <f>IFERROR(VLOOKUP($B272,اسماء,5,0),0)</f>
        <v>0</v>
      </c>
      <c r="G272" s="606"/>
      <c r="H272" s="628">
        <f>IFERROR(VLOOKUP($B272,اسماء,6,0),0)</f>
        <v>0</v>
      </c>
      <c r="I272" s="605"/>
      <c r="J272" s="587">
        <f>IFERROR(VLOOKUP($B272,اسماء,7,0),0)</f>
        <v>0</v>
      </c>
      <c r="K272" s="591"/>
      <c r="L272" s="587">
        <f>IFERROR(VLOOKUP($B272,اسماء,8,0),0)</f>
        <v>0</v>
      </c>
      <c r="M272" s="588"/>
      <c r="N272" s="587">
        <f>IFERROR(VLOOKUP($B272,اسماء,9,0),0)</f>
        <v>0</v>
      </c>
      <c r="O272" s="605"/>
      <c r="P272" s="587">
        <f>IFERROR(VLOOKUP($B272,اسماء,10,0),0)</f>
        <v>0</v>
      </c>
      <c r="Q272" s="605"/>
      <c r="R272" s="606">
        <f>IFERROR(VLOOKUP($B272,اسماء,11,0),0)</f>
        <v>0</v>
      </c>
      <c r="S272" s="591"/>
      <c r="T272" s="587">
        <f>IFERROR(VLOOKUP($B272,اسماء,12,0),0)</f>
        <v>0</v>
      </c>
      <c r="U272" s="591"/>
      <c r="V272" s="263">
        <f t="shared" ref="V272:V274" si="811">SUM(F272:U272)</f>
        <v>0</v>
      </c>
      <c r="W272" s="373">
        <f>IFERROR(VLOOKUP($B272,اسماء,14,0),0)</f>
        <v>0</v>
      </c>
      <c r="X272" s="373">
        <f>IFERROR(VLOOKUP($B272,اسماء,15,0),0)</f>
        <v>0</v>
      </c>
      <c r="Y272" s="595" t="str">
        <f t="shared" ref="Y272" si="812">IF(AC272="غائب","راسب",IF(AND(F275&gt;=$G$8,H275&gt;=$I$8,J275&gt;=$K$8,L275&gt;=$M$8,N275&gt;=$O$8,P275&gt;=$Q$8,R275&gt;=$S$8,T275&gt;=$U$8),"ناجح","له دور ثان"))</f>
        <v>له دور ثان</v>
      </c>
      <c r="Z272" s="21" t="str">
        <f t="shared" ref="Z272:Z273" si="813">LOOKUP(V272,$AF$6:$AG$10)</f>
        <v>ضعيف</v>
      </c>
      <c r="AA272" s="656">
        <f t="shared" ref="AA272" si="814">V275/$AF$3</f>
        <v>0</v>
      </c>
      <c r="AB272" s="10"/>
      <c r="AC272" s="653" t="str">
        <f>IFERROR(VLOOKUP($B272,اسماء,54,0),"")</f>
        <v/>
      </c>
      <c r="AN272" s="607" t="str">
        <f t="shared" ref="AN272" si="815">IF(V275=0,"",V275/1+ROW()*0.00001)</f>
        <v/>
      </c>
      <c r="AO272" s="607">
        <f>B272</f>
        <v>0</v>
      </c>
      <c r="AP272" s="613"/>
      <c r="AQ272" s="612">
        <v>59</v>
      </c>
      <c r="AR272" s="611" t="str">
        <f>IFERROR(LARGE($AN$10:$AN$1006,AQ272),"")</f>
        <v/>
      </c>
      <c r="AS272" s="612" t="str">
        <f>VLOOKUP(AR272,$AN$10:$AO$1116,2,0)</f>
        <v>أحمد نورالدين أحمد الذيب</v>
      </c>
    </row>
    <row r="273" spans="1:45" ht="15" customHeight="1" thickBot="1" x14ac:dyDescent="0.3">
      <c r="A273" s="633"/>
      <c r="B273" s="630"/>
      <c r="C273" s="622"/>
      <c r="D273" s="625"/>
      <c r="E273" s="133" t="s">
        <v>31</v>
      </c>
      <c r="F273" s="589">
        <f>IFERROR(VLOOKUP($B272,اسماء,18,0),0)</f>
        <v>0</v>
      </c>
      <c r="G273" s="592"/>
      <c r="H273" s="608">
        <f>IFERROR(VLOOKUP($B272,اسماء,19,0),0)</f>
        <v>0</v>
      </c>
      <c r="I273" s="609"/>
      <c r="J273" s="589">
        <f>IFERROR(VLOOKUP($B272,اسماء,20,0),0)</f>
        <v>0</v>
      </c>
      <c r="K273" s="592"/>
      <c r="L273" s="589">
        <f>IFERROR(VLOOKUP($B272,اسماء,21,0),0)</f>
        <v>0</v>
      </c>
      <c r="M273" s="590"/>
      <c r="N273" s="589">
        <f>IFERROR(VLOOKUP($B272,اسماء,22,0),0)</f>
        <v>0</v>
      </c>
      <c r="O273" s="590"/>
      <c r="P273" s="589">
        <f>IFERROR(VLOOKUP($B272,اسماء,23,0),0)</f>
        <v>0</v>
      </c>
      <c r="Q273" s="609"/>
      <c r="R273" s="603">
        <f>IFERROR(VLOOKUP($B272,اسماء,24,0),0)</f>
        <v>0</v>
      </c>
      <c r="S273" s="592"/>
      <c r="T273" s="589">
        <f>IFERROR(VLOOKUP($B272,اسماء,25,0),0)</f>
        <v>0</v>
      </c>
      <c r="U273" s="592"/>
      <c r="V273" s="263">
        <f t="shared" si="811"/>
        <v>0</v>
      </c>
      <c r="W273" s="373">
        <f>IFERROR(VLOOKUP($B272,اسماء,27,0),0)</f>
        <v>0</v>
      </c>
      <c r="X273" s="373">
        <f>IFERROR(VLOOKUP($B272,اسماء,28,0),0)</f>
        <v>0</v>
      </c>
      <c r="Y273" s="596"/>
      <c r="Z273" s="22" t="str">
        <f t="shared" si="813"/>
        <v>ضعيف</v>
      </c>
      <c r="AA273" s="657"/>
      <c r="AB273" s="72"/>
      <c r="AC273" s="654"/>
      <c r="AN273" s="607"/>
      <c r="AO273" s="607"/>
      <c r="AP273" s="613"/>
      <c r="AQ273" s="612"/>
      <c r="AR273" s="611"/>
      <c r="AS273" s="612"/>
    </row>
    <row r="274" spans="1:45" ht="15" customHeight="1" x14ac:dyDescent="0.25">
      <c r="A274" s="633"/>
      <c r="B274" s="630"/>
      <c r="C274" s="622"/>
      <c r="D274" s="625"/>
      <c r="E274" s="133" t="s">
        <v>32</v>
      </c>
      <c r="F274" s="589">
        <f>IFERROR(VLOOKUP($B272,اسماء,31,0),0)</f>
        <v>0</v>
      </c>
      <c r="G274" s="592"/>
      <c r="H274" s="608">
        <f>IFERROR(VLOOKUP($B272,اسماء,32,0),0)</f>
        <v>0</v>
      </c>
      <c r="I274" s="609"/>
      <c r="J274" s="589">
        <f>IFERROR(VLOOKUP($B272,اسماء,33,0),0)</f>
        <v>0</v>
      </c>
      <c r="K274" s="592"/>
      <c r="L274" s="589">
        <f>IFERROR(VLOOKUP($B272,اسماء,34,0),0)</f>
        <v>0</v>
      </c>
      <c r="M274" s="590"/>
      <c r="N274" s="589">
        <f>IFERROR(VLOOKUP($B272,اسماء,35,0),0)</f>
        <v>0</v>
      </c>
      <c r="O274" s="590"/>
      <c r="P274" s="589">
        <f>IFERROR(VLOOKUP($B272,اسماء,36,0),0)</f>
        <v>0</v>
      </c>
      <c r="Q274" s="609"/>
      <c r="R274" s="603">
        <f>IFERROR(VLOOKUP($B272,اسماء,37,0),0)</f>
        <v>0</v>
      </c>
      <c r="S274" s="592"/>
      <c r="T274" s="589">
        <f>IFERROR(VLOOKUP($B272,اسماء,38,0),0)</f>
        <v>0</v>
      </c>
      <c r="U274" s="592"/>
      <c r="V274" s="263">
        <f t="shared" si="811"/>
        <v>0</v>
      </c>
      <c r="W274" s="373">
        <f>IFERROR(VLOOKUP($B272,اسماء,40,0),0)</f>
        <v>0</v>
      </c>
      <c r="X274" s="373">
        <f>IFERROR(VLOOKUP($B272,اسماء,41,0),0)</f>
        <v>0</v>
      </c>
      <c r="Y274" s="596"/>
      <c r="Z274" s="22" t="str">
        <f t="shared" ref="Z274" si="816">LOOKUP(V274,$AI$6:$AJ$10)</f>
        <v>ضعيف</v>
      </c>
      <c r="AA274" s="657"/>
      <c r="AB274" s="72"/>
      <c r="AC274" s="654"/>
      <c r="AN274" s="607"/>
      <c r="AO274" s="607"/>
      <c r="AP274" s="613"/>
      <c r="AQ274" s="612"/>
      <c r="AR274" s="611"/>
      <c r="AS274" s="612"/>
    </row>
    <row r="275" spans="1:45" ht="15" customHeight="1" thickBot="1" x14ac:dyDescent="0.3">
      <c r="A275" s="634"/>
      <c r="B275" s="631"/>
      <c r="C275" s="623"/>
      <c r="D275" s="626"/>
      <c r="E275" s="127" t="s">
        <v>33</v>
      </c>
      <c r="F275" s="585">
        <f t="shared" ref="F275" si="817">SUM(F272:G274)</f>
        <v>0</v>
      </c>
      <c r="G275" s="593"/>
      <c r="H275" s="604">
        <f t="shared" ref="H275" si="818">SUM(H272:I274)</f>
        <v>0</v>
      </c>
      <c r="I275" s="601"/>
      <c r="J275" s="585">
        <f t="shared" ref="J275" si="819">SUM(J272:K274)</f>
        <v>0</v>
      </c>
      <c r="K275" s="593"/>
      <c r="L275" s="585">
        <f t="shared" ref="L275" si="820">SUM(L272:M274)</f>
        <v>0</v>
      </c>
      <c r="M275" s="586"/>
      <c r="N275" s="585">
        <f t="shared" ref="N275" si="821">SUM(N272:O274)</f>
        <v>0</v>
      </c>
      <c r="O275" s="586"/>
      <c r="P275" s="585">
        <f t="shared" ref="P275" si="822">SUM(P272:Q274)</f>
        <v>0</v>
      </c>
      <c r="Q275" s="601"/>
      <c r="R275" s="602">
        <f t="shared" ref="R275" si="823">SUM(R272:S274)</f>
        <v>0</v>
      </c>
      <c r="S275" s="593"/>
      <c r="T275" s="585">
        <f t="shared" ref="T275" si="824">SUM(T272:U274)</f>
        <v>0</v>
      </c>
      <c r="U275" s="593"/>
      <c r="V275" s="210">
        <f t="shared" ref="V275" si="825">IF(AND(F275&gt;=$G$8,H275&gt;=$I$8,L275&gt;=$M$8,P275&gt;=$Q$8,R275&gt;=$S$8,T275&gt;=$U$8),SUM(F275:U275),0)</f>
        <v>0</v>
      </c>
      <c r="W275" s="264"/>
      <c r="X275" s="97"/>
      <c r="Y275" s="597"/>
      <c r="Z275" s="91" t="str">
        <f t="shared" ref="Z275" si="826">LOOKUP(V275,$AL$6:$AM$10)</f>
        <v>ضعيف</v>
      </c>
      <c r="AA275" s="658"/>
      <c r="AB275" s="10"/>
      <c r="AC275" s="655"/>
      <c r="AN275" s="607"/>
      <c r="AO275" s="607"/>
      <c r="AP275" s="613"/>
      <c r="AQ275" s="612"/>
      <c r="AR275" s="611"/>
      <c r="AS275" s="612"/>
    </row>
    <row r="276" spans="1:45" ht="15" customHeight="1" thickBot="1" x14ac:dyDescent="0.3">
      <c r="A276" s="632">
        <v>60</v>
      </c>
      <c r="B276" s="629">
        <f>VLOOKUP(A276,مسلسل,2,0)</f>
        <v>0</v>
      </c>
      <c r="C276" s="621" t="str">
        <f>IFERROR(VLOOKUP(B276,اسماء,2,0),"")</f>
        <v/>
      </c>
      <c r="D276" s="624" t="str">
        <f>IFERROR(VLOOKUP($B276,اسماء,3,0),"")</f>
        <v/>
      </c>
      <c r="E276" s="132" t="s">
        <v>30</v>
      </c>
      <c r="F276" s="627">
        <f>IFERROR(VLOOKUP($B276,اسماء,5,0),0)</f>
        <v>0</v>
      </c>
      <c r="G276" s="606"/>
      <c r="H276" s="628">
        <f>IFERROR(VLOOKUP($B276,اسماء,6,0),0)</f>
        <v>0</v>
      </c>
      <c r="I276" s="605"/>
      <c r="J276" s="587">
        <f>IFERROR(VLOOKUP($B276,اسماء,7,0),0)</f>
        <v>0</v>
      </c>
      <c r="K276" s="591"/>
      <c r="L276" s="587">
        <f>IFERROR(VLOOKUP($B276,اسماء,8,0),0)</f>
        <v>0</v>
      </c>
      <c r="M276" s="588"/>
      <c r="N276" s="587">
        <f>IFERROR(VLOOKUP($B276,اسماء,9,0),0)</f>
        <v>0</v>
      </c>
      <c r="O276" s="605"/>
      <c r="P276" s="587">
        <f>IFERROR(VLOOKUP($B276,اسماء,10,0),0)</f>
        <v>0</v>
      </c>
      <c r="Q276" s="605"/>
      <c r="R276" s="606">
        <f>IFERROR(VLOOKUP($B276,اسماء,11,0),0)</f>
        <v>0</v>
      </c>
      <c r="S276" s="591"/>
      <c r="T276" s="587">
        <f>IFERROR(VLOOKUP($B276,اسماء,12,0),0)</f>
        <v>0</v>
      </c>
      <c r="U276" s="591"/>
      <c r="V276" s="263">
        <f t="shared" ref="V276:V278" si="827">SUM(F276:U276)</f>
        <v>0</v>
      </c>
      <c r="W276" s="373">
        <f>IFERROR(VLOOKUP($B276,اسماء,14,0),0)</f>
        <v>0</v>
      </c>
      <c r="X276" s="373">
        <f>IFERROR(VLOOKUP($B276,اسماء,15,0),0)</f>
        <v>0</v>
      </c>
      <c r="Y276" s="595" t="str">
        <f t="shared" ref="Y276" si="828">IF(AC276="غائب","راسب",IF(AND(F279&gt;=$G$8,H279&gt;=$I$8,J279&gt;=$K$8,L279&gt;=$M$8,N279&gt;=$O$8,P279&gt;=$Q$8,R279&gt;=$S$8,T279&gt;=$U$8),"ناجح","له دور ثان"))</f>
        <v>له دور ثان</v>
      </c>
      <c r="Z276" s="21" t="str">
        <f t="shared" ref="Z276:Z277" si="829">LOOKUP(V276,$AF$6:$AG$10)</f>
        <v>ضعيف</v>
      </c>
      <c r="AA276" s="656">
        <f t="shared" ref="AA276" si="830">V279/$AF$3</f>
        <v>0</v>
      </c>
      <c r="AB276" s="72"/>
      <c r="AC276" s="653" t="str">
        <f>IFERROR(VLOOKUP($B276,اسماء,54,0),"")</f>
        <v/>
      </c>
      <c r="AN276" s="607" t="str">
        <f t="shared" ref="AN276" si="831">IF(V279=0,"",V279/1+ROW()*0.00001)</f>
        <v/>
      </c>
      <c r="AO276" s="607">
        <f>B276</f>
        <v>0</v>
      </c>
      <c r="AP276" s="613"/>
      <c r="AQ276" s="612">
        <v>60</v>
      </c>
      <c r="AR276" s="611" t="str">
        <f>IFERROR(LARGE($AN$10:$AN$1006,AQ276),"")</f>
        <v/>
      </c>
      <c r="AS276" s="612" t="str">
        <f>VLOOKUP(AR276,$AN$10:$AO$1116,2,0)</f>
        <v>أحمد نورالدين أحمد الذيب</v>
      </c>
    </row>
    <row r="277" spans="1:45" ht="15" customHeight="1" thickBot="1" x14ac:dyDescent="0.3">
      <c r="A277" s="633"/>
      <c r="B277" s="630"/>
      <c r="C277" s="622"/>
      <c r="D277" s="625"/>
      <c r="E277" s="133" t="s">
        <v>31</v>
      </c>
      <c r="F277" s="589">
        <f>IFERROR(VLOOKUP($B276,اسماء,18,0),0)</f>
        <v>0</v>
      </c>
      <c r="G277" s="592"/>
      <c r="H277" s="608">
        <f>IFERROR(VLOOKUP($B276,اسماء,19,0),0)</f>
        <v>0</v>
      </c>
      <c r="I277" s="609"/>
      <c r="J277" s="589">
        <f>IFERROR(VLOOKUP($B276,اسماء,20,0),0)</f>
        <v>0</v>
      </c>
      <c r="K277" s="592"/>
      <c r="L277" s="589">
        <f>IFERROR(VLOOKUP($B276,اسماء,21,0),0)</f>
        <v>0</v>
      </c>
      <c r="M277" s="590"/>
      <c r="N277" s="589">
        <f>IFERROR(VLOOKUP($B276,اسماء,22,0),0)</f>
        <v>0</v>
      </c>
      <c r="O277" s="590"/>
      <c r="P277" s="589">
        <f>IFERROR(VLOOKUP($B276,اسماء,23,0),0)</f>
        <v>0</v>
      </c>
      <c r="Q277" s="609"/>
      <c r="R277" s="603">
        <f>IFERROR(VLOOKUP($B276,اسماء,24,0),0)</f>
        <v>0</v>
      </c>
      <c r="S277" s="592"/>
      <c r="T277" s="589">
        <f>IFERROR(VLOOKUP($B276,اسماء,25,0),0)</f>
        <v>0</v>
      </c>
      <c r="U277" s="592"/>
      <c r="V277" s="263">
        <f t="shared" si="827"/>
        <v>0</v>
      </c>
      <c r="W277" s="373">
        <f>IFERROR(VLOOKUP($B276,اسماء,27,0),0)</f>
        <v>0</v>
      </c>
      <c r="X277" s="373">
        <f>IFERROR(VLOOKUP($B276,اسماء,28,0),0)</f>
        <v>0</v>
      </c>
      <c r="Y277" s="596"/>
      <c r="Z277" s="22" t="str">
        <f t="shared" si="829"/>
        <v>ضعيف</v>
      </c>
      <c r="AA277" s="657"/>
      <c r="AB277" s="72"/>
      <c r="AC277" s="654"/>
      <c r="AN277" s="607"/>
      <c r="AO277" s="607"/>
      <c r="AP277" s="613"/>
      <c r="AQ277" s="612"/>
      <c r="AR277" s="611"/>
      <c r="AS277" s="612"/>
    </row>
    <row r="278" spans="1:45" ht="15" customHeight="1" x14ac:dyDescent="0.25">
      <c r="A278" s="633"/>
      <c r="B278" s="630"/>
      <c r="C278" s="622"/>
      <c r="D278" s="625"/>
      <c r="E278" s="133" t="s">
        <v>32</v>
      </c>
      <c r="F278" s="589">
        <f>IFERROR(VLOOKUP($B276,اسماء,31,0),0)</f>
        <v>0</v>
      </c>
      <c r="G278" s="592"/>
      <c r="H278" s="608">
        <f>IFERROR(VLOOKUP($B276,اسماء,32,0),0)</f>
        <v>0</v>
      </c>
      <c r="I278" s="609"/>
      <c r="J278" s="589">
        <f>IFERROR(VLOOKUP($B276,اسماء,33,0),0)</f>
        <v>0</v>
      </c>
      <c r="K278" s="592"/>
      <c r="L278" s="589">
        <f>IFERROR(VLOOKUP($B276,اسماء,34,0),0)</f>
        <v>0</v>
      </c>
      <c r="M278" s="590"/>
      <c r="N278" s="589">
        <f>IFERROR(VLOOKUP($B276,اسماء,35,0),0)</f>
        <v>0</v>
      </c>
      <c r="O278" s="590"/>
      <c r="P278" s="589">
        <f>IFERROR(VLOOKUP($B276,اسماء,36,0),0)</f>
        <v>0</v>
      </c>
      <c r="Q278" s="609"/>
      <c r="R278" s="603">
        <f>IFERROR(VLOOKUP($B276,اسماء,37,0),0)</f>
        <v>0</v>
      </c>
      <c r="S278" s="592"/>
      <c r="T278" s="589">
        <f>IFERROR(VLOOKUP($B276,اسماء,38,0),0)</f>
        <v>0</v>
      </c>
      <c r="U278" s="592"/>
      <c r="V278" s="263">
        <f t="shared" si="827"/>
        <v>0</v>
      </c>
      <c r="W278" s="373">
        <f>IFERROR(VLOOKUP($B276,اسماء,40,0),0)</f>
        <v>0</v>
      </c>
      <c r="X278" s="373">
        <f>IFERROR(VLOOKUP($B276,اسماء,41,0),0)</f>
        <v>0</v>
      </c>
      <c r="Y278" s="596"/>
      <c r="Z278" s="22" t="str">
        <f t="shared" ref="Z278" si="832">LOOKUP(V278,$AI$6:$AJ$10)</f>
        <v>ضعيف</v>
      </c>
      <c r="AA278" s="657"/>
      <c r="AB278" s="10"/>
      <c r="AC278" s="654"/>
      <c r="AN278" s="607"/>
      <c r="AO278" s="607"/>
      <c r="AP278" s="613"/>
      <c r="AQ278" s="612"/>
      <c r="AR278" s="611"/>
      <c r="AS278" s="612"/>
    </row>
    <row r="279" spans="1:45" ht="15" customHeight="1" thickBot="1" x14ac:dyDescent="0.3">
      <c r="A279" s="634"/>
      <c r="B279" s="631"/>
      <c r="C279" s="623"/>
      <c r="D279" s="626"/>
      <c r="E279" s="127" t="s">
        <v>33</v>
      </c>
      <c r="F279" s="585">
        <f t="shared" ref="F279" si="833">SUM(F276:G278)</f>
        <v>0</v>
      </c>
      <c r="G279" s="593"/>
      <c r="H279" s="604">
        <f t="shared" ref="H279" si="834">SUM(H276:I278)</f>
        <v>0</v>
      </c>
      <c r="I279" s="601"/>
      <c r="J279" s="585">
        <f t="shared" ref="J279" si="835">SUM(J276:K278)</f>
        <v>0</v>
      </c>
      <c r="K279" s="593"/>
      <c r="L279" s="585">
        <f t="shared" ref="L279" si="836">SUM(L276:M278)</f>
        <v>0</v>
      </c>
      <c r="M279" s="586"/>
      <c r="N279" s="585">
        <f t="shared" ref="N279" si="837">SUM(N276:O278)</f>
        <v>0</v>
      </c>
      <c r="O279" s="586"/>
      <c r="P279" s="585">
        <f t="shared" ref="P279" si="838">SUM(P276:Q278)</f>
        <v>0</v>
      </c>
      <c r="Q279" s="601"/>
      <c r="R279" s="602">
        <f t="shared" ref="R279" si="839">SUM(R276:S278)</f>
        <v>0</v>
      </c>
      <c r="S279" s="593"/>
      <c r="T279" s="585">
        <f t="shared" ref="T279" si="840">SUM(T276:U278)</f>
        <v>0</v>
      </c>
      <c r="U279" s="593"/>
      <c r="V279" s="210">
        <f t="shared" ref="V279" si="841">IF(AND(F279&gt;=$G$8,H279&gt;=$I$8,L279&gt;=$M$8,P279&gt;=$Q$8,R279&gt;=$S$8,T279&gt;=$U$8),SUM(F279:U279),0)</f>
        <v>0</v>
      </c>
      <c r="W279" s="264"/>
      <c r="X279" s="97"/>
      <c r="Y279" s="597"/>
      <c r="Z279" s="91" t="str">
        <f t="shared" ref="Z279" si="842">LOOKUP(V279,$AL$6:$AM$10)</f>
        <v>ضعيف</v>
      </c>
      <c r="AA279" s="658"/>
      <c r="AB279" s="72"/>
      <c r="AC279" s="655"/>
      <c r="AN279" s="607"/>
      <c r="AO279" s="607"/>
      <c r="AP279" s="613"/>
      <c r="AQ279" s="612"/>
      <c r="AR279" s="611"/>
      <c r="AS279" s="612"/>
    </row>
    <row r="280" spans="1:45" ht="15" customHeight="1" thickBot="1" x14ac:dyDescent="0.3">
      <c r="F280" s="75"/>
      <c r="G280" s="76"/>
      <c r="H280" s="75"/>
      <c r="I280" s="76"/>
      <c r="J280" s="75"/>
      <c r="K280" s="76"/>
      <c r="L280" s="75"/>
      <c r="M280" s="76"/>
      <c r="N280" s="76"/>
      <c r="O280" s="76"/>
      <c r="P280" s="75"/>
      <c r="Q280" s="76"/>
      <c r="R280" s="75"/>
      <c r="S280" s="76"/>
      <c r="T280" s="75"/>
      <c r="U280" s="76"/>
      <c r="V280" s="74"/>
      <c r="W280" s="77"/>
      <c r="X280" s="74"/>
      <c r="Y280" s="362"/>
      <c r="Z280" s="74"/>
      <c r="AA280" s="267"/>
      <c r="AB280" s="72"/>
      <c r="AK280" s="78"/>
    </row>
    <row r="281" spans="1:45" customFormat="1" ht="15" customHeight="1" x14ac:dyDescent="0.3">
      <c r="A281" s="617" t="s">
        <v>9</v>
      </c>
      <c r="B281" s="618"/>
      <c r="C281" s="619"/>
      <c r="D281" s="288" t="s">
        <v>11</v>
      </c>
      <c r="E281" s="600" t="s">
        <v>97</v>
      </c>
      <c r="F281" s="598"/>
      <c r="G281" s="598"/>
      <c r="H281" s="598"/>
      <c r="I281" s="598"/>
      <c r="J281" s="9"/>
      <c r="K281" s="9"/>
      <c r="L281" s="9"/>
      <c r="M281" s="9"/>
      <c r="N281" s="9"/>
      <c r="O281" s="9"/>
      <c r="P281" s="9"/>
      <c r="Q281" s="9"/>
      <c r="R281" s="9"/>
      <c r="S281" s="598" t="s">
        <v>156</v>
      </c>
      <c r="T281" s="598"/>
      <c r="U281" s="598"/>
      <c r="V281" s="598"/>
      <c r="W281" s="598"/>
      <c r="X281" s="598"/>
      <c r="Y281" s="598"/>
      <c r="Z281" s="1"/>
      <c r="AA281" s="268"/>
      <c r="AC281" s="79"/>
      <c r="AD281" s="80"/>
      <c r="AE281" s="80"/>
      <c r="AF281" s="80"/>
      <c r="AG281" s="80"/>
    </row>
    <row r="282" spans="1:45" customFormat="1" ht="15" customHeight="1" x14ac:dyDescent="0.25">
      <c r="A282" s="81" t="s">
        <v>8</v>
      </c>
      <c r="B282" s="610">
        <f>ادخال1!$BP$3</f>
        <v>0</v>
      </c>
      <c r="C282" s="620"/>
      <c r="D282" s="289"/>
      <c r="E282" s="9" t="s">
        <v>9</v>
      </c>
      <c r="F282" s="599" t="str">
        <f>ادخال1!$BP$5</f>
        <v>د.عبدالرحمن خليفة العريبي</v>
      </c>
      <c r="G282" s="599"/>
      <c r="H282" s="599"/>
      <c r="I282" s="599"/>
      <c r="J282" s="599"/>
      <c r="K282" s="599"/>
      <c r="L282" s="599"/>
      <c r="M282" s="599"/>
      <c r="N282" s="599"/>
      <c r="O282" s="599"/>
      <c r="P282" s="599"/>
      <c r="Q282" s="599"/>
      <c r="R282" s="9"/>
      <c r="S282" s="599" t="str">
        <f>ادخال1!$BP$6</f>
        <v>تاجوراء</v>
      </c>
      <c r="T282" s="599"/>
      <c r="U282" s="599"/>
      <c r="V282" s="599"/>
      <c r="W282" s="599"/>
      <c r="X282" s="599"/>
      <c r="Y282" s="599"/>
      <c r="Z282" s="599"/>
      <c r="AA282" s="67"/>
      <c r="AB282" s="67"/>
      <c r="AC282" s="79"/>
      <c r="AD282" s="79"/>
      <c r="AE282" s="79"/>
      <c r="AF282" s="79"/>
    </row>
    <row r="283" spans="1:45" customFormat="1" ht="15" customHeight="1" thickBot="1" x14ac:dyDescent="0.3">
      <c r="A283" s="82" t="s">
        <v>98</v>
      </c>
      <c r="B283" s="615">
        <f>ادخال1!$BP$4</f>
        <v>0</v>
      </c>
      <c r="C283" s="616"/>
      <c r="D283" s="290"/>
      <c r="E283" s="9" t="s">
        <v>11</v>
      </c>
      <c r="F283" s="607"/>
      <c r="G283" s="607"/>
      <c r="H283" s="607"/>
      <c r="I283" s="607"/>
      <c r="J283" s="607"/>
      <c r="K283" s="607"/>
      <c r="L283" s="607"/>
      <c r="M283" s="607"/>
      <c r="N283" s="607"/>
      <c r="O283" s="607"/>
      <c r="P283" s="607"/>
      <c r="Q283" s="607"/>
      <c r="R283" s="9"/>
      <c r="S283" s="9" t="s">
        <v>11</v>
      </c>
      <c r="T283" s="9"/>
      <c r="U283" s="9" t="s">
        <v>11</v>
      </c>
      <c r="V283" s="1"/>
      <c r="W283" s="1"/>
      <c r="X283" s="1"/>
      <c r="Y283" s="363"/>
      <c r="Z283" s="1"/>
      <c r="AA283" s="268"/>
      <c r="AC283" s="79"/>
      <c r="AD283" s="79"/>
      <c r="AE283" s="79"/>
      <c r="AF283" s="79"/>
    </row>
    <row r="284" spans="1:45" customFormat="1" ht="15" customHeight="1" x14ac:dyDescent="0.25">
      <c r="A284" s="598" t="s">
        <v>99</v>
      </c>
      <c r="B284" s="598"/>
      <c r="C284" s="598"/>
      <c r="D284" s="598"/>
      <c r="E284" s="598" t="s">
        <v>100</v>
      </c>
      <c r="F284" s="598"/>
      <c r="G284" s="598"/>
      <c r="H284" s="598"/>
      <c r="I284" s="598"/>
      <c r="J284" s="598"/>
      <c r="K284" s="598"/>
      <c r="L284" s="598"/>
      <c r="M284" s="598"/>
      <c r="N284" s="598"/>
      <c r="O284" s="598"/>
      <c r="P284" s="598"/>
      <c r="Q284" s="598"/>
      <c r="R284" s="598"/>
      <c r="S284" s="598"/>
      <c r="T284" s="9"/>
      <c r="U284" s="9"/>
      <c r="V284" s="9"/>
      <c r="W284" s="594">
        <f ca="1">TODAY()</f>
        <v>46035</v>
      </c>
      <c r="X284" s="594"/>
      <c r="Y284" s="594"/>
      <c r="Z284" s="594"/>
      <c r="AA284" s="268"/>
    </row>
    <row r="285" spans="1:45" customFormat="1" ht="15" customHeight="1" thickBot="1" x14ac:dyDescent="0.3">
      <c r="A285" s="9"/>
      <c r="B285" s="598" t="s">
        <v>101</v>
      </c>
      <c r="C285" s="598"/>
      <c r="D285" s="598"/>
      <c r="E285" s="598" t="s">
        <v>102</v>
      </c>
      <c r="F285" s="598"/>
      <c r="G285" s="598"/>
      <c r="H285" s="598"/>
      <c r="I285" s="598"/>
      <c r="J285" s="598"/>
      <c r="K285" s="598"/>
      <c r="L285" s="598"/>
      <c r="M285" s="598"/>
      <c r="N285" s="598"/>
      <c r="O285" s="598"/>
      <c r="P285" s="598"/>
      <c r="Q285" s="598"/>
      <c r="R285" s="598"/>
      <c r="S285" s="598"/>
      <c r="T285" s="9"/>
      <c r="U285" s="9"/>
      <c r="V285" s="1"/>
      <c r="W285" s="1"/>
      <c r="X285" s="1"/>
      <c r="Y285" s="363"/>
      <c r="Z285" s="1"/>
      <c r="AA285" s="268"/>
    </row>
    <row r="286" spans="1:45" ht="15" customHeight="1" thickBot="1" x14ac:dyDescent="0.3">
      <c r="A286" s="632">
        <v>61</v>
      </c>
      <c r="B286" s="629">
        <f>VLOOKUP(A286,مسلسل,2,0)</f>
        <v>0</v>
      </c>
      <c r="C286" s="621" t="str">
        <f>IFERROR(VLOOKUP(B286,اسماء,2,0),"")</f>
        <v/>
      </c>
      <c r="D286" s="624" t="str">
        <f>IFERROR(VLOOKUP($B286,اسماء,3,0),"")</f>
        <v/>
      </c>
      <c r="E286" s="132" t="s">
        <v>30</v>
      </c>
      <c r="F286" s="627">
        <f>IFERROR(VLOOKUP($B286,اسماء,5,0),0)</f>
        <v>0</v>
      </c>
      <c r="G286" s="606"/>
      <c r="H286" s="628">
        <f>IFERROR(VLOOKUP($B286,اسماء,6,0),0)</f>
        <v>0</v>
      </c>
      <c r="I286" s="605"/>
      <c r="J286" s="587">
        <f>IFERROR(VLOOKUP($B286,اسماء,7,0),0)</f>
        <v>0</v>
      </c>
      <c r="K286" s="591"/>
      <c r="L286" s="587">
        <f>IFERROR(VLOOKUP($B286,اسماء,8,0),0)</f>
        <v>0</v>
      </c>
      <c r="M286" s="588"/>
      <c r="N286" s="587">
        <f>IFERROR(VLOOKUP($B286,اسماء,9,0),0)</f>
        <v>0</v>
      </c>
      <c r="O286" s="605"/>
      <c r="P286" s="587">
        <f>IFERROR(VLOOKUP($B286,اسماء,10,0),0)</f>
        <v>0</v>
      </c>
      <c r="Q286" s="605"/>
      <c r="R286" s="606">
        <f>IFERROR(VLOOKUP($B286,اسماء,11,0),0)</f>
        <v>0</v>
      </c>
      <c r="S286" s="591"/>
      <c r="T286" s="587">
        <f>IFERROR(VLOOKUP($B286,اسماء,12,0),0)</f>
        <v>0</v>
      </c>
      <c r="U286" s="591"/>
      <c r="V286" s="263">
        <f t="shared" ref="V286:V288" si="843">SUM(F286:U286)</f>
        <v>0</v>
      </c>
      <c r="W286" s="373">
        <f>IFERROR(VLOOKUP($B286,اسماء,14,0),0)</f>
        <v>0</v>
      </c>
      <c r="X286" s="373">
        <f>IFERROR(VLOOKUP($B286,اسماء,15,0),0)</f>
        <v>0</v>
      </c>
      <c r="Y286" s="595" t="str">
        <f>IF(AC286="غائب","راسب",IF(AND(F289&gt;=$G$8,H289&gt;=$I$8,J289&gt;=$K$8,L289&gt;=$M$8,N289&gt;=$O$8,P289&gt;=$Q$8,R289&gt;=$S$8,T289&gt;=$U$8),"ناجح","له دور ثان"))</f>
        <v>له دور ثان</v>
      </c>
      <c r="Z286" s="21" t="str">
        <f>LOOKUP(V286,$AF$6:$AG$10)</f>
        <v>ضعيف</v>
      </c>
      <c r="AA286" s="656">
        <f>V289/$AF$3</f>
        <v>0</v>
      </c>
      <c r="AB286" s="72"/>
      <c r="AC286" s="653" t="str">
        <f>IFERROR(VLOOKUP($B286,اسماء,54,0),"")</f>
        <v/>
      </c>
      <c r="AN286" s="610" t="str">
        <f>IF(V289=0,"",V289/1+ROW()*0.00001)</f>
        <v/>
      </c>
      <c r="AO286" s="610">
        <f>B286</f>
        <v>0</v>
      </c>
      <c r="AP286" s="613"/>
      <c r="AQ286" s="612">
        <v>61</v>
      </c>
      <c r="AR286" s="611" t="str">
        <f>IFERROR(LARGE($AN$10:$AN$1006,AQ286),"")</f>
        <v/>
      </c>
      <c r="AS286" s="612" t="str">
        <f>VLOOKUP(AR286,$AN$10:$AO$1116,2,0)</f>
        <v>أحمد نورالدين أحمد الذيب</v>
      </c>
    </row>
    <row r="287" spans="1:45" ht="15" customHeight="1" thickBot="1" x14ac:dyDescent="0.3">
      <c r="A287" s="633"/>
      <c r="B287" s="630"/>
      <c r="C287" s="622"/>
      <c r="D287" s="625"/>
      <c r="E287" s="133" t="s">
        <v>31</v>
      </c>
      <c r="F287" s="589">
        <f>IFERROR(VLOOKUP($B286,اسماء,18,0),0)</f>
        <v>0</v>
      </c>
      <c r="G287" s="592"/>
      <c r="H287" s="608">
        <f>IFERROR(VLOOKUP($B286,اسماء,19,0),0)</f>
        <v>0</v>
      </c>
      <c r="I287" s="609"/>
      <c r="J287" s="589">
        <f>IFERROR(VLOOKUP($B286,اسماء,20,0),0)</f>
        <v>0</v>
      </c>
      <c r="K287" s="592"/>
      <c r="L287" s="589">
        <f>IFERROR(VLOOKUP($B286,اسماء,21,0),0)</f>
        <v>0</v>
      </c>
      <c r="M287" s="590"/>
      <c r="N287" s="589">
        <f>IFERROR(VLOOKUP($B286,اسماء,22,0),0)</f>
        <v>0</v>
      </c>
      <c r="O287" s="590"/>
      <c r="P287" s="589">
        <f>IFERROR(VLOOKUP($B286,اسماء,23,0),0)</f>
        <v>0</v>
      </c>
      <c r="Q287" s="609"/>
      <c r="R287" s="603">
        <f>IFERROR(VLOOKUP($B286,اسماء,24,0),0)</f>
        <v>0</v>
      </c>
      <c r="S287" s="592"/>
      <c r="T287" s="589">
        <f>IFERROR(VLOOKUP($B286,اسماء,25,0),0)</f>
        <v>0</v>
      </c>
      <c r="U287" s="592"/>
      <c r="V287" s="263">
        <f t="shared" si="843"/>
        <v>0</v>
      </c>
      <c r="W287" s="373">
        <f>IFERROR(VLOOKUP($B286,اسماء,27,0),0)</f>
        <v>0</v>
      </c>
      <c r="X287" s="373">
        <f>IFERROR(VLOOKUP($B286,اسماء,28,0),0)</f>
        <v>0</v>
      </c>
      <c r="Y287" s="596"/>
      <c r="Z287" s="22" t="str">
        <f>LOOKUP(V287,$AF$6:$AG$10)</f>
        <v>ضعيف</v>
      </c>
      <c r="AA287" s="657"/>
      <c r="AB287" s="10"/>
      <c r="AC287" s="654"/>
      <c r="AN287" s="610"/>
      <c r="AO287" s="610"/>
      <c r="AP287" s="613"/>
      <c r="AQ287" s="612"/>
      <c r="AR287" s="611"/>
      <c r="AS287" s="612"/>
    </row>
    <row r="288" spans="1:45" ht="15" customHeight="1" x14ac:dyDescent="0.25">
      <c r="A288" s="633"/>
      <c r="B288" s="630"/>
      <c r="C288" s="622"/>
      <c r="D288" s="625"/>
      <c r="E288" s="133" t="s">
        <v>32</v>
      </c>
      <c r="F288" s="589">
        <f>IFERROR(VLOOKUP($B286,اسماء,31,0),0)</f>
        <v>0</v>
      </c>
      <c r="G288" s="592"/>
      <c r="H288" s="608">
        <f>IFERROR(VLOOKUP($B286,اسماء,32,0),0)</f>
        <v>0</v>
      </c>
      <c r="I288" s="609"/>
      <c r="J288" s="589">
        <f>IFERROR(VLOOKUP($B286,اسماء,33,0),0)</f>
        <v>0</v>
      </c>
      <c r="K288" s="592"/>
      <c r="L288" s="589">
        <f>IFERROR(VLOOKUP($B286,اسماء,34,0),0)</f>
        <v>0</v>
      </c>
      <c r="M288" s="590"/>
      <c r="N288" s="589">
        <f>IFERROR(VLOOKUP($B286,اسماء,35,0),0)</f>
        <v>0</v>
      </c>
      <c r="O288" s="590"/>
      <c r="P288" s="589">
        <f>IFERROR(VLOOKUP($B286,اسماء,36,0),0)</f>
        <v>0</v>
      </c>
      <c r="Q288" s="609"/>
      <c r="R288" s="603">
        <f>IFERROR(VLOOKUP($B286,اسماء,37,0),0)</f>
        <v>0</v>
      </c>
      <c r="S288" s="592"/>
      <c r="T288" s="589">
        <f>IFERROR(VLOOKUP($B286,اسماء,38,0),0)</f>
        <v>0</v>
      </c>
      <c r="U288" s="592"/>
      <c r="V288" s="263">
        <f t="shared" si="843"/>
        <v>0</v>
      </c>
      <c r="W288" s="373">
        <f>IFERROR(VLOOKUP($B286,اسماء,40,0),0)</f>
        <v>0</v>
      </c>
      <c r="X288" s="373">
        <f>IFERROR(VLOOKUP($B286,اسماء,41,0),0)</f>
        <v>0</v>
      </c>
      <c r="Y288" s="596"/>
      <c r="Z288" s="22" t="str">
        <f>LOOKUP(V288,$AI$6:$AJ$10)</f>
        <v>ضعيف</v>
      </c>
      <c r="AA288" s="657"/>
      <c r="AB288" s="72"/>
      <c r="AC288" s="654"/>
      <c r="AN288" s="610"/>
      <c r="AO288" s="610"/>
      <c r="AP288" s="613"/>
      <c r="AQ288" s="612"/>
      <c r="AR288" s="611"/>
      <c r="AS288" s="612"/>
    </row>
    <row r="289" spans="1:45" ht="15" customHeight="1" thickBot="1" x14ac:dyDescent="0.3">
      <c r="A289" s="634"/>
      <c r="B289" s="631"/>
      <c r="C289" s="623"/>
      <c r="D289" s="626"/>
      <c r="E289" s="127" t="s">
        <v>33</v>
      </c>
      <c r="F289" s="585">
        <f t="shared" ref="F289" si="844">SUM(F286:G288)</f>
        <v>0</v>
      </c>
      <c r="G289" s="593"/>
      <c r="H289" s="604">
        <f t="shared" ref="H289" si="845">SUM(H286:I288)</f>
        <v>0</v>
      </c>
      <c r="I289" s="601"/>
      <c r="J289" s="585">
        <f t="shared" ref="J289" si="846">SUM(J286:K288)</f>
        <v>0</v>
      </c>
      <c r="K289" s="593"/>
      <c r="L289" s="585">
        <f t="shared" ref="L289" si="847">SUM(L286:M288)</f>
        <v>0</v>
      </c>
      <c r="M289" s="586"/>
      <c r="N289" s="585">
        <f t="shared" ref="N289" si="848">SUM(N286:O288)</f>
        <v>0</v>
      </c>
      <c r="O289" s="586"/>
      <c r="P289" s="585">
        <f t="shared" ref="P289" si="849">SUM(P286:Q288)</f>
        <v>0</v>
      </c>
      <c r="Q289" s="601"/>
      <c r="R289" s="602">
        <f t="shared" ref="R289" si="850">SUM(R286:S288)</f>
        <v>0</v>
      </c>
      <c r="S289" s="593"/>
      <c r="T289" s="585">
        <f t="shared" ref="T289" si="851">SUM(T286:U288)</f>
        <v>0</v>
      </c>
      <c r="U289" s="593"/>
      <c r="V289" s="210">
        <f t="shared" ref="V289" si="852">IF(AND(F289&gt;=$G$8,H289&gt;=$I$8,L289&gt;=$M$8,P289&gt;=$Q$8,R289&gt;=$S$8,T289&gt;=$U$8),SUM(F289:U289),0)</f>
        <v>0</v>
      </c>
      <c r="W289" s="264"/>
      <c r="X289" s="97"/>
      <c r="Y289" s="597"/>
      <c r="Z289" s="91" t="str">
        <f>LOOKUP(V289,$AL$6:$AM$10)</f>
        <v>ضعيف</v>
      </c>
      <c r="AA289" s="658"/>
      <c r="AB289" s="72"/>
      <c r="AC289" s="655"/>
      <c r="AN289" s="610"/>
      <c r="AO289" s="610"/>
      <c r="AP289" s="613"/>
      <c r="AQ289" s="612"/>
      <c r="AR289" s="611"/>
      <c r="AS289" s="612"/>
    </row>
    <row r="290" spans="1:45" ht="15" customHeight="1" thickBot="1" x14ac:dyDescent="0.3">
      <c r="A290" s="632">
        <v>62</v>
      </c>
      <c r="B290" s="629">
        <f>VLOOKUP(A290,مسلسل,2,0)</f>
        <v>0</v>
      </c>
      <c r="C290" s="621" t="str">
        <f>IFERROR(VLOOKUP(B290,اسماء,2,0),"")</f>
        <v/>
      </c>
      <c r="D290" s="624" t="str">
        <f>IFERROR(VLOOKUP($B290,اسماء,3,0),"")</f>
        <v/>
      </c>
      <c r="E290" s="132" t="s">
        <v>30</v>
      </c>
      <c r="F290" s="627">
        <f>IFERROR(VLOOKUP($B290,اسماء,5,0),0)</f>
        <v>0</v>
      </c>
      <c r="G290" s="606"/>
      <c r="H290" s="628">
        <f>IFERROR(VLOOKUP($B290,اسماء,6,0),0)</f>
        <v>0</v>
      </c>
      <c r="I290" s="605"/>
      <c r="J290" s="587">
        <f>IFERROR(VLOOKUP($B290,اسماء,7,0),0)</f>
        <v>0</v>
      </c>
      <c r="K290" s="591"/>
      <c r="L290" s="587">
        <f>IFERROR(VLOOKUP($B290,اسماء,8,0),0)</f>
        <v>0</v>
      </c>
      <c r="M290" s="588"/>
      <c r="N290" s="587">
        <f>IFERROR(VLOOKUP($B290,اسماء,9,0),0)</f>
        <v>0</v>
      </c>
      <c r="O290" s="605"/>
      <c r="P290" s="587">
        <f>IFERROR(VLOOKUP($B290,اسماء,10,0),0)</f>
        <v>0</v>
      </c>
      <c r="Q290" s="605"/>
      <c r="R290" s="606">
        <f>IFERROR(VLOOKUP($B290,اسماء,11,0),0)</f>
        <v>0</v>
      </c>
      <c r="S290" s="591"/>
      <c r="T290" s="587">
        <f>IFERROR(VLOOKUP($B290,اسماء,12,0),0)</f>
        <v>0</v>
      </c>
      <c r="U290" s="591"/>
      <c r="V290" s="263">
        <f t="shared" ref="V290:V292" si="853">SUM(F290:U290)</f>
        <v>0</v>
      </c>
      <c r="W290" s="373">
        <f>IFERROR(VLOOKUP($B290,اسماء,14,0),0)</f>
        <v>0</v>
      </c>
      <c r="X290" s="373">
        <f>IFERROR(VLOOKUP($B290,اسماء,15,0),0)</f>
        <v>0</v>
      </c>
      <c r="Y290" s="595" t="str">
        <f t="shared" ref="Y290" si="854">IF(AC290="غائب","راسب",IF(AND(F293&gt;=$G$8,H293&gt;=$I$8,J293&gt;=$K$8,L293&gt;=$M$8,N293&gt;=$O$8,P293&gt;=$Q$8,R293&gt;=$S$8,T293&gt;=$U$8),"ناجح","له دور ثان"))</f>
        <v>له دور ثان</v>
      </c>
      <c r="Z290" s="21" t="str">
        <f>LOOKUP(V290,$AF$6:$AG$10)</f>
        <v>ضعيف</v>
      </c>
      <c r="AA290" s="656">
        <f>V293/$AF$3</f>
        <v>0</v>
      </c>
      <c r="AB290" s="10"/>
      <c r="AC290" s="653" t="str">
        <f>IFERROR(VLOOKUP($B290,اسماء,54,0),"")</f>
        <v/>
      </c>
      <c r="AN290" s="607" t="str">
        <f t="shared" ref="AN290" si="855">IF(V293=0,"",V293/1+ROW()*0.00001)</f>
        <v/>
      </c>
      <c r="AO290" s="607">
        <f>B290</f>
        <v>0</v>
      </c>
      <c r="AP290" s="613"/>
      <c r="AQ290" s="612">
        <v>62</v>
      </c>
      <c r="AR290" s="611" t="str">
        <f>IFERROR(LARGE($AN$10:$AN$1006,AQ290),"")</f>
        <v/>
      </c>
      <c r="AS290" s="612" t="str">
        <f>VLOOKUP(AR290,$AN$10:$AO$1116,2,0)</f>
        <v>أحمد نورالدين أحمد الذيب</v>
      </c>
    </row>
    <row r="291" spans="1:45" ht="15" customHeight="1" thickBot="1" x14ac:dyDescent="0.3">
      <c r="A291" s="633"/>
      <c r="B291" s="630"/>
      <c r="C291" s="622"/>
      <c r="D291" s="625"/>
      <c r="E291" s="133" t="s">
        <v>31</v>
      </c>
      <c r="F291" s="589">
        <f>IFERROR(VLOOKUP($B290,اسماء,18,0),0)</f>
        <v>0</v>
      </c>
      <c r="G291" s="592"/>
      <c r="H291" s="608">
        <f>IFERROR(VLOOKUP($B290,اسماء,19,0),0)</f>
        <v>0</v>
      </c>
      <c r="I291" s="609"/>
      <c r="J291" s="589">
        <f>IFERROR(VLOOKUP($B290,اسماء,20,0),0)</f>
        <v>0</v>
      </c>
      <c r="K291" s="592"/>
      <c r="L291" s="589">
        <f>IFERROR(VLOOKUP($B290,اسماء,21,0),0)</f>
        <v>0</v>
      </c>
      <c r="M291" s="590"/>
      <c r="N291" s="589">
        <f>IFERROR(VLOOKUP($B290,اسماء,22,0),0)</f>
        <v>0</v>
      </c>
      <c r="O291" s="590"/>
      <c r="P291" s="589">
        <f>IFERROR(VLOOKUP($B290,اسماء,23,0),0)</f>
        <v>0</v>
      </c>
      <c r="Q291" s="609"/>
      <c r="R291" s="603">
        <f>IFERROR(VLOOKUP($B290,اسماء,24,0),0)</f>
        <v>0</v>
      </c>
      <c r="S291" s="592"/>
      <c r="T291" s="589">
        <f>IFERROR(VLOOKUP($B290,اسماء,25,0),0)</f>
        <v>0</v>
      </c>
      <c r="U291" s="592"/>
      <c r="V291" s="263">
        <f t="shared" si="853"/>
        <v>0</v>
      </c>
      <c r="W291" s="373">
        <f>IFERROR(VLOOKUP($B290,اسماء,27,0),0)</f>
        <v>0</v>
      </c>
      <c r="X291" s="373">
        <f>IFERROR(VLOOKUP($B290,اسماء,28,0),0)</f>
        <v>0</v>
      </c>
      <c r="Y291" s="596"/>
      <c r="Z291" s="22" t="str">
        <f>LOOKUP(V291,$AF$6:$AG$10)</f>
        <v>ضعيف</v>
      </c>
      <c r="AA291" s="657"/>
      <c r="AB291" s="72"/>
      <c r="AC291" s="654"/>
      <c r="AN291" s="607"/>
      <c r="AO291" s="607"/>
      <c r="AP291" s="613"/>
      <c r="AQ291" s="612"/>
      <c r="AR291" s="611"/>
      <c r="AS291" s="612"/>
    </row>
    <row r="292" spans="1:45" ht="15" customHeight="1" x14ac:dyDescent="0.25">
      <c r="A292" s="633"/>
      <c r="B292" s="630"/>
      <c r="C292" s="622"/>
      <c r="D292" s="625"/>
      <c r="E292" s="133" t="s">
        <v>32</v>
      </c>
      <c r="F292" s="589">
        <f>IFERROR(VLOOKUP($B290,اسماء,31,0),0)</f>
        <v>0</v>
      </c>
      <c r="G292" s="592"/>
      <c r="H292" s="608">
        <f>IFERROR(VLOOKUP($B290,اسماء,32,0),0)</f>
        <v>0</v>
      </c>
      <c r="I292" s="609"/>
      <c r="J292" s="589">
        <f>IFERROR(VLOOKUP($B290,اسماء,33,0),0)</f>
        <v>0</v>
      </c>
      <c r="K292" s="592"/>
      <c r="L292" s="589">
        <f>IFERROR(VLOOKUP($B290,اسماء,34,0),0)</f>
        <v>0</v>
      </c>
      <c r="M292" s="590"/>
      <c r="N292" s="589">
        <f>IFERROR(VLOOKUP($B290,اسماء,35,0),0)</f>
        <v>0</v>
      </c>
      <c r="O292" s="590"/>
      <c r="P292" s="589">
        <f>IFERROR(VLOOKUP($B290,اسماء,36,0),0)</f>
        <v>0</v>
      </c>
      <c r="Q292" s="609"/>
      <c r="R292" s="603">
        <f>IFERROR(VLOOKUP($B290,اسماء,37,0),0)</f>
        <v>0</v>
      </c>
      <c r="S292" s="592"/>
      <c r="T292" s="589">
        <f>IFERROR(VLOOKUP($B290,اسماء,38,0),0)</f>
        <v>0</v>
      </c>
      <c r="U292" s="592"/>
      <c r="V292" s="263">
        <f t="shared" si="853"/>
        <v>0</v>
      </c>
      <c r="W292" s="373">
        <f>IFERROR(VLOOKUP($B290,اسماء,40,0),0)</f>
        <v>0</v>
      </c>
      <c r="X292" s="373">
        <f>IFERROR(VLOOKUP($B290,اسماء,41,0),0)</f>
        <v>0</v>
      </c>
      <c r="Y292" s="596"/>
      <c r="Z292" s="22" t="str">
        <f>LOOKUP(V292,$AI$6:$AJ$10)</f>
        <v>ضعيف</v>
      </c>
      <c r="AA292" s="657"/>
      <c r="AB292" s="72"/>
      <c r="AC292" s="654"/>
      <c r="AN292" s="607"/>
      <c r="AO292" s="607"/>
      <c r="AP292" s="613"/>
      <c r="AQ292" s="612"/>
      <c r="AR292" s="611"/>
      <c r="AS292" s="612"/>
    </row>
    <row r="293" spans="1:45" ht="15" customHeight="1" thickBot="1" x14ac:dyDescent="0.3">
      <c r="A293" s="634"/>
      <c r="B293" s="631"/>
      <c r="C293" s="623"/>
      <c r="D293" s="626"/>
      <c r="E293" s="127" t="s">
        <v>33</v>
      </c>
      <c r="F293" s="585">
        <f t="shared" ref="F293" si="856">SUM(F290:G292)</f>
        <v>0</v>
      </c>
      <c r="G293" s="593"/>
      <c r="H293" s="604">
        <f t="shared" ref="H293" si="857">SUM(H290:I292)</f>
        <v>0</v>
      </c>
      <c r="I293" s="601"/>
      <c r="J293" s="585">
        <f t="shared" ref="J293" si="858">SUM(J290:K292)</f>
        <v>0</v>
      </c>
      <c r="K293" s="593"/>
      <c r="L293" s="585">
        <f t="shared" ref="L293" si="859">SUM(L290:M292)</f>
        <v>0</v>
      </c>
      <c r="M293" s="586"/>
      <c r="N293" s="585">
        <f t="shared" ref="N293" si="860">SUM(N290:O292)</f>
        <v>0</v>
      </c>
      <c r="O293" s="586"/>
      <c r="P293" s="585">
        <f t="shared" ref="P293" si="861">SUM(P290:Q292)</f>
        <v>0</v>
      </c>
      <c r="Q293" s="601"/>
      <c r="R293" s="602">
        <f t="shared" ref="R293" si="862">SUM(R290:S292)</f>
        <v>0</v>
      </c>
      <c r="S293" s="593"/>
      <c r="T293" s="585">
        <f t="shared" ref="T293" si="863">SUM(T290:U292)</f>
        <v>0</v>
      </c>
      <c r="U293" s="593"/>
      <c r="V293" s="210">
        <f t="shared" ref="V293" si="864">IF(AND(F293&gt;=$G$8,H293&gt;=$I$8,L293&gt;=$M$8,P293&gt;=$Q$8,R293&gt;=$S$8,T293&gt;=$U$8),SUM(F293:U293),0)</f>
        <v>0</v>
      </c>
      <c r="W293" s="264"/>
      <c r="X293" s="97"/>
      <c r="Y293" s="597"/>
      <c r="Z293" s="91" t="str">
        <f>LOOKUP(V293,$AL$6:$AM$10)</f>
        <v>ضعيف</v>
      </c>
      <c r="AA293" s="658"/>
      <c r="AB293" s="10"/>
      <c r="AC293" s="655"/>
      <c r="AN293" s="607"/>
      <c r="AO293" s="607"/>
      <c r="AP293" s="613"/>
      <c r="AQ293" s="612"/>
      <c r="AR293" s="611"/>
      <c r="AS293" s="612"/>
    </row>
    <row r="294" spans="1:45" ht="15" customHeight="1" thickBot="1" x14ac:dyDescent="0.3">
      <c r="A294" s="632">
        <v>63</v>
      </c>
      <c r="B294" s="629">
        <f>VLOOKUP(A294,مسلسل,2,0)</f>
        <v>0</v>
      </c>
      <c r="C294" s="621" t="str">
        <f>IFERROR(VLOOKUP(B294,اسماء,2,0),"")</f>
        <v/>
      </c>
      <c r="D294" s="624" t="str">
        <f>IFERROR(VLOOKUP($B294,اسماء,3,0),"")</f>
        <v/>
      </c>
      <c r="E294" s="132" t="s">
        <v>30</v>
      </c>
      <c r="F294" s="627">
        <f>IFERROR(VLOOKUP($B294,اسماء,5,0),0)</f>
        <v>0</v>
      </c>
      <c r="G294" s="606"/>
      <c r="H294" s="628">
        <f>IFERROR(VLOOKUP($B294,اسماء,6,0),0)</f>
        <v>0</v>
      </c>
      <c r="I294" s="605"/>
      <c r="J294" s="587">
        <f>IFERROR(VLOOKUP($B294,اسماء,7,0),0)</f>
        <v>0</v>
      </c>
      <c r="K294" s="591"/>
      <c r="L294" s="587">
        <f>IFERROR(VLOOKUP($B294,اسماء,8,0),0)</f>
        <v>0</v>
      </c>
      <c r="M294" s="588"/>
      <c r="N294" s="587">
        <f>IFERROR(VLOOKUP($B294,اسماء,9,0),0)</f>
        <v>0</v>
      </c>
      <c r="O294" s="605"/>
      <c r="P294" s="587">
        <f>IFERROR(VLOOKUP($B294,اسماء,10,0),0)</f>
        <v>0</v>
      </c>
      <c r="Q294" s="605"/>
      <c r="R294" s="606">
        <f>IFERROR(VLOOKUP($B294,اسماء,11,0),0)</f>
        <v>0</v>
      </c>
      <c r="S294" s="591"/>
      <c r="T294" s="587">
        <f>IFERROR(VLOOKUP($B294,اسماء,12,0),0)</f>
        <v>0</v>
      </c>
      <c r="U294" s="591"/>
      <c r="V294" s="263">
        <f t="shared" ref="V294:V296" si="865">SUM(F294:U294)</f>
        <v>0</v>
      </c>
      <c r="W294" s="373">
        <f>IFERROR(VLOOKUP($B294,اسماء,14,0),0)</f>
        <v>0</v>
      </c>
      <c r="X294" s="373">
        <f>IFERROR(VLOOKUP($B294,اسماء,15,0),0)</f>
        <v>0</v>
      </c>
      <c r="Y294" s="595" t="str">
        <f t="shared" ref="Y294" si="866">IF(AC294="غائب","راسب",IF(AND(F297&gt;=$G$8,H297&gt;=$I$8,J297&gt;=$K$8,L297&gt;=$M$8,N297&gt;=$O$8,P297&gt;=$Q$8,R297&gt;=$S$8,T297&gt;=$U$8),"ناجح","له دور ثان"))</f>
        <v>له دور ثان</v>
      </c>
      <c r="Z294" s="21" t="str">
        <f>LOOKUP(V294,$AF$6:$AG$10)</f>
        <v>ضعيف</v>
      </c>
      <c r="AA294" s="656">
        <f>V297/$AF$3</f>
        <v>0</v>
      </c>
      <c r="AB294" s="72"/>
      <c r="AC294" s="653" t="str">
        <f>IFERROR(VLOOKUP($B294,اسماء,54,0),"")</f>
        <v/>
      </c>
      <c r="AN294" s="607" t="str">
        <f t="shared" ref="AN294" si="867">IF(V297=0,"",V297/1+ROW()*0.00001)</f>
        <v/>
      </c>
      <c r="AO294" s="607">
        <f>B294</f>
        <v>0</v>
      </c>
      <c r="AP294" s="613"/>
      <c r="AQ294" s="612">
        <v>63</v>
      </c>
      <c r="AR294" s="611" t="str">
        <f>IFERROR(LARGE($AN$10:$AN$1006,AQ294),"")</f>
        <v/>
      </c>
      <c r="AS294" s="612" t="str">
        <f>VLOOKUP(AR294,$AN$10:$AO$1116,2,0)</f>
        <v>أحمد نورالدين أحمد الذيب</v>
      </c>
    </row>
    <row r="295" spans="1:45" ht="15" customHeight="1" thickBot="1" x14ac:dyDescent="0.3">
      <c r="A295" s="633"/>
      <c r="B295" s="630"/>
      <c r="C295" s="622"/>
      <c r="D295" s="625"/>
      <c r="E295" s="133" t="s">
        <v>31</v>
      </c>
      <c r="F295" s="589">
        <f>IFERROR(VLOOKUP($B294,اسماء,18,0),0)</f>
        <v>0</v>
      </c>
      <c r="G295" s="592"/>
      <c r="H295" s="608">
        <f>IFERROR(VLOOKUP($B294,اسماء,19,0),0)</f>
        <v>0</v>
      </c>
      <c r="I295" s="609"/>
      <c r="J295" s="589">
        <f>IFERROR(VLOOKUP($B294,اسماء,20,0),0)</f>
        <v>0</v>
      </c>
      <c r="K295" s="592"/>
      <c r="L295" s="589">
        <f>IFERROR(VLOOKUP($B294,اسماء,21,0),0)</f>
        <v>0</v>
      </c>
      <c r="M295" s="590"/>
      <c r="N295" s="589">
        <f>IFERROR(VLOOKUP($B294,اسماء,22,0),0)</f>
        <v>0</v>
      </c>
      <c r="O295" s="590"/>
      <c r="P295" s="589">
        <f>IFERROR(VLOOKUP($B294,اسماء,23,0),0)</f>
        <v>0</v>
      </c>
      <c r="Q295" s="609"/>
      <c r="R295" s="603">
        <f>IFERROR(VLOOKUP($B294,اسماء,24,0),0)</f>
        <v>0</v>
      </c>
      <c r="S295" s="592"/>
      <c r="T295" s="589">
        <f>IFERROR(VLOOKUP($B294,اسماء,25,0),0)</f>
        <v>0</v>
      </c>
      <c r="U295" s="592"/>
      <c r="V295" s="263">
        <f t="shared" si="865"/>
        <v>0</v>
      </c>
      <c r="W295" s="373">
        <f>IFERROR(VLOOKUP($B294,اسماء,27,0),0)</f>
        <v>0</v>
      </c>
      <c r="X295" s="373">
        <f>IFERROR(VLOOKUP($B294,اسماء,28,0),0)</f>
        <v>0</v>
      </c>
      <c r="Y295" s="596"/>
      <c r="Z295" s="22" t="str">
        <f>LOOKUP(V295,$AF$6:$AG$10)</f>
        <v>ضعيف</v>
      </c>
      <c r="AA295" s="657"/>
      <c r="AB295" s="72"/>
      <c r="AC295" s="654"/>
      <c r="AN295" s="607"/>
      <c r="AO295" s="607"/>
      <c r="AP295" s="613"/>
      <c r="AQ295" s="612"/>
      <c r="AR295" s="611"/>
      <c r="AS295" s="612"/>
    </row>
    <row r="296" spans="1:45" ht="15" customHeight="1" x14ac:dyDescent="0.25">
      <c r="A296" s="633"/>
      <c r="B296" s="630"/>
      <c r="C296" s="622"/>
      <c r="D296" s="625"/>
      <c r="E296" s="133" t="s">
        <v>32</v>
      </c>
      <c r="F296" s="589">
        <f>IFERROR(VLOOKUP($B294,اسماء,31,0),0)</f>
        <v>0</v>
      </c>
      <c r="G296" s="592"/>
      <c r="H296" s="608">
        <f>IFERROR(VLOOKUP($B294,اسماء,32,0),0)</f>
        <v>0</v>
      </c>
      <c r="I296" s="609"/>
      <c r="J296" s="589">
        <f>IFERROR(VLOOKUP($B294,اسماء,33,0),0)</f>
        <v>0</v>
      </c>
      <c r="K296" s="592"/>
      <c r="L296" s="589">
        <f>IFERROR(VLOOKUP($B294,اسماء,34,0),0)</f>
        <v>0</v>
      </c>
      <c r="M296" s="590"/>
      <c r="N296" s="589">
        <f>IFERROR(VLOOKUP($B294,اسماء,35,0),0)</f>
        <v>0</v>
      </c>
      <c r="O296" s="590"/>
      <c r="P296" s="589">
        <f>IFERROR(VLOOKUP($B294,اسماء,36,0),0)</f>
        <v>0</v>
      </c>
      <c r="Q296" s="609"/>
      <c r="R296" s="603">
        <f>IFERROR(VLOOKUP($B294,اسماء,37,0),0)</f>
        <v>0</v>
      </c>
      <c r="S296" s="592"/>
      <c r="T296" s="589">
        <f>IFERROR(VLOOKUP($B294,اسماء,38,0),0)</f>
        <v>0</v>
      </c>
      <c r="U296" s="592"/>
      <c r="V296" s="263">
        <f t="shared" si="865"/>
        <v>0</v>
      </c>
      <c r="W296" s="373">
        <f>IFERROR(VLOOKUP($B294,اسماء,40,0),0)</f>
        <v>0</v>
      </c>
      <c r="X296" s="373">
        <f>IFERROR(VLOOKUP($B294,اسماء,41,0),0)</f>
        <v>0</v>
      </c>
      <c r="Y296" s="596"/>
      <c r="Z296" s="22" t="str">
        <f>LOOKUP(V296,$AI$6:$AJ$10)</f>
        <v>ضعيف</v>
      </c>
      <c r="AA296" s="657"/>
      <c r="AB296" s="10"/>
      <c r="AC296" s="654"/>
      <c r="AN296" s="607"/>
      <c r="AO296" s="607"/>
      <c r="AP296" s="613"/>
      <c r="AQ296" s="612"/>
      <c r="AR296" s="611"/>
      <c r="AS296" s="612"/>
    </row>
    <row r="297" spans="1:45" ht="15" customHeight="1" thickBot="1" x14ac:dyDescent="0.3">
      <c r="A297" s="634"/>
      <c r="B297" s="631"/>
      <c r="C297" s="623"/>
      <c r="D297" s="626"/>
      <c r="E297" s="127" t="s">
        <v>33</v>
      </c>
      <c r="F297" s="585">
        <f t="shared" ref="F297" si="868">SUM(F294:G296)</f>
        <v>0</v>
      </c>
      <c r="G297" s="593"/>
      <c r="H297" s="604">
        <f t="shared" ref="H297" si="869">SUM(H294:I296)</f>
        <v>0</v>
      </c>
      <c r="I297" s="601"/>
      <c r="J297" s="585">
        <f t="shared" ref="J297" si="870">SUM(J294:K296)</f>
        <v>0</v>
      </c>
      <c r="K297" s="593"/>
      <c r="L297" s="585">
        <f t="shared" ref="L297" si="871">SUM(L294:M296)</f>
        <v>0</v>
      </c>
      <c r="M297" s="586"/>
      <c r="N297" s="585">
        <f t="shared" ref="N297" si="872">SUM(N294:O296)</f>
        <v>0</v>
      </c>
      <c r="O297" s="586"/>
      <c r="P297" s="585">
        <f t="shared" ref="P297" si="873">SUM(P294:Q296)</f>
        <v>0</v>
      </c>
      <c r="Q297" s="601"/>
      <c r="R297" s="602">
        <f t="shared" ref="R297" si="874">SUM(R294:S296)</f>
        <v>0</v>
      </c>
      <c r="S297" s="593"/>
      <c r="T297" s="585">
        <f t="shared" ref="T297" si="875">SUM(T294:U296)</f>
        <v>0</v>
      </c>
      <c r="U297" s="593"/>
      <c r="V297" s="210">
        <f t="shared" ref="V297" si="876">IF(AND(F297&gt;=$G$8,H297&gt;=$I$8,L297&gt;=$M$8,P297&gt;=$Q$8,R297&gt;=$S$8,T297&gt;=$U$8),SUM(F297:U297),0)</f>
        <v>0</v>
      </c>
      <c r="W297" s="264"/>
      <c r="X297" s="97"/>
      <c r="Y297" s="597"/>
      <c r="Z297" s="91" t="str">
        <f>LOOKUP(V297,$AL$6:$AM$10)</f>
        <v>ضعيف</v>
      </c>
      <c r="AA297" s="658"/>
      <c r="AB297" s="72"/>
      <c r="AC297" s="655"/>
      <c r="AN297" s="607"/>
      <c r="AO297" s="607"/>
      <c r="AP297" s="613"/>
      <c r="AQ297" s="612"/>
      <c r="AR297" s="611"/>
      <c r="AS297" s="612"/>
    </row>
    <row r="298" spans="1:45" ht="15" customHeight="1" thickBot="1" x14ac:dyDescent="0.3">
      <c r="A298" s="632">
        <v>64</v>
      </c>
      <c r="B298" s="629">
        <f>VLOOKUP(A298,مسلسل,2,0)</f>
        <v>0</v>
      </c>
      <c r="C298" s="621" t="str">
        <f>IFERROR(VLOOKUP(B298,اسماء,2,0),"")</f>
        <v/>
      </c>
      <c r="D298" s="624" t="str">
        <f>IFERROR(VLOOKUP($B298,اسماء,3,0),"")</f>
        <v/>
      </c>
      <c r="E298" s="132" t="s">
        <v>30</v>
      </c>
      <c r="F298" s="627">
        <f>IFERROR(VLOOKUP($B298,اسماء,5,0),0)</f>
        <v>0</v>
      </c>
      <c r="G298" s="606"/>
      <c r="H298" s="628">
        <f>IFERROR(VLOOKUP($B298,اسماء,6,0),0)</f>
        <v>0</v>
      </c>
      <c r="I298" s="605"/>
      <c r="J298" s="587">
        <f>IFERROR(VLOOKUP($B298,اسماء,7,0),0)</f>
        <v>0</v>
      </c>
      <c r="K298" s="591"/>
      <c r="L298" s="587">
        <f>IFERROR(VLOOKUP($B298,اسماء,8,0),0)</f>
        <v>0</v>
      </c>
      <c r="M298" s="588"/>
      <c r="N298" s="587">
        <f>IFERROR(VLOOKUP($B298,اسماء,9,0),0)</f>
        <v>0</v>
      </c>
      <c r="O298" s="605"/>
      <c r="P298" s="587">
        <f>IFERROR(VLOOKUP($B298,اسماء,10,0),0)</f>
        <v>0</v>
      </c>
      <c r="Q298" s="605"/>
      <c r="R298" s="606">
        <f>IFERROR(VLOOKUP($B298,اسماء,11,0),0)</f>
        <v>0</v>
      </c>
      <c r="S298" s="591"/>
      <c r="T298" s="587">
        <f>IFERROR(VLOOKUP($B298,اسماء,12,0),0)</f>
        <v>0</v>
      </c>
      <c r="U298" s="591"/>
      <c r="V298" s="263">
        <f t="shared" ref="V298:V300" si="877">SUM(F298:U298)</f>
        <v>0</v>
      </c>
      <c r="W298" s="373">
        <f>IFERROR(VLOOKUP($B298,اسماء,14,0),0)</f>
        <v>0</v>
      </c>
      <c r="X298" s="373">
        <f>IFERROR(VLOOKUP($B298,اسماء,15,0),0)</f>
        <v>0</v>
      </c>
      <c r="Y298" s="595" t="str">
        <f t="shared" ref="Y298" si="878">IF(AC298="غائب","راسب",IF(AND(F301&gt;=$G$8,H301&gt;=$I$8,J301&gt;=$K$8,L301&gt;=$M$8,N301&gt;=$O$8,P301&gt;=$Q$8,R301&gt;=$S$8,T301&gt;=$U$8),"ناجح","له دور ثان"))</f>
        <v>له دور ثان</v>
      </c>
      <c r="Z298" s="21" t="str">
        <f>LOOKUP(V298,$AF$6:$AG$10)</f>
        <v>ضعيف</v>
      </c>
      <c r="AA298" s="656">
        <f>V301/$AF$3</f>
        <v>0</v>
      </c>
      <c r="AB298" s="72"/>
      <c r="AC298" s="653" t="str">
        <f>IFERROR(VLOOKUP($B298,اسماء,54,0),"")</f>
        <v/>
      </c>
      <c r="AN298" s="607" t="str">
        <f t="shared" ref="AN298" si="879">IF(V301=0,"",V301/1+ROW()*0.00001)</f>
        <v/>
      </c>
      <c r="AO298" s="607">
        <f>B298</f>
        <v>0</v>
      </c>
      <c r="AP298" s="613"/>
      <c r="AQ298" s="612">
        <v>64</v>
      </c>
      <c r="AR298" s="611" t="str">
        <f>IFERROR(LARGE($AN$10:$AN$1006,AQ298),"")</f>
        <v/>
      </c>
      <c r="AS298" s="612" t="str">
        <f>VLOOKUP(AR298,$AN$10:$AO$1116,2,0)</f>
        <v>أحمد نورالدين أحمد الذيب</v>
      </c>
    </row>
    <row r="299" spans="1:45" ht="15" customHeight="1" thickBot="1" x14ac:dyDescent="0.3">
      <c r="A299" s="633"/>
      <c r="B299" s="630"/>
      <c r="C299" s="622"/>
      <c r="D299" s="625"/>
      <c r="E299" s="133" t="s">
        <v>31</v>
      </c>
      <c r="F299" s="589">
        <f>IFERROR(VLOOKUP($B298,اسماء,18,0),0)</f>
        <v>0</v>
      </c>
      <c r="G299" s="592"/>
      <c r="H299" s="608">
        <f>IFERROR(VLOOKUP($B298,اسماء,19,0),0)</f>
        <v>0</v>
      </c>
      <c r="I299" s="609"/>
      <c r="J299" s="589">
        <f>IFERROR(VLOOKUP($B298,اسماء,20,0),0)</f>
        <v>0</v>
      </c>
      <c r="K299" s="592"/>
      <c r="L299" s="589">
        <f>IFERROR(VLOOKUP($B298,اسماء,21,0),0)</f>
        <v>0</v>
      </c>
      <c r="M299" s="590"/>
      <c r="N299" s="589">
        <f>IFERROR(VLOOKUP($B298,اسماء,22,0),0)</f>
        <v>0</v>
      </c>
      <c r="O299" s="590"/>
      <c r="P299" s="589">
        <f>IFERROR(VLOOKUP($B298,اسماء,23,0),0)</f>
        <v>0</v>
      </c>
      <c r="Q299" s="609"/>
      <c r="R299" s="603">
        <f>IFERROR(VLOOKUP($B298,اسماء,24,0),0)</f>
        <v>0</v>
      </c>
      <c r="S299" s="592"/>
      <c r="T299" s="589">
        <f>IFERROR(VLOOKUP($B298,اسماء,25,0),0)</f>
        <v>0</v>
      </c>
      <c r="U299" s="592"/>
      <c r="V299" s="263">
        <f t="shared" si="877"/>
        <v>0</v>
      </c>
      <c r="W299" s="373">
        <f>IFERROR(VLOOKUP($B298,اسماء,27,0),0)</f>
        <v>0</v>
      </c>
      <c r="X299" s="373">
        <f>IFERROR(VLOOKUP($B298,اسماء,28,0),0)</f>
        <v>0</v>
      </c>
      <c r="Y299" s="596"/>
      <c r="Z299" s="22" t="str">
        <f>LOOKUP(V299,$AF$6:$AG$10)</f>
        <v>ضعيف</v>
      </c>
      <c r="AA299" s="657"/>
      <c r="AB299" s="10"/>
      <c r="AC299" s="654"/>
      <c r="AN299" s="607"/>
      <c r="AO299" s="607"/>
      <c r="AP299" s="613"/>
      <c r="AQ299" s="612"/>
      <c r="AR299" s="611"/>
      <c r="AS299" s="612"/>
    </row>
    <row r="300" spans="1:45" ht="15" customHeight="1" x14ac:dyDescent="0.25">
      <c r="A300" s="633"/>
      <c r="B300" s="630"/>
      <c r="C300" s="622"/>
      <c r="D300" s="625"/>
      <c r="E300" s="133" t="s">
        <v>32</v>
      </c>
      <c r="F300" s="589">
        <f>IFERROR(VLOOKUP($B298,اسماء,31,0),0)</f>
        <v>0</v>
      </c>
      <c r="G300" s="592"/>
      <c r="H300" s="608">
        <f>IFERROR(VLOOKUP($B298,اسماء,32,0),0)</f>
        <v>0</v>
      </c>
      <c r="I300" s="609"/>
      <c r="J300" s="589">
        <f>IFERROR(VLOOKUP($B298,اسماء,33,0),0)</f>
        <v>0</v>
      </c>
      <c r="K300" s="592"/>
      <c r="L300" s="589">
        <f>IFERROR(VLOOKUP($B298,اسماء,34,0),0)</f>
        <v>0</v>
      </c>
      <c r="M300" s="590"/>
      <c r="N300" s="589">
        <f>IFERROR(VLOOKUP($B298,اسماء,35,0),0)</f>
        <v>0</v>
      </c>
      <c r="O300" s="590"/>
      <c r="P300" s="589">
        <f>IFERROR(VLOOKUP($B298,اسماء,36,0),0)</f>
        <v>0</v>
      </c>
      <c r="Q300" s="609"/>
      <c r="R300" s="603">
        <f>IFERROR(VLOOKUP($B298,اسماء,37,0),0)</f>
        <v>0</v>
      </c>
      <c r="S300" s="592"/>
      <c r="T300" s="589">
        <f>IFERROR(VLOOKUP($B298,اسماء,38,0),0)</f>
        <v>0</v>
      </c>
      <c r="U300" s="592"/>
      <c r="V300" s="263">
        <f t="shared" si="877"/>
        <v>0</v>
      </c>
      <c r="W300" s="373">
        <f>IFERROR(VLOOKUP($B298,اسماء,40,0),0)</f>
        <v>0</v>
      </c>
      <c r="X300" s="373">
        <f>IFERROR(VLOOKUP($B298,اسماء,41,0),0)</f>
        <v>0</v>
      </c>
      <c r="Y300" s="596"/>
      <c r="Z300" s="22" t="str">
        <f>LOOKUP(V300,$AI$6:$AJ$10)</f>
        <v>ضعيف</v>
      </c>
      <c r="AA300" s="657"/>
      <c r="AB300" s="72"/>
      <c r="AC300" s="654"/>
      <c r="AN300" s="607"/>
      <c r="AO300" s="607"/>
      <c r="AP300" s="613"/>
      <c r="AQ300" s="612"/>
      <c r="AR300" s="611"/>
      <c r="AS300" s="612"/>
    </row>
    <row r="301" spans="1:45" ht="15" customHeight="1" thickBot="1" x14ac:dyDescent="0.3">
      <c r="A301" s="634"/>
      <c r="B301" s="631"/>
      <c r="C301" s="623"/>
      <c r="D301" s="626"/>
      <c r="E301" s="127" t="s">
        <v>33</v>
      </c>
      <c r="F301" s="585">
        <f t="shared" ref="F301" si="880">SUM(F298:G300)</f>
        <v>0</v>
      </c>
      <c r="G301" s="593"/>
      <c r="H301" s="604">
        <f t="shared" ref="H301" si="881">SUM(H298:I300)</f>
        <v>0</v>
      </c>
      <c r="I301" s="601"/>
      <c r="J301" s="585">
        <f t="shared" ref="J301" si="882">SUM(J298:K300)</f>
        <v>0</v>
      </c>
      <c r="K301" s="593"/>
      <c r="L301" s="585">
        <f t="shared" ref="L301" si="883">SUM(L298:M300)</f>
        <v>0</v>
      </c>
      <c r="M301" s="586"/>
      <c r="N301" s="585">
        <f t="shared" ref="N301" si="884">SUM(N298:O300)</f>
        <v>0</v>
      </c>
      <c r="O301" s="586"/>
      <c r="P301" s="585">
        <f t="shared" ref="P301" si="885">SUM(P298:Q300)</f>
        <v>0</v>
      </c>
      <c r="Q301" s="601"/>
      <c r="R301" s="602">
        <f t="shared" ref="R301" si="886">SUM(R298:S300)</f>
        <v>0</v>
      </c>
      <c r="S301" s="593"/>
      <c r="T301" s="585">
        <f t="shared" ref="T301" si="887">SUM(T298:U300)</f>
        <v>0</v>
      </c>
      <c r="U301" s="593"/>
      <c r="V301" s="210">
        <f t="shared" ref="V301" si="888">IF(AND(F301&gt;=$G$8,H301&gt;=$I$8,L301&gt;=$M$8,P301&gt;=$Q$8,R301&gt;=$S$8,T301&gt;=$U$8),SUM(F301:U301),0)</f>
        <v>0</v>
      </c>
      <c r="W301" s="264"/>
      <c r="X301" s="97"/>
      <c r="Y301" s="597"/>
      <c r="Z301" s="91" t="str">
        <f>LOOKUP(V301,$AL$6:$AM$10)</f>
        <v>ضعيف</v>
      </c>
      <c r="AA301" s="658"/>
      <c r="AB301" s="72"/>
      <c r="AC301" s="655"/>
      <c r="AN301" s="607"/>
      <c r="AO301" s="607"/>
      <c r="AP301" s="613"/>
      <c r="AQ301" s="612"/>
      <c r="AR301" s="611"/>
      <c r="AS301" s="612"/>
    </row>
    <row r="302" spans="1:45" ht="15" customHeight="1" thickBot="1" x14ac:dyDescent="0.3">
      <c r="A302" s="632">
        <v>65</v>
      </c>
      <c r="B302" s="629">
        <f>VLOOKUP(A302,مسلسل,2,0)</f>
        <v>0</v>
      </c>
      <c r="C302" s="621" t="str">
        <f>IFERROR(VLOOKUP(B302,اسماء,2,0),"")</f>
        <v/>
      </c>
      <c r="D302" s="624" t="str">
        <f>IFERROR(VLOOKUP($B302,اسماء,3,0),"")</f>
        <v/>
      </c>
      <c r="E302" s="132" t="s">
        <v>30</v>
      </c>
      <c r="F302" s="627">
        <f>IFERROR(VLOOKUP($B302,اسماء,5,0),0)</f>
        <v>0</v>
      </c>
      <c r="G302" s="606"/>
      <c r="H302" s="628">
        <f>IFERROR(VLOOKUP($B302,اسماء,6,0),0)</f>
        <v>0</v>
      </c>
      <c r="I302" s="605"/>
      <c r="J302" s="587">
        <f>IFERROR(VLOOKUP($B302,اسماء,7,0),0)</f>
        <v>0</v>
      </c>
      <c r="K302" s="591"/>
      <c r="L302" s="587">
        <f>IFERROR(VLOOKUP($B302,اسماء,8,0),0)</f>
        <v>0</v>
      </c>
      <c r="M302" s="588"/>
      <c r="N302" s="587">
        <f>IFERROR(VLOOKUP($B302,اسماء,9,0),0)</f>
        <v>0</v>
      </c>
      <c r="O302" s="605"/>
      <c r="P302" s="587">
        <f>IFERROR(VLOOKUP($B302,اسماء,10,0),0)</f>
        <v>0</v>
      </c>
      <c r="Q302" s="605"/>
      <c r="R302" s="606">
        <f>IFERROR(VLOOKUP($B302,اسماء,11,0),0)</f>
        <v>0</v>
      </c>
      <c r="S302" s="591"/>
      <c r="T302" s="587">
        <f>IFERROR(VLOOKUP($B302,اسماء,12,0),0)</f>
        <v>0</v>
      </c>
      <c r="U302" s="591"/>
      <c r="V302" s="263">
        <f t="shared" ref="V302:V304" si="889">SUM(F302:U302)</f>
        <v>0</v>
      </c>
      <c r="W302" s="373">
        <f>IFERROR(VLOOKUP($B302,اسماء,14,0),0)</f>
        <v>0</v>
      </c>
      <c r="X302" s="373">
        <f>IFERROR(VLOOKUP($B302,اسماء,15,0),0)</f>
        <v>0</v>
      </c>
      <c r="Y302" s="595" t="str">
        <f t="shared" ref="Y302" si="890">IF(AC302="غائب","راسب",IF(AND(F305&gt;=$G$8,H305&gt;=$I$8,J305&gt;=$K$8,L305&gt;=$M$8,N305&gt;=$O$8,P305&gt;=$Q$8,R305&gt;=$S$8,T305&gt;=$U$8),"ناجح","له دور ثان"))</f>
        <v>له دور ثان</v>
      </c>
      <c r="Z302" s="21" t="str">
        <f t="shared" ref="Z302:Z303" si="891">LOOKUP(V302,$AF$6:$AG$10)</f>
        <v>ضعيف</v>
      </c>
      <c r="AA302" s="656">
        <f t="shared" ref="AA302" si="892">V305/$AF$3</f>
        <v>0</v>
      </c>
      <c r="AB302" s="10"/>
      <c r="AC302" s="653" t="str">
        <f>IFERROR(VLOOKUP($B302,اسماء,54,0),"")</f>
        <v/>
      </c>
      <c r="AN302" s="607" t="str">
        <f t="shared" ref="AN302" si="893">IF(V305=0,"",V305/1+ROW()*0.00001)</f>
        <v/>
      </c>
      <c r="AO302" s="607">
        <f>B302</f>
        <v>0</v>
      </c>
      <c r="AP302" s="613"/>
      <c r="AQ302" s="612">
        <v>65</v>
      </c>
      <c r="AR302" s="611" t="str">
        <f>IFERROR(LARGE($AN$10:$AN$1006,AQ302),"")</f>
        <v/>
      </c>
      <c r="AS302" s="612" t="str">
        <f>VLOOKUP(AR302,$AN$10:$AO$1116,2,0)</f>
        <v>أحمد نورالدين أحمد الذيب</v>
      </c>
    </row>
    <row r="303" spans="1:45" ht="15" customHeight="1" thickBot="1" x14ac:dyDescent="0.3">
      <c r="A303" s="633"/>
      <c r="B303" s="630"/>
      <c r="C303" s="622"/>
      <c r="D303" s="625"/>
      <c r="E303" s="133" t="s">
        <v>31</v>
      </c>
      <c r="F303" s="589">
        <f>IFERROR(VLOOKUP($B302,اسماء,18,0),0)</f>
        <v>0</v>
      </c>
      <c r="G303" s="592"/>
      <c r="H303" s="608">
        <f>IFERROR(VLOOKUP($B302,اسماء,19,0),0)</f>
        <v>0</v>
      </c>
      <c r="I303" s="609"/>
      <c r="J303" s="589">
        <f>IFERROR(VLOOKUP($B302,اسماء,20,0),0)</f>
        <v>0</v>
      </c>
      <c r="K303" s="592"/>
      <c r="L303" s="589">
        <f>IFERROR(VLOOKUP($B302,اسماء,21,0),0)</f>
        <v>0</v>
      </c>
      <c r="M303" s="590"/>
      <c r="N303" s="589">
        <f>IFERROR(VLOOKUP($B302,اسماء,22,0),0)</f>
        <v>0</v>
      </c>
      <c r="O303" s="590"/>
      <c r="P303" s="589">
        <f>IFERROR(VLOOKUP($B302,اسماء,23,0),0)</f>
        <v>0</v>
      </c>
      <c r="Q303" s="609"/>
      <c r="R303" s="603">
        <f>IFERROR(VLOOKUP($B302,اسماء,24,0),0)</f>
        <v>0</v>
      </c>
      <c r="S303" s="592"/>
      <c r="T303" s="589">
        <f>IFERROR(VLOOKUP($B302,اسماء,25,0),0)</f>
        <v>0</v>
      </c>
      <c r="U303" s="592"/>
      <c r="V303" s="263">
        <f t="shared" si="889"/>
        <v>0</v>
      </c>
      <c r="W303" s="373">
        <f>IFERROR(VLOOKUP($B302,اسماء,27,0),0)</f>
        <v>0</v>
      </c>
      <c r="X303" s="373">
        <f>IFERROR(VLOOKUP($B302,اسماء,28,0),0)</f>
        <v>0</v>
      </c>
      <c r="Y303" s="596"/>
      <c r="Z303" s="22" t="str">
        <f t="shared" si="891"/>
        <v>ضعيف</v>
      </c>
      <c r="AA303" s="657"/>
      <c r="AB303" s="72"/>
      <c r="AC303" s="654"/>
      <c r="AN303" s="607"/>
      <c r="AO303" s="607"/>
      <c r="AP303" s="613"/>
      <c r="AQ303" s="612"/>
      <c r="AR303" s="611"/>
      <c r="AS303" s="612"/>
    </row>
    <row r="304" spans="1:45" ht="15" customHeight="1" x14ac:dyDescent="0.25">
      <c r="A304" s="633"/>
      <c r="B304" s="630"/>
      <c r="C304" s="622"/>
      <c r="D304" s="625"/>
      <c r="E304" s="133" t="s">
        <v>32</v>
      </c>
      <c r="F304" s="589">
        <f>IFERROR(VLOOKUP($B302,اسماء,31,0),0)</f>
        <v>0</v>
      </c>
      <c r="G304" s="592"/>
      <c r="H304" s="608">
        <f>IFERROR(VLOOKUP($B302,اسماء,32,0),0)</f>
        <v>0</v>
      </c>
      <c r="I304" s="609"/>
      <c r="J304" s="589">
        <f>IFERROR(VLOOKUP($B302,اسماء,33,0),0)</f>
        <v>0</v>
      </c>
      <c r="K304" s="592"/>
      <c r="L304" s="589">
        <f>IFERROR(VLOOKUP($B302,اسماء,34,0),0)</f>
        <v>0</v>
      </c>
      <c r="M304" s="590"/>
      <c r="N304" s="589">
        <f>IFERROR(VLOOKUP($B302,اسماء,35,0),0)</f>
        <v>0</v>
      </c>
      <c r="O304" s="590"/>
      <c r="P304" s="589">
        <f>IFERROR(VLOOKUP($B302,اسماء,36,0),0)</f>
        <v>0</v>
      </c>
      <c r="Q304" s="609"/>
      <c r="R304" s="603">
        <f>IFERROR(VLOOKUP($B302,اسماء,37,0),0)</f>
        <v>0</v>
      </c>
      <c r="S304" s="592"/>
      <c r="T304" s="589">
        <f>IFERROR(VLOOKUP($B302,اسماء,38,0),0)</f>
        <v>0</v>
      </c>
      <c r="U304" s="592"/>
      <c r="V304" s="263">
        <f t="shared" si="889"/>
        <v>0</v>
      </c>
      <c r="W304" s="373">
        <f>IFERROR(VLOOKUP($B302,اسماء,40,0),0)</f>
        <v>0</v>
      </c>
      <c r="X304" s="373">
        <f>IFERROR(VLOOKUP($B302,اسماء,41,0),0)</f>
        <v>0</v>
      </c>
      <c r="Y304" s="596"/>
      <c r="Z304" s="22" t="str">
        <f t="shared" ref="Z304" si="894">LOOKUP(V304,$AI$6:$AJ$10)</f>
        <v>ضعيف</v>
      </c>
      <c r="AA304" s="657"/>
      <c r="AB304" s="72"/>
      <c r="AC304" s="654"/>
      <c r="AN304" s="607"/>
      <c r="AO304" s="607"/>
      <c r="AP304" s="613"/>
      <c r="AQ304" s="612"/>
      <c r="AR304" s="611"/>
      <c r="AS304" s="612"/>
    </row>
    <row r="305" spans="1:45" ht="15" customHeight="1" thickBot="1" x14ac:dyDescent="0.3">
      <c r="A305" s="634"/>
      <c r="B305" s="631"/>
      <c r="C305" s="623"/>
      <c r="D305" s="626"/>
      <c r="E305" s="127" t="s">
        <v>33</v>
      </c>
      <c r="F305" s="585">
        <f t="shared" ref="F305" si="895">SUM(F302:G304)</f>
        <v>0</v>
      </c>
      <c r="G305" s="593"/>
      <c r="H305" s="604">
        <f t="shared" ref="H305" si="896">SUM(H302:I304)</f>
        <v>0</v>
      </c>
      <c r="I305" s="601"/>
      <c r="J305" s="585">
        <f t="shared" ref="J305" si="897">SUM(J302:K304)</f>
        <v>0</v>
      </c>
      <c r="K305" s="593"/>
      <c r="L305" s="585">
        <f t="shared" ref="L305" si="898">SUM(L302:M304)</f>
        <v>0</v>
      </c>
      <c r="M305" s="586"/>
      <c r="N305" s="585">
        <f t="shared" ref="N305" si="899">SUM(N302:O304)</f>
        <v>0</v>
      </c>
      <c r="O305" s="586"/>
      <c r="P305" s="585">
        <f t="shared" ref="P305" si="900">SUM(P302:Q304)</f>
        <v>0</v>
      </c>
      <c r="Q305" s="601"/>
      <c r="R305" s="602">
        <f t="shared" ref="R305" si="901">SUM(R302:S304)</f>
        <v>0</v>
      </c>
      <c r="S305" s="593"/>
      <c r="T305" s="585">
        <f t="shared" ref="T305" si="902">SUM(T302:U304)</f>
        <v>0</v>
      </c>
      <c r="U305" s="593"/>
      <c r="V305" s="210">
        <f t="shared" ref="V305" si="903">IF(AND(F305&gt;=$G$8,H305&gt;=$I$8,L305&gt;=$M$8,P305&gt;=$Q$8,R305&gt;=$S$8,T305&gt;=$U$8),SUM(F305:U305),0)</f>
        <v>0</v>
      </c>
      <c r="W305" s="264"/>
      <c r="X305" s="97"/>
      <c r="Y305" s="597"/>
      <c r="Z305" s="91" t="str">
        <f t="shared" ref="Z305" si="904">LOOKUP(V305,$AL$6:$AM$10)</f>
        <v>ضعيف</v>
      </c>
      <c r="AA305" s="658"/>
      <c r="AB305" s="10"/>
      <c r="AC305" s="655"/>
      <c r="AN305" s="607"/>
      <c r="AO305" s="607"/>
      <c r="AP305" s="613"/>
      <c r="AQ305" s="612"/>
      <c r="AR305" s="611"/>
      <c r="AS305" s="612"/>
    </row>
    <row r="306" spans="1:45" ht="15" customHeight="1" thickBot="1" x14ac:dyDescent="0.3">
      <c r="A306" s="632">
        <v>66</v>
      </c>
      <c r="B306" s="629">
        <f>VLOOKUP(A306,مسلسل,2,0)</f>
        <v>0</v>
      </c>
      <c r="C306" s="621" t="str">
        <f>IFERROR(VLOOKUP(B306,اسماء,2,0),"")</f>
        <v/>
      </c>
      <c r="D306" s="624" t="str">
        <f>IFERROR(VLOOKUP($B306,اسماء,3,0),"")</f>
        <v/>
      </c>
      <c r="E306" s="132" t="s">
        <v>30</v>
      </c>
      <c r="F306" s="627">
        <f>IFERROR(VLOOKUP($B306,اسماء,5,0),0)</f>
        <v>0</v>
      </c>
      <c r="G306" s="606"/>
      <c r="H306" s="628">
        <f>IFERROR(VLOOKUP($B306,اسماء,6,0),0)</f>
        <v>0</v>
      </c>
      <c r="I306" s="605"/>
      <c r="J306" s="587">
        <f>IFERROR(VLOOKUP($B306,اسماء,7,0),0)</f>
        <v>0</v>
      </c>
      <c r="K306" s="591"/>
      <c r="L306" s="587">
        <f>IFERROR(VLOOKUP($B306,اسماء,8,0),0)</f>
        <v>0</v>
      </c>
      <c r="M306" s="588"/>
      <c r="N306" s="587">
        <f>IFERROR(VLOOKUP($B306,اسماء,9,0),0)</f>
        <v>0</v>
      </c>
      <c r="O306" s="605"/>
      <c r="P306" s="587">
        <f>IFERROR(VLOOKUP($B306,اسماء,10,0),0)</f>
        <v>0</v>
      </c>
      <c r="Q306" s="605"/>
      <c r="R306" s="606">
        <f>IFERROR(VLOOKUP($B306,اسماء,11,0),0)</f>
        <v>0</v>
      </c>
      <c r="S306" s="591"/>
      <c r="T306" s="587">
        <f>IFERROR(VLOOKUP($B306,اسماء,12,0),0)</f>
        <v>0</v>
      </c>
      <c r="U306" s="591"/>
      <c r="V306" s="263">
        <f t="shared" ref="V306:V308" si="905">SUM(F306:U306)</f>
        <v>0</v>
      </c>
      <c r="W306" s="373">
        <f>IFERROR(VLOOKUP($B306,اسماء,14,0),0)</f>
        <v>0</v>
      </c>
      <c r="X306" s="373">
        <f>IFERROR(VLOOKUP($B306,اسماء,15,0),0)</f>
        <v>0</v>
      </c>
      <c r="Y306" s="595" t="str">
        <f t="shared" ref="Y306" si="906">IF(AC306="غائب","راسب",IF(AND(F309&gt;=$G$8,H309&gt;=$I$8,J309&gt;=$K$8,L309&gt;=$M$8,N309&gt;=$O$8,P309&gt;=$Q$8,R309&gt;=$S$8,T309&gt;=$U$8),"ناجح","له دور ثان"))</f>
        <v>له دور ثان</v>
      </c>
      <c r="Z306" s="21" t="str">
        <f t="shared" ref="Z306:Z307" si="907">LOOKUP(V306,$AF$6:$AG$10)</f>
        <v>ضعيف</v>
      </c>
      <c r="AA306" s="656">
        <f t="shared" ref="AA306" si="908">V309/$AF$3</f>
        <v>0</v>
      </c>
      <c r="AB306" s="72"/>
      <c r="AC306" s="653" t="str">
        <f>IFERROR(VLOOKUP($B306,اسماء,54,0),"")</f>
        <v/>
      </c>
      <c r="AN306" s="607" t="str">
        <f t="shared" ref="AN306" si="909">IF(V309=0,"",V309/1+ROW()*0.00001)</f>
        <v/>
      </c>
      <c r="AO306" s="607">
        <f>B306</f>
        <v>0</v>
      </c>
      <c r="AP306" s="613"/>
      <c r="AQ306" s="612">
        <v>66</v>
      </c>
      <c r="AR306" s="611" t="str">
        <f>IFERROR(LARGE($AN$10:$AN$1006,AQ306),"")</f>
        <v/>
      </c>
      <c r="AS306" s="612" t="str">
        <f>VLOOKUP(AR306,$AN$10:$AO$1116,2,0)</f>
        <v>أحمد نورالدين أحمد الذيب</v>
      </c>
    </row>
    <row r="307" spans="1:45" ht="15" customHeight="1" thickBot="1" x14ac:dyDescent="0.3">
      <c r="A307" s="633"/>
      <c r="B307" s="630"/>
      <c r="C307" s="622"/>
      <c r="D307" s="625"/>
      <c r="E307" s="133" t="s">
        <v>31</v>
      </c>
      <c r="F307" s="589">
        <f>IFERROR(VLOOKUP($B306,اسماء,18,0),0)</f>
        <v>0</v>
      </c>
      <c r="G307" s="592"/>
      <c r="H307" s="608">
        <f>IFERROR(VLOOKUP($B306,اسماء,19,0),0)</f>
        <v>0</v>
      </c>
      <c r="I307" s="609"/>
      <c r="J307" s="589">
        <f>IFERROR(VLOOKUP($B306,اسماء,20,0),0)</f>
        <v>0</v>
      </c>
      <c r="K307" s="592"/>
      <c r="L307" s="589">
        <f>IFERROR(VLOOKUP($B306,اسماء,21,0),0)</f>
        <v>0</v>
      </c>
      <c r="M307" s="590"/>
      <c r="N307" s="589">
        <f>IFERROR(VLOOKUP($B306,اسماء,22,0),0)</f>
        <v>0</v>
      </c>
      <c r="O307" s="590"/>
      <c r="P307" s="589">
        <f>IFERROR(VLOOKUP($B306,اسماء,23,0),0)</f>
        <v>0</v>
      </c>
      <c r="Q307" s="609"/>
      <c r="R307" s="603">
        <f>IFERROR(VLOOKUP($B306,اسماء,24,0),0)</f>
        <v>0</v>
      </c>
      <c r="S307" s="592"/>
      <c r="T307" s="589">
        <f>IFERROR(VLOOKUP($B306,اسماء,25,0),0)</f>
        <v>0</v>
      </c>
      <c r="U307" s="592"/>
      <c r="V307" s="263">
        <f t="shared" si="905"/>
        <v>0</v>
      </c>
      <c r="W307" s="373">
        <f>IFERROR(VLOOKUP($B306,اسماء,27,0),0)</f>
        <v>0</v>
      </c>
      <c r="X307" s="373">
        <f>IFERROR(VLOOKUP($B306,اسماء,28,0),0)</f>
        <v>0</v>
      </c>
      <c r="Y307" s="596"/>
      <c r="Z307" s="22" t="str">
        <f t="shared" si="907"/>
        <v>ضعيف</v>
      </c>
      <c r="AA307" s="657"/>
      <c r="AB307" s="72"/>
      <c r="AC307" s="654"/>
      <c r="AN307" s="607"/>
      <c r="AO307" s="607"/>
      <c r="AP307" s="613"/>
      <c r="AQ307" s="612"/>
      <c r="AR307" s="611"/>
      <c r="AS307" s="612"/>
    </row>
    <row r="308" spans="1:45" ht="15" customHeight="1" x14ac:dyDescent="0.25">
      <c r="A308" s="633"/>
      <c r="B308" s="630"/>
      <c r="C308" s="622"/>
      <c r="D308" s="625"/>
      <c r="E308" s="133" t="s">
        <v>32</v>
      </c>
      <c r="F308" s="589">
        <f>IFERROR(VLOOKUP($B306,اسماء,31,0),0)</f>
        <v>0</v>
      </c>
      <c r="G308" s="592"/>
      <c r="H308" s="608">
        <f>IFERROR(VLOOKUP($B306,اسماء,32,0),0)</f>
        <v>0</v>
      </c>
      <c r="I308" s="609"/>
      <c r="J308" s="589">
        <f>IFERROR(VLOOKUP($B306,اسماء,33,0),0)</f>
        <v>0</v>
      </c>
      <c r="K308" s="592"/>
      <c r="L308" s="589">
        <f>IFERROR(VLOOKUP($B306,اسماء,34,0),0)</f>
        <v>0</v>
      </c>
      <c r="M308" s="590"/>
      <c r="N308" s="589">
        <f>IFERROR(VLOOKUP($B306,اسماء,35,0),0)</f>
        <v>0</v>
      </c>
      <c r="O308" s="590"/>
      <c r="P308" s="589">
        <f>IFERROR(VLOOKUP($B306,اسماء,36,0),0)</f>
        <v>0</v>
      </c>
      <c r="Q308" s="609"/>
      <c r="R308" s="603">
        <f>IFERROR(VLOOKUP($B306,اسماء,37,0),0)</f>
        <v>0</v>
      </c>
      <c r="S308" s="592"/>
      <c r="T308" s="589">
        <f>IFERROR(VLOOKUP($B306,اسماء,38,0),0)</f>
        <v>0</v>
      </c>
      <c r="U308" s="592"/>
      <c r="V308" s="263">
        <f t="shared" si="905"/>
        <v>0</v>
      </c>
      <c r="W308" s="373">
        <f>IFERROR(VLOOKUP($B306,اسماء,40,0),0)</f>
        <v>0</v>
      </c>
      <c r="X308" s="373">
        <f>IFERROR(VLOOKUP($B306,اسماء,41,0),0)</f>
        <v>0</v>
      </c>
      <c r="Y308" s="596"/>
      <c r="Z308" s="22" t="str">
        <f t="shared" ref="Z308" si="910">LOOKUP(V308,$AI$6:$AJ$10)</f>
        <v>ضعيف</v>
      </c>
      <c r="AA308" s="657"/>
      <c r="AB308" s="10"/>
      <c r="AC308" s="654"/>
      <c r="AN308" s="607"/>
      <c r="AO308" s="607"/>
      <c r="AP308" s="613"/>
      <c r="AQ308" s="612"/>
      <c r="AR308" s="611"/>
      <c r="AS308" s="612"/>
    </row>
    <row r="309" spans="1:45" ht="15" customHeight="1" thickBot="1" x14ac:dyDescent="0.3">
      <c r="A309" s="634"/>
      <c r="B309" s="631"/>
      <c r="C309" s="623"/>
      <c r="D309" s="626"/>
      <c r="E309" s="127" t="s">
        <v>33</v>
      </c>
      <c r="F309" s="585">
        <f t="shared" ref="F309" si="911">SUM(F306:G308)</f>
        <v>0</v>
      </c>
      <c r="G309" s="593"/>
      <c r="H309" s="604">
        <f t="shared" ref="H309" si="912">SUM(H306:I308)</f>
        <v>0</v>
      </c>
      <c r="I309" s="601"/>
      <c r="J309" s="585">
        <f t="shared" ref="J309" si="913">SUM(J306:K308)</f>
        <v>0</v>
      </c>
      <c r="K309" s="593"/>
      <c r="L309" s="585">
        <f t="shared" ref="L309" si="914">SUM(L306:M308)</f>
        <v>0</v>
      </c>
      <c r="M309" s="586"/>
      <c r="N309" s="585">
        <f t="shared" ref="N309" si="915">SUM(N306:O308)</f>
        <v>0</v>
      </c>
      <c r="O309" s="586"/>
      <c r="P309" s="585">
        <f t="shared" ref="P309" si="916">SUM(P306:Q308)</f>
        <v>0</v>
      </c>
      <c r="Q309" s="601"/>
      <c r="R309" s="602">
        <f t="shared" ref="R309" si="917">SUM(R306:S308)</f>
        <v>0</v>
      </c>
      <c r="S309" s="593"/>
      <c r="T309" s="585">
        <f t="shared" ref="T309" si="918">SUM(T306:U308)</f>
        <v>0</v>
      </c>
      <c r="U309" s="593"/>
      <c r="V309" s="210">
        <f t="shared" ref="V309" si="919">IF(AND(F309&gt;=$G$8,H309&gt;=$I$8,L309&gt;=$M$8,P309&gt;=$Q$8,R309&gt;=$S$8,T309&gt;=$U$8),SUM(F309:U309),0)</f>
        <v>0</v>
      </c>
      <c r="W309" s="264"/>
      <c r="X309" s="97"/>
      <c r="Y309" s="597"/>
      <c r="Z309" s="91" t="str">
        <f t="shared" ref="Z309" si="920">LOOKUP(V309,$AL$6:$AM$10)</f>
        <v>ضعيف</v>
      </c>
      <c r="AA309" s="658"/>
      <c r="AB309" s="72"/>
      <c r="AC309" s="655"/>
      <c r="AN309" s="607"/>
      <c r="AO309" s="607"/>
      <c r="AP309" s="613"/>
      <c r="AQ309" s="612"/>
      <c r="AR309" s="611"/>
      <c r="AS309" s="612"/>
    </row>
    <row r="310" spans="1:45" ht="15" customHeight="1" thickBot="1" x14ac:dyDescent="0.3">
      <c r="A310" s="632">
        <v>67</v>
      </c>
      <c r="B310" s="629">
        <f>VLOOKUP(A310,مسلسل,2,0)</f>
        <v>0</v>
      </c>
      <c r="C310" s="621" t="str">
        <f>IFERROR(VLOOKUP(B310,اسماء,2,0),"")</f>
        <v/>
      </c>
      <c r="D310" s="624" t="str">
        <f>IFERROR(VLOOKUP($B310,اسماء,3,0),"")</f>
        <v/>
      </c>
      <c r="E310" s="132" t="s">
        <v>30</v>
      </c>
      <c r="F310" s="627">
        <f>IFERROR(VLOOKUP($B310,اسماء,5,0),0)</f>
        <v>0</v>
      </c>
      <c r="G310" s="606"/>
      <c r="H310" s="628">
        <f>IFERROR(VLOOKUP($B310,اسماء,6,0),0)</f>
        <v>0</v>
      </c>
      <c r="I310" s="605"/>
      <c r="J310" s="587">
        <f>IFERROR(VLOOKUP($B310,اسماء,7,0),0)</f>
        <v>0</v>
      </c>
      <c r="K310" s="591"/>
      <c r="L310" s="587">
        <f>IFERROR(VLOOKUP($B310,اسماء,8,0),0)</f>
        <v>0</v>
      </c>
      <c r="M310" s="588"/>
      <c r="N310" s="587">
        <f>IFERROR(VLOOKUP($B310,اسماء,9,0),0)</f>
        <v>0</v>
      </c>
      <c r="O310" s="605"/>
      <c r="P310" s="587">
        <f>IFERROR(VLOOKUP($B310,اسماء,10,0),0)</f>
        <v>0</v>
      </c>
      <c r="Q310" s="605"/>
      <c r="R310" s="606">
        <f>IFERROR(VLOOKUP($B310,اسماء,11,0),0)</f>
        <v>0</v>
      </c>
      <c r="S310" s="591"/>
      <c r="T310" s="587">
        <f>IFERROR(VLOOKUP($B310,اسماء,12,0),0)</f>
        <v>0</v>
      </c>
      <c r="U310" s="591"/>
      <c r="V310" s="263">
        <f t="shared" ref="V310:V312" si="921">SUM(F310:U310)</f>
        <v>0</v>
      </c>
      <c r="W310" s="373">
        <f>IFERROR(VLOOKUP($B310,اسماء,14,0),0)</f>
        <v>0</v>
      </c>
      <c r="X310" s="373">
        <f>IFERROR(VLOOKUP($B310,اسماء,15,0),0)</f>
        <v>0</v>
      </c>
      <c r="Y310" s="595" t="str">
        <f t="shared" ref="Y310" si="922">IF(AC310="غائب","راسب",IF(AND(F313&gt;=$G$8,H313&gt;=$I$8,J313&gt;=$K$8,L313&gt;=$M$8,N313&gt;=$O$8,P313&gt;=$Q$8,R313&gt;=$S$8,T313&gt;=$U$8),"ناجح","له دور ثان"))</f>
        <v>له دور ثان</v>
      </c>
      <c r="Z310" s="21" t="str">
        <f t="shared" ref="Z310:Z311" si="923">LOOKUP(V310,$AF$6:$AG$10)</f>
        <v>ضعيف</v>
      </c>
      <c r="AA310" s="656">
        <f t="shared" ref="AA310" si="924">V313/$AF$3</f>
        <v>0</v>
      </c>
      <c r="AB310" s="72"/>
      <c r="AC310" s="653" t="str">
        <f>IFERROR(VLOOKUP($B310,اسماء,54,0),"")</f>
        <v/>
      </c>
      <c r="AN310" s="607" t="str">
        <f t="shared" ref="AN310" si="925">IF(V313=0,"",V313/1+ROW()*0.00001)</f>
        <v/>
      </c>
      <c r="AO310" s="607">
        <f>B310</f>
        <v>0</v>
      </c>
      <c r="AP310" s="613"/>
      <c r="AQ310" s="612">
        <v>67</v>
      </c>
      <c r="AR310" s="611" t="str">
        <f>IFERROR(LARGE($AN$10:$AN$1006,AQ310),"")</f>
        <v/>
      </c>
      <c r="AS310" s="612" t="str">
        <f>VLOOKUP(AR310,$AN$10:$AO$1116,2,0)</f>
        <v>أحمد نورالدين أحمد الذيب</v>
      </c>
    </row>
    <row r="311" spans="1:45" ht="15" customHeight="1" thickBot="1" x14ac:dyDescent="0.3">
      <c r="A311" s="633"/>
      <c r="B311" s="630"/>
      <c r="C311" s="622"/>
      <c r="D311" s="625"/>
      <c r="E311" s="133" t="s">
        <v>31</v>
      </c>
      <c r="F311" s="589">
        <f>IFERROR(VLOOKUP($B310,اسماء,18,0),0)</f>
        <v>0</v>
      </c>
      <c r="G311" s="592"/>
      <c r="H311" s="608">
        <f>IFERROR(VLOOKUP($B310,اسماء,19,0),0)</f>
        <v>0</v>
      </c>
      <c r="I311" s="609"/>
      <c r="J311" s="589">
        <f>IFERROR(VLOOKUP($B310,اسماء,20,0),0)</f>
        <v>0</v>
      </c>
      <c r="K311" s="592"/>
      <c r="L311" s="589">
        <f>IFERROR(VLOOKUP($B310,اسماء,21,0),0)</f>
        <v>0</v>
      </c>
      <c r="M311" s="590"/>
      <c r="N311" s="589">
        <f>IFERROR(VLOOKUP($B310,اسماء,22,0),0)</f>
        <v>0</v>
      </c>
      <c r="O311" s="590"/>
      <c r="P311" s="589">
        <f>IFERROR(VLOOKUP($B310,اسماء,23,0),0)</f>
        <v>0</v>
      </c>
      <c r="Q311" s="609"/>
      <c r="R311" s="603">
        <f>IFERROR(VLOOKUP($B310,اسماء,24,0),0)</f>
        <v>0</v>
      </c>
      <c r="S311" s="592"/>
      <c r="T311" s="589">
        <f>IFERROR(VLOOKUP($B310,اسماء,25,0),0)</f>
        <v>0</v>
      </c>
      <c r="U311" s="592"/>
      <c r="V311" s="263">
        <f t="shared" si="921"/>
        <v>0</v>
      </c>
      <c r="W311" s="373">
        <f>IFERROR(VLOOKUP($B310,اسماء,27,0),0)</f>
        <v>0</v>
      </c>
      <c r="X311" s="373">
        <f>IFERROR(VLOOKUP($B310,اسماء,28,0),0)</f>
        <v>0</v>
      </c>
      <c r="Y311" s="596"/>
      <c r="Z311" s="22" t="str">
        <f t="shared" si="923"/>
        <v>ضعيف</v>
      </c>
      <c r="AA311" s="657"/>
      <c r="AB311" s="10"/>
      <c r="AC311" s="654"/>
      <c r="AN311" s="607"/>
      <c r="AO311" s="607"/>
      <c r="AP311" s="613"/>
      <c r="AQ311" s="612"/>
      <c r="AR311" s="611"/>
      <c r="AS311" s="612"/>
    </row>
    <row r="312" spans="1:45" ht="15" customHeight="1" x14ac:dyDescent="0.25">
      <c r="A312" s="633"/>
      <c r="B312" s="630"/>
      <c r="C312" s="622"/>
      <c r="D312" s="625"/>
      <c r="E312" s="133" t="s">
        <v>32</v>
      </c>
      <c r="F312" s="589">
        <f>IFERROR(VLOOKUP($B310,اسماء,31,0),0)</f>
        <v>0</v>
      </c>
      <c r="G312" s="592"/>
      <c r="H312" s="608">
        <f>IFERROR(VLOOKUP($B310,اسماء,32,0),0)</f>
        <v>0</v>
      </c>
      <c r="I312" s="609"/>
      <c r="J312" s="589">
        <f>IFERROR(VLOOKUP($B310,اسماء,33,0),0)</f>
        <v>0</v>
      </c>
      <c r="K312" s="592"/>
      <c r="L312" s="589">
        <f>IFERROR(VLOOKUP($B310,اسماء,34,0),0)</f>
        <v>0</v>
      </c>
      <c r="M312" s="590"/>
      <c r="N312" s="589">
        <f>IFERROR(VLOOKUP($B310,اسماء,35,0),0)</f>
        <v>0</v>
      </c>
      <c r="O312" s="590"/>
      <c r="P312" s="589">
        <f>IFERROR(VLOOKUP($B310,اسماء,36,0),0)</f>
        <v>0</v>
      </c>
      <c r="Q312" s="609"/>
      <c r="R312" s="603">
        <f>IFERROR(VLOOKUP($B310,اسماء,37,0),0)</f>
        <v>0</v>
      </c>
      <c r="S312" s="592"/>
      <c r="T312" s="589">
        <f>IFERROR(VLOOKUP($B310,اسماء,38,0),0)</f>
        <v>0</v>
      </c>
      <c r="U312" s="592"/>
      <c r="V312" s="263">
        <f t="shared" si="921"/>
        <v>0</v>
      </c>
      <c r="W312" s="373">
        <f>IFERROR(VLOOKUP($B310,اسماء,40,0),0)</f>
        <v>0</v>
      </c>
      <c r="X312" s="373">
        <f>IFERROR(VLOOKUP($B310,اسماء,41,0),0)</f>
        <v>0</v>
      </c>
      <c r="Y312" s="596"/>
      <c r="Z312" s="22" t="str">
        <f t="shared" ref="Z312" si="926">LOOKUP(V312,$AI$6:$AJ$10)</f>
        <v>ضعيف</v>
      </c>
      <c r="AA312" s="657"/>
      <c r="AB312" s="72"/>
      <c r="AC312" s="654"/>
      <c r="AN312" s="607"/>
      <c r="AO312" s="607"/>
      <c r="AP312" s="613"/>
      <c r="AQ312" s="612"/>
      <c r="AR312" s="611"/>
      <c r="AS312" s="612"/>
    </row>
    <row r="313" spans="1:45" ht="15" customHeight="1" thickBot="1" x14ac:dyDescent="0.3">
      <c r="A313" s="634"/>
      <c r="B313" s="631"/>
      <c r="C313" s="623"/>
      <c r="D313" s="626"/>
      <c r="E313" s="127" t="s">
        <v>33</v>
      </c>
      <c r="F313" s="585">
        <f t="shared" ref="F313" si="927">SUM(F310:G312)</f>
        <v>0</v>
      </c>
      <c r="G313" s="593"/>
      <c r="H313" s="604">
        <f t="shared" ref="H313" si="928">SUM(H310:I312)</f>
        <v>0</v>
      </c>
      <c r="I313" s="601"/>
      <c r="J313" s="585">
        <f t="shared" ref="J313" si="929">SUM(J310:K312)</f>
        <v>0</v>
      </c>
      <c r="K313" s="593"/>
      <c r="L313" s="585">
        <f t="shared" ref="L313" si="930">SUM(L310:M312)</f>
        <v>0</v>
      </c>
      <c r="M313" s="586"/>
      <c r="N313" s="585">
        <f t="shared" ref="N313" si="931">SUM(N310:O312)</f>
        <v>0</v>
      </c>
      <c r="O313" s="586"/>
      <c r="P313" s="585">
        <f t="shared" ref="P313" si="932">SUM(P310:Q312)</f>
        <v>0</v>
      </c>
      <c r="Q313" s="601"/>
      <c r="R313" s="602">
        <f t="shared" ref="R313" si="933">SUM(R310:S312)</f>
        <v>0</v>
      </c>
      <c r="S313" s="593"/>
      <c r="T313" s="585">
        <f t="shared" ref="T313" si="934">SUM(T310:U312)</f>
        <v>0</v>
      </c>
      <c r="U313" s="593"/>
      <c r="V313" s="210">
        <f t="shared" ref="V313" si="935">IF(AND(F313&gt;=$G$8,H313&gt;=$I$8,L313&gt;=$M$8,P313&gt;=$Q$8,R313&gt;=$S$8,T313&gt;=$U$8),SUM(F313:U313),0)</f>
        <v>0</v>
      </c>
      <c r="W313" s="264"/>
      <c r="X313" s="97"/>
      <c r="Y313" s="597"/>
      <c r="Z313" s="91" t="str">
        <f t="shared" ref="Z313" si="936">LOOKUP(V313,$AL$6:$AM$10)</f>
        <v>ضعيف</v>
      </c>
      <c r="AA313" s="658"/>
      <c r="AB313" s="72"/>
      <c r="AC313" s="655"/>
      <c r="AN313" s="607"/>
      <c r="AO313" s="607"/>
      <c r="AP313" s="613"/>
      <c r="AQ313" s="612"/>
      <c r="AR313" s="611"/>
      <c r="AS313" s="612"/>
    </row>
    <row r="314" spans="1:45" ht="15" customHeight="1" thickBot="1" x14ac:dyDescent="0.3">
      <c r="A314" s="632">
        <v>68</v>
      </c>
      <c r="B314" s="629">
        <f>VLOOKUP(A314,مسلسل,2,0)</f>
        <v>0</v>
      </c>
      <c r="C314" s="621" t="str">
        <f>IFERROR(VLOOKUP(B314,اسماء,2,0),"")</f>
        <v/>
      </c>
      <c r="D314" s="624" t="str">
        <f>IFERROR(VLOOKUP($B314,اسماء,3,0),"")</f>
        <v/>
      </c>
      <c r="E314" s="132" t="s">
        <v>30</v>
      </c>
      <c r="F314" s="627">
        <f>IFERROR(VLOOKUP($B314,اسماء,5,0),0)</f>
        <v>0</v>
      </c>
      <c r="G314" s="606"/>
      <c r="H314" s="628">
        <f>IFERROR(VLOOKUP($B314,اسماء,6,0),0)</f>
        <v>0</v>
      </c>
      <c r="I314" s="605"/>
      <c r="J314" s="587">
        <f>IFERROR(VLOOKUP($B314,اسماء,7,0),0)</f>
        <v>0</v>
      </c>
      <c r="K314" s="591"/>
      <c r="L314" s="587">
        <f>IFERROR(VLOOKUP($B314,اسماء,8,0),0)</f>
        <v>0</v>
      </c>
      <c r="M314" s="588"/>
      <c r="N314" s="587">
        <f>IFERROR(VLOOKUP($B314,اسماء,9,0),0)</f>
        <v>0</v>
      </c>
      <c r="O314" s="605"/>
      <c r="P314" s="587">
        <f>IFERROR(VLOOKUP($B314,اسماء,10,0),0)</f>
        <v>0</v>
      </c>
      <c r="Q314" s="605"/>
      <c r="R314" s="606">
        <f>IFERROR(VLOOKUP($B314,اسماء,11,0),0)</f>
        <v>0</v>
      </c>
      <c r="S314" s="591"/>
      <c r="T314" s="587">
        <f>IFERROR(VLOOKUP($B314,اسماء,12,0),0)</f>
        <v>0</v>
      </c>
      <c r="U314" s="591"/>
      <c r="V314" s="263">
        <f t="shared" ref="V314:V316" si="937">SUM(F314:U314)</f>
        <v>0</v>
      </c>
      <c r="W314" s="373">
        <f>IFERROR(VLOOKUP($B314,اسماء,14,0),0)</f>
        <v>0</v>
      </c>
      <c r="X314" s="373">
        <f>IFERROR(VLOOKUP($B314,اسماء,15,0),0)</f>
        <v>0</v>
      </c>
      <c r="Y314" s="595" t="str">
        <f t="shared" ref="Y314" si="938">IF(AC314="غائب","راسب",IF(AND(F317&gt;=$G$8,H317&gt;=$I$8,J317&gt;=$K$8,L317&gt;=$M$8,N317&gt;=$O$8,P317&gt;=$Q$8,R317&gt;=$S$8,T317&gt;=$U$8),"ناجح","له دور ثان"))</f>
        <v>له دور ثان</v>
      </c>
      <c r="Z314" s="21" t="str">
        <f t="shared" ref="Z314:Z315" si="939">LOOKUP(V314,$AF$6:$AG$10)</f>
        <v>ضعيف</v>
      </c>
      <c r="AA314" s="656">
        <f t="shared" ref="AA314" si="940">V317/$AF$3</f>
        <v>0</v>
      </c>
      <c r="AB314" s="10"/>
      <c r="AC314" s="653" t="str">
        <f>IFERROR(VLOOKUP($B314,اسماء,54,0),"")</f>
        <v/>
      </c>
      <c r="AN314" s="607" t="str">
        <f t="shared" ref="AN314" si="941">IF(V317=0,"",V317/1+ROW()*0.00001)</f>
        <v/>
      </c>
      <c r="AO314" s="607">
        <f>B314</f>
        <v>0</v>
      </c>
      <c r="AP314" s="613"/>
      <c r="AQ314" s="612">
        <v>68</v>
      </c>
      <c r="AR314" s="611" t="str">
        <f>IFERROR(LARGE($AN$10:$AN$1006,AQ314),"")</f>
        <v/>
      </c>
      <c r="AS314" s="612" t="str">
        <f>VLOOKUP(AR314,$AN$10:$AO$1116,2,0)</f>
        <v>أحمد نورالدين أحمد الذيب</v>
      </c>
    </row>
    <row r="315" spans="1:45" ht="15" customHeight="1" thickBot="1" x14ac:dyDescent="0.3">
      <c r="A315" s="633"/>
      <c r="B315" s="630"/>
      <c r="C315" s="622"/>
      <c r="D315" s="625"/>
      <c r="E315" s="133" t="s">
        <v>31</v>
      </c>
      <c r="F315" s="589">
        <f>IFERROR(VLOOKUP($B314,اسماء,18,0),0)</f>
        <v>0</v>
      </c>
      <c r="G315" s="592"/>
      <c r="H315" s="608">
        <f>IFERROR(VLOOKUP($B314,اسماء,19,0),0)</f>
        <v>0</v>
      </c>
      <c r="I315" s="609"/>
      <c r="J315" s="589">
        <f>IFERROR(VLOOKUP($B314,اسماء,20,0),0)</f>
        <v>0</v>
      </c>
      <c r="K315" s="592"/>
      <c r="L315" s="589">
        <f>IFERROR(VLOOKUP($B314,اسماء,21,0),0)</f>
        <v>0</v>
      </c>
      <c r="M315" s="590"/>
      <c r="N315" s="589">
        <f>IFERROR(VLOOKUP($B314,اسماء,22,0),0)</f>
        <v>0</v>
      </c>
      <c r="O315" s="590"/>
      <c r="P315" s="589">
        <f>IFERROR(VLOOKUP($B314,اسماء,23,0),0)</f>
        <v>0</v>
      </c>
      <c r="Q315" s="609"/>
      <c r="R315" s="603">
        <f>IFERROR(VLOOKUP($B314,اسماء,24,0),0)</f>
        <v>0</v>
      </c>
      <c r="S315" s="592"/>
      <c r="T315" s="589">
        <f>IFERROR(VLOOKUP($B314,اسماء,25,0),0)</f>
        <v>0</v>
      </c>
      <c r="U315" s="592"/>
      <c r="V315" s="263">
        <f t="shared" si="937"/>
        <v>0</v>
      </c>
      <c r="W315" s="373">
        <f>IFERROR(VLOOKUP($B314,اسماء,27,0),0)</f>
        <v>0</v>
      </c>
      <c r="X315" s="373">
        <f>IFERROR(VLOOKUP($B314,اسماء,28,0),0)</f>
        <v>0</v>
      </c>
      <c r="Y315" s="596"/>
      <c r="Z315" s="22" t="str">
        <f t="shared" si="939"/>
        <v>ضعيف</v>
      </c>
      <c r="AA315" s="657"/>
      <c r="AB315" s="72"/>
      <c r="AC315" s="654"/>
      <c r="AN315" s="607"/>
      <c r="AO315" s="607"/>
      <c r="AP315" s="613"/>
      <c r="AQ315" s="612"/>
      <c r="AR315" s="611"/>
      <c r="AS315" s="612"/>
    </row>
    <row r="316" spans="1:45" ht="15" customHeight="1" x14ac:dyDescent="0.25">
      <c r="A316" s="633"/>
      <c r="B316" s="630"/>
      <c r="C316" s="622"/>
      <c r="D316" s="625"/>
      <c r="E316" s="133" t="s">
        <v>32</v>
      </c>
      <c r="F316" s="589">
        <f>IFERROR(VLOOKUP($B314,اسماء,31,0),0)</f>
        <v>0</v>
      </c>
      <c r="G316" s="592"/>
      <c r="H316" s="608">
        <f>IFERROR(VLOOKUP($B314,اسماء,32,0),0)</f>
        <v>0</v>
      </c>
      <c r="I316" s="609"/>
      <c r="J316" s="589">
        <f>IFERROR(VLOOKUP($B314,اسماء,33,0),0)</f>
        <v>0</v>
      </c>
      <c r="K316" s="592"/>
      <c r="L316" s="589">
        <f>IFERROR(VLOOKUP($B314,اسماء,34,0),0)</f>
        <v>0</v>
      </c>
      <c r="M316" s="590"/>
      <c r="N316" s="589">
        <f>IFERROR(VLOOKUP($B314,اسماء,35,0),0)</f>
        <v>0</v>
      </c>
      <c r="O316" s="590"/>
      <c r="P316" s="589">
        <f>IFERROR(VLOOKUP($B314,اسماء,36,0),0)</f>
        <v>0</v>
      </c>
      <c r="Q316" s="609"/>
      <c r="R316" s="603">
        <f>IFERROR(VLOOKUP($B314,اسماء,37,0),0)</f>
        <v>0</v>
      </c>
      <c r="S316" s="592"/>
      <c r="T316" s="589">
        <f>IFERROR(VLOOKUP($B314,اسماء,38,0),0)</f>
        <v>0</v>
      </c>
      <c r="U316" s="592"/>
      <c r="V316" s="263">
        <f t="shared" si="937"/>
        <v>0</v>
      </c>
      <c r="W316" s="373">
        <f>IFERROR(VLOOKUP($B314,اسماء,40,0),0)</f>
        <v>0</v>
      </c>
      <c r="X316" s="373">
        <f>IFERROR(VLOOKUP($B314,اسماء,41,0),0)</f>
        <v>0</v>
      </c>
      <c r="Y316" s="596"/>
      <c r="Z316" s="22" t="str">
        <f t="shared" ref="Z316" si="942">LOOKUP(V316,$AI$6:$AJ$10)</f>
        <v>ضعيف</v>
      </c>
      <c r="AA316" s="657"/>
      <c r="AB316" s="72"/>
      <c r="AC316" s="654"/>
      <c r="AN316" s="607"/>
      <c r="AO316" s="607"/>
      <c r="AP316" s="613"/>
      <c r="AQ316" s="612"/>
      <c r="AR316" s="611"/>
      <c r="AS316" s="612"/>
    </row>
    <row r="317" spans="1:45" ht="15" customHeight="1" thickBot="1" x14ac:dyDescent="0.3">
      <c r="A317" s="634"/>
      <c r="B317" s="631"/>
      <c r="C317" s="623"/>
      <c r="D317" s="626"/>
      <c r="E317" s="127" t="s">
        <v>33</v>
      </c>
      <c r="F317" s="585">
        <f t="shared" ref="F317" si="943">SUM(F314:G316)</f>
        <v>0</v>
      </c>
      <c r="G317" s="593"/>
      <c r="H317" s="604">
        <f t="shared" ref="H317" si="944">SUM(H314:I316)</f>
        <v>0</v>
      </c>
      <c r="I317" s="601"/>
      <c r="J317" s="585">
        <f t="shared" ref="J317" si="945">SUM(J314:K316)</f>
        <v>0</v>
      </c>
      <c r="K317" s="593"/>
      <c r="L317" s="585">
        <f t="shared" ref="L317" si="946">SUM(L314:M316)</f>
        <v>0</v>
      </c>
      <c r="M317" s="586"/>
      <c r="N317" s="585">
        <f t="shared" ref="N317" si="947">SUM(N314:O316)</f>
        <v>0</v>
      </c>
      <c r="O317" s="586"/>
      <c r="P317" s="585">
        <f t="shared" ref="P317" si="948">SUM(P314:Q316)</f>
        <v>0</v>
      </c>
      <c r="Q317" s="601"/>
      <c r="R317" s="602">
        <f t="shared" ref="R317" si="949">SUM(R314:S316)</f>
        <v>0</v>
      </c>
      <c r="S317" s="593"/>
      <c r="T317" s="585">
        <f t="shared" ref="T317" si="950">SUM(T314:U316)</f>
        <v>0</v>
      </c>
      <c r="U317" s="593"/>
      <c r="V317" s="210">
        <f t="shared" ref="V317" si="951">IF(AND(F317&gt;=$G$8,H317&gt;=$I$8,L317&gt;=$M$8,P317&gt;=$Q$8,R317&gt;=$S$8,T317&gt;=$U$8),SUM(F317:U317),0)</f>
        <v>0</v>
      </c>
      <c r="W317" s="264"/>
      <c r="X317" s="97"/>
      <c r="Y317" s="597"/>
      <c r="Z317" s="91" t="str">
        <f t="shared" ref="Z317" si="952">LOOKUP(V317,$AL$6:$AM$10)</f>
        <v>ضعيف</v>
      </c>
      <c r="AA317" s="658"/>
      <c r="AB317" s="10"/>
      <c r="AC317" s="655"/>
      <c r="AN317" s="607"/>
      <c r="AO317" s="607"/>
      <c r="AP317" s="613"/>
      <c r="AQ317" s="612"/>
      <c r="AR317" s="611"/>
      <c r="AS317" s="612"/>
    </row>
    <row r="318" spans="1:45" ht="15" customHeight="1" thickBot="1" x14ac:dyDescent="0.3">
      <c r="A318" s="632">
        <v>69</v>
      </c>
      <c r="B318" s="629">
        <f>VLOOKUP(A318,مسلسل,2,0)</f>
        <v>0</v>
      </c>
      <c r="C318" s="621" t="str">
        <f>IFERROR(VLOOKUP(B318,اسماء,2,0),"")</f>
        <v/>
      </c>
      <c r="D318" s="624" t="str">
        <f>IFERROR(VLOOKUP($B318,اسماء,3,0),"")</f>
        <v/>
      </c>
      <c r="E318" s="132" t="s">
        <v>30</v>
      </c>
      <c r="F318" s="627">
        <f>IFERROR(VLOOKUP($B318,اسماء,5,0),0)</f>
        <v>0</v>
      </c>
      <c r="G318" s="606"/>
      <c r="H318" s="628">
        <f>IFERROR(VLOOKUP($B318,اسماء,6,0),0)</f>
        <v>0</v>
      </c>
      <c r="I318" s="605"/>
      <c r="J318" s="587">
        <f>IFERROR(VLOOKUP($B318,اسماء,7,0),0)</f>
        <v>0</v>
      </c>
      <c r="K318" s="591"/>
      <c r="L318" s="587">
        <f>IFERROR(VLOOKUP($B318,اسماء,8,0),0)</f>
        <v>0</v>
      </c>
      <c r="M318" s="588"/>
      <c r="N318" s="587">
        <f>IFERROR(VLOOKUP($B318,اسماء,9,0),0)</f>
        <v>0</v>
      </c>
      <c r="O318" s="605"/>
      <c r="P318" s="587">
        <f>IFERROR(VLOOKUP($B318,اسماء,10,0),0)</f>
        <v>0</v>
      </c>
      <c r="Q318" s="605"/>
      <c r="R318" s="606">
        <f>IFERROR(VLOOKUP($B318,اسماء,11,0),0)</f>
        <v>0</v>
      </c>
      <c r="S318" s="591"/>
      <c r="T318" s="587">
        <f>IFERROR(VLOOKUP($B318,اسماء,12,0),0)</f>
        <v>0</v>
      </c>
      <c r="U318" s="591"/>
      <c r="V318" s="263">
        <f t="shared" ref="V318:V320" si="953">SUM(F318:U318)</f>
        <v>0</v>
      </c>
      <c r="W318" s="373">
        <f>IFERROR(VLOOKUP($B318,اسماء,14,0),0)</f>
        <v>0</v>
      </c>
      <c r="X318" s="373">
        <f>IFERROR(VLOOKUP($B318,اسماء,15,0),0)</f>
        <v>0</v>
      </c>
      <c r="Y318" s="595" t="str">
        <f t="shared" ref="Y318" si="954">IF(AC318="غائب","راسب",IF(AND(F321&gt;=$G$8,H321&gt;=$I$8,J321&gt;=$K$8,L321&gt;=$M$8,N321&gt;=$O$8,P321&gt;=$Q$8,R321&gt;=$S$8,T321&gt;=$U$8),"ناجح","له دور ثان"))</f>
        <v>له دور ثان</v>
      </c>
      <c r="Z318" s="21" t="str">
        <f t="shared" ref="Z318:Z319" si="955">LOOKUP(V318,$AF$6:$AG$10)</f>
        <v>ضعيف</v>
      </c>
      <c r="AA318" s="656">
        <f t="shared" ref="AA318" si="956">V321/$AF$3</f>
        <v>0</v>
      </c>
      <c r="AB318" s="72"/>
      <c r="AC318" s="653" t="str">
        <f>IFERROR(VLOOKUP($B318,اسماء,54,0),"")</f>
        <v/>
      </c>
      <c r="AN318" s="607" t="str">
        <f t="shared" ref="AN318" si="957">IF(V321=0,"",V321/1+ROW()*0.00001)</f>
        <v/>
      </c>
      <c r="AO318" s="607">
        <f>B318</f>
        <v>0</v>
      </c>
      <c r="AP318" s="613"/>
      <c r="AQ318" s="612">
        <v>69</v>
      </c>
      <c r="AR318" s="611" t="str">
        <f>IFERROR(LARGE($AN$10:$AN$1006,AQ318),"")</f>
        <v/>
      </c>
      <c r="AS318" s="612" t="str">
        <f>VLOOKUP(AR318,$AN$10:$AO$1116,2,0)</f>
        <v>أحمد نورالدين أحمد الذيب</v>
      </c>
    </row>
    <row r="319" spans="1:45" ht="15" customHeight="1" thickBot="1" x14ac:dyDescent="0.3">
      <c r="A319" s="633"/>
      <c r="B319" s="630"/>
      <c r="C319" s="622"/>
      <c r="D319" s="625"/>
      <c r="E319" s="133" t="s">
        <v>31</v>
      </c>
      <c r="F319" s="589">
        <f>IFERROR(VLOOKUP($B318,اسماء,18,0),0)</f>
        <v>0</v>
      </c>
      <c r="G319" s="592"/>
      <c r="H319" s="608">
        <f>IFERROR(VLOOKUP($B318,اسماء,19,0),0)</f>
        <v>0</v>
      </c>
      <c r="I319" s="609"/>
      <c r="J319" s="589">
        <f>IFERROR(VLOOKUP($B318,اسماء,20,0),0)</f>
        <v>0</v>
      </c>
      <c r="K319" s="592"/>
      <c r="L319" s="589">
        <f>IFERROR(VLOOKUP($B318,اسماء,21,0),0)</f>
        <v>0</v>
      </c>
      <c r="M319" s="590"/>
      <c r="N319" s="589">
        <f>IFERROR(VLOOKUP($B318,اسماء,22,0),0)</f>
        <v>0</v>
      </c>
      <c r="O319" s="590"/>
      <c r="P319" s="589">
        <f>IFERROR(VLOOKUP($B318,اسماء,23,0),0)</f>
        <v>0</v>
      </c>
      <c r="Q319" s="609"/>
      <c r="R319" s="603">
        <f>IFERROR(VLOOKUP($B318,اسماء,24,0),0)</f>
        <v>0</v>
      </c>
      <c r="S319" s="592"/>
      <c r="T319" s="589">
        <f>IFERROR(VLOOKUP($B318,اسماء,25,0),0)</f>
        <v>0</v>
      </c>
      <c r="U319" s="592"/>
      <c r="V319" s="263">
        <f t="shared" si="953"/>
        <v>0</v>
      </c>
      <c r="W319" s="373">
        <f>IFERROR(VLOOKUP($B318,اسماء,27,0),0)</f>
        <v>0</v>
      </c>
      <c r="X319" s="373">
        <f>IFERROR(VLOOKUP($B318,اسماء,28,0),0)</f>
        <v>0</v>
      </c>
      <c r="Y319" s="596"/>
      <c r="Z319" s="22" t="str">
        <f t="shared" si="955"/>
        <v>ضعيف</v>
      </c>
      <c r="AA319" s="657"/>
      <c r="AB319" s="72"/>
      <c r="AC319" s="654"/>
      <c r="AN319" s="607"/>
      <c r="AO319" s="607"/>
      <c r="AP319" s="613"/>
      <c r="AQ319" s="612"/>
      <c r="AR319" s="611"/>
      <c r="AS319" s="612"/>
    </row>
    <row r="320" spans="1:45" ht="15" customHeight="1" x14ac:dyDescent="0.25">
      <c r="A320" s="633"/>
      <c r="B320" s="630"/>
      <c r="C320" s="622"/>
      <c r="D320" s="625"/>
      <c r="E320" s="133" t="s">
        <v>32</v>
      </c>
      <c r="F320" s="589">
        <f>IFERROR(VLOOKUP($B318,اسماء,31,0),0)</f>
        <v>0</v>
      </c>
      <c r="G320" s="592"/>
      <c r="H320" s="608">
        <f>IFERROR(VLOOKUP($B318,اسماء,32,0),0)</f>
        <v>0</v>
      </c>
      <c r="I320" s="609"/>
      <c r="J320" s="589">
        <f>IFERROR(VLOOKUP($B318,اسماء,33,0),0)</f>
        <v>0</v>
      </c>
      <c r="K320" s="592"/>
      <c r="L320" s="589">
        <f>IFERROR(VLOOKUP($B318,اسماء,34,0),0)</f>
        <v>0</v>
      </c>
      <c r="M320" s="590"/>
      <c r="N320" s="589">
        <f>IFERROR(VLOOKUP($B318,اسماء,35,0),0)</f>
        <v>0</v>
      </c>
      <c r="O320" s="590"/>
      <c r="P320" s="589">
        <f>IFERROR(VLOOKUP($B318,اسماء,36,0),0)</f>
        <v>0</v>
      </c>
      <c r="Q320" s="609"/>
      <c r="R320" s="603">
        <f>IFERROR(VLOOKUP($B318,اسماء,37,0),0)</f>
        <v>0</v>
      </c>
      <c r="S320" s="592"/>
      <c r="T320" s="589">
        <f>IFERROR(VLOOKUP($B318,اسماء,38,0),0)</f>
        <v>0</v>
      </c>
      <c r="U320" s="592"/>
      <c r="V320" s="263">
        <f t="shared" si="953"/>
        <v>0</v>
      </c>
      <c r="W320" s="373">
        <f>IFERROR(VLOOKUP($B318,اسماء,40,0),0)</f>
        <v>0</v>
      </c>
      <c r="X320" s="373">
        <f>IFERROR(VLOOKUP($B318,اسماء,41,0),0)</f>
        <v>0</v>
      </c>
      <c r="Y320" s="596"/>
      <c r="Z320" s="22" t="str">
        <f t="shared" ref="Z320" si="958">LOOKUP(V320,$AI$6:$AJ$10)</f>
        <v>ضعيف</v>
      </c>
      <c r="AA320" s="657"/>
      <c r="AB320" s="10"/>
      <c r="AC320" s="654"/>
      <c r="AN320" s="607"/>
      <c r="AO320" s="607"/>
      <c r="AP320" s="613"/>
      <c r="AQ320" s="612"/>
      <c r="AR320" s="611"/>
      <c r="AS320" s="612"/>
    </row>
    <row r="321" spans="1:45" ht="15" customHeight="1" thickBot="1" x14ac:dyDescent="0.3">
      <c r="A321" s="634"/>
      <c r="B321" s="631"/>
      <c r="C321" s="623"/>
      <c r="D321" s="626"/>
      <c r="E321" s="127" t="s">
        <v>33</v>
      </c>
      <c r="F321" s="585">
        <f t="shared" ref="F321" si="959">SUM(F318:G320)</f>
        <v>0</v>
      </c>
      <c r="G321" s="593"/>
      <c r="H321" s="604">
        <f t="shared" ref="H321" si="960">SUM(H318:I320)</f>
        <v>0</v>
      </c>
      <c r="I321" s="601"/>
      <c r="J321" s="585">
        <f t="shared" ref="J321" si="961">SUM(J318:K320)</f>
        <v>0</v>
      </c>
      <c r="K321" s="593"/>
      <c r="L321" s="585">
        <f t="shared" ref="L321" si="962">SUM(L318:M320)</f>
        <v>0</v>
      </c>
      <c r="M321" s="586"/>
      <c r="N321" s="585">
        <f t="shared" ref="N321" si="963">SUM(N318:O320)</f>
        <v>0</v>
      </c>
      <c r="O321" s="586"/>
      <c r="P321" s="585">
        <f t="shared" ref="P321" si="964">SUM(P318:Q320)</f>
        <v>0</v>
      </c>
      <c r="Q321" s="601"/>
      <c r="R321" s="602">
        <f t="shared" ref="R321" si="965">SUM(R318:S320)</f>
        <v>0</v>
      </c>
      <c r="S321" s="593"/>
      <c r="T321" s="585">
        <f t="shared" ref="T321" si="966">SUM(T318:U320)</f>
        <v>0</v>
      </c>
      <c r="U321" s="593"/>
      <c r="V321" s="210">
        <f t="shared" ref="V321" si="967">IF(AND(F321&gt;=$G$8,H321&gt;=$I$8,L321&gt;=$M$8,P321&gt;=$Q$8,R321&gt;=$S$8,T321&gt;=$U$8),SUM(F321:U321),0)</f>
        <v>0</v>
      </c>
      <c r="W321" s="264"/>
      <c r="X321" s="97"/>
      <c r="Y321" s="597"/>
      <c r="Z321" s="91" t="str">
        <f t="shared" ref="Z321" si="968">LOOKUP(V321,$AL$6:$AM$10)</f>
        <v>ضعيف</v>
      </c>
      <c r="AA321" s="658"/>
      <c r="AB321" s="72"/>
      <c r="AC321" s="655"/>
      <c r="AN321" s="607"/>
      <c r="AO321" s="607"/>
      <c r="AP321" s="613"/>
      <c r="AQ321" s="612"/>
      <c r="AR321" s="611"/>
      <c r="AS321" s="612"/>
    </row>
    <row r="322" spans="1:45" ht="15" customHeight="1" thickBot="1" x14ac:dyDescent="0.3">
      <c r="A322" s="632">
        <v>70</v>
      </c>
      <c r="B322" s="629">
        <f>VLOOKUP(A322,مسلسل,2,0)</f>
        <v>0</v>
      </c>
      <c r="C322" s="621" t="str">
        <f>IFERROR(VLOOKUP(B322,اسماء,2,0),"")</f>
        <v/>
      </c>
      <c r="D322" s="624" t="str">
        <f>IFERROR(VLOOKUP($B322,اسماء,3,0),"")</f>
        <v/>
      </c>
      <c r="E322" s="132" t="s">
        <v>30</v>
      </c>
      <c r="F322" s="627">
        <f>IFERROR(VLOOKUP($B322,اسماء,5,0),0)</f>
        <v>0</v>
      </c>
      <c r="G322" s="606"/>
      <c r="H322" s="628">
        <f>IFERROR(VLOOKUP($B322,اسماء,6,0),0)</f>
        <v>0</v>
      </c>
      <c r="I322" s="605"/>
      <c r="J322" s="587">
        <f>IFERROR(VLOOKUP($B322,اسماء,7,0),0)</f>
        <v>0</v>
      </c>
      <c r="K322" s="591"/>
      <c r="L322" s="587">
        <f>IFERROR(VLOOKUP($B322,اسماء,8,0),0)</f>
        <v>0</v>
      </c>
      <c r="M322" s="588"/>
      <c r="N322" s="587">
        <f>IFERROR(VLOOKUP($B322,اسماء,9,0),0)</f>
        <v>0</v>
      </c>
      <c r="O322" s="605"/>
      <c r="P322" s="587">
        <f>IFERROR(VLOOKUP($B322,اسماء,10,0),0)</f>
        <v>0</v>
      </c>
      <c r="Q322" s="605"/>
      <c r="R322" s="606">
        <f>IFERROR(VLOOKUP($B322,اسماء,11,0),0)</f>
        <v>0</v>
      </c>
      <c r="S322" s="591"/>
      <c r="T322" s="587">
        <f>IFERROR(VLOOKUP($B322,اسماء,12,0),0)</f>
        <v>0</v>
      </c>
      <c r="U322" s="591"/>
      <c r="V322" s="263">
        <f t="shared" ref="V322:V324" si="969">SUM(F322:U322)</f>
        <v>0</v>
      </c>
      <c r="W322" s="373">
        <f>IFERROR(VLOOKUP($B322,اسماء,14,0),0)</f>
        <v>0</v>
      </c>
      <c r="X322" s="373">
        <f>IFERROR(VLOOKUP($B322,اسماء,15,0),0)</f>
        <v>0</v>
      </c>
      <c r="Y322" s="595" t="str">
        <f t="shared" ref="Y322" si="970">IF(AC322="غائب","راسب",IF(AND(F325&gt;=$G$8,H325&gt;=$I$8,J325&gt;=$K$8,L325&gt;=$M$8,N325&gt;=$O$8,P325&gt;=$Q$8,R325&gt;=$S$8,T325&gt;=$U$8),"ناجح","له دور ثان"))</f>
        <v>له دور ثان</v>
      </c>
      <c r="Z322" s="21" t="str">
        <f t="shared" ref="Z322:Z323" si="971">LOOKUP(V322,$AF$6:$AG$10)</f>
        <v>ضعيف</v>
      </c>
      <c r="AA322" s="656">
        <f t="shared" ref="AA322" si="972">V325/$AF$3</f>
        <v>0</v>
      </c>
      <c r="AB322" s="72"/>
      <c r="AC322" s="653" t="str">
        <f>IFERROR(VLOOKUP($B322,اسماء,54,0),"")</f>
        <v/>
      </c>
      <c r="AN322" s="607" t="str">
        <f t="shared" ref="AN322" si="973">IF(V325=0,"",V325/1+ROW()*0.00001)</f>
        <v/>
      </c>
      <c r="AO322" s="607">
        <f>B322</f>
        <v>0</v>
      </c>
      <c r="AP322" s="613"/>
      <c r="AQ322" s="612">
        <v>70</v>
      </c>
      <c r="AR322" s="611" t="str">
        <f>IFERROR(LARGE($AN$10:$AN$1006,AQ322),"")</f>
        <v/>
      </c>
      <c r="AS322" s="612" t="str">
        <f>VLOOKUP(AR322,$AN$10:$AO$1116,2,0)</f>
        <v>أحمد نورالدين أحمد الذيب</v>
      </c>
    </row>
    <row r="323" spans="1:45" ht="15" customHeight="1" thickBot="1" x14ac:dyDescent="0.3">
      <c r="A323" s="633"/>
      <c r="B323" s="630"/>
      <c r="C323" s="622"/>
      <c r="D323" s="625"/>
      <c r="E323" s="133" t="s">
        <v>31</v>
      </c>
      <c r="F323" s="589">
        <f>IFERROR(VLOOKUP($B322,اسماء,18,0),0)</f>
        <v>0</v>
      </c>
      <c r="G323" s="592"/>
      <c r="H323" s="608">
        <f>IFERROR(VLOOKUP($B322,اسماء,19,0),0)</f>
        <v>0</v>
      </c>
      <c r="I323" s="609"/>
      <c r="J323" s="589">
        <f>IFERROR(VLOOKUP($B322,اسماء,20,0),0)</f>
        <v>0</v>
      </c>
      <c r="K323" s="592"/>
      <c r="L323" s="589">
        <f>IFERROR(VLOOKUP($B322,اسماء,21,0),0)</f>
        <v>0</v>
      </c>
      <c r="M323" s="590"/>
      <c r="N323" s="589">
        <f>IFERROR(VLOOKUP($B322,اسماء,22,0),0)</f>
        <v>0</v>
      </c>
      <c r="O323" s="590"/>
      <c r="P323" s="589">
        <f>IFERROR(VLOOKUP($B322,اسماء,23,0),0)</f>
        <v>0</v>
      </c>
      <c r="Q323" s="609"/>
      <c r="R323" s="603">
        <f>IFERROR(VLOOKUP($B322,اسماء,24,0),0)</f>
        <v>0</v>
      </c>
      <c r="S323" s="592"/>
      <c r="T323" s="589">
        <f>IFERROR(VLOOKUP($B322,اسماء,25,0),0)</f>
        <v>0</v>
      </c>
      <c r="U323" s="592"/>
      <c r="V323" s="263">
        <f t="shared" si="969"/>
        <v>0</v>
      </c>
      <c r="W323" s="373">
        <f>IFERROR(VLOOKUP($B322,اسماء,27,0),0)</f>
        <v>0</v>
      </c>
      <c r="X323" s="373">
        <f>IFERROR(VLOOKUP($B322,اسماء,28,0),0)</f>
        <v>0</v>
      </c>
      <c r="Y323" s="596"/>
      <c r="Z323" s="22" t="str">
        <f t="shared" si="971"/>
        <v>ضعيف</v>
      </c>
      <c r="AA323" s="657"/>
      <c r="AB323" s="10"/>
      <c r="AC323" s="654"/>
      <c r="AN323" s="607"/>
      <c r="AO323" s="607"/>
      <c r="AP323" s="613"/>
      <c r="AQ323" s="612"/>
      <c r="AR323" s="611"/>
      <c r="AS323" s="612"/>
    </row>
    <row r="324" spans="1:45" ht="15" customHeight="1" x14ac:dyDescent="0.25">
      <c r="A324" s="633"/>
      <c r="B324" s="630"/>
      <c r="C324" s="622"/>
      <c r="D324" s="625"/>
      <c r="E324" s="133" t="s">
        <v>32</v>
      </c>
      <c r="F324" s="589">
        <f>IFERROR(VLOOKUP($B322,اسماء,31,0),0)</f>
        <v>0</v>
      </c>
      <c r="G324" s="592"/>
      <c r="H324" s="608">
        <f>IFERROR(VLOOKUP($B322,اسماء,32,0),0)</f>
        <v>0</v>
      </c>
      <c r="I324" s="609"/>
      <c r="J324" s="589">
        <f>IFERROR(VLOOKUP($B322,اسماء,33,0),0)</f>
        <v>0</v>
      </c>
      <c r="K324" s="592"/>
      <c r="L324" s="589">
        <f>IFERROR(VLOOKUP($B322,اسماء,34,0),0)</f>
        <v>0</v>
      </c>
      <c r="M324" s="590"/>
      <c r="N324" s="589">
        <f>IFERROR(VLOOKUP($B322,اسماء,35,0),0)</f>
        <v>0</v>
      </c>
      <c r="O324" s="590"/>
      <c r="P324" s="589">
        <f>IFERROR(VLOOKUP($B322,اسماء,36,0),0)</f>
        <v>0</v>
      </c>
      <c r="Q324" s="609"/>
      <c r="R324" s="603">
        <f>IFERROR(VLOOKUP($B322,اسماء,37,0),0)</f>
        <v>0</v>
      </c>
      <c r="S324" s="592"/>
      <c r="T324" s="589">
        <f>IFERROR(VLOOKUP($B322,اسماء,38,0),0)</f>
        <v>0</v>
      </c>
      <c r="U324" s="592"/>
      <c r="V324" s="263">
        <f t="shared" si="969"/>
        <v>0</v>
      </c>
      <c r="W324" s="373">
        <f>IFERROR(VLOOKUP($B322,اسماء,40,0),0)</f>
        <v>0</v>
      </c>
      <c r="X324" s="373">
        <f>IFERROR(VLOOKUP($B322,اسماء,41,0),0)</f>
        <v>0</v>
      </c>
      <c r="Y324" s="596"/>
      <c r="Z324" s="22" t="str">
        <f t="shared" ref="Z324" si="974">LOOKUP(V324,$AI$6:$AJ$10)</f>
        <v>ضعيف</v>
      </c>
      <c r="AA324" s="657"/>
      <c r="AB324" s="72"/>
      <c r="AC324" s="654"/>
      <c r="AN324" s="607"/>
      <c r="AO324" s="607"/>
      <c r="AP324" s="613"/>
      <c r="AQ324" s="612"/>
      <c r="AR324" s="611"/>
      <c r="AS324" s="612"/>
    </row>
    <row r="325" spans="1:45" ht="15" customHeight="1" thickBot="1" x14ac:dyDescent="0.3">
      <c r="A325" s="634"/>
      <c r="B325" s="631"/>
      <c r="C325" s="623"/>
      <c r="D325" s="626"/>
      <c r="E325" s="127" t="s">
        <v>33</v>
      </c>
      <c r="F325" s="585">
        <f t="shared" ref="F325" si="975">SUM(F322:G324)</f>
        <v>0</v>
      </c>
      <c r="G325" s="593"/>
      <c r="H325" s="604">
        <f t="shared" ref="H325" si="976">SUM(H322:I324)</f>
        <v>0</v>
      </c>
      <c r="I325" s="601"/>
      <c r="J325" s="585">
        <f t="shared" ref="J325" si="977">SUM(J322:K324)</f>
        <v>0</v>
      </c>
      <c r="K325" s="593"/>
      <c r="L325" s="585">
        <f t="shared" ref="L325" si="978">SUM(L322:M324)</f>
        <v>0</v>
      </c>
      <c r="M325" s="586"/>
      <c r="N325" s="585">
        <f t="shared" ref="N325" si="979">SUM(N322:O324)</f>
        <v>0</v>
      </c>
      <c r="O325" s="586"/>
      <c r="P325" s="585">
        <f t="shared" ref="P325" si="980">SUM(P322:Q324)</f>
        <v>0</v>
      </c>
      <c r="Q325" s="601"/>
      <c r="R325" s="602">
        <f t="shared" ref="R325" si="981">SUM(R322:S324)</f>
        <v>0</v>
      </c>
      <c r="S325" s="593"/>
      <c r="T325" s="585">
        <f t="shared" ref="T325" si="982">SUM(T322:U324)</f>
        <v>0</v>
      </c>
      <c r="U325" s="593"/>
      <c r="V325" s="210">
        <f t="shared" ref="V325" si="983">IF(AND(F325&gt;=$G$8,H325&gt;=$I$8,L325&gt;=$M$8,P325&gt;=$Q$8,R325&gt;=$S$8,T325&gt;=$U$8),SUM(F325:U325),0)</f>
        <v>0</v>
      </c>
      <c r="W325" s="264"/>
      <c r="X325" s="97"/>
      <c r="Y325" s="597"/>
      <c r="Z325" s="91" t="str">
        <f t="shared" ref="Z325" si="984">LOOKUP(V325,$AL$6:$AM$10)</f>
        <v>ضعيف</v>
      </c>
      <c r="AA325" s="658"/>
      <c r="AB325" s="72"/>
      <c r="AC325" s="655"/>
      <c r="AN325" s="607"/>
      <c r="AO325" s="607"/>
      <c r="AP325" s="613"/>
      <c r="AQ325" s="612"/>
      <c r="AR325" s="611"/>
      <c r="AS325" s="612"/>
    </row>
    <row r="326" spans="1:45" ht="15" customHeight="1" thickBot="1" x14ac:dyDescent="0.3">
      <c r="F326" s="75"/>
      <c r="G326" s="76"/>
      <c r="H326" s="75"/>
      <c r="I326" s="76"/>
      <c r="J326" s="75"/>
      <c r="K326" s="76"/>
      <c r="L326" s="75"/>
      <c r="M326" s="76"/>
      <c r="N326" s="76"/>
      <c r="O326" s="76"/>
      <c r="P326" s="75"/>
      <c r="Q326" s="76"/>
      <c r="R326" s="75"/>
      <c r="S326" s="76"/>
      <c r="T326" s="75"/>
      <c r="U326" s="76"/>
      <c r="V326" s="74"/>
      <c r="W326" s="77"/>
      <c r="X326" s="74"/>
      <c r="Y326" s="362"/>
      <c r="Z326" s="74"/>
      <c r="AA326" s="267"/>
      <c r="AB326" s="72"/>
      <c r="AK326" s="78"/>
    </row>
    <row r="327" spans="1:45" customFormat="1" ht="15" customHeight="1" x14ac:dyDescent="0.3">
      <c r="A327" s="617" t="s">
        <v>9</v>
      </c>
      <c r="B327" s="618"/>
      <c r="C327" s="619"/>
      <c r="D327" s="288" t="s">
        <v>11</v>
      </c>
      <c r="E327" s="600" t="s">
        <v>97</v>
      </c>
      <c r="F327" s="598"/>
      <c r="G327" s="598"/>
      <c r="H327" s="598"/>
      <c r="I327" s="598"/>
      <c r="J327" s="9"/>
      <c r="K327" s="9"/>
      <c r="L327" s="9"/>
      <c r="M327" s="9"/>
      <c r="N327" s="9"/>
      <c r="O327" s="9"/>
      <c r="P327" s="9"/>
      <c r="Q327" s="9"/>
      <c r="R327" s="9"/>
      <c r="S327" s="598" t="s">
        <v>156</v>
      </c>
      <c r="T327" s="598"/>
      <c r="U327" s="598"/>
      <c r="V327" s="598"/>
      <c r="W327" s="598"/>
      <c r="X327" s="598"/>
      <c r="Y327" s="598"/>
      <c r="Z327" s="1"/>
      <c r="AA327" s="268"/>
      <c r="AC327" s="79"/>
      <c r="AD327" s="80"/>
      <c r="AE327" s="80"/>
      <c r="AF327" s="80"/>
      <c r="AG327" s="80"/>
    </row>
    <row r="328" spans="1:45" customFormat="1" ht="15" customHeight="1" x14ac:dyDescent="0.25">
      <c r="A328" s="81" t="s">
        <v>8</v>
      </c>
      <c r="B328" s="610">
        <f>ادخال1!$BP$3</f>
        <v>0</v>
      </c>
      <c r="C328" s="620"/>
      <c r="D328" s="289"/>
      <c r="E328" s="9" t="s">
        <v>9</v>
      </c>
      <c r="F328" s="599" t="str">
        <f>ادخال1!$BP$5</f>
        <v>د.عبدالرحمن خليفة العريبي</v>
      </c>
      <c r="G328" s="599"/>
      <c r="H328" s="599"/>
      <c r="I328" s="599"/>
      <c r="J328" s="599"/>
      <c r="K328" s="599"/>
      <c r="L328" s="599"/>
      <c r="M328" s="599"/>
      <c r="N328" s="599"/>
      <c r="O328" s="599"/>
      <c r="P328" s="599"/>
      <c r="Q328" s="599"/>
      <c r="R328" s="9"/>
      <c r="S328" s="599" t="str">
        <f>ادخال1!$BP$6</f>
        <v>تاجوراء</v>
      </c>
      <c r="T328" s="599"/>
      <c r="U328" s="599"/>
      <c r="V328" s="599"/>
      <c r="W328" s="599"/>
      <c r="X328" s="599"/>
      <c r="Y328" s="599"/>
      <c r="Z328" s="599"/>
      <c r="AA328" s="67"/>
      <c r="AB328" s="67"/>
      <c r="AC328" s="79"/>
      <c r="AD328" s="79"/>
      <c r="AE328" s="79"/>
      <c r="AF328" s="79"/>
    </row>
    <row r="329" spans="1:45" customFormat="1" ht="15" customHeight="1" thickBot="1" x14ac:dyDescent="0.3">
      <c r="A329" s="82" t="s">
        <v>98</v>
      </c>
      <c r="B329" s="615">
        <f>ادخال1!$BP$4</f>
        <v>0</v>
      </c>
      <c r="C329" s="616"/>
      <c r="D329" s="290"/>
      <c r="E329" s="9" t="s">
        <v>11</v>
      </c>
      <c r="F329" s="607"/>
      <c r="G329" s="607"/>
      <c r="H329" s="607"/>
      <c r="I329" s="607"/>
      <c r="J329" s="607"/>
      <c r="K329" s="607"/>
      <c r="L329" s="607"/>
      <c r="M329" s="607"/>
      <c r="N329" s="607"/>
      <c r="O329" s="607"/>
      <c r="P329" s="607"/>
      <c r="Q329" s="607"/>
      <c r="R329" s="9"/>
      <c r="S329" s="9" t="s">
        <v>11</v>
      </c>
      <c r="T329" s="9"/>
      <c r="U329" s="9" t="s">
        <v>11</v>
      </c>
      <c r="V329" s="1"/>
      <c r="W329" s="1"/>
      <c r="X329" s="1"/>
      <c r="Y329" s="363"/>
      <c r="Z329" s="1"/>
      <c r="AA329" s="268"/>
      <c r="AC329" s="79"/>
      <c r="AD329" s="79"/>
      <c r="AE329" s="79"/>
      <c r="AF329" s="79"/>
    </row>
    <row r="330" spans="1:45" customFormat="1" ht="15" customHeight="1" x14ac:dyDescent="0.25">
      <c r="A330" s="598" t="s">
        <v>99</v>
      </c>
      <c r="B330" s="598"/>
      <c r="C330" s="598"/>
      <c r="D330" s="598"/>
      <c r="E330" s="598" t="s">
        <v>100</v>
      </c>
      <c r="F330" s="598"/>
      <c r="G330" s="598"/>
      <c r="H330" s="598"/>
      <c r="I330" s="598"/>
      <c r="J330" s="598"/>
      <c r="K330" s="598"/>
      <c r="L330" s="598"/>
      <c r="M330" s="598"/>
      <c r="N330" s="598"/>
      <c r="O330" s="598"/>
      <c r="P330" s="598"/>
      <c r="Q330" s="598"/>
      <c r="R330" s="598"/>
      <c r="S330" s="598"/>
      <c r="T330" s="9"/>
      <c r="U330" s="9"/>
      <c r="V330" s="9"/>
      <c r="W330" s="594">
        <f ca="1">TODAY()</f>
        <v>46035</v>
      </c>
      <c r="X330" s="594"/>
      <c r="Y330" s="594"/>
      <c r="Z330" s="594"/>
      <c r="AA330" s="268"/>
    </row>
    <row r="331" spans="1:45" customFormat="1" ht="15" customHeight="1" thickBot="1" x14ac:dyDescent="0.3">
      <c r="A331" s="9"/>
      <c r="B331" s="598" t="s">
        <v>101</v>
      </c>
      <c r="C331" s="598"/>
      <c r="D331" s="598"/>
      <c r="E331" s="598" t="s">
        <v>102</v>
      </c>
      <c r="F331" s="598"/>
      <c r="G331" s="598"/>
      <c r="H331" s="598"/>
      <c r="I331" s="598"/>
      <c r="J331" s="598"/>
      <c r="K331" s="598"/>
      <c r="L331" s="598"/>
      <c r="M331" s="598"/>
      <c r="N331" s="598"/>
      <c r="O331" s="598"/>
      <c r="P331" s="598"/>
      <c r="Q331" s="598"/>
      <c r="R331" s="598"/>
      <c r="S331" s="598"/>
      <c r="T331" s="9"/>
      <c r="U331" s="9"/>
      <c r="V331" s="1"/>
      <c r="W331" s="1"/>
      <c r="X331" s="1"/>
      <c r="Y331" s="363"/>
      <c r="Z331" s="1"/>
      <c r="AA331" s="268"/>
    </row>
    <row r="332" spans="1:45" ht="15" customHeight="1" thickBot="1" x14ac:dyDescent="0.3">
      <c r="A332" s="632">
        <v>71</v>
      </c>
      <c r="B332" s="629">
        <f>VLOOKUP(A332,مسلسل,2,0)</f>
        <v>0</v>
      </c>
      <c r="C332" s="621" t="str">
        <f>IFERROR(VLOOKUP(B332,اسماء,2,0),"")</f>
        <v/>
      </c>
      <c r="D332" s="624" t="str">
        <f>IFERROR(VLOOKUP($B332,اسماء,3,0),"")</f>
        <v/>
      </c>
      <c r="E332" s="132" t="s">
        <v>30</v>
      </c>
      <c r="F332" s="627">
        <f>IFERROR(VLOOKUP($B332,اسماء,5,0),0)</f>
        <v>0</v>
      </c>
      <c r="G332" s="606"/>
      <c r="H332" s="628">
        <f>IFERROR(VLOOKUP($B332,اسماء,6,0),0)</f>
        <v>0</v>
      </c>
      <c r="I332" s="605"/>
      <c r="J332" s="587">
        <f>IFERROR(VLOOKUP($B332,اسماء,7,0),0)</f>
        <v>0</v>
      </c>
      <c r="K332" s="591"/>
      <c r="L332" s="587">
        <f>IFERROR(VLOOKUP($B332,اسماء,8,0),0)</f>
        <v>0</v>
      </c>
      <c r="M332" s="588"/>
      <c r="N332" s="587">
        <f>IFERROR(VLOOKUP($B332,اسماء,9,0),0)</f>
        <v>0</v>
      </c>
      <c r="O332" s="605"/>
      <c r="P332" s="587">
        <f>IFERROR(VLOOKUP($B332,اسماء,10,0),0)</f>
        <v>0</v>
      </c>
      <c r="Q332" s="605"/>
      <c r="R332" s="606">
        <f>IFERROR(VLOOKUP($B332,اسماء,11,0),0)</f>
        <v>0</v>
      </c>
      <c r="S332" s="591"/>
      <c r="T332" s="587">
        <f>IFERROR(VLOOKUP($B332,اسماء,12,0),0)</f>
        <v>0</v>
      </c>
      <c r="U332" s="591"/>
      <c r="V332" s="263">
        <f t="shared" ref="V332:V334" si="985">SUM(F332:U332)</f>
        <v>0</v>
      </c>
      <c r="W332" s="373">
        <f>IFERROR(VLOOKUP($B332,اسماء,14,0),0)</f>
        <v>0</v>
      </c>
      <c r="X332" s="373">
        <f>IFERROR(VLOOKUP($B332,اسماء,15,0),0)</f>
        <v>0</v>
      </c>
      <c r="Y332" s="595" t="str">
        <f>IF(AC332="غائب","راسب",IF(AND(F335&gt;=$G$8,H335&gt;=$I$8,J335&gt;=$K$8,L335&gt;=$M$8,N335&gt;=$O$8,P335&gt;=$Q$8,R335&gt;=$S$8,T335&gt;=$U$8),"ناجح","له دور ثان"))</f>
        <v>له دور ثان</v>
      </c>
      <c r="Z332" s="21" t="str">
        <f>LOOKUP(V332,$AF$6:$AG$10)</f>
        <v>ضعيف</v>
      </c>
      <c r="AA332" s="656">
        <f>V335/$AF$3</f>
        <v>0</v>
      </c>
      <c r="AB332" s="10"/>
      <c r="AC332" s="653" t="str">
        <f>IFERROR(VLOOKUP($B332,اسماء,54,0),"")</f>
        <v/>
      </c>
      <c r="AN332" s="610" t="str">
        <f>IF(V335=0,"",V335/1+ROW()*0.00001)</f>
        <v/>
      </c>
      <c r="AO332" s="610">
        <f>B332</f>
        <v>0</v>
      </c>
      <c r="AP332" s="613"/>
      <c r="AQ332" s="612">
        <v>71</v>
      </c>
      <c r="AR332" s="611" t="str">
        <f>IFERROR(LARGE($AN$10:$AN$1006,AQ332),"")</f>
        <v/>
      </c>
      <c r="AS332" s="612" t="str">
        <f>VLOOKUP(AR332,$AN$10:$AO$1116,2,0)</f>
        <v>أحمد نورالدين أحمد الذيب</v>
      </c>
    </row>
    <row r="333" spans="1:45" ht="15" customHeight="1" thickBot="1" x14ac:dyDescent="0.3">
      <c r="A333" s="633"/>
      <c r="B333" s="630"/>
      <c r="C333" s="622"/>
      <c r="D333" s="625"/>
      <c r="E333" s="133" t="s">
        <v>31</v>
      </c>
      <c r="F333" s="589">
        <f>IFERROR(VLOOKUP($B332,اسماء,18,0),0)</f>
        <v>0</v>
      </c>
      <c r="G333" s="592"/>
      <c r="H333" s="608">
        <f>IFERROR(VLOOKUP($B332,اسماء,19,0),0)</f>
        <v>0</v>
      </c>
      <c r="I333" s="609"/>
      <c r="J333" s="589">
        <f>IFERROR(VLOOKUP($B332,اسماء,20,0),0)</f>
        <v>0</v>
      </c>
      <c r="K333" s="592"/>
      <c r="L333" s="589">
        <f>IFERROR(VLOOKUP($B332,اسماء,21,0),0)</f>
        <v>0</v>
      </c>
      <c r="M333" s="590"/>
      <c r="N333" s="589">
        <f>IFERROR(VLOOKUP($B332,اسماء,22,0),0)</f>
        <v>0</v>
      </c>
      <c r="O333" s="590"/>
      <c r="P333" s="589">
        <f>IFERROR(VLOOKUP($B332,اسماء,23,0),0)</f>
        <v>0</v>
      </c>
      <c r="Q333" s="609"/>
      <c r="R333" s="603">
        <f>IFERROR(VLOOKUP($B332,اسماء,24,0),0)</f>
        <v>0</v>
      </c>
      <c r="S333" s="592"/>
      <c r="T333" s="589">
        <f>IFERROR(VLOOKUP($B332,اسماء,25,0),0)</f>
        <v>0</v>
      </c>
      <c r="U333" s="592"/>
      <c r="V333" s="263">
        <f t="shared" si="985"/>
        <v>0</v>
      </c>
      <c r="W333" s="373">
        <f>IFERROR(VLOOKUP($B332,اسماء,27,0),0)</f>
        <v>0</v>
      </c>
      <c r="X333" s="373">
        <f>IFERROR(VLOOKUP($B332,اسماء,28,0),0)</f>
        <v>0</v>
      </c>
      <c r="Y333" s="596"/>
      <c r="Z333" s="22" t="str">
        <f>LOOKUP(V333,$AF$6:$AG$10)</f>
        <v>ضعيف</v>
      </c>
      <c r="AA333" s="657"/>
      <c r="AB333" s="72"/>
      <c r="AC333" s="654"/>
      <c r="AN333" s="610"/>
      <c r="AO333" s="610"/>
      <c r="AP333" s="613"/>
      <c r="AQ333" s="612"/>
      <c r="AR333" s="611"/>
      <c r="AS333" s="612"/>
    </row>
    <row r="334" spans="1:45" ht="15" customHeight="1" x14ac:dyDescent="0.25">
      <c r="A334" s="633"/>
      <c r="B334" s="630"/>
      <c r="C334" s="622"/>
      <c r="D334" s="625"/>
      <c r="E334" s="133" t="s">
        <v>32</v>
      </c>
      <c r="F334" s="589">
        <f>IFERROR(VLOOKUP($B332,اسماء,31,0),0)</f>
        <v>0</v>
      </c>
      <c r="G334" s="592"/>
      <c r="H334" s="608">
        <f>IFERROR(VLOOKUP($B332,اسماء,32,0),0)</f>
        <v>0</v>
      </c>
      <c r="I334" s="609"/>
      <c r="J334" s="589">
        <f>IFERROR(VLOOKUP($B332,اسماء,33,0),0)</f>
        <v>0</v>
      </c>
      <c r="K334" s="592"/>
      <c r="L334" s="589">
        <f>IFERROR(VLOOKUP($B332,اسماء,34,0),0)</f>
        <v>0</v>
      </c>
      <c r="M334" s="590"/>
      <c r="N334" s="589">
        <f>IFERROR(VLOOKUP($B332,اسماء,35,0),0)</f>
        <v>0</v>
      </c>
      <c r="O334" s="590"/>
      <c r="P334" s="589">
        <f>IFERROR(VLOOKUP($B332,اسماء,36,0),0)</f>
        <v>0</v>
      </c>
      <c r="Q334" s="609"/>
      <c r="R334" s="603">
        <f>IFERROR(VLOOKUP($B332,اسماء,37,0),0)</f>
        <v>0</v>
      </c>
      <c r="S334" s="592"/>
      <c r="T334" s="589">
        <f>IFERROR(VLOOKUP($B332,اسماء,38,0),0)</f>
        <v>0</v>
      </c>
      <c r="U334" s="592"/>
      <c r="V334" s="263">
        <f t="shared" si="985"/>
        <v>0</v>
      </c>
      <c r="W334" s="373">
        <f>IFERROR(VLOOKUP($B332,اسماء,40,0),0)</f>
        <v>0</v>
      </c>
      <c r="X334" s="373">
        <f>IFERROR(VLOOKUP($B332,اسماء,41,0),0)</f>
        <v>0</v>
      </c>
      <c r="Y334" s="596"/>
      <c r="Z334" s="22" t="str">
        <f>LOOKUP(V334,$AI$6:$AJ$10)</f>
        <v>ضعيف</v>
      </c>
      <c r="AA334" s="657"/>
      <c r="AB334" s="72"/>
      <c r="AC334" s="654"/>
      <c r="AN334" s="610"/>
      <c r="AO334" s="610"/>
      <c r="AP334" s="613"/>
      <c r="AQ334" s="612"/>
      <c r="AR334" s="611"/>
      <c r="AS334" s="612"/>
    </row>
    <row r="335" spans="1:45" ht="15" customHeight="1" thickBot="1" x14ac:dyDescent="0.3">
      <c r="A335" s="634"/>
      <c r="B335" s="631"/>
      <c r="C335" s="623"/>
      <c r="D335" s="626"/>
      <c r="E335" s="127" t="s">
        <v>33</v>
      </c>
      <c r="F335" s="585">
        <f t="shared" ref="F335" si="986">SUM(F332:G334)</f>
        <v>0</v>
      </c>
      <c r="G335" s="593"/>
      <c r="H335" s="604">
        <f t="shared" ref="H335" si="987">SUM(H332:I334)</f>
        <v>0</v>
      </c>
      <c r="I335" s="601"/>
      <c r="J335" s="585">
        <f t="shared" ref="J335" si="988">SUM(J332:K334)</f>
        <v>0</v>
      </c>
      <c r="K335" s="593"/>
      <c r="L335" s="585">
        <f t="shared" ref="L335" si="989">SUM(L332:M334)</f>
        <v>0</v>
      </c>
      <c r="M335" s="586"/>
      <c r="N335" s="585">
        <f t="shared" ref="N335" si="990">SUM(N332:O334)</f>
        <v>0</v>
      </c>
      <c r="O335" s="586"/>
      <c r="P335" s="585">
        <f t="shared" ref="P335" si="991">SUM(P332:Q334)</f>
        <v>0</v>
      </c>
      <c r="Q335" s="601"/>
      <c r="R335" s="602">
        <f t="shared" ref="R335" si="992">SUM(R332:S334)</f>
        <v>0</v>
      </c>
      <c r="S335" s="593"/>
      <c r="T335" s="585">
        <f t="shared" ref="T335" si="993">SUM(T332:U334)</f>
        <v>0</v>
      </c>
      <c r="U335" s="593"/>
      <c r="V335" s="210">
        <f t="shared" ref="V335" si="994">IF(AND(F335&gt;=$G$8,H335&gt;=$I$8,L335&gt;=$M$8,P335&gt;=$Q$8,R335&gt;=$S$8,T335&gt;=$U$8),SUM(F335:U335),0)</f>
        <v>0</v>
      </c>
      <c r="W335" s="264"/>
      <c r="X335" s="97"/>
      <c r="Y335" s="597"/>
      <c r="Z335" s="91" t="str">
        <f>LOOKUP(V335,$AL$6:$AM$10)</f>
        <v>ضعيف</v>
      </c>
      <c r="AA335" s="658"/>
      <c r="AB335" s="10"/>
      <c r="AC335" s="655"/>
      <c r="AN335" s="610"/>
      <c r="AO335" s="610"/>
      <c r="AP335" s="613"/>
      <c r="AQ335" s="612"/>
      <c r="AR335" s="611"/>
      <c r="AS335" s="612"/>
    </row>
    <row r="336" spans="1:45" ht="15" customHeight="1" thickBot="1" x14ac:dyDescent="0.3">
      <c r="A336" s="632">
        <v>72</v>
      </c>
      <c r="B336" s="629">
        <f>VLOOKUP(A336,مسلسل,2,0)</f>
        <v>0</v>
      </c>
      <c r="C336" s="621" t="str">
        <f>IFERROR(VLOOKUP(B336,اسماء,2,0),"")</f>
        <v/>
      </c>
      <c r="D336" s="624" t="str">
        <f>IFERROR(VLOOKUP($B336,اسماء,3,0),"")</f>
        <v/>
      </c>
      <c r="E336" s="132" t="s">
        <v>30</v>
      </c>
      <c r="F336" s="627">
        <f>IFERROR(VLOOKUP($B336,اسماء,5,0),0)</f>
        <v>0</v>
      </c>
      <c r="G336" s="606"/>
      <c r="H336" s="628">
        <f>IFERROR(VLOOKUP($B336,اسماء,6,0),0)</f>
        <v>0</v>
      </c>
      <c r="I336" s="605"/>
      <c r="J336" s="587">
        <f>IFERROR(VLOOKUP($B336,اسماء,7,0),0)</f>
        <v>0</v>
      </c>
      <c r="K336" s="591"/>
      <c r="L336" s="587">
        <f>IFERROR(VLOOKUP($B336,اسماء,8,0),0)</f>
        <v>0</v>
      </c>
      <c r="M336" s="588"/>
      <c r="N336" s="587">
        <f>IFERROR(VLOOKUP($B336,اسماء,9,0),0)</f>
        <v>0</v>
      </c>
      <c r="O336" s="605"/>
      <c r="P336" s="587">
        <f>IFERROR(VLOOKUP($B336,اسماء,10,0),0)</f>
        <v>0</v>
      </c>
      <c r="Q336" s="605"/>
      <c r="R336" s="606">
        <f>IFERROR(VLOOKUP($B336,اسماء,11,0),0)</f>
        <v>0</v>
      </c>
      <c r="S336" s="591"/>
      <c r="T336" s="587">
        <f>IFERROR(VLOOKUP($B336,اسماء,12,0),0)</f>
        <v>0</v>
      </c>
      <c r="U336" s="591"/>
      <c r="V336" s="263">
        <f t="shared" ref="V336:V338" si="995">SUM(F336:U336)</f>
        <v>0</v>
      </c>
      <c r="W336" s="373">
        <f>IFERROR(VLOOKUP($B336,اسماء,14,0),0)</f>
        <v>0</v>
      </c>
      <c r="X336" s="373">
        <f>IFERROR(VLOOKUP($B336,اسماء,15,0),0)</f>
        <v>0</v>
      </c>
      <c r="Y336" s="595" t="str">
        <f t="shared" ref="Y336" si="996">IF(AC336="غائب","راسب",IF(AND(F339&gt;=$G$8,H339&gt;=$I$8,J339&gt;=$K$8,L339&gt;=$M$8,N339&gt;=$O$8,P339&gt;=$Q$8,R339&gt;=$S$8,T339&gt;=$U$8),"ناجح","له دور ثان"))</f>
        <v>له دور ثان</v>
      </c>
      <c r="Z336" s="21" t="str">
        <f>LOOKUP(V336,$AF$6:$AG$10)</f>
        <v>ضعيف</v>
      </c>
      <c r="AA336" s="656">
        <f>V339/$AF$3</f>
        <v>0</v>
      </c>
      <c r="AB336" s="72"/>
      <c r="AC336" s="653" t="str">
        <f>IFERROR(VLOOKUP($B336,اسماء,54,0),"")</f>
        <v/>
      </c>
      <c r="AN336" s="607" t="str">
        <f t="shared" ref="AN336" si="997">IF(V339=0,"",V339/1+ROW()*0.00001)</f>
        <v/>
      </c>
      <c r="AO336" s="607">
        <f>B336</f>
        <v>0</v>
      </c>
      <c r="AP336" s="613"/>
      <c r="AQ336" s="612">
        <v>72</v>
      </c>
      <c r="AR336" s="611" t="str">
        <f>IFERROR(LARGE($AN$10:$AN$1006,AQ336),"")</f>
        <v/>
      </c>
      <c r="AS336" s="612" t="str">
        <f>VLOOKUP(AR336,$AN$10:$AO$1116,2,0)</f>
        <v>أحمد نورالدين أحمد الذيب</v>
      </c>
    </row>
    <row r="337" spans="1:45" ht="15" customHeight="1" thickBot="1" x14ac:dyDescent="0.3">
      <c r="A337" s="633"/>
      <c r="B337" s="630"/>
      <c r="C337" s="622"/>
      <c r="D337" s="625"/>
      <c r="E337" s="133" t="s">
        <v>31</v>
      </c>
      <c r="F337" s="589">
        <f>IFERROR(VLOOKUP($B336,اسماء,18,0),0)</f>
        <v>0</v>
      </c>
      <c r="G337" s="592"/>
      <c r="H337" s="608">
        <f>IFERROR(VLOOKUP($B336,اسماء,19,0),0)</f>
        <v>0</v>
      </c>
      <c r="I337" s="609"/>
      <c r="J337" s="589">
        <f>IFERROR(VLOOKUP($B336,اسماء,20,0),0)</f>
        <v>0</v>
      </c>
      <c r="K337" s="592"/>
      <c r="L337" s="589">
        <f>IFERROR(VLOOKUP($B336,اسماء,21,0),0)</f>
        <v>0</v>
      </c>
      <c r="M337" s="590"/>
      <c r="N337" s="589">
        <f>IFERROR(VLOOKUP($B336,اسماء,22,0),0)</f>
        <v>0</v>
      </c>
      <c r="O337" s="590"/>
      <c r="P337" s="589">
        <f>IFERROR(VLOOKUP($B336,اسماء,23,0),0)</f>
        <v>0</v>
      </c>
      <c r="Q337" s="609"/>
      <c r="R337" s="603">
        <f>IFERROR(VLOOKUP($B336,اسماء,24,0),0)</f>
        <v>0</v>
      </c>
      <c r="S337" s="592"/>
      <c r="T337" s="589">
        <f>IFERROR(VLOOKUP($B336,اسماء,25,0),0)</f>
        <v>0</v>
      </c>
      <c r="U337" s="592"/>
      <c r="V337" s="263">
        <f t="shared" si="995"/>
        <v>0</v>
      </c>
      <c r="W337" s="373">
        <f>IFERROR(VLOOKUP($B336,اسماء,27,0),0)</f>
        <v>0</v>
      </c>
      <c r="X337" s="373">
        <f>IFERROR(VLOOKUP($B336,اسماء,28,0),0)</f>
        <v>0</v>
      </c>
      <c r="Y337" s="596"/>
      <c r="Z337" s="22" t="str">
        <f>LOOKUP(V337,$AF$6:$AG$10)</f>
        <v>ضعيف</v>
      </c>
      <c r="AA337" s="657"/>
      <c r="AB337" s="72"/>
      <c r="AC337" s="654"/>
      <c r="AN337" s="607"/>
      <c r="AO337" s="607"/>
      <c r="AP337" s="613"/>
      <c r="AQ337" s="612"/>
      <c r="AR337" s="611"/>
      <c r="AS337" s="612"/>
    </row>
    <row r="338" spans="1:45" ht="15" customHeight="1" x14ac:dyDescent="0.25">
      <c r="A338" s="633"/>
      <c r="B338" s="630"/>
      <c r="C338" s="622"/>
      <c r="D338" s="625"/>
      <c r="E338" s="133" t="s">
        <v>32</v>
      </c>
      <c r="F338" s="589">
        <f>IFERROR(VLOOKUP($B336,اسماء,31,0),0)</f>
        <v>0</v>
      </c>
      <c r="G338" s="592"/>
      <c r="H338" s="608">
        <f>IFERROR(VLOOKUP($B336,اسماء,32,0),0)</f>
        <v>0</v>
      </c>
      <c r="I338" s="609"/>
      <c r="J338" s="589">
        <f>IFERROR(VLOOKUP($B336,اسماء,33,0),0)</f>
        <v>0</v>
      </c>
      <c r="K338" s="592"/>
      <c r="L338" s="589">
        <f>IFERROR(VLOOKUP($B336,اسماء,34,0),0)</f>
        <v>0</v>
      </c>
      <c r="M338" s="590"/>
      <c r="N338" s="589">
        <f>IFERROR(VLOOKUP($B336,اسماء,35,0),0)</f>
        <v>0</v>
      </c>
      <c r="O338" s="590"/>
      <c r="P338" s="589">
        <f>IFERROR(VLOOKUP($B336,اسماء,36,0),0)</f>
        <v>0</v>
      </c>
      <c r="Q338" s="609"/>
      <c r="R338" s="603">
        <f>IFERROR(VLOOKUP($B336,اسماء,37,0),0)</f>
        <v>0</v>
      </c>
      <c r="S338" s="592"/>
      <c r="T338" s="589">
        <f>IFERROR(VLOOKUP($B336,اسماء,38,0),0)</f>
        <v>0</v>
      </c>
      <c r="U338" s="592"/>
      <c r="V338" s="263">
        <f t="shared" si="995"/>
        <v>0</v>
      </c>
      <c r="W338" s="373">
        <f>IFERROR(VLOOKUP($B336,اسماء,40,0),0)</f>
        <v>0</v>
      </c>
      <c r="X338" s="373">
        <f>IFERROR(VLOOKUP($B336,اسماء,41,0),0)</f>
        <v>0</v>
      </c>
      <c r="Y338" s="596"/>
      <c r="Z338" s="22" t="str">
        <f>LOOKUP(V338,$AI$6:$AJ$10)</f>
        <v>ضعيف</v>
      </c>
      <c r="AA338" s="657"/>
      <c r="AB338" s="10"/>
      <c r="AC338" s="654"/>
      <c r="AN338" s="607"/>
      <c r="AO338" s="607"/>
      <c r="AP338" s="613"/>
      <c r="AQ338" s="612"/>
      <c r="AR338" s="611"/>
      <c r="AS338" s="612"/>
    </row>
    <row r="339" spans="1:45" ht="15" customHeight="1" thickBot="1" x14ac:dyDescent="0.3">
      <c r="A339" s="634"/>
      <c r="B339" s="631"/>
      <c r="C339" s="623"/>
      <c r="D339" s="626"/>
      <c r="E339" s="127" t="s">
        <v>33</v>
      </c>
      <c r="F339" s="585">
        <f t="shared" ref="F339" si="998">SUM(F336:G338)</f>
        <v>0</v>
      </c>
      <c r="G339" s="593"/>
      <c r="H339" s="604">
        <f t="shared" ref="H339" si="999">SUM(H336:I338)</f>
        <v>0</v>
      </c>
      <c r="I339" s="601"/>
      <c r="J339" s="585">
        <f t="shared" ref="J339" si="1000">SUM(J336:K338)</f>
        <v>0</v>
      </c>
      <c r="K339" s="593"/>
      <c r="L339" s="585">
        <f t="shared" ref="L339" si="1001">SUM(L336:M338)</f>
        <v>0</v>
      </c>
      <c r="M339" s="586"/>
      <c r="N339" s="585">
        <f t="shared" ref="N339" si="1002">SUM(N336:O338)</f>
        <v>0</v>
      </c>
      <c r="O339" s="586"/>
      <c r="P339" s="585">
        <f t="shared" ref="P339" si="1003">SUM(P336:Q338)</f>
        <v>0</v>
      </c>
      <c r="Q339" s="601"/>
      <c r="R339" s="602">
        <f t="shared" ref="R339" si="1004">SUM(R336:S338)</f>
        <v>0</v>
      </c>
      <c r="S339" s="593"/>
      <c r="T339" s="585">
        <f t="shared" ref="T339" si="1005">SUM(T336:U338)</f>
        <v>0</v>
      </c>
      <c r="U339" s="593"/>
      <c r="V339" s="210">
        <f t="shared" ref="V339" si="1006">IF(AND(F339&gt;=$G$8,H339&gt;=$I$8,L339&gt;=$M$8,P339&gt;=$Q$8,R339&gt;=$S$8,T339&gt;=$U$8),SUM(F339:U339),0)</f>
        <v>0</v>
      </c>
      <c r="W339" s="264"/>
      <c r="X339" s="97"/>
      <c r="Y339" s="597"/>
      <c r="Z339" s="91" t="str">
        <f>LOOKUP(V339,$AL$6:$AM$10)</f>
        <v>ضعيف</v>
      </c>
      <c r="AA339" s="658"/>
      <c r="AB339" s="72"/>
      <c r="AC339" s="655"/>
      <c r="AN339" s="607"/>
      <c r="AO339" s="607"/>
      <c r="AP339" s="613"/>
      <c r="AQ339" s="612"/>
      <c r="AR339" s="611"/>
      <c r="AS339" s="612"/>
    </row>
    <row r="340" spans="1:45" ht="15" customHeight="1" thickBot="1" x14ac:dyDescent="0.3">
      <c r="A340" s="632">
        <v>73</v>
      </c>
      <c r="B340" s="629">
        <f>VLOOKUP(A340,مسلسل,2,0)</f>
        <v>0</v>
      </c>
      <c r="C340" s="621" t="str">
        <f>IFERROR(VLOOKUP(B340,اسماء,2,0),"")</f>
        <v/>
      </c>
      <c r="D340" s="624" t="str">
        <f>IFERROR(VLOOKUP($B340,اسماء,3,0),"")</f>
        <v/>
      </c>
      <c r="E340" s="132" t="s">
        <v>30</v>
      </c>
      <c r="F340" s="627">
        <f>IFERROR(VLOOKUP($B340,اسماء,5,0),0)</f>
        <v>0</v>
      </c>
      <c r="G340" s="606"/>
      <c r="H340" s="628">
        <f>IFERROR(VLOOKUP($B340,اسماء,6,0),0)</f>
        <v>0</v>
      </c>
      <c r="I340" s="605"/>
      <c r="J340" s="587">
        <f>IFERROR(VLOOKUP($B340,اسماء,7,0),0)</f>
        <v>0</v>
      </c>
      <c r="K340" s="591"/>
      <c r="L340" s="587">
        <f>IFERROR(VLOOKUP($B340,اسماء,8,0),0)</f>
        <v>0</v>
      </c>
      <c r="M340" s="588"/>
      <c r="N340" s="587">
        <f>IFERROR(VLOOKUP($B340,اسماء,9,0),0)</f>
        <v>0</v>
      </c>
      <c r="O340" s="605"/>
      <c r="P340" s="587">
        <f>IFERROR(VLOOKUP($B340,اسماء,10,0),0)</f>
        <v>0</v>
      </c>
      <c r="Q340" s="605"/>
      <c r="R340" s="606">
        <f>IFERROR(VLOOKUP($B340,اسماء,11,0),0)</f>
        <v>0</v>
      </c>
      <c r="S340" s="591"/>
      <c r="T340" s="587">
        <f>IFERROR(VLOOKUP($B340,اسماء,12,0),0)</f>
        <v>0</v>
      </c>
      <c r="U340" s="591"/>
      <c r="V340" s="263">
        <f t="shared" ref="V340:V342" si="1007">SUM(F340:U340)</f>
        <v>0</v>
      </c>
      <c r="W340" s="373">
        <f>IFERROR(VLOOKUP($B340,اسماء,14,0),0)</f>
        <v>0</v>
      </c>
      <c r="X340" s="373">
        <f>IFERROR(VLOOKUP($B340,اسماء,15,0),0)</f>
        <v>0</v>
      </c>
      <c r="Y340" s="595" t="str">
        <f t="shared" ref="Y340" si="1008">IF(AC340="غائب","راسب",IF(AND(F343&gt;=$G$8,H343&gt;=$I$8,J343&gt;=$K$8,L343&gt;=$M$8,N343&gt;=$O$8,P343&gt;=$Q$8,R343&gt;=$S$8,T343&gt;=$U$8),"ناجح","له دور ثان"))</f>
        <v>له دور ثان</v>
      </c>
      <c r="Z340" s="21" t="str">
        <f>LOOKUP(V340,$AF$6:$AG$10)</f>
        <v>ضعيف</v>
      </c>
      <c r="AA340" s="656">
        <f>V343/$AF$3</f>
        <v>0</v>
      </c>
      <c r="AB340" s="72"/>
      <c r="AC340" s="653" t="str">
        <f>IFERROR(VLOOKUP($B340,اسماء,54,0),"")</f>
        <v/>
      </c>
      <c r="AN340" s="607" t="str">
        <f t="shared" ref="AN340" si="1009">IF(V343=0,"",V343/1+ROW()*0.00001)</f>
        <v/>
      </c>
      <c r="AO340" s="607">
        <f>B340</f>
        <v>0</v>
      </c>
      <c r="AP340" s="613"/>
      <c r="AQ340" s="612">
        <v>73</v>
      </c>
      <c r="AR340" s="611" t="str">
        <f>IFERROR(LARGE($AN$10:$AN$1006,AQ340),"")</f>
        <v/>
      </c>
      <c r="AS340" s="612" t="str">
        <f>VLOOKUP(AR340,$AN$10:$AO$1116,2,0)</f>
        <v>أحمد نورالدين أحمد الذيب</v>
      </c>
    </row>
    <row r="341" spans="1:45" ht="15" customHeight="1" thickBot="1" x14ac:dyDescent="0.3">
      <c r="A341" s="633"/>
      <c r="B341" s="630"/>
      <c r="C341" s="622"/>
      <c r="D341" s="625"/>
      <c r="E341" s="133" t="s">
        <v>31</v>
      </c>
      <c r="F341" s="589">
        <f>IFERROR(VLOOKUP($B340,اسماء,18,0),0)</f>
        <v>0</v>
      </c>
      <c r="G341" s="592"/>
      <c r="H341" s="608">
        <f>IFERROR(VLOOKUP($B340,اسماء,19,0),0)</f>
        <v>0</v>
      </c>
      <c r="I341" s="609"/>
      <c r="J341" s="589">
        <f>IFERROR(VLOOKUP($B340,اسماء,20,0),0)</f>
        <v>0</v>
      </c>
      <c r="K341" s="592"/>
      <c r="L341" s="589">
        <f>IFERROR(VLOOKUP($B340,اسماء,21,0),0)</f>
        <v>0</v>
      </c>
      <c r="M341" s="590"/>
      <c r="N341" s="589">
        <f>IFERROR(VLOOKUP($B340,اسماء,22,0),0)</f>
        <v>0</v>
      </c>
      <c r="O341" s="590"/>
      <c r="P341" s="589">
        <f>IFERROR(VLOOKUP($B340,اسماء,23,0),0)</f>
        <v>0</v>
      </c>
      <c r="Q341" s="609"/>
      <c r="R341" s="603">
        <f>IFERROR(VLOOKUP($B340,اسماء,24,0),0)</f>
        <v>0</v>
      </c>
      <c r="S341" s="592"/>
      <c r="T341" s="589">
        <f>IFERROR(VLOOKUP($B340,اسماء,25,0),0)</f>
        <v>0</v>
      </c>
      <c r="U341" s="592"/>
      <c r="V341" s="263">
        <f t="shared" si="1007"/>
        <v>0</v>
      </c>
      <c r="W341" s="373">
        <f>IFERROR(VLOOKUP($B340,اسماء,27,0),0)</f>
        <v>0</v>
      </c>
      <c r="X341" s="373">
        <f>IFERROR(VLOOKUP($B340,اسماء,28,0),0)</f>
        <v>0</v>
      </c>
      <c r="Y341" s="596"/>
      <c r="Z341" s="22" t="str">
        <f>LOOKUP(V341,$AF$6:$AG$10)</f>
        <v>ضعيف</v>
      </c>
      <c r="AA341" s="657"/>
      <c r="AB341" s="10"/>
      <c r="AC341" s="654"/>
      <c r="AN341" s="607"/>
      <c r="AO341" s="607"/>
      <c r="AP341" s="613"/>
      <c r="AQ341" s="612"/>
      <c r="AR341" s="611"/>
      <c r="AS341" s="612"/>
    </row>
    <row r="342" spans="1:45" ht="15" customHeight="1" x14ac:dyDescent="0.25">
      <c r="A342" s="633"/>
      <c r="B342" s="630"/>
      <c r="C342" s="622"/>
      <c r="D342" s="625"/>
      <c r="E342" s="133" t="s">
        <v>32</v>
      </c>
      <c r="F342" s="589">
        <f>IFERROR(VLOOKUP($B340,اسماء,31,0),0)</f>
        <v>0</v>
      </c>
      <c r="G342" s="592"/>
      <c r="H342" s="608">
        <f>IFERROR(VLOOKUP($B340,اسماء,32,0),0)</f>
        <v>0</v>
      </c>
      <c r="I342" s="609"/>
      <c r="J342" s="589">
        <f>IFERROR(VLOOKUP($B340,اسماء,33,0),0)</f>
        <v>0</v>
      </c>
      <c r="K342" s="592"/>
      <c r="L342" s="589">
        <f>IFERROR(VLOOKUP($B340,اسماء,34,0),0)</f>
        <v>0</v>
      </c>
      <c r="M342" s="590"/>
      <c r="N342" s="589">
        <f>IFERROR(VLOOKUP($B340,اسماء,35,0),0)</f>
        <v>0</v>
      </c>
      <c r="O342" s="590"/>
      <c r="P342" s="589">
        <f>IFERROR(VLOOKUP($B340,اسماء,36,0),0)</f>
        <v>0</v>
      </c>
      <c r="Q342" s="609"/>
      <c r="R342" s="603">
        <f>IFERROR(VLOOKUP($B340,اسماء,37,0),0)</f>
        <v>0</v>
      </c>
      <c r="S342" s="592"/>
      <c r="T342" s="589">
        <f>IFERROR(VLOOKUP($B340,اسماء,38,0),0)</f>
        <v>0</v>
      </c>
      <c r="U342" s="592"/>
      <c r="V342" s="263">
        <f t="shared" si="1007"/>
        <v>0</v>
      </c>
      <c r="W342" s="373">
        <f>IFERROR(VLOOKUP($B340,اسماء,40,0),0)</f>
        <v>0</v>
      </c>
      <c r="X342" s="373">
        <f>IFERROR(VLOOKUP($B340,اسماء,41,0),0)</f>
        <v>0</v>
      </c>
      <c r="Y342" s="596"/>
      <c r="Z342" s="22" t="str">
        <f>LOOKUP(V342,$AI$6:$AJ$10)</f>
        <v>ضعيف</v>
      </c>
      <c r="AA342" s="657"/>
      <c r="AB342" s="72"/>
      <c r="AC342" s="654"/>
      <c r="AN342" s="607"/>
      <c r="AO342" s="607"/>
      <c r="AP342" s="613"/>
      <c r="AQ342" s="612"/>
      <c r="AR342" s="611"/>
      <c r="AS342" s="612"/>
    </row>
    <row r="343" spans="1:45" ht="15" customHeight="1" thickBot="1" x14ac:dyDescent="0.3">
      <c r="A343" s="634"/>
      <c r="B343" s="631"/>
      <c r="C343" s="623"/>
      <c r="D343" s="626"/>
      <c r="E343" s="127" t="s">
        <v>33</v>
      </c>
      <c r="F343" s="585">
        <f t="shared" ref="F343" si="1010">SUM(F340:G342)</f>
        <v>0</v>
      </c>
      <c r="G343" s="593"/>
      <c r="H343" s="604">
        <f t="shared" ref="H343" si="1011">SUM(H340:I342)</f>
        <v>0</v>
      </c>
      <c r="I343" s="601"/>
      <c r="J343" s="585">
        <f t="shared" ref="J343" si="1012">SUM(J340:K342)</f>
        <v>0</v>
      </c>
      <c r="K343" s="593"/>
      <c r="L343" s="585">
        <f t="shared" ref="L343" si="1013">SUM(L340:M342)</f>
        <v>0</v>
      </c>
      <c r="M343" s="586"/>
      <c r="N343" s="585">
        <f t="shared" ref="N343" si="1014">SUM(N340:O342)</f>
        <v>0</v>
      </c>
      <c r="O343" s="586"/>
      <c r="P343" s="585">
        <f t="shared" ref="P343" si="1015">SUM(P340:Q342)</f>
        <v>0</v>
      </c>
      <c r="Q343" s="601"/>
      <c r="R343" s="602">
        <f t="shared" ref="R343" si="1016">SUM(R340:S342)</f>
        <v>0</v>
      </c>
      <c r="S343" s="593"/>
      <c r="T343" s="585">
        <f t="shared" ref="T343" si="1017">SUM(T340:U342)</f>
        <v>0</v>
      </c>
      <c r="U343" s="593"/>
      <c r="V343" s="210">
        <f t="shared" ref="V343" si="1018">IF(AND(F343&gt;=$G$8,H343&gt;=$I$8,L343&gt;=$M$8,P343&gt;=$Q$8,R343&gt;=$S$8,T343&gt;=$U$8),SUM(F343:U343),0)</f>
        <v>0</v>
      </c>
      <c r="W343" s="264"/>
      <c r="X343" s="97"/>
      <c r="Y343" s="597"/>
      <c r="Z343" s="91" t="str">
        <f>LOOKUP(V343,$AL$6:$AM$10)</f>
        <v>ضعيف</v>
      </c>
      <c r="AA343" s="658"/>
      <c r="AB343" s="72"/>
      <c r="AC343" s="655"/>
      <c r="AN343" s="607"/>
      <c r="AO343" s="607"/>
      <c r="AP343" s="613"/>
      <c r="AQ343" s="612"/>
      <c r="AR343" s="611"/>
      <c r="AS343" s="612"/>
    </row>
    <row r="344" spans="1:45" ht="15" customHeight="1" thickBot="1" x14ac:dyDescent="0.3">
      <c r="A344" s="632">
        <v>74</v>
      </c>
      <c r="B344" s="629">
        <f>VLOOKUP(A344,مسلسل,2,0)</f>
        <v>0</v>
      </c>
      <c r="C344" s="621" t="str">
        <f>IFERROR(VLOOKUP(B344,اسماء,2,0),"")</f>
        <v/>
      </c>
      <c r="D344" s="624" t="str">
        <f>IFERROR(VLOOKUP($B344,اسماء,3,0),"")</f>
        <v/>
      </c>
      <c r="E344" s="132" t="s">
        <v>30</v>
      </c>
      <c r="F344" s="627">
        <f>IFERROR(VLOOKUP($B344,اسماء,5,0),0)</f>
        <v>0</v>
      </c>
      <c r="G344" s="606"/>
      <c r="H344" s="628">
        <f>IFERROR(VLOOKUP($B344,اسماء,6,0),0)</f>
        <v>0</v>
      </c>
      <c r="I344" s="605"/>
      <c r="J344" s="587">
        <f>IFERROR(VLOOKUP($B344,اسماء,7,0),0)</f>
        <v>0</v>
      </c>
      <c r="K344" s="591"/>
      <c r="L344" s="587">
        <f>IFERROR(VLOOKUP($B344,اسماء,8,0),0)</f>
        <v>0</v>
      </c>
      <c r="M344" s="588"/>
      <c r="N344" s="587">
        <f>IFERROR(VLOOKUP($B344,اسماء,9,0),0)</f>
        <v>0</v>
      </c>
      <c r="O344" s="605"/>
      <c r="P344" s="587">
        <f>IFERROR(VLOOKUP($B344,اسماء,10,0),0)</f>
        <v>0</v>
      </c>
      <c r="Q344" s="605"/>
      <c r="R344" s="606">
        <f>IFERROR(VLOOKUP($B344,اسماء,11,0),0)</f>
        <v>0</v>
      </c>
      <c r="S344" s="591"/>
      <c r="T344" s="587">
        <f>IFERROR(VLOOKUP($B344,اسماء,12,0),0)</f>
        <v>0</v>
      </c>
      <c r="U344" s="591"/>
      <c r="V344" s="263">
        <f t="shared" ref="V344:V346" si="1019">SUM(F344:U344)</f>
        <v>0</v>
      </c>
      <c r="W344" s="373">
        <f>IFERROR(VLOOKUP($B344,اسماء,14,0),0)</f>
        <v>0</v>
      </c>
      <c r="X344" s="373">
        <f>IFERROR(VLOOKUP($B344,اسماء,15,0),0)</f>
        <v>0</v>
      </c>
      <c r="Y344" s="595" t="str">
        <f t="shared" ref="Y344" si="1020">IF(AC344="غائب","راسب",IF(AND(F347&gt;=$G$8,H347&gt;=$I$8,J347&gt;=$K$8,L347&gt;=$M$8,N347&gt;=$O$8,P347&gt;=$Q$8,R347&gt;=$S$8,T347&gt;=$U$8),"ناجح","له دور ثان"))</f>
        <v>له دور ثان</v>
      </c>
      <c r="Z344" s="21" t="str">
        <f>LOOKUP(V344,$AF$6:$AG$10)</f>
        <v>ضعيف</v>
      </c>
      <c r="AA344" s="656">
        <f>V347/$AF$3</f>
        <v>0</v>
      </c>
      <c r="AB344" s="10"/>
      <c r="AC344" s="653" t="str">
        <f>IFERROR(VLOOKUP($B344,اسماء,54,0),"")</f>
        <v/>
      </c>
      <c r="AN344" s="607" t="str">
        <f t="shared" ref="AN344" si="1021">IF(V347=0,"",V347/1+ROW()*0.00001)</f>
        <v/>
      </c>
      <c r="AO344" s="607">
        <f>B344</f>
        <v>0</v>
      </c>
      <c r="AP344" s="613"/>
      <c r="AQ344" s="612">
        <v>74</v>
      </c>
      <c r="AR344" s="611" t="str">
        <f>IFERROR(LARGE($AN$10:$AN$1006,AQ344),"")</f>
        <v/>
      </c>
      <c r="AS344" s="612" t="str">
        <f>VLOOKUP(AR344,$AN$10:$AO$1116,2,0)</f>
        <v>أحمد نورالدين أحمد الذيب</v>
      </c>
    </row>
    <row r="345" spans="1:45" ht="15" customHeight="1" thickBot="1" x14ac:dyDescent="0.3">
      <c r="A345" s="633"/>
      <c r="B345" s="630"/>
      <c r="C345" s="622"/>
      <c r="D345" s="625"/>
      <c r="E345" s="133" t="s">
        <v>31</v>
      </c>
      <c r="F345" s="589">
        <f>IFERROR(VLOOKUP($B344,اسماء,18,0),0)</f>
        <v>0</v>
      </c>
      <c r="G345" s="592"/>
      <c r="H345" s="608">
        <f>IFERROR(VLOOKUP($B344,اسماء,19,0),0)</f>
        <v>0</v>
      </c>
      <c r="I345" s="609"/>
      <c r="J345" s="589">
        <f>IFERROR(VLOOKUP($B344,اسماء,20,0),0)</f>
        <v>0</v>
      </c>
      <c r="K345" s="592"/>
      <c r="L345" s="589">
        <f>IFERROR(VLOOKUP($B344,اسماء,21,0),0)</f>
        <v>0</v>
      </c>
      <c r="M345" s="590"/>
      <c r="N345" s="589">
        <f>IFERROR(VLOOKUP($B344,اسماء,22,0),0)</f>
        <v>0</v>
      </c>
      <c r="O345" s="590"/>
      <c r="P345" s="589">
        <f>IFERROR(VLOOKUP($B344,اسماء,23,0),0)</f>
        <v>0</v>
      </c>
      <c r="Q345" s="609"/>
      <c r="R345" s="603">
        <f>IFERROR(VLOOKUP($B344,اسماء,24,0),0)</f>
        <v>0</v>
      </c>
      <c r="S345" s="592"/>
      <c r="T345" s="589">
        <f>IFERROR(VLOOKUP($B344,اسماء,25,0),0)</f>
        <v>0</v>
      </c>
      <c r="U345" s="592"/>
      <c r="V345" s="263">
        <f t="shared" si="1019"/>
        <v>0</v>
      </c>
      <c r="W345" s="373">
        <f>IFERROR(VLOOKUP($B344,اسماء,27,0),0)</f>
        <v>0</v>
      </c>
      <c r="X345" s="373">
        <f>IFERROR(VLOOKUP($B344,اسماء,28,0),0)</f>
        <v>0</v>
      </c>
      <c r="Y345" s="596"/>
      <c r="Z345" s="22" t="str">
        <f>LOOKUP(V345,$AF$6:$AG$10)</f>
        <v>ضعيف</v>
      </c>
      <c r="AA345" s="657"/>
      <c r="AB345" s="72"/>
      <c r="AC345" s="654"/>
      <c r="AN345" s="607"/>
      <c r="AO345" s="607"/>
      <c r="AP345" s="613"/>
      <c r="AQ345" s="612"/>
      <c r="AR345" s="611"/>
      <c r="AS345" s="612"/>
    </row>
    <row r="346" spans="1:45" ht="15" customHeight="1" x14ac:dyDescent="0.25">
      <c r="A346" s="633"/>
      <c r="B346" s="630"/>
      <c r="C346" s="622"/>
      <c r="D346" s="625"/>
      <c r="E346" s="133" t="s">
        <v>32</v>
      </c>
      <c r="F346" s="589">
        <f>IFERROR(VLOOKUP($B344,اسماء,31,0),0)</f>
        <v>0</v>
      </c>
      <c r="G346" s="592"/>
      <c r="H346" s="608">
        <f>IFERROR(VLOOKUP($B344,اسماء,32,0),0)</f>
        <v>0</v>
      </c>
      <c r="I346" s="609"/>
      <c r="J346" s="589">
        <f>IFERROR(VLOOKUP($B344,اسماء,33,0),0)</f>
        <v>0</v>
      </c>
      <c r="K346" s="592"/>
      <c r="L346" s="589">
        <f>IFERROR(VLOOKUP($B344,اسماء,34,0),0)</f>
        <v>0</v>
      </c>
      <c r="M346" s="590"/>
      <c r="N346" s="589">
        <f>IFERROR(VLOOKUP($B344,اسماء,35,0),0)</f>
        <v>0</v>
      </c>
      <c r="O346" s="590"/>
      <c r="P346" s="589">
        <f>IFERROR(VLOOKUP($B344,اسماء,36,0),0)</f>
        <v>0</v>
      </c>
      <c r="Q346" s="609"/>
      <c r="R346" s="603">
        <f>IFERROR(VLOOKUP($B344,اسماء,37,0),0)</f>
        <v>0</v>
      </c>
      <c r="S346" s="592"/>
      <c r="T346" s="589">
        <f>IFERROR(VLOOKUP($B344,اسماء,38,0),0)</f>
        <v>0</v>
      </c>
      <c r="U346" s="592"/>
      <c r="V346" s="263">
        <f t="shared" si="1019"/>
        <v>0</v>
      </c>
      <c r="W346" s="373">
        <f>IFERROR(VLOOKUP($B344,اسماء,40,0),0)</f>
        <v>0</v>
      </c>
      <c r="X346" s="373">
        <f>IFERROR(VLOOKUP($B344,اسماء,41,0),0)</f>
        <v>0</v>
      </c>
      <c r="Y346" s="596"/>
      <c r="Z346" s="22" t="str">
        <f>LOOKUP(V346,$AI$6:$AJ$10)</f>
        <v>ضعيف</v>
      </c>
      <c r="AA346" s="657"/>
      <c r="AB346" s="72"/>
      <c r="AC346" s="654"/>
      <c r="AN346" s="607"/>
      <c r="AO346" s="607"/>
      <c r="AP346" s="613"/>
      <c r="AQ346" s="612"/>
      <c r="AR346" s="611"/>
      <c r="AS346" s="612"/>
    </row>
    <row r="347" spans="1:45" ht="15" customHeight="1" thickBot="1" x14ac:dyDescent="0.3">
      <c r="A347" s="634"/>
      <c r="B347" s="631"/>
      <c r="C347" s="623"/>
      <c r="D347" s="626"/>
      <c r="E347" s="127" t="s">
        <v>33</v>
      </c>
      <c r="F347" s="585">
        <f t="shared" ref="F347" si="1022">SUM(F344:G346)</f>
        <v>0</v>
      </c>
      <c r="G347" s="593"/>
      <c r="H347" s="604">
        <f t="shared" ref="H347" si="1023">SUM(H344:I346)</f>
        <v>0</v>
      </c>
      <c r="I347" s="601"/>
      <c r="J347" s="585">
        <f t="shared" ref="J347" si="1024">SUM(J344:K346)</f>
        <v>0</v>
      </c>
      <c r="K347" s="593"/>
      <c r="L347" s="585">
        <f t="shared" ref="L347" si="1025">SUM(L344:M346)</f>
        <v>0</v>
      </c>
      <c r="M347" s="586"/>
      <c r="N347" s="585">
        <f t="shared" ref="N347" si="1026">SUM(N344:O346)</f>
        <v>0</v>
      </c>
      <c r="O347" s="586"/>
      <c r="P347" s="585">
        <f t="shared" ref="P347" si="1027">SUM(P344:Q346)</f>
        <v>0</v>
      </c>
      <c r="Q347" s="601"/>
      <c r="R347" s="602">
        <f t="shared" ref="R347" si="1028">SUM(R344:S346)</f>
        <v>0</v>
      </c>
      <c r="S347" s="593"/>
      <c r="T347" s="585">
        <f t="shared" ref="T347" si="1029">SUM(T344:U346)</f>
        <v>0</v>
      </c>
      <c r="U347" s="593"/>
      <c r="V347" s="210">
        <f t="shared" ref="V347" si="1030">IF(AND(F347&gt;=$G$8,H347&gt;=$I$8,L347&gt;=$M$8,P347&gt;=$Q$8,R347&gt;=$S$8,T347&gt;=$U$8),SUM(F347:U347),0)</f>
        <v>0</v>
      </c>
      <c r="W347" s="264"/>
      <c r="X347" s="97"/>
      <c r="Y347" s="597"/>
      <c r="Z347" s="91" t="str">
        <f>LOOKUP(V347,$AL$6:$AM$10)</f>
        <v>ضعيف</v>
      </c>
      <c r="AA347" s="658"/>
      <c r="AB347" s="10"/>
      <c r="AC347" s="655"/>
      <c r="AN347" s="607"/>
      <c r="AO347" s="607"/>
      <c r="AP347" s="613"/>
      <c r="AQ347" s="612"/>
      <c r="AR347" s="611"/>
      <c r="AS347" s="612"/>
    </row>
    <row r="348" spans="1:45" ht="15" customHeight="1" thickBot="1" x14ac:dyDescent="0.3">
      <c r="A348" s="632">
        <v>75</v>
      </c>
      <c r="B348" s="629">
        <f>VLOOKUP(A348,مسلسل,2,0)</f>
        <v>0</v>
      </c>
      <c r="C348" s="621" t="str">
        <f>IFERROR(VLOOKUP(B348,اسماء,2,0),"")</f>
        <v/>
      </c>
      <c r="D348" s="624" t="str">
        <f>IFERROR(VLOOKUP($B348,اسماء,3,0),"")</f>
        <v/>
      </c>
      <c r="E348" s="132" t="s">
        <v>30</v>
      </c>
      <c r="F348" s="627">
        <f>IFERROR(VLOOKUP($B348,اسماء,5,0),0)</f>
        <v>0</v>
      </c>
      <c r="G348" s="606"/>
      <c r="H348" s="628">
        <f>IFERROR(VLOOKUP($B348,اسماء,6,0),0)</f>
        <v>0</v>
      </c>
      <c r="I348" s="605"/>
      <c r="J348" s="587">
        <f>IFERROR(VLOOKUP($B348,اسماء,7,0),0)</f>
        <v>0</v>
      </c>
      <c r="K348" s="591"/>
      <c r="L348" s="587">
        <f>IFERROR(VLOOKUP($B348,اسماء,8,0),0)</f>
        <v>0</v>
      </c>
      <c r="M348" s="588"/>
      <c r="N348" s="587">
        <f>IFERROR(VLOOKUP($B348,اسماء,9,0),0)</f>
        <v>0</v>
      </c>
      <c r="O348" s="605"/>
      <c r="P348" s="587">
        <f>IFERROR(VLOOKUP($B348,اسماء,10,0),0)</f>
        <v>0</v>
      </c>
      <c r="Q348" s="605"/>
      <c r="R348" s="606">
        <f>IFERROR(VLOOKUP($B348,اسماء,11,0),0)</f>
        <v>0</v>
      </c>
      <c r="S348" s="591"/>
      <c r="T348" s="587">
        <f>IFERROR(VLOOKUP($B348,اسماء,12,0),0)</f>
        <v>0</v>
      </c>
      <c r="U348" s="591"/>
      <c r="V348" s="263">
        <f t="shared" ref="V348:V350" si="1031">SUM(F348:U348)</f>
        <v>0</v>
      </c>
      <c r="W348" s="373">
        <f>IFERROR(VLOOKUP($B348,اسماء,14,0),0)</f>
        <v>0</v>
      </c>
      <c r="X348" s="373">
        <f>IFERROR(VLOOKUP($B348,اسماء,15,0),0)</f>
        <v>0</v>
      </c>
      <c r="Y348" s="595" t="str">
        <f t="shared" ref="Y348" si="1032">IF(AC348="غائب","راسب",IF(AND(F351&gt;=$G$8,H351&gt;=$I$8,J351&gt;=$K$8,L351&gt;=$M$8,N351&gt;=$O$8,P351&gt;=$Q$8,R351&gt;=$S$8,T351&gt;=$U$8),"ناجح","له دور ثان"))</f>
        <v>له دور ثان</v>
      </c>
      <c r="Z348" s="21" t="str">
        <f t="shared" ref="Z348:Z349" si="1033">LOOKUP(V348,$AF$6:$AG$10)</f>
        <v>ضعيف</v>
      </c>
      <c r="AA348" s="656">
        <f t="shared" ref="AA348" si="1034">V351/$AF$3</f>
        <v>0</v>
      </c>
      <c r="AB348" s="72"/>
      <c r="AC348" s="653" t="str">
        <f>IFERROR(VLOOKUP($B348,اسماء,54,0),"")</f>
        <v/>
      </c>
      <c r="AN348" s="607" t="str">
        <f t="shared" ref="AN348" si="1035">IF(V351=0,"",V351/1+ROW()*0.00001)</f>
        <v/>
      </c>
      <c r="AO348" s="607">
        <f>B348</f>
        <v>0</v>
      </c>
      <c r="AP348" s="613"/>
      <c r="AQ348" s="612">
        <v>75</v>
      </c>
      <c r="AR348" s="611" t="str">
        <f>IFERROR(LARGE($AN$10:$AN$1006,AQ348),"")</f>
        <v/>
      </c>
      <c r="AS348" s="612" t="str">
        <f>VLOOKUP(AR348,$AN$10:$AO$1116,2,0)</f>
        <v>أحمد نورالدين أحمد الذيب</v>
      </c>
    </row>
    <row r="349" spans="1:45" ht="15" customHeight="1" thickBot="1" x14ac:dyDescent="0.3">
      <c r="A349" s="633"/>
      <c r="B349" s="630"/>
      <c r="C349" s="622"/>
      <c r="D349" s="625"/>
      <c r="E349" s="133" t="s">
        <v>31</v>
      </c>
      <c r="F349" s="589">
        <f>IFERROR(VLOOKUP($B348,اسماء,18,0),0)</f>
        <v>0</v>
      </c>
      <c r="G349" s="592"/>
      <c r="H349" s="608">
        <f>IFERROR(VLOOKUP($B348,اسماء,19,0),0)</f>
        <v>0</v>
      </c>
      <c r="I349" s="609"/>
      <c r="J349" s="589">
        <f>IFERROR(VLOOKUP($B348,اسماء,20,0),0)</f>
        <v>0</v>
      </c>
      <c r="K349" s="592"/>
      <c r="L349" s="589">
        <f>IFERROR(VLOOKUP($B348,اسماء,21,0),0)</f>
        <v>0</v>
      </c>
      <c r="M349" s="590"/>
      <c r="N349" s="589">
        <f>IFERROR(VLOOKUP($B348,اسماء,22,0),0)</f>
        <v>0</v>
      </c>
      <c r="O349" s="590"/>
      <c r="P349" s="589">
        <f>IFERROR(VLOOKUP($B348,اسماء,23,0),0)</f>
        <v>0</v>
      </c>
      <c r="Q349" s="609"/>
      <c r="R349" s="603">
        <f>IFERROR(VLOOKUP($B348,اسماء,24,0),0)</f>
        <v>0</v>
      </c>
      <c r="S349" s="592"/>
      <c r="T349" s="589">
        <f>IFERROR(VLOOKUP($B348,اسماء,25,0),0)</f>
        <v>0</v>
      </c>
      <c r="U349" s="592"/>
      <c r="V349" s="263">
        <f t="shared" si="1031"/>
        <v>0</v>
      </c>
      <c r="W349" s="373">
        <f>IFERROR(VLOOKUP($B348,اسماء,27,0),0)</f>
        <v>0</v>
      </c>
      <c r="X349" s="373">
        <f>IFERROR(VLOOKUP($B348,اسماء,28,0),0)</f>
        <v>0</v>
      </c>
      <c r="Y349" s="596"/>
      <c r="Z349" s="22" t="str">
        <f t="shared" si="1033"/>
        <v>ضعيف</v>
      </c>
      <c r="AA349" s="657"/>
      <c r="AB349" s="72"/>
      <c r="AC349" s="654"/>
      <c r="AN349" s="607"/>
      <c r="AO349" s="607"/>
      <c r="AP349" s="613"/>
      <c r="AQ349" s="612"/>
      <c r="AR349" s="611"/>
      <c r="AS349" s="612"/>
    </row>
    <row r="350" spans="1:45" ht="15" customHeight="1" x14ac:dyDescent="0.25">
      <c r="A350" s="633"/>
      <c r="B350" s="630"/>
      <c r="C350" s="622"/>
      <c r="D350" s="625"/>
      <c r="E350" s="133" t="s">
        <v>32</v>
      </c>
      <c r="F350" s="589">
        <f>IFERROR(VLOOKUP($B348,اسماء,31,0),0)</f>
        <v>0</v>
      </c>
      <c r="G350" s="592"/>
      <c r="H350" s="608">
        <f>IFERROR(VLOOKUP($B348,اسماء,32,0),0)</f>
        <v>0</v>
      </c>
      <c r="I350" s="609"/>
      <c r="J350" s="589">
        <f>IFERROR(VLOOKUP($B348,اسماء,33,0),0)</f>
        <v>0</v>
      </c>
      <c r="K350" s="592"/>
      <c r="L350" s="589">
        <f>IFERROR(VLOOKUP($B348,اسماء,34,0),0)</f>
        <v>0</v>
      </c>
      <c r="M350" s="590"/>
      <c r="N350" s="589">
        <f>IFERROR(VLOOKUP($B348,اسماء,35,0),0)</f>
        <v>0</v>
      </c>
      <c r="O350" s="590"/>
      <c r="P350" s="589">
        <f>IFERROR(VLOOKUP($B348,اسماء,36,0),0)</f>
        <v>0</v>
      </c>
      <c r="Q350" s="609"/>
      <c r="R350" s="603">
        <f>IFERROR(VLOOKUP($B348,اسماء,37,0),0)</f>
        <v>0</v>
      </c>
      <c r="S350" s="592"/>
      <c r="T350" s="589">
        <f>IFERROR(VLOOKUP($B348,اسماء,38,0),0)</f>
        <v>0</v>
      </c>
      <c r="U350" s="592"/>
      <c r="V350" s="263">
        <f t="shared" si="1031"/>
        <v>0</v>
      </c>
      <c r="W350" s="373">
        <f>IFERROR(VLOOKUP($B348,اسماء,40,0),0)</f>
        <v>0</v>
      </c>
      <c r="X350" s="373">
        <f>IFERROR(VLOOKUP($B348,اسماء,41,0),0)</f>
        <v>0</v>
      </c>
      <c r="Y350" s="596"/>
      <c r="Z350" s="22" t="str">
        <f t="shared" ref="Z350" si="1036">LOOKUP(V350,$AI$6:$AJ$10)</f>
        <v>ضعيف</v>
      </c>
      <c r="AA350" s="657"/>
      <c r="AB350" s="10"/>
      <c r="AC350" s="654"/>
      <c r="AN350" s="607"/>
      <c r="AO350" s="607"/>
      <c r="AP350" s="613"/>
      <c r="AQ350" s="612"/>
      <c r="AR350" s="611"/>
      <c r="AS350" s="612"/>
    </row>
    <row r="351" spans="1:45" ht="15" customHeight="1" thickBot="1" x14ac:dyDescent="0.3">
      <c r="A351" s="634"/>
      <c r="B351" s="631"/>
      <c r="C351" s="623"/>
      <c r="D351" s="626"/>
      <c r="E351" s="127" t="s">
        <v>33</v>
      </c>
      <c r="F351" s="585">
        <f t="shared" ref="F351" si="1037">SUM(F348:G350)</f>
        <v>0</v>
      </c>
      <c r="G351" s="593"/>
      <c r="H351" s="604">
        <f t="shared" ref="H351" si="1038">SUM(H348:I350)</f>
        <v>0</v>
      </c>
      <c r="I351" s="601"/>
      <c r="J351" s="585">
        <f t="shared" ref="J351" si="1039">SUM(J348:K350)</f>
        <v>0</v>
      </c>
      <c r="K351" s="593"/>
      <c r="L351" s="585">
        <f t="shared" ref="L351" si="1040">SUM(L348:M350)</f>
        <v>0</v>
      </c>
      <c r="M351" s="586"/>
      <c r="N351" s="585">
        <f t="shared" ref="N351" si="1041">SUM(N348:O350)</f>
        <v>0</v>
      </c>
      <c r="O351" s="586"/>
      <c r="P351" s="585">
        <f t="shared" ref="P351" si="1042">SUM(P348:Q350)</f>
        <v>0</v>
      </c>
      <c r="Q351" s="601"/>
      <c r="R351" s="602">
        <f t="shared" ref="R351" si="1043">SUM(R348:S350)</f>
        <v>0</v>
      </c>
      <c r="S351" s="593"/>
      <c r="T351" s="585">
        <f t="shared" ref="T351" si="1044">SUM(T348:U350)</f>
        <v>0</v>
      </c>
      <c r="U351" s="593"/>
      <c r="V351" s="210">
        <f t="shared" ref="V351" si="1045">IF(AND(F351&gt;=$G$8,H351&gt;=$I$8,L351&gt;=$M$8,P351&gt;=$Q$8,R351&gt;=$S$8,T351&gt;=$U$8),SUM(F351:U351),0)</f>
        <v>0</v>
      </c>
      <c r="W351" s="264"/>
      <c r="X351" s="97"/>
      <c r="Y351" s="597"/>
      <c r="Z351" s="91" t="str">
        <f t="shared" ref="Z351" si="1046">LOOKUP(V351,$AL$6:$AM$10)</f>
        <v>ضعيف</v>
      </c>
      <c r="AA351" s="658"/>
      <c r="AB351" s="72"/>
      <c r="AC351" s="655"/>
      <c r="AN351" s="607"/>
      <c r="AO351" s="607"/>
      <c r="AP351" s="613"/>
      <c r="AQ351" s="612"/>
      <c r="AR351" s="611"/>
      <c r="AS351" s="612"/>
    </row>
    <row r="352" spans="1:45" ht="15" customHeight="1" thickBot="1" x14ac:dyDescent="0.3">
      <c r="A352" s="632">
        <v>76</v>
      </c>
      <c r="B352" s="629">
        <f>VLOOKUP(A352,مسلسل,2,0)</f>
        <v>0</v>
      </c>
      <c r="C352" s="621" t="str">
        <f>IFERROR(VLOOKUP(B352,اسماء,2,0),"")</f>
        <v/>
      </c>
      <c r="D352" s="624" t="str">
        <f>IFERROR(VLOOKUP($B352,اسماء,3,0),"")</f>
        <v/>
      </c>
      <c r="E352" s="132" t="s">
        <v>30</v>
      </c>
      <c r="F352" s="627">
        <f>IFERROR(VLOOKUP($B352,اسماء,5,0),0)</f>
        <v>0</v>
      </c>
      <c r="G352" s="606"/>
      <c r="H352" s="628">
        <f>IFERROR(VLOOKUP($B352,اسماء,6,0),0)</f>
        <v>0</v>
      </c>
      <c r="I352" s="605"/>
      <c r="J352" s="587">
        <f>IFERROR(VLOOKUP($B352,اسماء,7,0),0)</f>
        <v>0</v>
      </c>
      <c r="K352" s="591"/>
      <c r="L352" s="587">
        <f>IFERROR(VLOOKUP($B352,اسماء,8,0),0)</f>
        <v>0</v>
      </c>
      <c r="M352" s="588"/>
      <c r="N352" s="587">
        <f>IFERROR(VLOOKUP($B352,اسماء,9,0),0)</f>
        <v>0</v>
      </c>
      <c r="O352" s="605"/>
      <c r="P352" s="587">
        <f>IFERROR(VLOOKUP($B352,اسماء,10,0),0)</f>
        <v>0</v>
      </c>
      <c r="Q352" s="605"/>
      <c r="R352" s="606">
        <f>IFERROR(VLOOKUP($B352,اسماء,11,0),0)</f>
        <v>0</v>
      </c>
      <c r="S352" s="591"/>
      <c r="T352" s="587">
        <f>IFERROR(VLOOKUP($B352,اسماء,12,0),0)</f>
        <v>0</v>
      </c>
      <c r="U352" s="591"/>
      <c r="V352" s="263">
        <f t="shared" ref="V352:V354" si="1047">SUM(F352:U352)</f>
        <v>0</v>
      </c>
      <c r="W352" s="373">
        <f>IFERROR(VLOOKUP($B352,اسماء,14,0),0)</f>
        <v>0</v>
      </c>
      <c r="X352" s="373">
        <f>IFERROR(VLOOKUP($B352,اسماء,15,0),0)</f>
        <v>0</v>
      </c>
      <c r="Y352" s="595" t="str">
        <f t="shared" ref="Y352" si="1048">IF(AC352="غائب","راسب",IF(AND(F355&gt;=$G$8,H355&gt;=$I$8,J355&gt;=$K$8,L355&gt;=$M$8,N355&gt;=$O$8,P355&gt;=$Q$8,R355&gt;=$S$8,T355&gt;=$U$8),"ناجح","له دور ثان"))</f>
        <v>له دور ثان</v>
      </c>
      <c r="Z352" s="21" t="str">
        <f t="shared" ref="Z352:Z353" si="1049">LOOKUP(V352,$AF$6:$AG$10)</f>
        <v>ضعيف</v>
      </c>
      <c r="AA352" s="656">
        <f t="shared" ref="AA352" si="1050">V355/$AF$3</f>
        <v>0</v>
      </c>
      <c r="AB352" s="72"/>
      <c r="AC352" s="653" t="str">
        <f>IFERROR(VLOOKUP($B352,اسماء,54,0),"")</f>
        <v/>
      </c>
      <c r="AN352" s="607" t="str">
        <f t="shared" ref="AN352" si="1051">IF(V355=0,"",V355/1+ROW()*0.00001)</f>
        <v/>
      </c>
      <c r="AO352" s="607">
        <f>B352</f>
        <v>0</v>
      </c>
      <c r="AP352" s="613"/>
      <c r="AQ352" s="612">
        <v>76</v>
      </c>
      <c r="AR352" s="611" t="str">
        <f>IFERROR(LARGE($AN$10:$AN$1006,AQ352),"")</f>
        <v/>
      </c>
      <c r="AS352" s="612" t="str">
        <f>VLOOKUP(AR352,$AN$10:$AO$1116,2,0)</f>
        <v>أحمد نورالدين أحمد الذيب</v>
      </c>
    </row>
    <row r="353" spans="1:45" ht="15" customHeight="1" thickBot="1" x14ac:dyDescent="0.3">
      <c r="A353" s="633"/>
      <c r="B353" s="630"/>
      <c r="C353" s="622"/>
      <c r="D353" s="625"/>
      <c r="E353" s="133" t="s">
        <v>31</v>
      </c>
      <c r="F353" s="589">
        <f>IFERROR(VLOOKUP($B352,اسماء,18,0),0)</f>
        <v>0</v>
      </c>
      <c r="G353" s="592"/>
      <c r="H353" s="608">
        <f>IFERROR(VLOOKUP($B352,اسماء,19,0),0)</f>
        <v>0</v>
      </c>
      <c r="I353" s="609"/>
      <c r="J353" s="589">
        <f>IFERROR(VLOOKUP($B352,اسماء,20,0),0)</f>
        <v>0</v>
      </c>
      <c r="K353" s="592"/>
      <c r="L353" s="589">
        <f>IFERROR(VLOOKUP($B352,اسماء,21,0),0)</f>
        <v>0</v>
      </c>
      <c r="M353" s="590"/>
      <c r="N353" s="589">
        <f>IFERROR(VLOOKUP($B352,اسماء,22,0),0)</f>
        <v>0</v>
      </c>
      <c r="O353" s="590"/>
      <c r="P353" s="589">
        <f>IFERROR(VLOOKUP($B352,اسماء,23,0),0)</f>
        <v>0</v>
      </c>
      <c r="Q353" s="609"/>
      <c r="R353" s="603">
        <f>IFERROR(VLOOKUP($B352,اسماء,24,0),0)</f>
        <v>0</v>
      </c>
      <c r="S353" s="592"/>
      <c r="T353" s="589">
        <f>IFERROR(VLOOKUP($B352,اسماء,25,0),0)</f>
        <v>0</v>
      </c>
      <c r="U353" s="592"/>
      <c r="V353" s="263">
        <f t="shared" si="1047"/>
        <v>0</v>
      </c>
      <c r="W353" s="373">
        <f>IFERROR(VLOOKUP($B352,اسماء,27,0),0)</f>
        <v>0</v>
      </c>
      <c r="X353" s="373">
        <f>IFERROR(VLOOKUP($B352,اسماء,28,0),0)</f>
        <v>0</v>
      </c>
      <c r="Y353" s="596"/>
      <c r="Z353" s="22" t="str">
        <f t="shared" si="1049"/>
        <v>ضعيف</v>
      </c>
      <c r="AA353" s="657"/>
      <c r="AB353" s="10"/>
      <c r="AC353" s="654"/>
      <c r="AN353" s="607"/>
      <c r="AO353" s="607"/>
      <c r="AP353" s="613"/>
      <c r="AQ353" s="612"/>
      <c r="AR353" s="611"/>
      <c r="AS353" s="612"/>
    </row>
    <row r="354" spans="1:45" ht="15" customHeight="1" x14ac:dyDescent="0.25">
      <c r="A354" s="633"/>
      <c r="B354" s="630"/>
      <c r="C354" s="622"/>
      <c r="D354" s="625"/>
      <c r="E354" s="133" t="s">
        <v>32</v>
      </c>
      <c r="F354" s="589">
        <f>IFERROR(VLOOKUP($B352,اسماء,31,0),0)</f>
        <v>0</v>
      </c>
      <c r="G354" s="592"/>
      <c r="H354" s="608">
        <f>IFERROR(VLOOKUP($B352,اسماء,32,0),0)</f>
        <v>0</v>
      </c>
      <c r="I354" s="609"/>
      <c r="J354" s="589">
        <f>IFERROR(VLOOKUP($B352,اسماء,33,0),0)</f>
        <v>0</v>
      </c>
      <c r="K354" s="592"/>
      <c r="L354" s="589">
        <f>IFERROR(VLOOKUP($B352,اسماء,34,0),0)</f>
        <v>0</v>
      </c>
      <c r="M354" s="590"/>
      <c r="N354" s="589">
        <f>IFERROR(VLOOKUP($B352,اسماء,35,0),0)</f>
        <v>0</v>
      </c>
      <c r="O354" s="590"/>
      <c r="P354" s="589">
        <f>IFERROR(VLOOKUP($B352,اسماء,36,0),0)</f>
        <v>0</v>
      </c>
      <c r="Q354" s="609"/>
      <c r="R354" s="603">
        <f>IFERROR(VLOOKUP($B352,اسماء,37,0),0)</f>
        <v>0</v>
      </c>
      <c r="S354" s="592"/>
      <c r="T354" s="589">
        <f>IFERROR(VLOOKUP($B352,اسماء,38,0),0)</f>
        <v>0</v>
      </c>
      <c r="U354" s="592"/>
      <c r="V354" s="263">
        <f t="shared" si="1047"/>
        <v>0</v>
      </c>
      <c r="W354" s="373">
        <f>IFERROR(VLOOKUP($B352,اسماء,40,0),0)</f>
        <v>0</v>
      </c>
      <c r="X354" s="373">
        <f>IFERROR(VLOOKUP($B352,اسماء,41,0),0)</f>
        <v>0</v>
      </c>
      <c r="Y354" s="596"/>
      <c r="Z354" s="22" t="str">
        <f t="shared" ref="Z354" si="1052">LOOKUP(V354,$AI$6:$AJ$10)</f>
        <v>ضعيف</v>
      </c>
      <c r="AA354" s="657"/>
      <c r="AB354" s="72"/>
      <c r="AC354" s="654"/>
      <c r="AN354" s="607"/>
      <c r="AO354" s="607"/>
      <c r="AP354" s="613"/>
      <c r="AQ354" s="612"/>
      <c r="AR354" s="611"/>
      <c r="AS354" s="612"/>
    </row>
    <row r="355" spans="1:45" ht="15" customHeight="1" thickBot="1" x14ac:dyDescent="0.3">
      <c r="A355" s="634"/>
      <c r="B355" s="631"/>
      <c r="C355" s="623"/>
      <c r="D355" s="626"/>
      <c r="E355" s="127" t="s">
        <v>33</v>
      </c>
      <c r="F355" s="585">
        <f t="shared" ref="F355" si="1053">SUM(F352:G354)</f>
        <v>0</v>
      </c>
      <c r="G355" s="593"/>
      <c r="H355" s="604">
        <f t="shared" ref="H355" si="1054">SUM(H352:I354)</f>
        <v>0</v>
      </c>
      <c r="I355" s="601"/>
      <c r="J355" s="585">
        <f t="shared" ref="J355" si="1055">SUM(J352:K354)</f>
        <v>0</v>
      </c>
      <c r="K355" s="593"/>
      <c r="L355" s="585">
        <f t="shared" ref="L355" si="1056">SUM(L352:M354)</f>
        <v>0</v>
      </c>
      <c r="M355" s="586"/>
      <c r="N355" s="585">
        <f t="shared" ref="N355" si="1057">SUM(N352:O354)</f>
        <v>0</v>
      </c>
      <c r="O355" s="586"/>
      <c r="P355" s="585">
        <f t="shared" ref="P355" si="1058">SUM(P352:Q354)</f>
        <v>0</v>
      </c>
      <c r="Q355" s="601"/>
      <c r="R355" s="602">
        <f t="shared" ref="R355" si="1059">SUM(R352:S354)</f>
        <v>0</v>
      </c>
      <c r="S355" s="593"/>
      <c r="T355" s="585">
        <f t="shared" ref="T355" si="1060">SUM(T352:U354)</f>
        <v>0</v>
      </c>
      <c r="U355" s="593"/>
      <c r="V355" s="210">
        <f t="shared" ref="V355" si="1061">IF(AND(F355&gt;=$G$8,H355&gt;=$I$8,L355&gt;=$M$8,P355&gt;=$Q$8,R355&gt;=$S$8,T355&gt;=$U$8),SUM(F355:U355),0)</f>
        <v>0</v>
      </c>
      <c r="W355" s="264"/>
      <c r="X355" s="97"/>
      <c r="Y355" s="597"/>
      <c r="Z355" s="91" t="str">
        <f t="shared" ref="Z355" si="1062">LOOKUP(V355,$AL$6:$AM$10)</f>
        <v>ضعيف</v>
      </c>
      <c r="AA355" s="658"/>
      <c r="AB355" s="72"/>
      <c r="AC355" s="655"/>
      <c r="AN355" s="607"/>
      <c r="AO355" s="607"/>
      <c r="AP355" s="613"/>
      <c r="AQ355" s="612"/>
      <c r="AR355" s="611"/>
      <c r="AS355" s="612"/>
    </row>
    <row r="356" spans="1:45" ht="15" customHeight="1" thickBot="1" x14ac:dyDescent="0.3">
      <c r="A356" s="632">
        <v>77</v>
      </c>
      <c r="B356" s="629">
        <f>VLOOKUP(A356,مسلسل,2,0)</f>
        <v>0</v>
      </c>
      <c r="C356" s="621" t="str">
        <f>IFERROR(VLOOKUP(B356,اسماء,2,0),"")</f>
        <v/>
      </c>
      <c r="D356" s="624" t="str">
        <f>IFERROR(VLOOKUP($B356,اسماء,3,0),"")</f>
        <v/>
      </c>
      <c r="E356" s="132" t="s">
        <v>30</v>
      </c>
      <c r="F356" s="627">
        <f>IFERROR(VLOOKUP($B356,اسماء,5,0),0)</f>
        <v>0</v>
      </c>
      <c r="G356" s="606"/>
      <c r="H356" s="628">
        <f>IFERROR(VLOOKUP($B356,اسماء,6,0),0)</f>
        <v>0</v>
      </c>
      <c r="I356" s="605"/>
      <c r="J356" s="587">
        <f>IFERROR(VLOOKUP($B356,اسماء,7,0),0)</f>
        <v>0</v>
      </c>
      <c r="K356" s="591"/>
      <c r="L356" s="587">
        <f>IFERROR(VLOOKUP($B356,اسماء,8,0),0)</f>
        <v>0</v>
      </c>
      <c r="M356" s="588"/>
      <c r="N356" s="587">
        <f>IFERROR(VLOOKUP($B356,اسماء,9,0),0)</f>
        <v>0</v>
      </c>
      <c r="O356" s="605"/>
      <c r="P356" s="587">
        <f>IFERROR(VLOOKUP($B356,اسماء,10,0),0)</f>
        <v>0</v>
      </c>
      <c r="Q356" s="605"/>
      <c r="R356" s="606">
        <f>IFERROR(VLOOKUP($B356,اسماء,11,0),0)</f>
        <v>0</v>
      </c>
      <c r="S356" s="591"/>
      <c r="T356" s="587">
        <f>IFERROR(VLOOKUP($B356,اسماء,12,0),0)</f>
        <v>0</v>
      </c>
      <c r="U356" s="591"/>
      <c r="V356" s="263">
        <f t="shared" ref="V356:V358" si="1063">SUM(F356:U356)</f>
        <v>0</v>
      </c>
      <c r="W356" s="373">
        <f>IFERROR(VLOOKUP($B356,اسماء,14,0),0)</f>
        <v>0</v>
      </c>
      <c r="X356" s="373">
        <f>IFERROR(VLOOKUP($B356,اسماء,15,0),0)</f>
        <v>0</v>
      </c>
      <c r="Y356" s="595" t="str">
        <f t="shared" ref="Y356" si="1064">IF(AC356="غائب","راسب",IF(AND(F359&gt;=$G$8,H359&gt;=$I$8,J359&gt;=$K$8,L359&gt;=$M$8,N359&gt;=$O$8,P359&gt;=$Q$8,R359&gt;=$S$8,T359&gt;=$U$8),"ناجح","له دور ثان"))</f>
        <v>له دور ثان</v>
      </c>
      <c r="Z356" s="21" t="str">
        <f t="shared" ref="Z356:Z357" si="1065">LOOKUP(V356,$AF$6:$AG$10)</f>
        <v>ضعيف</v>
      </c>
      <c r="AA356" s="656">
        <f t="shared" ref="AA356" si="1066">V359/$AF$3</f>
        <v>0</v>
      </c>
      <c r="AB356" s="10"/>
      <c r="AC356" s="653" t="str">
        <f>IFERROR(VLOOKUP($B356,اسماء,54,0),"")</f>
        <v/>
      </c>
      <c r="AN356" s="607" t="str">
        <f t="shared" ref="AN356" si="1067">IF(V359=0,"",V359/1+ROW()*0.00001)</f>
        <v/>
      </c>
      <c r="AO356" s="607">
        <f>B356</f>
        <v>0</v>
      </c>
      <c r="AP356" s="613"/>
      <c r="AQ356" s="612">
        <v>77</v>
      </c>
      <c r="AR356" s="611" t="str">
        <f>IFERROR(LARGE($AN$10:$AN$1006,AQ356),"")</f>
        <v/>
      </c>
      <c r="AS356" s="612" t="str">
        <f>VLOOKUP(AR356,$AN$10:$AO$1116,2,0)</f>
        <v>أحمد نورالدين أحمد الذيب</v>
      </c>
    </row>
    <row r="357" spans="1:45" ht="15" customHeight="1" thickBot="1" x14ac:dyDescent="0.3">
      <c r="A357" s="633"/>
      <c r="B357" s="630"/>
      <c r="C357" s="622"/>
      <c r="D357" s="625"/>
      <c r="E357" s="133" t="s">
        <v>31</v>
      </c>
      <c r="F357" s="589">
        <f>IFERROR(VLOOKUP($B356,اسماء,18,0),0)</f>
        <v>0</v>
      </c>
      <c r="G357" s="592"/>
      <c r="H357" s="608">
        <f>IFERROR(VLOOKUP($B356,اسماء,19,0),0)</f>
        <v>0</v>
      </c>
      <c r="I357" s="609"/>
      <c r="J357" s="589">
        <f>IFERROR(VLOOKUP($B356,اسماء,20,0),0)</f>
        <v>0</v>
      </c>
      <c r="K357" s="592"/>
      <c r="L357" s="589">
        <f>IFERROR(VLOOKUP($B356,اسماء,21,0),0)</f>
        <v>0</v>
      </c>
      <c r="M357" s="590"/>
      <c r="N357" s="589">
        <f>IFERROR(VLOOKUP($B356,اسماء,22,0),0)</f>
        <v>0</v>
      </c>
      <c r="O357" s="590"/>
      <c r="P357" s="589">
        <f>IFERROR(VLOOKUP($B356,اسماء,23,0),0)</f>
        <v>0</v>
      </c>
      <c r="Q357" s="609"/>
      <c r="R357" s="603">
        <f>IFERROR(VLOOKUP($B356,اسماء,24,0),0)</f>
        <v>0</v>
      </c>
      <c r="S357" s="592"/>
      <c r="T357" s="589">
        <f>IFERROR(VLOOKUP($B356,اسماء,25,0),0)</f>
        <v>0</v>
      </c>
      <c r="U357" s="592"/>
      <c r="V357" s="263">
        <f t="shared" si="1063"/>
        <v>0</v>
      </c>
      <c r="W357" s="373">
        <f>IFERROR(VLOOKUP($B356,اسماء,27,0),0)</f>
        <v>0</v>
      </c>
      <c r="X357" s="373">
        <f>IFERROR(VLOOKUP($B356,اسماء,28,0),0)</f>
        <v>0</v>
      </c>
      <c r="Y357" s="596"/>
      <c r="Z357" s="22" t="str">
        <f t="shared" si="1065"/>
        <v>ضعيف</v>
      </c>
      <c r="AA357" s="657"/>
      <c r="AB357" s="72"/>
      <c r="AC357" s="654"/>
      <c r="AN357" s="607"/>
      <c r="AO357" s="607"/>
      <c r="AP357" s="613"/>
      <c r="AQ357" s="612"/>
      <c r="AR357" s="611"/>
      <c r="AS357" s="612"/>
    </row>
    <row r="358" spans="1:45" ht="15" customHeight="1" x14ac:dyDescent="0.25">
      <c r="A358" s="633"/>
      <c r="B358" s="630"/>
      <c r="C358" s="622"/>
      <c r="D358" s="625"/>
      <c r="E358" s="133" t="s">
        <v>32</v>
      </c>
      <c r="F358" s="589">
        <f>IFERROR(VLOOKUP($B356,اسماء,31,0),0)</f>
        <v>0</v>
      </c>
      <c r="G358" s="592"/>
      <c r="H358" s="608">
        <f>IFERROR(VLOOKUP($B356,اسماء,32,0),0)</f>
        <v>0</v>
      </c>
      <c r="I358" s="609"/>
      <c r="J358" s="589">
        <f>IFERROR(VLOOKUP($B356,اسماء,33,0),0)</f>
        <v>0</v>
      </c>
      <c r="K358" s="592"/>
      <c r="L358" s="589">
        <f>IFERROR(VLOOKUP($B356,اسماء,34,0),0)</f>
        <v>0</v>
      </c>
      <c r="M358" s="590"/>
      <c r="N358" s="589">
        <f>IFERROR(VLOOKUP($B356,اسماء,35,0),0)</f>
        <v>0</v>
      </c>
      <c r="O358" s="590"/>
      <c r="P358" s="589">
        <f>IFERROR(VLOOKUP($B356,اسماء,36,0),0)</f>
        <v>0</v>
      </c>
      <c r="Q358" s="609"/>
      <c r="R358" s="603">
        <f>IFERROR(VLOOKUP($B356,اسماء,37,0),0)</f>
        <v>0</v>
      </c>
      <c r="S358" s="592"/>
      <c r="T358" s="589">
        <f>IFERROR(VLOOKUP($B356,اسماء,38,0),0)</f>
        <v>0</v>
      </c>
      <c r="U358" s="592"/>
      <c r="V358" s="263">
        <f t="shared" si="1063"/>
        <v>0</v>
      </c>
      <c r="W358" s="373">
        <f>IFERROR(VLOOKUP($B356,اسماء,40,0),0)</f>
        <v>0</v>
      </c>
      <c r="X358" s="373">
        <f>IFERROR(VLOOKUP($B356,اسماء,41,0),0)</f>
        <v>0</v>
      </c>
      <c r="Y358" s="596"/>
      <c r="Z358" s="22" t="str">
        <f t="shared" ref="Z358" si="1068">LOOKUP(V358,$AI$6:$AJ$10)</f>
        <v>ضعيف</v>
      </c>
      <c r="AA358" s="657"/>
      <c r="AB358" s="72"/>
      <c r="AC358" s="654"/>
      <c r="AN358" s="607"/>
      <c r="AO358" s="607"/>
      <c r="AP358" s="613"/>
      <c r="AQ358" s="612"/>
      <c r="AR358" s="611"/>
      <c r="AS358" s="612"/>
    </row>
    <row r="359" spans="1:45" ht="15" customHeight="1" thickBot="1" x14ac:dyDescent="0.3">
      <c r="A359" s="634"/>
      <c r="B359" s="631"/>
      <c r="C359" s="623"/>
      <c r="D359" s="626"/>
      <c r="E359" s="127" t="s">
        <v>33</v>
      </c>
      <c r="F359" s="585">
        <f t="shared" ref="F359" si="1069">SUM(F356:G358)</f>
        <v>0</v>
      </c>
      <c r="G359" s="593"/>
      <c r="H359" s="604">
        <f t="shared" ref="H359" si="1070">SUM(H356:I358)</f>
        <v>0</v>
      </c>
      <c r="I359" s="601"/>
      <c r="J359" s="585">
        <f t="shared" ref="J359" si="1071">SUM(J356:K358)</f>
        <v>0</v>
      </c>
      <c r="K359" s="593"/>
      <c r="L359" s="585">
        <f t="shared" ref="L359" si="1072">SUM(L356:M358)</f>
        <v>0</v>
      </c>
      <c r="M359" s="586"/>
      <c r="N359" s="585">
        <f t="shared" ref="N359" si="1073">SUM(N356:O358)</f>
        <v>0</v>
      </c>
      <c r="O359" s="586"/>
      <c r="P359" s="585">
        <f t="shared" ref="P359" si="1074">SUM(P356:Q358)</f>
        <v>0</v>
      </c>
      <c r="Q359" s="601"/>
      <c r="R359" s="602">
        <f t="shared" ref="R359" si="1075">SUM(R356:S358)</f>
        <v>0</v>
      </c>
      <c r="S359" s="593"/>
      <c r="T359" s="585">
        <f t="shared" ref="T359" si="1076">SUM(T356:U358)</f>
        <v>0</v>
      </c>
      <c r="U359" s="593"/>
      <c r="V359" s="210">
        <f t="shared" ref="V359" si="1077">IF(AND(F359&gt;=$G$8,H359&gt;=$I$8,L359&gt;=$M$8,P359&gt;=$Q$8,R359&gt;=$S$8,T359&gt;=$U$8),SUM(F359:U359),0)</f>
        <v>0</v>
      </c>
      <c r="W359" s="264"/>
      <c r="X359" s="97"/>
      <c r="Y359" s="597"/>
      <c r="Z359" s="91" t="str">
        <f t="shared" ref="Z359" si="1078">LOOKUP(V359,$AL$6:$AM$10)</f>
        <v>ضعيف</v>
      </c>
      <c r="AA359" s="658"/>
      <c r="AB359" s="10"/>
      <c r="AC359" s="655"/>
      <c r="AN359" s="607"/>
      <c r="AO359" s="607"/>
      <c r="AP359" s="613"/>
      <c r="AQ359" s="612"/>
      <c r="AR359" s="611"/>
      <c r="AS359" s="612"/>
    </row>
    <row r="360" spans="1:45" ht="15" customHeight="1" thickBot="1" x14ac:dyDescent="0.3">
      <c r="A360" s="632">
        <v>78</v>
      </c>
      <c r="B360" s="629">
        <f>VLOOKUP(A360,مسلسل,2,0)</f>
        <v>0</v>
      </c>
      <c r="C360" s="621" t="str">
        <f>IFERROR(VLOOKUP(B360,اسماء,2,0),"")</f>
        <v/>
      </c>
      <c r="D360" s="624" t="str">
        <f>IFERROR(VLOOKUP($B360,اسماء,3,0),"")</f>
        <v/>
      </c>
      <c r="E360" s="132" t="s">
        <v>30</v>
      </c>
      <c r="F360" s="627">
        <f>IFERROR(VLOOKUP($B360,اسماء,5,0),0)</f>
        <v>0</v>
      </c>
      <c r="G360" s="606"/>
      <c r="H360" s="628">
        <f>IFERROR(VLOOKUP($B360,اسماء,6,0),0)</f>
        <v>0</v>
      </c>
      <c r="I360" s="605"/>
      <c r="J360" s="587">
        <f>IFERROR(VLOOKUP($B360,اسماء,7,0),0)</f>
        <v>0</v>
      </c>
      <c r="K360" s="591"/>
      <c r="L360" s="587">
        <f>IFERROR(VLOOKUP($B360,اسماء,8,0),0)</f>
        <v>0</v>
      </c>
      <c r="M360" s="588"/>
      <c r="N360" s="587">
        <f>IFERROR(VLOOKUP($B360,اسماء,9,0),0)</f>
        <v>0</v>
      </c>
      <c r="O360" s="605"/>
      <c r="P360" s="587">
        <f>IFERROR(VLOOKUP($B360,اسماء,10,0),0)</f>
        <v>0</v>
      </c>
      <c r="Q360" s="605"/>
      <c r="R360" s="606">
        <f>IFERROR(VLOOKUP($B360,اسماء,11,0),0)</f>
        <v>0</v>
      </c>
      <c r="S360" s="591"/>
      <c r="T360" s="587">
        <f>IFERROR(VLOOKUP($B360,اسماء,12,0),0)</f>
        <v>0</v>
      </c>
      <c r="U360" s="591"/>
      <c r="V360" s="263">
        <f t="shared" ref="V360:V362" si="1079">SUM(F360:U360)</f>
        <v>0</v>
      </c>
      <c r="W360" s="373">
        <f>IFERROR(VLOOKUP($B360,اسماء,14,0),0)</f>
        <v>0</v>
      </c>
      <c r="X360" s="373">
        <f>IFERROR(VLOOKUP($B360,اسماء,15,0),0)</f>
        <v>0</v>
      </c>
      <c r="Y360" s="595" t="str">
        <f t="shared" ref="Y360" si="1080">IF(AC360="غائب","راسب",IF(AND(F363&gt;=$G$8,H363&gt;=$I$8,J363&gt;=$K$8,L363&gt;=$M$8,N363&gt;=$O$8,P363&gt;=$Q$8,R363&gt;=$S$8,T363&gt;=$U$8),"ناجح","له دور ثان"))</f>
        <v>له دور ثان</v>
      </c>
      <c r="Z360" s="21" t="str">
        <f t="shared" ref="Z360:Z361" si="1081">LOOKUP(V360,$AF$6:$AG$10)</f>
        <v>ضعيف</v>
      </c>
      <c r="AA360" s="656">
        <f t="shared" ref="AA360" si="1082">V363/$AF$3</f>
        <v>0</v>
      </c>
      <c r="AB360" s="72"/>
      <c r="AC360" s="653" t="str">
        <f>IFERROR(VLOOKUP($B360,اسماء,54,0),"")</f>
        <v/>
      </c>
      <c r="AN360" s="607" t="str">
        <f t="shared" ref="AN360" si="1083">IF(V363=0,"",V363/1+ROW()*0.00001)</f>
        <v/>
      </c>
      <c r="AO360" s="607">
        <f>B360</f>
        <v>0</v>
      </c>
      <c r="AP360" s="613"/>
      <c r="AQ360" s="612">
        <v>78</v>
      </c>
      <c r="AR360" s="611" t="str">
        <f>IFERROR(LARGE($AN$10:$AN$1006,AQ360),"")</f>
        <v/>
      </c>
      <c r="AS360" s="612" t="str">
        <f>VLOOKUP(AR360,$AN$10:$AO$1116,2,0)</f>
        <v>أحمد نورالدين أحمد الذيب</v>
      </c>
    </row>
    <row r="361" spans="1:45" ht="15" customHeight="1" thickBot="1" x14ac:dyDescent="0.3">
      <c r="A361" s="633"/>
      <c r="B361" s="630"/>
      <c r="C361" s="622"/>
      <c r="D361" s="625"/>
      <c r="E361" s="133" t="s">
        <v>31</v>
      </c>
      <c r="F361" s="589">
        <f>IFERROR(VLOOKUP($B360,اسماء,18,0),0)</f>
        <v>0</v>
      </c>
      <c r="G361" s="592"/>
      <c r="H361" s="608">
        <f>IFERROR(VLOOKUP($B360,اسماء,19,0),0)</f>
        <v>0</v>
      </c>
      <c r="I361" s="609"/>
      <c r="J361" s="589">
        <f>IFERROR(VLOOKUP($B360,اسماء,20,0),0)</f>
        <v>0</v>
      </c>
      <c r="K361" s="592"/>
      <c r="L361" s="589">
        <f>IFERROR(VLOOKUP($B360,اسماء,21,0),0)</f>
        <v>0</v>
      </c>
      <c r="M361" s="590"/>
      <c r="N361" s="589">
        <f>IFERROR(VLOOKUP($B360,اسماء,22,0),0)</f>
        <v>0</v>
      </c>
      <c r="O361" s="590"/>
      <c r="P361" s="589">
        <f>IFERROR(VLOOKUP($B360,اسماء,23,0),0)</f>
        <v>0</v>
      </c>
      <c r="Q361" s="609"/>
      <c r="R361" s="603">
        <f>IFERROR(VLOOKUP($B360,اسماء,24,0),0)</f>
        <v>0</v>
      </c>
      <c r="S361" s="592"/>
      <c r="T361" s="589">
        <f>IFERROR(VLOOKUP($B360,اسماء,25,0),0)</f>
        <v>0</v>
      </c>
      <c r="U361" s="592"/>
      <c r="V361" s="263">
        <f t="shared" si="1079"/>
        <v>0</v>
      </c>
      <c r="W361" s="373">
        <f>IFERROR(VLOOKUP($B360,اسماء,27,0),0)</f>
        <v>0</v>
      </c>
      <c r="X361" s="373">
        <f>IFERROR(VLOOKUP($B360,اسماء,28,0),0)</f>
        <v>0</v>
      </c>
      <c r="Y361" s="596"/>
      <c r="Z361" s="22" t="str">
        <f t="shared" si="1081"/>
        <v>ضعيف</v>
      </c>
      <c r="AA361" s="657"/>
      <c r="AB361" s="72"/>
      <c r="AC361" s="654"/>
      <c r="AN361" s="607"/>
      <c r="AO361" s="607"/>
      <c r="AP361" s="613"/>
      <c r="AQ361" s="612"/>
      <c r="AR361" s="611"/>
      <c r="AS361" s="612"/>
    </row>
    <row r="362" spans="1:45" ht="15" customHeight="1" x14ac:dyDescent="0.25">
      <c r="A362" s="633"/>
      <c r="B362" s="630"/>
      <c r="C362" s="622"/>
      <c r="D362" s="625"/>
      <c r="E362" s="133" t="s">
        <v>32</v>
      </c>
      <c r="F362" s="589">
        <f>IFERROR(VLOOKUP($B360,اسماء,31,0),0)</f>
        <v>0</v>
      </c>
      <c r="G362" s="592"/>
      <c r="H362" s="608">
        <f>IFERROR(VLOOKUP($B360,اسماء,32,0),0)</f>
        <v>0</v>
      </c>
      <c r="I362" s="609"/>
      <c r="J362" s="589">
        <f>IFERROR(VLOOKUP($B360,اسماء,33,0),0)</f>
        <v>0</v>
      </c>
      <c r="K362" s="592"/>
      <c r="L362" s="589">
        <f>IFERROR(VLOOKUP($B360,اسماء,34,0),0)</f>
        <v>0</v>
      </c>
      <c r="M362" s="590"/>
      <c r="N362" s="589">
        <f>IFERROR(VLOOKUP($B360,اسماء,35,0),0)</f>
        <v>0</v>
      </c>
      <c r="O362" s="590"/>
      <c r="P362" s="589">
        <f>IFERROR(VLOOKUP($B360,اسماء,36,0),0)</f>
        <v>0</v>
      </c>
      <c r="Q362" s="609"/>
      <c r="R362" s="603">
        <f>IFERROR(VLOOKUP($B360,اسماء,37,0),0)</f>
        <v>0</v>
      </c>
      <c r="S362" s="592"/>
      <c r="T362" s="589">
        <f>IFERROR(VLOOKUP($B360,اسماء,38,0),0)</f>
        <v>0</v>
      </c>
      <c r="U362" s="592"/>
      <c r="V362" s="263">
        <f t="shared" si="1079"/>
        <v>0</v>
      </c>
      <c r="W362" s="373">
        <f>IFERROR(VLOOKUP($B360,اسماء,40,0),0)</f>
        <v>0</v>
      </c>
      <c r="X362" s="373">
        <f>IFERROR(VLOOKUP($B360,اسماء,41,0),0)</f>
        <v>0</v>
      </c>
      <c r="Y362" s="596"/>
      <c r="Z362" s="22" t="str">
        <f t="shared" ref="Z362" si="1084">LOOKUP(V362,$AI$6:$AJ$10)</f>
        <v>ضعيف</v>
      </c>
      <c r="AA362" s="657"/>
      <c r="AB362" s="10"/>
      <c r="AC362" s="654"/>
      <c r="AN362" s="607"/>
      <c r="AO362" s="607"/>
      <c r="AP362" s="613"/>
      <c r="AQ362" s="612"/>
      <c r="AR362" s="611"/>
      <c r="AS362" s="612"/>
    </row>
    <row r="363" spans="1:45" ht="15" customHeight="1" thickBot="1" x14ac:dyDescent="0.3">
      <c r="A363" s="634"/>
      <c r="B363" s="631"/>
      <c r="C363" s="623"/>
      <c r="D363" s="626"/>
      <c r="E363" s="127" t="s">
        <v>33</v>
      </c>
      <c r="F363" s="585">
        <f t="shared" ref="F363" si="1085">SUM(F360:G362)</f>
        <v>0</v>
      </c>
      <c r="G363" s="593"/>
      <c r="H363" s="604">
        <f t="shared" ref="H363" si="1086">SUM(H360:I362)</f>
        <v>0</v>
      </c>
      <c r="I363" s="601"/>
      <c r="J363" s="585">
        <f t="shared" ref="J363" si="1087">SUM(J360:K362)</f>
        <v>0</v>
      </c>
      <c r="K363" s="593"/>
      <c r="L363" s="585">
        <f t="shared" ref="L363" si="1088">SUM(L360:M362)</f>
        <v>0</v>
      </c>
      <c r="M363" s="586"/>
      <c r="N363" s="585">
        <f t="shared" ref="N363" si="1089">SUM(N360:O362)</f>
        <v>0</v>
      </c>
      <c r="O363" s="586"/>
      <c r="P363" s="585">
        <f t="shared" ref="P363" si="1090">SUM(P360:Q362)</f>
        <v>0</v>
      </c>
      <c r="Q363" s="601"/>
      <c r="R363" s="602">
        <f t="shared" ref="R363" si="1091">SUM(R360:S362)</f>
        <v>0</v>
      </c>
      <c r="S363" s="593"/>
      <c r="T363" s="585">
        <f t="shared" ref="T363" si="1092">SUM(T360:U362)</f>
        <v>0</v>
      </c>
      <c r="U363" s="593"/>
      <c r="V363" s="210">
        <f t="shared" ref="V363" si="1093">IF(AND(F363&gt;=$G$8,H363&gt;=$I$8,L363&gt;=$M$8,P363&gt;=$Q$8,R363&gt;=$S$8,T363&gt;=$U$8),SUM(F363:U363),0)</f>
        <v>0</v>
      </c>
      <c r="W363" s="264"/>
      <c r="X363" s="97"/>
      <c r="Y363" s="597"/>
      <c r="Z363" s="91" t="str">
        <f t="shared" ref="Z363" si="1094">LOOKUP(V363,$AL$6:$AM$10)</f>
        <v>ضعيف</v>
      </c>
      <c r="AA363" s="658"/>
      <c r="AB363" s="72"/>
      <c r="AC363" s="655"/>
      <c r="AN363" s="607"/>
      <c r="AO363" s="607"/>
      <c r="AP363" s="613"/>
      <c r="AQ363" s="612"/>
      <c r="AR363" s="611"/>
      <c r="AS363" s="612"/>
    </row>
    <row r="364" spans="1:45" ht="15" customHeight="1" thickBot="1" x14ac:dyDescent="0.3">
      <c r="A364" s="632">
        <v>79</v>
      </c>
      <c r="B364" s="629">
        <f>VLOOKUP(A364,مسلسل,2,0)</f>
        <v>0</v>
      </c>
      <c r="C364" s="621" t="str">
        <f>IFERROR(VLOOKUP(B364,اسماء,2,0),"")</f>
        <v/>
      </c>
      <c r="D364" s="624" t="str">
        <f>IFERROR(VLOOKUP($B364,اسماء,3,0),"")</f>
        <v/>
      </c>
      <c r="E364" s="132" t="s">
        <v>30</v>
      </c>
      <c r="F364" s="627">
        <f>IFERROR(VLOOKUP($B364,اسماء,5,0),0)</f>
        <v>0</v>
      </c>
      <c r="G364" s="606"/>
      <c r="H364" s="628">
        <f>IFERROR(VLOOKUP($B364,اسماء,6,0),0)</f>
        <v>0</v>
      </c>
      <c r="I364" s="605"/>
      <c r="J364" s="587">
        <f>IFERROR(VLOOKUP($B364,اسماء,7,0),0)</f>
        <v>0</v>
      </c>
      <c r="K364" s="591"/>
      <c r="L364" s="587">
        <f>IFERROR(VLOOKUP($B364,اسماء,8,0),0)</f>
        <v>0</v>
      </c>
      <c r="M364" s="588"/>
      <c r="N364" s="587">
        <f>IFERROR(VLOOKUP($B364,اسماء,9,0),0)</f>
        <v>0</v>
      </c>
      <c r="O364" s="605"/>
      <c r="P364" s="587">
        <f>IFERROR(VLOOKUP($B364,اسماء,10,0),0)</f>
        <v>0</v>
      </c>
      <c r="Q364" s="605"/>
      <c r="R364" s="606">
        <f>IFERROR(VLOOKUP($B364,اسماء,11,0),0)</f>
        <v>0</v>
      </c>
      <c r="S364" s="591"/>
      <c r="T364" s="587">
        <f>IFERROR(VLOOKUP($B364,اسماء,12,0),0)</f>
        <v>0</v>
      </c>
      <c r="U364" s="591"/>
      <c r="V364" s="263">
        <f t="shared" ref="V364:V366" si="1095">SUM(F364:U364)</f>
        <v>0</v>
      </c>
      <c r="W364" s="373">
        <f>IFERROR(VLOOKUP($B364,اسماء,14,0),0)</f>
        <v>0</v>
      </c>
      <c r="X364" s="373">
        <f>IFERROR(VLOOKUP($B364,اسماء,15,0),0)</f>
        <v>0</v>
      </c>
      <c r="Y364" s="595" t="str">
        <f t="shared" ref="Y364" si="1096">IF(AC364="غائب","راسب",IF(AND(F367&gt;=$G$8,H367&gt;=$I$8,J367&gt;=$K$8,L367&gt;=$M$8,N367&gt;=$O$8,P367&gt;=$Q$8,R367&gt;=$S$8,T367&gt;=$U$8),"ناجح","له دور ثان"))</f>
        <v>له دور ثان</v>
      </c>
      <c r="Z364" s="21" t="str">
        <f t="shared" ref="Z364:Z365" si="1097">LOOKUP(V364,$AF$6:$AG$10)</f>
        <v>ضعيف</v>
      </c>
      <c r="AA364" s="656">
        <f t="shared" ref="AA364" si="1098">V367/$AF$3</f>
        <v>0</v>
      </c>
      <c r="AB364" s="72"/>
      <c r="AC364" s="653" t="str">
        <f>IFERROR(VLOOKUP($B364,اسماء,54,0),"")</f>
        <v/>
      </c>
      <c r="AN364" s="607" t="str">
        <f t="shared" ref="AN364" si="1099">IF(V367=0,"",V367/1+ROW()*0.00001)</f>
        <v/>
      </c>
      <c r="AO364" s="607">
        <f>B364</f>
        <v>0</v>
      </c>
      <c r="AP364" s="613"/>
      <c r="AQ364" s="612">
        <v>79</v>
      </c>
      <c r="AR364" s="611" t="str">
        <f>IFERROR(LARGE($AN$10:$AN$1006,AQ364),"")</f>
        <v/>
      </c>
      <c r="AS364" s="612" t="str">
        <f>VLOOKUP(AR364,$AN$10:$AO$1116,2,0)</f>
        <v>أحمد نورالدين أحمد الذيب</v>
      </c>
    </row>
    <row r="365" spans="1:45" ht="15" customHeight="1" thickBot="1" x14ac:dyDescent="0.3">
      <c r="A365" s="633"/>
      <c r="B365" s="630"/>
      <c r="C365" s="622"/>
      <c r="D365" s="625"/>
      <c r="E365" s="133" t="s">
        <v>31</v>
      </c>
      <c r="F365" s="589">
        <f>IFERROR(VLOOKUP($B364,اسماء,18,0),0)</f>
        <v>0</v>
      </c>
      <c r="G365" s="592"/>
      <c r="H365" s="608">
        <f>IFERROR(VLOOKUP($B364,اسماء,19,0),0)</f>
        <v>0</v>
      </c>
      <c r="I365" s="609"/>
      <c r="J365" s="589">
        <f>IFERROR(VLOOKUP($B364,اسماء,20,0),0)</f>
        <v>0</v>
      </c>
      <c r="K365" s="592"/>
      <c r="L365" s="589">
        <f>IFERROR(VLOOKUP($B364,اسماء,21,0),0)</f>
        <v>0</v>
      </c>
      <c r="M365" s="590"/>
      <c r="N365" s="589">
        <f>IFERROR(VLOOKUP($B364,اسماء,22,0),0)</f>
        <v>0</v>
      </c>
      <c r="O365" s="590"/>
      <c r="P365" s="589">
        <f>IFERROR(VLOOKUP($B364,اسماء,23,0),0)</f>
        <v>0</v>
      </c>
      <c r="Q365" s="609"/>
      <c r="R365" s="603">
        <f>IFERROR(VLOOKUP($B364,اسماء,24,0),0)</f>
        <v>0</v>
      </c>
      <c r="S365" s="592"/>
      <c r="T365" s="589">
        <f>IFERROR(VLOOKUP($B364,اسماء,25,0),0)</f>
        <v>0</v>
      </c>
      <c r="U365" s="592"/>
      <c r="V365" s="263">
        <f t="shared" si="1095"/>
        <v>0</v>
      </c>
      <c r="W365" s="373">
        <f>IFERROR(VLOOKUP($B364,اسماء,27,0),0)</f>
        <v>0</v>
      </c>
      <c r="X365" s="373">
        <f>IFERROR(VLOOKUP($B364,اسماء,28,0),0)</f>
        <v>0</v>
      </c>
      <c r="Y365" s="596"/>
      <c r="Z365" s="22" t="str">
        <f t="shared" si="1097"/>
        <v>ضعيف</v>
      </c>
      <c r="AA365" s="657"/>
      <c r="AB365" s="10"/>
      <c r="AC365" s="654"/>
      <c r="AN365" s="607"/>
      <c r="AO365" s="607"/>
      <c r="AP365" s="613"/>
      <c r="AQ365" s="612"/>
      <c r="AR365" s="611"/>
      <c r="AS365" s="612"/>
    </row>
    <row r="366" spans="1:45" ht="15" customHeight="1" x14ac:dyDescent="0.25">
      <c r="A366" s="633"/>
      <c r="B366" s="630"/>
      <c r="C366" s="622"/>
      <c r="D366" s="625"/>
      <c r="E366" s="133" t="s">
        <v>32</v>
      </c>
      <c r="F366" s="589">
        <f>IFERROR(VLOOKUP($B364,اسماء,31,0),0)</f>
        <v>0</v>
      </c>
      <c r="G366" s="592"/>
      <c r="H366" s="608">
        <f>IFERROR(VLOOKUP($B364,اسماء,32,0),0)</f>
        <v>0</v>
      </c>
      <c r="I366" s="609"/>
      <c r="J366" s="589">
        <f>IFERROR(VLOOKUP($B364,اسماء,33,0),0)</f>
        <v>0</v>
      </c>
      <c r="K366" s="592"/>
      <c r="L366" s="589">
        <f>IFERROR(VLOOKUP($B364,اسماء,34,0),0)</f>
        <v>0</v>
      </c>
      <c r="M366" s="590"/>
      <c r="N366" s="589">
        <f>IFERROR(VLOOKUP($B364,اسماء,35,0),0)</f>
        <v>0</v>
      </c>
      <c r="O366" s="590"/>
      <c r="P366" s="589">
        <f>IFERROR(VLOOKUP($B364,اسماء,36,0),0)</f>
        <v>0</v>
      </c>
      <c r="Q366" s="609"/>
      <c r="R366" s="603">
        <f>IFERROR(VLOOKUP($B364,اسماء,37,0),0)</f>
        <v>0</v>
      </c>
      <c r="S366" s="592"/>
      <c r="T366" s="589">
        <f>IFERROR(VLOOKUP($B364,اسماء,38,0),0)</f>
        <v>0</v>
      </c>
      <c r="U366" s="592"/>
      <c r="V366" s="263">
        <f t="shared" si="1095"/>
        <v>0</v>
      </c>
      <c r="W366" s="373">
        <f>IFERROR(VLOOKUP($B364,اسماء,40,0),0)</f>
        <v>0</v>
      </c>
      <c r="X366" s="373">
        <f>IFERROR(VLOOKUP($B364,اسماء,41,0),0)</f>
        <v>0</v>
      </c>
      <c r="Y366" s="596"/>
      <c r="Z366" s="22" t="str">
        <f t="shared" ref="Z366" si="1100">LOOKUP(V366,$AI$6:$AJ$10)</f>
        <v>ضعيف</v>
      </c>
      <c r="AA366" s="657"/>
      <c r="AB366" s="72"/>
      <c r="AC366" s="654"/>
      <c r="AN366" s="607"/>
      <c r="AO366" s="607"/>
      <c r="AP366" s="613"/>
      <c r="AQ366" s="612"/>
      <c r="AR366" s="611"/>
      <c r="AS366" s="612"/>
    </row>
    <row r="367" spans="1:45" ht="15" customHeight="1" thickBot="1" x14ac:dyDescent="0.3">
      <c r="A367" s="634"/>
      <c r="B367" s="631"/>
      <c r="C367" s="623"/>
      <c r="D367" s="626"/>
      <c r="E367" s="127" t="s">
        <v>33</v>
      </c>
      <c r="F367" s="585">
        <f t="shared" ref="F367" si="1101">SUM(F364:G366)</f>
        <v>0</v>
      </c>
      <c r="G367" s="593"/>
      <c r="H367" s="604">
        <f t="shared" ref="H367" si="1102">SUM(H364:I366)</f>
        <v>0</v>
      </c>
      <c r="I367" s="601"/>
      <c r="J367" s="585">
        <f t="shared" ref="J367" si="1103">SUM(J364:K366)</f>
        <v>0</v>
      </c>
      <c r="K367" s="593"/>
      <c r="L367" s="585">
        <f t="shared" ref="L367" si="1104">SUM(L364:M366)</f>
        <v>0</v>
      </c>
      <c r="M367" s="586"/>
      <c r="N367" s="585">
        <f t="shared" ref="N367" si="1105">SUM(N364:O366)</f>
        <v>0</v>
      </c>
      <c r="O367" s="586"/>
      <c r="P367" s="585">
        <f t="shared" ref="P367" si="1106">SUM(P364:Q366)</f>
        <v>0</v>
      </c>
      <c r="Q367" s="601"/>
      <c r="R367" s="602">
        <f t="shared" ref="R367" si="1107">SUM(R364:S366)</f>
        <v>0</v>
      </c>
      <c r="S367" s="593"/>
      <c r="T367" s="585">
        <f t="shared" ref="T367" si="1108">SUM(T364:U366)</f>
        <v>0</v>
      </c>
      <c r="U367" s="593"/>
      <c r="V367" s="210">
        <f t="shared" ref="V367" si="1109">IF(AND(F367&gt;=$G$8,H367&gt;=$I$8,L367&gt;=$M$8,P367&gt;=$Q$8,R367&gt;=$S$8,T367&gt;=$U$8),SUM(F367:U367),0)</f>
        <v>0</v>
      </c>
      <c r="W367" s="264"/>
      <c r="X367" s="97"/>
      <c r="Y367" s="597"/>
      <c r="Z367" s="91" t="str">
        <f t="shared" ref="Z367" si="1110">LOOKUP(V367,$AL$6:$AM$10)</f>
        <v>ضعيف</v>
      </c>
      <c r="AA367" s="658"/>
      <c r="AB367" s="72"/>
      <c r="AC367" s="655"/>
      <c r="AN367" s="607"/>
      <c r="AO367" s="607"/>
      <c r="AP367" s="613"/>
      <c r="AQ367" s="612"/>
      <c r="AR367" s="611"/>
      <c r="AS367" s="612"/>
    </row>
    <row r="368" spans="1:45" ht="15" customHeight="1" thickBot="1" x14ac:dyDescent="0.3">
      <c r="A368" s="632">
        <v>80</v>
      </c>
      <c r="B368" s="629">
        <f>VLOOKUP(A368,مسلسل,2,0)</f>
        <v>0</v>
      </c>
      <c r="C368" s="621" t="str">
        <f>IFERROR(VLOOKUP(B368,اسماء,2,0),"")</f>
        <v/>
      </c>
      <c r="D368" s="624" t="str">
        <f>IFERROR(VLOOKUP($B368,اسماء,3,0),"")</f>
        <v/>
      </c>
      <c r="E368" s="132" t="s">
        <v>30</v>
      </c>
      <c r="F368" s="627">
        <f>IFERROR(VLOOKUP($B368,اسماء,5,0),0)</f>
        <v>0</v>
      </c>
      <c r="G368" s="606"/>
      <c r="H368" s="628">
        <f>IFERROR(VLOOKUP($B368,اسماء,6,0),0)</f>
        <v>0</v>
      </c>
      <c r="I368" s="605"/>
      <c r="J368" s="587">
        <f>IFERROR(VLOOKUP($B368,اسماء,7,0),0)</f>
        <v>0</v>
      </c>
      <c r="K368" s="591"/>
      <c r="L368" s="587">
        <f>IFERROR(VLOOKUP($B368,اسماء,8,0),0)</f>
        <v>0</v>
      </c>
      <c r="M368" s="588"/>
      <c r="N368" s="587">
        <f>IFERROR(VLOOKUP($B368,اسماء,9,0),0)</f>
        <v>0</v>
      </c>
      <c r="O368" s="605"/>
      <c r="P368" s="587">
        <f>IFERROR(VLOOKUP($B368,اسماء,10,0),0)</f>
        <v>0</v>
      </c>
      <c r="Q368" s="605"/>
      <c r="R368" s="606">
        <f>IFERROR(VLOOKUP($B368,اسماء,11,0),0)</f>
        <v>0</v>
      </c>
      <c r="S368" s="591"/>
      <c r="T368" s="587">
        <f>IFERROR(VLOOKUP($B368,اسماء,12,0),0)</f>
        <v>0</v>
      </c>
      <c r="U368" s="591"/>
      <c r="V368" s="263">
        <f t="shared" ref="V368:V370" si="1111">SUM(F368:U368)</f>
        <v>0</v>
      </c>
      <c r="W368" s="373">
        <f>IFERROR(VLOOKUP($B368,اسماء,14,0),0)</f>
        <v>0</v>
      </c>
      <c r="X368" s="373">
        <f>IFERROR(VLOOKUP($B368,اسماء,15,0),0)</f>
        <v>0</v>
      </c>
      <c r="Y368" s="595" t="str">
        <f t="shared" ref="Y368" si="1112">IF(AC368="غائب","راسب",IF(AND(F371&gt;=$G$8,H371&gt;=$I$8,J371&gt;=$K$8,L371&gt;=$M$8,N371&gt;=$O$8,P371&gt;=$Q$8,R371&gt;=$S$8,T371&gt;=$U$8),"ناجح","له دور ثان"))</f>
        <v>له دور ثان</v>
      </c>
      <c r="Z368" s="21" t="str">
        <f t="shared" ref="Z368:Z369" si="1113">LOOKUP(V368,$AF$6:$AG$10)</f>
        <v>ضعيف</v>
      </c>
      <c r="AA368" s="656">
        <f t="shared" ref="AA368" si="1114">V371/$AF$3</f>
        <v>0</v>
      </c>
      <c r="AB368" s="10"/>
      <c r="AC368" s="653" t="str">
        <f>IFERROR(VLOOKUP($B368,اسماء,54,0),"")</f>
        <v/>
      </c>
      <c r="AN368" s="607" t="str">
        <f t="shared" ref="AN368" si="1115">IF(V371=0,"",V371/1+ROW()*0.00001)</f>
        <v/>
      </c>
      <c r="AO368" s="607">
        <f>B368</f>
        <v>0</v>
      </c>
      <c r="AP368" s="613"/>
      <c r="AQ368" s="612">
        <v>80</v>
      </c>
      <c r="AR368" s="611" t="str">
        <f>IFERROR(LARGE($AN$10:$AN$1006,AQ368),"")</f>
        <v/>
      </c>
      <c r="AS368" s="612" t="str">
        <f>VLOOKUP(AR368,$AN$10:$AO$1116,2,0)</f>
        <v>أحمد نورالدين أحمد الذيب</v>
      </c>
    </row>
    <row r="369" spans="1:45" ht="15" customHeight="1" thickBot="1" x14ac:dyDescent="0.3">
      <c r="A369" s="633"/>
      <c r="B369" s="630"/>
      <c r="C369" s="622"/>
      <c r="D369" s="625"/>
      <c r="E369" s="133" t="s">
        <v>31</v>
      </c>
      <c r="F369" s="589">
        <f>IFERROR(VLOOKUP($B368,اسماء,18,0),0)</f>
        <v>0</v>
      </c>
      <c r="G369" s="592"/>
      <c r="H369" s="608">
        <f>IFERROR(VLOOKUP($B368,اسماء,19,0),0)</f>
        <v>0</v>
      </c>
      <c r="I369" s="609"/>
      <c r="J369" s="589">
        <f>IFERROR(VLOOKUP($B368,اسماء,20,0),0)</f>
        <v>0</v>
      </c>
      <c r="K369" s="592"/>
      <c r="L369" s="589">
        <f>IFERROR(VLOOKUP($B368,اسماء,21,0),0)</f>
        <v>0</v>
      </c>
      <c r="M369" s="590"/>
      <c r="N369" s="589">
        <f>IFERROR(VLOOKUP($B368,اسماء,22,0),0)</f>
        <v>0</v>
      </c>
      <c r="O369" s="590"/>
      <c r="P369" s="589">
        <f>IFERROR(VLOOKUP($B368,اسماء,23,0),0)</f>
        <v>0</v>
      </c>
      <c r="Q369" s="609"/>
      <c r="R369" s="603">
        <f>IFERROR(VLOOKUP($B368,اسماء,24,0),0)</f>
        <v>0</v>
      </c>
      <c r="S369" s="592"/>
      <c r="T369" s="589">
        <f>IFERROR(VLOOKUP($B368,اسماء,25,0),0)</f>
        <v>0</v>
      </c>
      <c r="U369" s="592"/>
      <c r="V369" s="263">
        <f t="shared" si="1111"/>
        <v>0</v>
      </c>
      <c r="W369" s="373">
        <f>IFERROR(VLOOKUP($B368,اسماء,27,0),0)</f>
        <v>0</v>
      </c>
      <c r="X369" s="373">
        <f>IFERROR(VLOOKUP($B368,اسماء,28,0),0)</f>
        <v>0</v>
      </c>
      <c r="Y369" s="596"/>
      <c r="Z369" s="22" t="str">
        <f t="shared" si="1113"/>
        <v>ضعيف</v>
      </c>
      <c r="AA369" s="657"/>
      <c r="AB369" s="72"/>
      <c r="AC369" s="654"/>
      <c r="AN369" s="607"/>
      <c r="AO369" s="607"/>
      <c r="AP369" s="613"/>
      <c r="AQ369" s="612"/>
      <c r="AR369" s="611"/>
      <c r="AS369" s="612"/>
    </row>
    <row r="370" spans="1:45" ht="15" customHeight="1" x14ac:dyDescent="0.25">
      <c r="A370" s="633"/>
      <c r="B370" s="630"/>
      <c r="C370" s="622"/>
      <c r="D370" s="625"/>
      <c r="E370" s="133" t="s">
        <v>32</v>
      </c>
      <c r="F370" s="589">
        <f>IFERROR(VLOOKUP($B368,اسماء,31,0),0)</f>
        <v>0</v>
      </c>
      <c r="G370" s="592"/>
      <c r="H370" s="608">
        <f>IFERROR(VLOOKUP($B368,اسماء,32,0),0)</f>
        <v>0</v>
      </c>
      <c r="I370" s="609"/>
      <c r="J370" s="589">
        <f>IFERROR(VLOOKUP($B368,اسماء,33,0),0)</f>
        <v>0</v>
      </c>
      <c r="K370" s="592"/>
      <c r="L370" s="589">
        <f>IFERROR(VLOOKUP($B368,اسماء,34,0),0)</f>
        <v>0</v>
      </c>
      <c r="M370" s="590"/>
      <c r="N370" s="589">
        <f>IFERROR(VLOOKUP($B368,اسماء,35,0),0)</f>
        <v>0</v>
      </c>
      <c r="O370" s="590"/>
      <c r="P370" s="589">
        <f>IFERROR(VLOOKUP($B368,اسماء,36,0),0)</f>
        <v>0</v>
      </c>
      <c r="Q370" s="609"/>
      <c r="R370" s="603">
        <f>IFERROR(VLOOKUP($B368,اسماء,37,0),0)</f>
        <v>0</v>
      </c>
      <c r="S370" s="592"/>
      <c r="T370" s="589">
        <f>IFERROR(VLOOKUP($B368,اسماء,38,0),0)</f>
        <v>0</v>
      </c>
      <c r="U370" s="592"/>
      <c r="V370" s="263">
        <f t="shared" si="1111"/>
        <v>0</v>
      </c>
      <c r="W370" s="373">
        <f>IFERROR(VLOOKUP($B368,اسماء,40,0),0)</f>
        <v>0</v>
      </c>
      <c r="X370" s="373">
        <f>IFERROR(VLOOKUP($B368,اسماء,41,0),0)</f>
        <v>0</v>
      </c>
      <c r="Y370" s="596"/>
      <c r="Z370" s="22" t="str">
        <f t="shared" ref="Z370" si="1116">LOOKUP(V370,$AI$6:$AJ$10)</f>
        <v>ضعيف</v>
      </c>
      <c r="AA370" s="657"/>
      <c r="AB370" s="72"/>
      <c r="AC370" s="654"/>
      <c r="AN370" s="607"/>
      <c r="AO370" s="607"/>
      <c r="AP370" s="613"/>
      <c r="AQ370" s="612"/>
      <c r="AR370" s="611"/>
      <c r="AS370" s="612"/>
    </row>
    <row r="371" spans="1:45" ht="15" customHeight="1" thickBot="1" x14ac:dyDescent="0.3">
      <c r="A371" s="634"/>
      <c r="B371" s="631"/>
      <c r="C371" s="623"/>
      <c r="D371" s="626"/>
      <c r="E371" s="127" t="s">
        <v>33</v>
      </c>
      <c r="F371" s="585">
        <f t="shared" ref="F371" si="1117">SUM(F368:G370)</f>
        <v>0</v>
      </c>
      <c r="G371" s="593"/>
      <c r="H371" s="604">
        <f t="shared" ref="H371" si="1118">SUM(H368:I370)</f>
        <v>0</v>
      </c>
      <c r="I371" s="601"/>
      <c r="J371" s="585">
        <f t="shared" ref="J371" si="1119">SUM(J368:K370)</f>
        <v>0</v>
      </c>
      <c r="K371" s="593"/>
      <c r="L371" s="585">
        <f t="shared" ref="L371" si="1120">SUM(L368:M370)</f>
        <v>0</v>
      </c>
      <c r="M371" s="586"/>
      <c r="N371" s="585">
        <f t="shared" ref="N371" si="1121">SUM(N368:O370)</f>
        <v>0</v>
      </c>
      <c r="O371" s="586"/>
      <c r="P371" s="585">
        <f t="shared" ref="P371" si="1122">SUM(P368:Q370)</f>
        <v>0</v>
      </c>
      <c r="Q371" s="601"/>
      <c r="R371" s="602">
        <f t="shared" ref="R371" si="1123">SUM(R368:S370)</f>
        <v>0</v>
      </c>
      <c r="S371" s="593"/>
      <c r="T371" s="585">
        <f t="shared" ref="T371" si="1124">SUM(T368:U370)</f>
        <v>0</v>
      </c>
      <c r="U371" s="593"/>
      <c r="V371" s="210">
        <f t="shared" ref="V371" si="1125">IF(AND(F371&gt;=$G$8,H371&gt;=$I$8,L371&gt;=$M$8,P371&gt;=$Q$8,R371&gt;=$S$8,T371&gt;=$U$8),SUM(F371:U371),0)</f>
        <v>0</v>
      </c>
      <c r="W371" s="264"/>
      <c r="X371" s="97"/>
      <c r="Y371" s="597"/>
      <c r="Z371" s="91" t="str">
        <f t="shared" ref="Z371" si="1126">LOOKUP(V371,$AL$6:$AM$10)</f>
        <v>ضعيف</v>
      </c>
      <c r="AA371" s="658"/>
      <c r="AB371" s="10"/>
      <c r="AC371" s="655"/>
      <c r="AN371" s="607"/>
      <c r="AO371" s="607"/>
      <c r="AP371" s="613"/>
      <c r="AQ371" s="612"/>
      <c r="AR371" s="611"/>
      <c r="AS371" s="612"/>
    </row>
    <row r="372" spans="1:45" ht="15" customHeight="1" thickBot="1" x14ac:dyDescent="0.3">
      <c r="F372" s="75"/>
      <c r="G372" s="76"/>
      <c r="H372" s="75"/>
      <c r="I372" s="76"/>
      <c r="J372" s="75"/>
      <c r="K372" s="76"/>
      <c r="L372" s="75"/>
      <c r="M372" s="76"/>
      <c r="N372" s="76"/>
      <c r="O372" s="76"/>
      <c r="P372" s="75"/>
      <c r="Q372" s="76"/>
      <c r="R372" s="75"/>
      <c r="S372" s="76"/>
      <c r="T372" s="75"/>
      <c r="U372" s="76"/>
      <c r="V372" s="74"/>
      <c r="W372" s="77"/>
      <c r="X372" s="74"/>
      <c r="Y372" s="362"/>
      <c r="Z372" s="74"/>
      <c r="AA372" s="267"/>
      <c r="AB372" s="72"/>
      <c r="AK372" s="78"/>
    </row>
    <row r="373" spans="1:45" customFormat="1" ht="15" customHeight="1" x14ac:dyDescent="0.3">
      <c r="A373" s="617" t="s">
        <v>9</v>
      </c>
      <c r="B373" s="618"/>
      <c r="C373" s="619"/>
      <c r="D373" s="288" t="s">
        <v>11</v>
      </c>
      <c r="E373" s="600" t="s">
        <v>97</v>
      </c>
      <c r="F373" s="598"/>
      <c r="G373" s="598"/>
      <c r="H373" s="598"/>
      <c r="I373" s="598"/>
      <c r="J373" s="9"/>
      <c r="K373" s="9"/>
      <c r="L373" s="9"/>
      <c r="M373" s="9"/>
      <c r="N373" s="9"/>
      <c r="O373" s="9"/>
      <c r="P373" s="9"/>
      <c r="Q373" s="9"/>
      <c r="R373" s="9"/>
      <c r="S373" s="598" t="s">
        <v>156</v>
      </c>
      <c r="T373" s="598"/>
      <c r="U373" s="598"/>
      <c r="V373" s="598"/>
      <c r="W373" s="598"/>
      <c r="X373" s="598"/>
      <c r="Y373" s="598"/>
      <c r="Z373" s="1"/>
      <c r="AA373" s="268"/>
      <c r="AC373" s="79"/>
      <c r="AD373" s="80"/>
      <c r="AE373" s="80"/>
      <c r="AF373" s="80"/>
      <c r="AG373" s="80"/>
    </row>
    <row r="374" spans="1:45" customFormat="1" ht="15" customHeight="1" x14ac:dyDescent="0.25">
      <c r="A374" s="81" t="s">
        <v>8</v>
      </c>
      <c r="B374" s="610">
        <f>ادخال1!$BP$3</f>
        <v>0</v>
      </c>
      <c r="C374" s="620"/>
      <c r="D374" s="289"/>
      <c r="E374" s="9" t="s">
        <v>9</v>
      </c>
      <c r="F374" s="599" t="str">
        <f>ادخال1!$BP$5</f>
        <v>د.عبدالرحمن خليفة العريبي</v>
      </c>
      <c r="G374" s="599"/>
      <c r="H374" s="599"/>
      <c r="I374" s="599"/>
      <c r="J374" s="599"/>
      <c r="K374" s="599"/>
      <c r="L374" s="599"/>
      <c r="M374" s="599"/>
      <c r="N374" s="599"/>
      <c r="O374" s="599"/>
      <c r="P374" s="599"/>
      <c r="Q374" s="599"/>
      <c r="R374" s="9"/>
      <c r="S374" s="599" t="str">
        <f>ادخال1!$BP$6</f>
        <v>تاجوراء</v>
      </c>
      <c r="T374" s="599"/>
      <c r="U374" s="599"/>
      <c r="V374" s="599"/>
      <c r="W374" s="599"/>
      <c r="X374" s="599"/>
      <c r="Y374" s="599"/>
      <c r="Z374" s="599"/>
      <c r="AA374" s="67"/>
      <c r="AB374" s="67"/>
      <c r="AC374" s="79"/>
      <c r="AD374" s="79"/>
      <c r="AE374" s="79"/>
      <c r="AF374" s="79"/>
    </row>
    <row r="375" spans="1:45" customFormat="1" ht="15" customHeight="1" thickBot="1" x14ac:dyDescent="0.3">
      <c r="A375" s="82" t="s">
        <v>98</v>
      </c>
      <c r="B375" s="615">
        <f>ادخال1!$BP$4</f>
        <v>0</v>
      </c>
      <c r="C375" s="616"/>
      <c r="D375" s="290"/>
      <c r="E375" s="9" t="s">
        <v>11</v>
      </c>
      <c r="F375" s="607"/>
      <c r="G375" s="607"/>
      <c r="H375" s="607"/>
      <c r="I375" s="607"/>
      <c r="J375" s="607"/>
      <c r="K375" s="607"/>
      <c r="L375" s="607"/>
      <c r="M375" s="607"/>
      <c r="N375" s="607"/>
      <c r="O375" s="607"/>
      <c r="P375" s="607"/>
      <c r="Q375" s="607"/>
      <c r="R375" s="9"/>
      <c r="S375" s="9" t="s">
        <v>11</v>
      </c>
      <c r="T375" s="9"/>
      <c r="U375" s="9" t="s">
        <v>11</v>
      </c>
      <c r="V375" s="1"/>
      <c r="W375" s="1"/>
      <c r="X375" s="1"/>
      <c r="Y375" s="363"/>
      <c r="Z375" s="1"/>
      <c r="AA375" s="268"/>
      <c r="AC375" s="79"/>
      <c r="AD375" s="79"/>
      <c r="AE375" s="79"/>
      <c r="AF375" s="79"/>
    </row>
    <row r="376" spans="1:45" customFormat="1" ht="15" customHeight="1" x14ac:dyDescent="0.25">
      <c r="A376" s="598" t="s">
        <v>99</v>
      </c>
      <c r="B376" s="598"/>
      <c r="C376" s="598"/>
      <c r="D376" s="598"/>
      <c r="E376" s="598" t="s">
        <v>100</v>
      </c>
      <c r="F376" s="598"/>
      <c r="G376" s="598"/>
      <c r="H376" s="598"/>
      <c r="I376" s="598"/>
      <c r="J376" s="598"/>
      <c r="K376" s="598"/>
      <c r="L376" s="598"/>
      <c r="M376" s="598"/>
      <c r="N376" s="598"/>
      <c r="O376" s="598"/>
      <c r="P376" s="598"/>
      <c r="Q376" s="598"/>
      <c r="R376" s="598"/>
      <c r="S376" s="598"/>
      <c r="T376" s="9"/>
      <c r="U376" s="9"/>
      <c r="V376" s="9"/>
      <c r="W376" s="594">
        <f ca="1">TODAY()</f>
        <v>46035</v>
      </c>
      <c r="X376" s="594"/>
      <c r="Y376" s="594"/>
      <c r="Z376" s="594"/>
      <c r="AA376" s="268"/>
    </row>
    <row r="377" spans="1:45" customFormat="1" ht="15" customHeight="1" thickBot="1" x14ac:dyDescent="0.3">
      <c r="A377" s="9"/>
      <c r="B377" s="598" t="s">
        <v>101</v>
      </c>
      <c r="C377" s="598"/>
      <c r="D377" s="598"/>
      <c r="E377" s="598" t="s">
        <v>102</v>
      </c>
      <c r="F377" s="598"/>
      <c r="G377" s="598"/>
      <c r="H377" s="598"/>
      <c r="I377" s="598"/>
      <c r="J377" s="598"/>
      <c r="K377" s="598"/>
      <c r="L377" s="598"/>
      <c r="M377" s="598"/>
      <c r="N377" s="598"/>
      <c r="O377" s="598"/>
      <c r="P377" s="598"/>
      <c r="Q377" s="598"/>
      <c r="R377" s="598"/>
      <c r="S377" s="598"/>
      <c r="T377" s="9"/>
      <c r="U377" s="9"/>
      <c r="V377" s="1"/>
      <c r="W377" s="1"/>
      <c r="X377" s="1"/>
      <c r="Y377" s="363"/>
      <c r="Z377" s="1"/>
      <c r="AA377" s="268"/>
    </row>
    <row r="378" spans="1:45" ht="15" customHeight="1" thickBot="1" x14ac:dyDescent="0.3">
      <c r="A378" s="632">
        <v>81</v>
      </c>
      <c r="B378" s="629">
        <f>VLOOKUP(A378,مسلسل,2,0)</f>
        <v>0</v>
      </c>
      <c r="C378" s="621" t="str">
        <f>IFERROR(VLOOKUP(B378,اسماء,2,0),"")</f>
        <v/>
      </c>
      <c r="D378" s="624" t="str">
        <f>IFERROR(VLOOKUP($B378,اسماء,3,0),"")</f>
        <v/>
      </c>
      <c r="E378" s="132" t="s">
        <v>30</v>
      </c>
      <c r="F378" s="627">
        <f>IFERROR(VLOOKUP($B378,اسماء,5,0),0)</f>
        <v>0</v>
      </c>
      <c r="G378" s="606"/>
      <c r="H378" s="628">
        <f>IFERROR(VLOOKUP($B378,اسماء,6,0),0)</f>
        <v>0</v>
      </c>
      <c r="I378" s="605"/>
      <c r="J378" s="587">
        <f>IFERROR(VLOOKUP($B378,اسماء,7,0),0)</f>
        <v>0</v>
      </c>
      <c r="K378" s="591"/>
      <c r="L378" s="587">
        <f>IFERROR(VLOOKUP($B378,اسماء,8,0),0)</f>
        <v>0</v>
      </c>
      <c r="M378" s="588"/>
      <c r="N378" s="587">
        <f>IFERROR(VLOOKUP($B378,اسماء,9,0),0)</f>
        <v>0</v>
      </c>
      <c r="O378" s="605"/>
      <c r="P378" s="587">
        <f>IFERROR(VLOOKUP($B378,اسماء,10,0),0)</f>
        <v>0</v>
      </c>
      <c r="Q378" s="605"/>
      <c r="R378" s="606">
        <f>IFERROR(VLOOKUP($B378,اسماء,11,0),0)</f>
        <v>0</v>
      </c>
      <c r="S378" s="591"/>
      <c r="T378" s="587">
        <f>IFERROR(VLOOKUP($B378,اسماء,12,0),0)</f>
        <v>0</v>
      </c>
      <c r="U378" s="591"/>
      <c r="V378" s="263">
        <f t="shared" ref="V378:V380" si="1127">SUM(F378:U378)</f>
        <v>0</v>
      </c>
      <c r="W378" s="373">
        <f>IFERROR(VLOOKUP($B378,اسماء,14,0),0)</f>
        <v>0</v>
      </c>
      <c r="X378" s="373">
        <f>IFERROR(VLOOKUP($B378,اسماء,15,0),0)</f>
        <v>0</v>
      </c>
      <c r="Y378" s="595" t="str">
        <f>IF(AC378="غائب","راسب",IF(AND(F381&gt;=$G$8,H381&gt;=$I$8,J381&gt;=$K$8,L381&gt;=$M$8,N381&gt;=$O$8,P381&gt;=$Q$8,R381&gt;=$S$8,T381&gt;=$U$8),"ناجح","له دور ثان"))</f>
        <v>له دور ثان</v>
      </c>
      <c r="Z378" s="21" t="str">
        <f>LOOKUP(V378,$AF$6:$AG$10)</f>
        <v>ضعيف</v>
      </c>
      <c r="AA378" s="656">
        <f>V381/$AF$3</f>
        <v>0</v>
      </c>
      <c r="AB378" s="72"/>
      <c r="AC378" s="653" t="str">
        <f>IFERROR(VLOOKUP($B378,اسماء,54,0),"")</f>
        <v/>
      </c>
      <c r="AN378" s="610" t="str">
        <f>IF(V381=0,"",V381/1+ROW()*0.00001)</f>
        <v/>
      </c>
      <c r="AO378" s="610">
        <f>B378</f>
        <v>0</v>
      </c>
      <c r="AP378" s="613"/>
      <c r="AQ378" s="612">
        <v>81</v>
      </c>
      <c r="AR378" s="611" t="str">
        <f>IFERROR(LARGE($AN$10:$AN$1006,AQ378),"")</f>
        <v/>
      </c>
      <c r="AS378" s="612" t="str">
        <f>VLOOKUP(AR378,$AN$10:$AO$1116,2,0)</f>
        <v>أحمد نورالدين أحمد الذيب</v>
      </c>
    </row>
    <row r="379" spans="1:45" ht="15" customHeight="1" thickBot="1" x14ac:dyDescent="0.3">
      <c r="A379" s="633"/>
      <c r="B379" s="630"/>
      <c r="C379" s="622"/>
      <c r="D379" s="625"/>
      <c r="E379" s="133" t="s">
        <v>31</v>
      </c>
      <c r="F379" s="589">
        <f>IFERROR(VLOOKUP($B378,اسماء,18,0),0)</f>
        <v>0</v>
      </c>
      <c r="G379" s="592"/>
      <c r="H379" s="608">
        <f>IFERROR(VLOOKUP($B378,اسماء,19,0),0)</f>
        <v>0</v>
      </c>
      <c r="I379" s="609"/>
      <c r="J379" s="589">
        <f>IFERROR(VLOOKUP($B378,اسماء,20,0),0)</f>
        <v>0</v>
      </c>
      <c r="K379" s="592"/>
      <c r="L379" s="589">
        <f>IFERROR(VLOOKUP($B378,اسماء,21,0),0)</f>
        <v>0</v>
      </c>
      <c r="M379" s="590"/>
      <c r="N379" s="589">
        <f>IFERROR(VLOOKUP($B378,اسماء,22,0),0)</f>
        <v>0</v>
      </c>
      <c r="O379" s="590"/>
      <c r="P379" s="589">
        <f>IFERROR(VLOOKUP($B378,اسماء,23,0),0)</f>
        <v>0</v>
      </c>
      <c r="Q379" s="609"/>
      <c r="R379" s="603">
        <f>IFERROR(VLOOKUP($B378,اسماء,24,0),0)</f>
        <v>0</v>
      </c>
      <c r="S379" s="592"/>
      <c r="T379" s="589">
        <f>IFERROR(VLOOKUP($B378,اسماء,25,0),0)</f>
        <v>0</v>
      </c>
      <c r="U379" s="592"/>
      <c r="V379" s="263">
        <f t="shared" si="1127"/>
        <v>0</v>
      </c>
      <c r="W379" s="373">
        <f>IFERROR(VLOOKUP($B378,اسماء,27,0),0)</f>
        <v>0</v>
      </c>
      <c r="X379" s="373">
        <f>IFERROR(VLOOKUP($B378,اسماء,28,0),0)</f>
        <v>0</v>
      </c>
      <c r="Y379" s="596"/>
      <c r="Z379" s="22" t="str">
        <f>LOOKUP(V379,$AF$6:$AG$10)</f>
        <v>ضعيف</v>
      </c>
      <c r="AA379" s="657"/>
      <c r="AB379" s="72"/>
      <c r="AC379" s="654"/>
      <c r="AN379" s="610"/>
      <c r="AO379" s="610"/>
      <c r="AP379" s="613"/>
      <c r="AQ379" s="612"/>
      <c r="AR379" s="611"/>
      <c r="AS379" s="612"/>
    </row>
    <row r="380" spans="1:45" ht="15" customHeight="1" x14ac:dyDescent="0.25">
      <c r="A380" s="633"/>
      <c r="B380" s="630"/>
      <c r="C380" s="622"/>
      <c r="D380" s="625"/>
      <c r="E380" s="133" t="s">
        <v>32</v>
      </c>
      <c r="F380" s="589">
        <f>IFERROR(VLOOKUP($B378,اسماء,31,0),0)</f>
        <v>0</v>
      </c>
      <c r="G380" s="592"/>
      <c r="H380" s="608">
        <f>IFERROR(VLOOKUP($B378,اسماء,32,0),0)</f>
        <v>0</v>
      </c>
      <c r="I380" s="609"/>
      <c r="J380" s="589">
        <f>IFERROR(VLOOKUP($B378,اسماء,33,0),0)</f>
        <v>0</v>
      </c>
      <c r="K380" s="592"/>
      <c r="L380" s="589">
        <f>IFERROR(VLOOKUP($B378,اسماء,34,0),0)</f>
        <v>0</v>
      </c>
      <c r="M380" s="590"/>
      <c r="N380" s="589">
        <f>IFERROR(VLOOKUP($B378,اسماء,35,0),0)</f>
        <v>0</v>
      </c>
      <c r="O380" s="590"/>
      <c r="P380" s="589">
        <f>IFERROR(VLOOKUP($B378,اسماء,36,0),0)</f>
        <v>0</v>
      </c>
      <c r="Q380" s="609"/>
      <c r="R380" s="603">
        <f>IFERROR(VLOOKUP($B378,اسماء,37,0),0)</f>
        <v>0</v>
      </c>
      <c r="S380" s="592"/>
      <c r="T380" s="589">
        <f>IFERROR(VLOOKUP($B378,اسماء,38,0),0)</f>
        <v>0</v>
      </c>
      <c r="U380" s="592"/>
      <c r="V380" s="263">
        <f t="shared" si="1127"/>
        <v>0</v>
      </c>
      <c r="W380" s="373">
        <f>IFERROR(VLOOKUP($B378,اسماء,40,0),0)</f>
        <v>0</v>
      </c>
      <c r="X380" s="373">
        <f>IFERROR(VLOOKUP($B378,اسماء,41,0),0)</f>
        <v>0</v>
      </c>
      <c r="Y380" s="596"/>
      <c r="Z380" s="22" t="str">
        <f>LOOKUP(V380,$AI$6:$AJ$10)</f>
        <v>ضعيف</v>
      </c>
      <c r="AA380" s="657"/>
      <c r="AB380" s="10"/>
      <c r="AC380" s="654"/>
      <c r="AN380" s="610"/>
      <c r="AO380" s="610"/>
      <c r="AP380" s="613"/>
      <c r="AQ380" s="612"/>
      <c r="AR380" s="611"/>
      <c r="AS380" s="612"/>
    </row>
    <row r="381" spans="1:45" ht="15" customHeight="1" thickBot="1" x14ac:dyDescent="0.3">
      <c r="A381" s="634"/>
      <c r="B381" s="631"/>
      <c r="C381" s="623"/>
      <c r="D381" s="626"/>
      <c r="E381" s="127" t="s">
        <v>33</v>
      </c>
      <c r="F381" s="585">
        <f t="shared" ref="F381" si="1128">SUM(F378:G380)</f>
        <v>0</v>
      </c>
      <c r="G381" s="593"/>
      <c r="H381" s="604">
        <f t="shared" ref="H381" si="1129">SUM(H378:I380)</f>
        <v>0</v>
      </c>
      <c r="I381" s="601"/>
      <c r="J381" s="585">
        <f t="shared" ref="J381" si="1130">SUM(J378:K380)</f>
        <v>0</v>
      </c>
      <c r="K381" s="593"/>
      <c r="L381" s="585">
        <f t="shared" ref="L381" si="1131">SUM(L378:M380)</f>
        <v>0</v>
      </c>
      <c r="M381" s="586"/>
      <c r="N381" s="585">
        <f t="shared" ref="N381" si="1132">SUM(N378:O380)</f>
        <v>0</v>
      </c>
      <c r="O381" s="586"/>
      <c r="P381" s="585">
        <f t="shared" ref="P381" si="1133">SUM(P378:Q380)</f>
        <v>0</v>
      </c>
      <c r="Q381" s="601"/>
      <c r="R381" s="602">
        <f t="shared" ref="R381" si="1134">SUM(R378:S380)</f>
        <v>0</v>
      </c>
      <c r="S381" s="593"/>
      <c r="T381" s="585">
        <f t="shared" ref="T381" si="1135">SUM(T378:U380)</f>
        <v>0</v>
      </c>
      <c r="U381" s="593"/>
      <c r="V381" s="210">
        <f t="shared" ref="V381" si="1136">IF(AND(F381&gt;=$G$8,H381&gt;=$I$8,L381&gt;=$M$8,P381&gt;=$Q$8,R381&gt;=$S$8,T381&gt;=$U$8),SUM(F381:U381),0)</f>
        <v>0</v>
      </c>
      <c r="W381" s="264"/>
      <c r="X381" s="97"/>
      <c r="Y381" s="597"/>
      <c r="Z381" s="91" t="str">
        <f>LOOKUP(V381,$AL$6:$AM$10)</f>
        <v>ضعيف</v>
      </c>
      <c r="AA381" s="658"/>
      <c r="AB381" s="72"/>
      <c r="AC381" s="655"/>
      <c r="AN381" s="610"/>
      <c r="AO381" s="610"/>
      <c r="AP381" s="613"/>
      <c r="AQ381" s="612"/>
      <c r="AR381" s="611"/>
      <c r="AS381" s="612"/>
    </row>
    <row r="382" spans="1:45" ht="15" customHeight="1" thickBot="1" x14ac:dyDescent="0.3">
      <c r="A382" s="632">
        <v>82</v>
      </c>
      <c r="B382" s="629">
        <f>VLOOKUP(A382,مسلسل,2,0)</f>
        <v>0</v>
      </c>
      <c r="C382" s="621" t="str">
        <f>IFERROR(VLOOKUP(B382,اسماء,2,0),"")</f>
        <v/>
      </c>
      <c r="D382" s="624" t="str">
        <f>IFERROR(VLOOKUP($B382,اسماء,3,0),"")</f>
        <v/>
      </c>
      <c r="E382" s="132" t="s">
        <v>30</v>
      </c>
      <c r="F382" s="627">
        <f>IFERROR(VLOOKUP($B382,اسماء,5,0),0)</f>
        <v>0</v>
      </c>
      <c r="G382" s="606"/>
      <c r="H382" s="628">
        <f>IFERROR(VLOOKUP($B382,اسماء,6,0),0)</f>
        <v>0</v>
      </c>
      <c r="I382" s="605"/>
      <c r="J382" s="587">
        <f>IFERROR(VLOOKUP($B382,اسماء,7,0),0)</f>
        <v>0</v>
      </c>
      <c r="K382" s="591"/>
      <c r="L382" s="587">
        <f>IFERROR(VLOOKUP($B382,اسماء,8,0),0)</f>
        <v>0</v>
      </c>
      <c r="M382" s="588"/>
      <c r="N382" s="587">
        <f>IFERROR(VLOOKUP($B382,اسماء,9,0),0)</f>
        <v>0</v>
      </c>
      <c r="O382" s="605"/>
      <c r="P382" s="587">
        <f>IFERROR(VLOOKUP($B382,اسماء,10,0),0)</f>
        <v>0</v>
      </c>
      <c r="Q382" s="605"/>
      <c r="R382" s="606">
        <f>IFERROR(VLOOKUP($B382,اسماء,11,0),0)</f>
        <v>0</v>
      </c>
      <c r="S382" s="591"/>
      <c r="T382" s="587">
        <f>IFERROR(VLOOKUP($B382,اسماء,12,0),0)</f>
        <v>0</v>
      </c>
      <c r="U382" s="591"/>
      <c r="V382" s="263">
        <f t="shared" ref="V382:V384" si="1137">SUM(F382:U382)</f>
        <v>0</v>
      </c>
      <c r="W382" s="373">
        <f>IFERROR(VLOOKUP($B382,اسماء,14,0),0)</f>
        <v>0</v>
      </c>
      <c r="X382" s="373">
        <f>IFERROR(VLOOKUP($B382,اسماء,15,0),0)</f>
        <v>0</v>
      </c>
      <c r="Y382" s="595" t="str">
        <f t="shared" ref="Y382" si="1138">IF(AC382="غائب","راسب",IF(AND(F385&gt;=$G$8,H385&gt;=$I$8,J385&gt;=$K$8,L385&gt;=$M$8,N385&gt;=$O$8,P385&gt;=$Q$8,R385&gt;=$S$8,T385&gt;=$U$8),"ناجح","له دور ثان"))</f>
        <v>له دور ثان</v>
      </c>
      <c r="Z382" s="21" t="str">
        <f>LOOKUP(V382,$AF$6:$AG$10)</f>
        <v>ضعيف</v>
      </c>
      <c r="AA382" s="656">
        <f>V385/$AF$3</f>
        <v>0</v>
      </c>
      <c r="AB382" s="72"/>
      <c r="AC382" s="653" t="str">
        <f>IFERROR(VLOOKUP($B382,اسماء,54,0),"")</f>
        <v/>
      </c>
      <c r="AN382" s="607" t="str">
        <f t="shared" ref="AN382" si="1139">IF(V385=0,"",V385/1+ROW()*0.00001)</f>
        <v/>
      </c>
      <c r="AO382" s="607">
        <f>B382</f>
        <v>0</v>
      </c>
      <c r="AP382" s="613"/>
      <c r="AQ382" s="612">
        <v>82</v>
      </c>
      <c r="AR382" s="611" t="str">
        <f>IFERROR(LARGE($AN$10:$AN$1006,AQ382),"")</f>
        <v/>
      </c>
      <c r="AS382" s="612" t="str">
        <f>VLOOKUP(AR382,$AN$10:$AO$1116,2,0)</f>
        <v>أحمد نورالدين أحمد الذيب</v>
      </c>
    </row>
    <row r="383" spans="1:45" ht="15" customHeight="1" thickBot="1" x14ac:dyDescent="0.3">
      <c r="A383" s="633"/>
      <c r="B383" s="630"/>
      <c r="C383" s="622"/>
      <c r="D383" s="625"/>
      <c r="E383" s="133" t="s">
        <v>31</v>
      </c>
      <c r="F383" s="589">
        <f>IFERROR(VLOOKUP($B382,اسماء,18,0),0)</f>
        <v>0</v>
      </c>
      <c r="G383" s="592"/>
      <c r="H383" s="608">
        <f>IFERROR(VLOOKUP($B382,اسماء,19,0),0)</f>
        <v>0</v>
      </c>
      <c r="I383" s="609"/>
      <c r="J383" s="589">
        <f>IFERROR(VLOOKUP($B382,اسماء,20,0),0)</f>
        <v>0</v>
      </c>
      <c r="K383" s="592"/>
      <c r="L383" s="589">
        <f>IFERROR(VLOOKUP($B382,اسماء,21,0),0)</f>
        <v>0</v>
      </c>
      <c r="M383" s="590"/>
      <c r="N383" s="589">
        <f>IFERROR(VLOOKUP($B382,اسماء,22,0),0)</f>
        <v>0</v>
      </c>
      <c r="O383" s="590"/>
      <c r="P383" s="589">
        <f>IFERROR(VLOOKUP($B382,اسماء,23,0),0)</f>
        <v>0</v>
      </c>
      <c r="Q383" s="609"/>
      <c r="R383" s="603">
        <f>IFERROR(VLOOKUP($B382,اسماء,24,0),0)</f>
        <v>0</v>
      </c>
      <c r="S383" s="592"/>
      <c r="T383" s="589">
        <f>IFERROR(VLOOKUP($B382,اسماء,25,0),0)</f>
        <v>0</v>
      </c>
      <c r="U383" s="592"/>
      <c r="V383" s="263">
        <f t="shared" si="1137"/>
        <v>0</v>
      </c>
      <c r="W383" s="373">
        <f>IFERROR(VLOOKUP($B382,اسماء,27,0),0)</f>
        <v>0</v>
      </c>
      <c r="X383" s="373">
        <f>IFERROR(VLOOKUP($B382,اسماء,28,0),0)</f>
        <v>0</v>
      </c>
      <c r="Y383" s="596"/>
      <c r="Z383" s="22" t="str">
        <f>LOOKUP(V383,$AF$6:$AG$10)</f>
        <v>ضعيف</v>
      </c>
      <c r="AA383" s="657"/>
      <c r="AB383" s="10"/>
      <c r="AC383" s="654"/>
      <c r="AN383" s="607"/>
      <c r="AO383" s="607"/>
      <c r="AP383" s="613"/>
      <c r="AQ383" s="612"/>
      <c r="AR383" s="611"/>
      <c r="AS383" s="612"/>
    </row>
    <row r="384" spans="1:45" ht="15" customHeight="1" x14ac:dyDescent="0.25">
      <c r="A384" s="633"/>
      <c r="B384" s="630"/>
      <c r="C384" s="622"/>
      <c r="D384" s="625"/>
      <c r="E384" s="133" t="s">
        <v>32</v>
      </c>
      <c r="F384" s="589">
        <f>IFERROR(VLOOKUP($B382,اسماء,31,0),0)</f>
        <v>0</v>
      </c>
      <c r="G384" s="592"/>
      <c r="H384" s="608">
        <f>IFERROR(VLOOKUP($B382,اسماء,32,0),0)</f>
        <v>0</v>
      </c>
      <c r="I384" s="609"/>
      <c r="J384" s="589">
        <f>IFERROR(VLOOKUP($B382,اسماء,33,0),0)</f>
        <v>0</v>
      </c>
      <c r="K384" s="592"/>
      <c r="L384" s="589">
        <f>IFERROR(VLOOKUP($B382,اسماء,34,0),0)</f>
        <v>0</v>
      </c>
      <c r="M384" s="590"/>
      <c r="N384" s="589">
        <f>IFERROR(VLOOKUP($B382,اسماء,35,0),0)</f>
        <v>0</v>
      </c>
      <c r="O384" s="590"/>
      <c r="P384" s="589">
        <f>IFERROR(VLOOKUP($B382,اسماء,36,0),0)</f>
        <v>0</v>
      </c>
      <c r="Q384" s="609"/>
      <c r="R384" s="603">
        <f>IFERROR(VLOOKUP($B382,اسماء,37,0),0)</f>
        <v>0</v>
      </c>
      <c r="S384" s="592"/>
      <c r="T384" s="589">
        <f>IFERROR(VLOOKUP($B382,اسماء,38,0),0)</f>
        <v>0</v>
      </c>
      <c r="U384" s="592"/>
      <c r="V384" s="263">
        <f t="shared" si="1137"/>
        <v>0</v>
      </c>
      <c r="W384" s="373">
        <f>IFERROR(VLOOKUP($B382,اسماء,40,0),0)</f>
        <v>0</v>
      </c>
      <c r="X384" s="373">
        <f>IFERROR(VLOOKUP($B382,اسماء,41,0),0)</f>
        <v>0</v>
      </c>
      <c r="Y384" s="596"/>
      <c r="Z384" s="22" t="str">
        <f>LOOKUP(V384,$AI$6:$AJ$10)</f>
        <v>ضعيف</v>
      </c>
      <c r="AA384" s="657"/>
      <c r="AB384" s="72"/>
      <c r="AC384" s="654"/>
      <c r="AN384" s="607"/>
      <c r="AO384" s="607"/>
      <c r="AP384" s="613"/>
      <c r="AQ384" s="612"/>
      <c r="AR384" s="611"/>
      <c r="AS384" s="612"/>
    </row>
    <row r="385" spans="1:45" ht="15" customHeight="1" thickBot="1" x14ac:dyDescent="0.3">
      <c r="A385" s="634"/>
      <c r="B385" s="631"/>
      <c r="C385" s="623"/>
      <c r="D385" s="626"/>
      <c r="E385" s="127" t="s">
        <v>33</v>
      </c>
      <c r="F385" s="585">
        <f t="shared" ref="F385" si="1140">SUM(F382:G384)</f>
        <v>0</v>
      </c>
      <c r="G385" s="593"/>
      <c r="H385" s="604">
        <f t="shared" ref="H385" si="1141">SUM(H382:I384)</f>
        <v>0</v>
      </c>
      <c r="I385" s="601"/>
      <c r="J385" s="585">
        <f t="shared" ref="J385" si="1142">SUM(J382:K384)</f>
        <v>0</v>
      </c>
      <c r="K385" s="593"/>
      <c r="L385" s="585">
        <f t="shared" ref="L385" si="1143">SUM(L382:M384)</f>
        <v>0</v>
      </c>
      <c r="M385" s="586"/>
      <c r="N385" s="585">
        <f t="shared" ref="N385" si="1144">SUM(N382:O384)</f>
        <v>0</v>
      </c>
      <c r="O385" s="586"/>
      <c r="P385" s="585">
        <f t="shared" ref="P385" si="1145">SUM(P382:Q384)</f>
        <v>0</v>
      </c>
      <c r="Q385" s="601"/>
      <c r="R385" s="602">
        <f t="shared" ref="R385" si="1146">SUM(R382:S384)</f>
        <v>0</v>
      </c>
      <c r="S385" s="593"/>
      <c r="T385" s="585">
        <f t="shared" ref="T385" si="1147">SUM(T382:U384)</f>
        <v>0</v>
      </c>
      <c r="U385" s="593"/>
      <c r="V385" s="210">
        <f t="shared" ref="V385" si="1148">IF(AND(F385&gt;=$G$8,H385&gt;=$I$8,L385&gt;=$M$8,P385&gt;=$Q$8,R385&gt;=$S$8,T385&gt;=$U$8),SUM(F385:U385),0)</f>
        <v>0</v>
      </c>
      <c r="W385" s="264"/>
      <c r="X385" s="97"/>
      <c r="Y385" s="597"/>
      <c r="Z385" s="91" t="str">
        <f>LOOKUP(V385,$AL$6:$AM$10)</f>
        <v>ضعيف</v>
      </c>
      <c r="AA385" s="658"/>
      <c r="AB385" s="72"/>
      <c r="AC385" s="655"/>
      <c r="AN385" s="607"/>
      <c r="AO385" s="607"/>
      <c r="AP385" s="613"/>
      <c r="AQ385" s="612"/>
      <c r="AR385" s="611"/>
      <c r="AS385" s="612"/>
    </row>
    <row r="386" spans="1:45" ht="15" customHeight="1" thickBot="1" x14ac:dyDescent="0.3">
      <c r="A386" s="632">
        <v>83</v>
      </c>
      <c r="B386" s="629">
        <f>VLOOKUP(A386,مسلسل,2,0)</f>
        <v>0</v>
      </c>
      <c r="C386" s="621" t="str">
        <f>IFERROR(VLOOKUP(B386,اسماء,2,0),"")</f>
        <v/>
      </c>
      <c r="D386" s="624" t="str">
        <f>IFERROR(VLOOKUP($B386,اسماء,3,0),"")</f>
        <v/>
      </c>
      <c r="E386" s="132" t="s">
        <v>30</v>
      </c>
      <c r="F386" s="627">
        <f>IFERROR(VLOOKUP($B386,اسماء,5,0),0)</f>
        <v>0</v>
      </c>
      <c r="G386" s="606"/>
      <c r="H386" s="628">
        <f>IFERROR(VLOOKUP($B386,اسماء,6,0),0)</f>
        <v>0</v>
      </c>
      <c r="I386" s="605"/>
      <c r="J386" s="587">
        <f>IFERROR(VLOOKUP($B386,اسماء,7,0),0)</f>
        <v>0</v>
      </c>
      <c r="K386" s="591"/>
      <c r="L386" s="587">
        <f>IFERROR(VLOOKUP($B386,اسماء,8,0),0)</f>
        <v>0</v>
      </c>
      <c r="M386" s="588"/>
      <c r="N386" s="587">
        <f>IFERROR(VLOOKUP($B386,اسماء,9,0),0)</f>
        <v>0</v>
      </c>
      <c r="O386" s="605"/>
      <c r="P386" s="587">
        <f>IFERROR(VLOOKUP($B386,اسماء,10,0),0)</f>
        <v>0</v>
      </c>
      <c r="Q386" s="605"/>
      <c r="R386" s="606">
        <f>IFERROR(VLOOKUP($B386,اسماء,11,0),0)</f>
        <v>0</v>
      </c>
      <c r="S386" s="591"/>
      <c r="T386" s="587">
        <f>IFERROR(VLOOKUP($B386,اسماء,12,0),0)</f>
        <v>0</v>
      </c>
      <c r="U386" s="591"/>
      <c r="V386" s="263">
        <f t="shared" ref="V386:V388" si="1149">SUM(F386:U386)</f>
        <v>0</v>
      </c>
      <c r="W386" s="373">
        <f>IFERROR(VLOOKUP($B386,اسماء,14,0),0)</f>
        <v>0</v>
      </c>
      <c r="X386" s="373">
        <f>IFERROR(VLOOKUP($B386,اسماء,15,0),0)</f>
        <v>0</v>
      </c>
      <c r="Y386" s="595" t="str">
        <f t="shared" ref="Y386" si="1150">IF(AC386="غائب","راسب",IF(AND(F389&gt;=$G$8,H389&gt;=$I$8,J389&gt;=$K$8,L389&gt;=$M$8,N389&gt;=$O$8,P389&gt;=$Q$8,R389&gt;=$S$8,T389&gt;=$U$8),"ناجح","له دور ثان"))</f>
        <v>له دور ثان</v>
      </c>
      <c r="Z386" s="21" t="str">
        <f>LOOKUP(V386,$AF$6:$AG$10)</f>
        <v>ضعيف</v>
      </c>
      <c r="AA386" s="656">
        <f>V389/$AF$3</f>
        <v>0</v>
      </c>
      <c r="AB386" s="10"/>
      <c r="AC386" s="653" t="str">
        <f>IFERROR(VLOOKUP($B386,اسماء,54,0),"")</f>
        <v/>
      </c>
      <c r="AN386" s="607" t="str">
        <f t="shared" ref="AN386" si="1151">IF(V389=0,"",V389/1+ROW()*0.00001)</f>
        <v/>
      </c>
      <c r="AO386" s="607">
        <f>B386</f>
        <v>0</v>
      </c>
      <c r="AP386" s="613"/>
      <c r="AQ386" s="612">
        <v>83</v>
      </c>
      <c r="AR386" s="611" t="str">
        <f>IFERROR(LARGE($AN$10:$AN$1006,AQ386),"")</f>
        <v/>
      </c>
      <c r="AS386" s="612" t="str">
        <f>VLOOKUP(AR386,$AN$10:$AO$1116,2,0)</f>
        <v>أحمد نورالدين أحمد الذيب</v>
      </c>
    </row>
    <row r="387" spans="1:45" ht="15" customHeight="1" thickBot="1" x14ac:dyDescent="0.3">
      <c r="A387" s="633"/>
      <c r="B387" s="630"/>
      <c r="C387" s="622"/>
      <c r="D387" s="625"/>
      <c r="E387" s="133" t="s">
        <v>31</v>
      </c>
      <c r="F387" s="589">
        <f>IFERROR(VLOOKUP($B386,اسماء,18,0),0)</f>
        <v>0</v>
      </c>
      <c r="G387" s="592"/>
      <c r="H387" s="608">
        <f>IFERROR(VLOOKUP($B386,اسماء,19,0),0)</f>
        <v>0</v>
      </c>
      <c r="I387" s="609"/>
      <c r="J387" s="589">
        <f>IFERROR(VLOOKUP($B386,اسماء,20,0),0)</f>
        <v>0</v>
      </c>
      <c r="K387" s="592"/>
      <c r="L387" s="589">
        <f>IFERROR(VLOOKUP($B386,اسماء,21,0),0)</f>
        <v>0</v>
      </c>
      <c r="M387" s="590"/>
      <c r="N387" s="589">
        <f>IFERROR(VLOOKUP($B386,اسماء,22,0),0)</f>
        <v>0</v>
      </c>
      <c r="O387" s="590"/>
      <c r="P387" s="589">
        <f>IFERROR(VLOOKUP($B386,اسماء,23,0),0)</f>
        <v>0</v>
      </c>
      <c r="Q387" s="609"/>
      <c r="R387" s="603">
        <f>IFERROR(VLOOKUP($B386,اسماء,24,0),0)</f>
        <v>0</v>
      </c>
      <c r="S387" s="592"/>
      <c r="T387" s="589">
        <f>IFERROR(VLOOKUP($B386,اسماء,25,0),0)</f>
        <v>0</v>
      </c>
      <c r="U387" s="592"/>
      <c r="V387" s="263">
        <f t="shared" si="1149"/>
        <v>0</v>
      </c>
      <c r="W387" s="373">
        <f>IFERROR(VLOOKUP($B386,اسماء,27,0),0)</f>
        <v>0</v>
      </c>
      <c r="X387" s="373">
        <f>IFERROR(VLOOKUP($B386,اسماء,28,0),0)</f>
        <v>0</v>
      </c>
      <c r="Y387" s="596"/>
      <c r="Z387" s="22" t="str">
        <f>LOOKUP(V387,$AF$6:$AG$10)</f>
        <v>ضعيف</v>
      </c>
      <c r="AA387" s="657"/>
      <c r="AB387" s="72"/>
      <c r="AC387" s="654"/>
      <c r="AN387" s="607"/>
      <c r="AO387" s="607"/>
      <c r="AP387" s="613"/>
      <c r="AQ387" s="612"/>
      <c r="AR387" s="611"/>
      <c r="AS387" s="612"/>
    </row>
    <row r="388" spans="1:45" ht="15" customHeight="1" x14ac:dyDescent="0.25">
      <c r="A388" s="633"/>
      <c r="B388" s="630"/>
      <c r="C388" s="622"/>
      <c r="D388" s="625"/>
      <c r="E388" s="133" t="s">
        <v>32</v>
      </c>
      <c r="F388" s="589">
        <f>IFERROR(VLOOKUP($B386,اسماء,31,0),0)</f>
        <v>0</v>
      </c>
      <c r="G388" s="592"/>
      <c r="H388" s="608">
        <f>IFERROR(VLOOKUP($B386,اسماء,32,0),0)</f>
        <v>0</v>
      </c>
      <c r="I388" s="609"/>
      <c r="J388" s="589">
        <f>IFERROR(VLOOKUP($B386,اسماء,33,0),0)</f>
        <v>0</v>
      </c>
      <c r="K388" s="592"/>
      <c r="L388" s="589">
        <f>IFERROR(VLOOKUP($B386,اسماء,34,0),0)</f>
        <v>0</v>
      </c>
      <c r="M388" s="590"/>
      <c r="N388" s="589">
        <f>IFERROR(VLOOKUP($B386,اسماء,35,0),0)</f>
        <v>0</v>
      </c>
      <c r="O388" s="590"/>
      <c r="P388" s="589">
        <f>IFERROR(VLOOKUP($B386,اسماء,36,0),0)</f>
        <v>0</v>
      </c>
      <c r="Q388" s="609"/>
      <c r="R388" s="603">
        <f>IFERROR(VLOOKUP($B386,اسماء,37,0),0)</f>
        <v>0</v>
      </c>
      <c r="S388" s="592"/>
      <c r="T388" s="589">
        <f>IFERROR(VLOOKUP($B386,اسماء,38,0),0)</f>
        <v>0</v>
      </c>
      <c r="U388" s="592"/>
      <c r="V388" s="263">
        <f t="shared" si="1149"/>
        <v>0</v>
      </c>
      <c r="W388" s="373">
        <f>IFERROR(VLOOKUP($B386,اسماء,40,0),0)</f>
        <v>0</v>
      </c>
      <c r="X388" s="373">
        <f>IFERROR(VLOOKUP($B386,اسماء,41,0),0)</f>
        <v>0</v>
      </c>
      <c r="Y388" s="596"/>
      <c r="Z388" s="22" t="str">
        <f>LOOKUP(V388,$AI$6:$AJ$10)</f>
        <v>ضعيف</v>
      </c>
      <c r="AA388" s="657"/>
      <c r="AB388" s="72"/>
      <c r="AC388" s="654"/>
      <c r="AN388" s="607"/>
      <c r="AO388" s="607"/>
      <c r="AP388" s="613"/>
      <c r="AQ388" s="612"/>
      <c r="AR388" s="611"/>
      <c r="AS388" s="612"/>
    </row>
    <row r="389" spans="1:45" ht="15" customHeight="1" thickBot="1" x14ac:dyDescent="0.3">
      <c r="A389" s="634"/>
      <c r="B389" s="631"/>
      <c r="C389" s="623"/>
      <c r="D389" s="626"/>
      <c r="E389" s="127" t="s">
        <v>33</v>
      </c>
      <c r="F389" s="585">
        <f t="shared" ref="F389" si="1152">SUM(F386:G388)</f>
        <v>0</v>
      </c>
      <c r="G389" s="593"/>
      <c r="H389" s="604">
        <f t="shared" ref="H389" si="1153">SUM(H386:I388)</f>
        <v>0</v>
      </c>
      <c r="I389" s="601"/>
      <c r="J389" s="585">
        <f t="shared" ref="J389" si="1154">SUM(J386:K388)</f>
        <v>0</v>
      </c>
      <c r="K389" s="593"/>
      <c r="L389" s="585">
        <f t="shared" ref="L389" si="1155">SUM(L386:M388)</f>
        <v>0</v>
      </c>
      <c r="M389" s="586"/>
      <c r="N389" s="585">
        <f t="shared" ref="N389" si="1156">SUM(N386:O388)</f>
        <v>0</v>
      </c>
      <c r="O389" s="586"/>
      <c r="P389" s="585">
        <f t="shared" ref="P389" si="1157">SUM(P386:Q388)</f>
        <v>0</v>
      </c>
      <c r="Q389" s="601"/>
      <c r="R389" s="602">
        <f t="shared" ref="R389" si="1158">SUM(R386:S388)</f>
        <v>0</v>
      </c>
      <c r="S389" s="593"/>
      <c r="T389" s="585">
        <f t="shared" ref="T389" si="1159">SUM(T386:U388)</f>
        <v>0</v>
      </c>
      <c r="U389" s="593"/>
      <c r="V389" s="210">
        <f t="shared" ref="V389" si="1160">IF(AND(F389&gt;=$G$8,H389&gt;=$I$8,L389&gt;=$M$8,P389&gt;=$Q$8,R389&gt;=$S$8,T389&gt;=$U$8),SUM(F389:U389),0)</f>
        <v>0</v>
      </c>
      <c r="W389" s="264"/>
      <c r="X389" s="97"/>
      <c r="Y389" s="597"/>
      <c r="Z389" s="91" t="str">
        <f>LOOKUP(V389,$AL$6:$AM$10)</f>
        <v>ضعيف</v>
      </c>
      <c r="AA389" s="658"/>
      <c r="AB389" s="10"/>
      <c r="AC389" s="655"/>
      <c r="AN389" s="607"/>
      <c r="AO389" s="607"/>
      <c r="AP389" s="613"/>
      <c r="AQ389" s="612"/>
      <c r="AR389" s="611"/>
      <c r="AS389" s="612"/>
    </row>
    <row r="390" spans="1:45" ht="15" customHeight="1" thickBot="1" x14ac:dyDescent="0.3">
      <c r="A390" s="632">
        <v>84</v>
      </c>
      <c r="B390" s="629">
        <f>VLOOKUP(A390,مسلسل,2,0)</f>
        <v>0</v>
      </c>
      <c r="C390" s="621" t="str">
        <f>IFERROR(VLOOKUP(B390,اسماء,2,0),"")</f>
        <v/>
      </c>
      <c r="D390" s="624" t="str">
        <f>IFERROR(VLOOKUP($B390,اسماء,3,0),"")</f>
        <v/>
      </c>
      <c r="E390" s="132" t="s">
        <v>30</v>
      </c>
      <c r="F390" s="627">
        <f>IFERROR(VLOOKUP($B390,اسماء,5,0),0)</f>
        <v>0</v>
      </c>
      <c r="G390" s="606"/>
      <c r="H390" s="628">
        <f>IFERROR(VLOOKUP($B390,اسماء,6,0),0)</f>
        <v>0</v>
      </c>
      <c r="I390" s="605"/>
      <c r="J390" s="587">
        <f>IFERROR(VLOOKUP($B390,اسماء,7,0),0)</f>
        <v>0</v>
      </c>
      <c r="K390" s="591"/>
      <c r="L390" s="587">
        <f>IFERROR(VLOOKUP($B390,اسماء,8,0),0)</f>
        <v>0</v>
      </c>
      <c r="M390" s="588"/>
      <c r="N390" s="587">
        <f>IFERROR(VLOOKUP($B390,اسماء,9,0),0)</f>
        <v>0</v>
      </c>
      <c r="O390" s="605"/>
      <c r="P390" s="587">
        <f>IFERROR(VLOOKUP($B390,اسماء,10,0),0)</f>
        <v>0</v>
      </c>
      <c r="Q390" s="605"/>
      <c r="R390" s="606">
        <f>IFERROR(VLOOKUP($B390,اسماء,11,0),0)</f>
        <v>0</v>
      </c>
      <c r="S390" s="591"/>
      <c r="T390" s="587">
        <f>IFERROR(VLOOKUP($B390,اسماء,12,0),0)</f>
        <v>0</v>
      </c>
      <c r="U390" s="591"/>
      <c r="V390" s="263">
        <f t="shared" ref="V390:V392" si="1161">SUM(F390:U390)</f>
        <v>0</v>
      </c>
      <c r="W390" s="373">
        <f>IFERROR(VLOOKUP($B390,اسماء,14,0),0)</f>
        <v>0</v>
      </c>
      <c r="X390" s="373">
        <f>IFERROR(VLOOKUP($B390,اسماء,15,0),0)</f>
        <v>0</v>
      </c>
      <c r="Y390" s="595" t="str">
        <f t="shared" ref="Y390" si="1162">IF(AC390="غائب","راسب",IF(AND(F393&gt;=$G$8,H393&gt;=$I$8,J393&gt;=$K$8,L393&gt;=$M$8,N393&gt;=$O$8,P393&gt;=$Q$8,R393&gt;=$S$8,T393&gt;=$U$8),"ناجح","له دور ثان"))</f>
        <v>له دور ثان</v>
      </c>
      <c r="Z390" s="21" t="str">
        <f>LOOKUP(V390,$AF$6:$AG$10)</f>
        <v>ضعيف</v>
      </c>
      <c r="AA390" s="656">
        <f>V393/$AF$3</f>
        <v>0</v>
      </c>
      <c r="AB390" s="72"/>
      <c r="AC390" s="653" t="str">
        <f>IFERROR(VLOOKUP($B390,اسماء,54,0),"")</f>
        <v/>
      </c>
      <c r="AN390" s="607" t="str">
        <f t="shared" ref="AN390" si="1163">IF(V393=0,"",V393/1+ROW()*0.00001)</f>
        <v/>
      </c>
      <c r="AO390" s="607">
        <f>B390</f>
        <v>0</v>
      </c>
      <c r="AP390" s="613"/>
      <c r="AQ390" s="612">
        <v>84</v>
      </c>
      <c r="AR390" s="611" t="str">
        <f>IFERROR(LARGE($AN$10:$AN$1006,AQ390),"")</f>
        <v/>
      </c>
      <c r="AS390" s="612" t="str">
        <f>VLOOKUP(AR390,$AN$10:$AO$1116,2,0)</f>
        <v>أحمد نورالدين أحمد الذيب</v>
      </c>
    </row>
    <row r="391" spans="1:45" ht="15" customHeight="1" thickBot="1" x14ac:dyDescent="0.3">
      <c r="A391" s="633"/>
      <c r="B391" s="630"/>
      <c r="C391" s="622"/>
      <c r="D391" s="625"/>
      <c r="E391" s="133" t="s">
        <v>31</v>
      </c>
      <c r="F391" s="589">
        <f>IFERROR(VLOOKUP($B390,اسماء,18,0),0)</f>
        <v>0</v>
      </c>
      <c r="G391" s="592"/>
      <c r="H391" s="608">
        <f>IFERROR(VLOOKUP($B390,اسماء,19,0),0)</f>
        <v>0</v>
      </c>
      <c r="I391" s="609"/>
      <c r="J391" s="589">
        <f>IFERROR(VLOOKUP($B390,اسماء,20,0),0)</f>
        <v>0</v>
      </c>
      <c r="K391" s="592"/>
      <c r="L391" s="589">
        <f>IFERROR(VLOOKUP($B390,اسماء,21,0),0)</f>
        <v>0</v>
      </c>
      <c r="M391" s="590"/>
      <c r="N391" s="589">
        <f>IFERROR(VLOOKUP($B390,اسماء,22,0),0)</f>
        <v>0</v>
      </c>
      <c r="O391" s="590"/>
      <c r="P391" s="589">
        <f>IFERROR(VLOOKUP($B390,اسماء,23,0),0)</f>
        <v>0</v>
      </c>
      <c r="Q391" s="609"/>
      <c r="R391" s="603">
        <f>IFERROR(VLOOKUP($B390,اسماء,24,0),0)</f>
        <v>0</v>
      </c>
      <c r="S391" s="592"/>
      <c r="T391" s="589">
        <f>IFERROR(VLOOKUP($B390,اسماء,25,0),0)</f>
        <v>0</v>
      </c>
      <c r="U391" s="592"/>
      <c r="V391" s="263">
        <f t="shared" si="1161"/>
        <v>0</v>
      </c>
      <c r="W391" s="373">
        <f>IFERROR(VLOOKUP($B390,اسماء,27,0),0)</f>
        <v>0</v>
      </c>
      <c r="X391" s="373">
        <f>IFERROR(VLOOKUP($B390,اسماء,28,0),0)</f>
        <v>0</v>
      </c>
      <c r="Y391" s="596"/>
      <c r="Z391" s="22" t="str">
        <f>LOOKUP(V391,$AF$6:$AG$10)</f>
        <v>ضعيف</v>
      </c>
      <c r="AA391" s="657"/>
      <c r="AB391" s="72"/>
      <c r="AC391" s="654"/>
      <c r="AN391" s="607"/>
      <c r="AO391" s="607"/>
      <c r="AP391" s="613"/>
      <c r="AQ391" s="612"/>
      <c r="AR391" s="611"/>
      <c r="AS391" s="612"/>
    </row>
    <row r="392" spans="1:45" ht="15" customHeight="1" x14ac:dyDescent="0.25">
      <c r="A392" s="633"/>
      <c r="B392" s="630"/>
      <c r="C392" s="622"/>
      <c r="D392" s="625"/>
      <c r="E392" s="133" t="s">
        <v>32</v>
      </c>
      <c r="F392" s="589">
        <f>IFERROR(VLOOKUP($B390,اسماء,31,0),0)</f>
        <v>0</v>
      </c>
      <c r="G392" s="592"/>
      <c r="H392" s="608">
        <f>IFERROR(VLOOKUP($B390,اسماء,32,0),0)</f>
        <v>0</v>
      </c>
      <c r="I392" s="609"/>
      <c r="J392" s="589">
        <f>IFERROR(VLOOKUP($B390,اسماء,33,0),0)</f>
        <v>0</v>
      </c>
      <c r="K392" s="592"/>
      <c r="L392" s="589">
        <f>IFERROR(VLOOKUP($B390,اسماء,34,0),0)</f>
        <v>0</v>
      </c>
      <c r="M392" s="590"/>
      <c r="N392" s="589">
        <f>IFERROR(VLOOKUP($B390,اسماء,35,0),0)</f>
        <v>0</v>
      </c>
      <c r="O392" s="590"/>
      <c r="P392" s="589">
        <f>IFERROR(VLOOKUP($B390,اسماء,36,0),0)</f>
        <v>0</v>
      </c>
      <c r="Q392" s="609"/>
      <c r="R392" s="603">
        <f>IFERROR(VLOOKUP($B390,اسماء,37,0),0)</f>
        <v>0</v>
      </c>
      <c r="S392" s="592"/>
      <c r="T392" s="589">
        <f>IFERROR(VLOOKUP($B390,اسماء,38,0),0)</f>
        <v>0</v>
      </c>
      <c r="U392" s="592"/>
      <c r="V392" s="263">
        <f t="shared" si="1161"/>
        <v>0</v>
      </c>
      <c r="W392" s="373">
        <f>IFERROR(VLOOKUP($B390,اسماء,40,0),0)</f>
        <v>0</v>
      </c>
      <c r="X392" s="373">
        <f>IFERROR(VLOOKUP($B390,اسماء,41,0),0)</f>
        <v>0</v>
      </c>
      <c r="Y392" s="596"/>
      <c r="Z392" s="22" t="str">
        <f>LOOKUP(V392,$AI$6:$AJ$10)</f>
        <v>ضعيف</v>
      </c>
      <c r="AA392" s="657"/>
      <c r="AB392" s="10"/>
      <c r="AC392" s="654"/>
      <c r="AN392" s="607"/>
      <c r="AO392" s="607"/>
      <c r="AP392" s="613"/>
      <c r="AQ392" s="612"/>
      <c r="AR392" s="611"/>
      <c r="AS392" s="612"/>
    </row>
    <row r="393" spans="1:45" ht="15" customHeight="1" thickBot="1" x14ac:dyDescent="0.3">
      <c r="A393" s="634"/>
      <c r="B393" s="631"/>
      <c r="C393" s="623"/>
      <c r="D393" s="626"/>
      <c r="E393" s="127" t="s">
        <v>33</v>
      </c>
      <c r="F393" s="585">
        <f t="shared" ref="F393" si="1164">SUM(F390:G392)</f>
        <v>0</v>
      </c>
      <c r="G393" s="593"/>
      <c r="H393" s="604">
        <f t="shared" ref="H393" si="1165">SUM(H390:I392)</f>
        <v>0</v>
      </c>
      <c r="I393" s="601"/>
      <c r="J393" s="585">
        <f t="shared" ref="J393" si="1166">SUM(J390:K392)</f>
        <v>0</v>
      </c>
      <c r="K393" s="593"/>
      <c r="L393" s="585">
        <f t="shared" ref="L393" si="1167">SUM(L390:M392)</f>
        <v>0</v>
      </c>
      <c r="M393" s="586"/>
      <c r="N393" s="585">
        <f t="shared" ref="N393" si="1168">SUM(N390:O392)</f>
        <v>0</v>
      </c>
      <c r="O393" s="586"/>
      <c r="P393" s="585">
        <f t="shared" ref="P393" si="1169">SUM(P390:Q392)</f>
        <v>0</v>
      </c>
      <c r="Q393" s="601"/>
      <c r="R393" s="602">
        <f t="shared" ref="R393" si="1170">SUM(R390:S392)</f>
        <v>0</v>
      </c>
      <c r="S393" s="593"/>
      <c r="T393" s="585">
        <f t="shared" ref="T393" si="1171">SUM(T390:U392)</f>
        <v>0</v>
      </c>
      <c r="U393" s="593"/>
      <c r="V393" s="210">
        <f t="shared" ref="V393" si="1172">IF(AND(F393&gt;=$G$8,H393&gt;=$I$8,L393&gt;=$M$8,P393&gt;=$Q$8,R393&gt;=$S$8,T393&gt;=$U$8),SUM(F393:U393),0)</f>
        <v>0</v>
      </c>
      <c r="W393" s="264"/>
      <c r="X393" s="97"/>
      <c r="Y393" s="597"/>
      <c r="Z393" s="91" t="str">
        <f>LOOKUP(V393,$AL$6:$AM$10)</f>
        <v>ضعيف</v>
      </c>
      <c r="AA393" s="658"/>
      <c r="AB393" s="72"/>
      <c r="AC393" s="655"/>
      <c r="AN393" s="607"/>
      <c r="AO393" s="607"/>
      <c r="AP393" s="613"/>
      <c r="AQ393" s="612"/>
      <c r="AR393" s="611"/>
      <c r="AS393" s="612"/>
    </row>
    <row r="394" spans="1:45" ht="15" customHeight="1" thickBot="1" x14ac:dyDescent="0.3">
      <c r="A394" s="632">
        <v>85</v>
      </c>
      <c r="B394" s="629">
        <f>VLOOKUP(A394,مسلسل,2,0)</f>
        <v>0</v>
      </c>
      <c r="C394" s="621" t="str">
        <f>IFERROR(VLOOKUP(B394,اسماء,2,0),"")</f>
        <v/>
      </c>
      <c r="D394" s="624" t="str">
        <f>IFERROR(VLOOKUP($B394,اسماء,3,0),"")</f>
        <v/>
      </c>
      <c r="E394" s="132" t="s">
        <v>30</v>
      </c>
      <c r="F394" s="627">
        <f>IFERROR(VLOOKUP($B394,اسماء,5,0),0)</f>
        <v>0</v>
      </c>
      <c r="G394" s="606"/>
      <c r="H394" s="628">
        <f>IFERROR(VLOOKUP($B394,اسماء,6,0),0)</f>
        <v>0</v>
      </c>
      <c r="I394" s="605"/>
      <c r="J394" s="587">
        <f>IFERROR(VLOOKUP($B394,اسماء,7,0),0)</f>
        <v>0</v>
      </c>
      <c r="K394" s="591"/>
      <c r="L394" s="587">
        <f>IFERROR(VLOOKUP($B394,اسماء,8,0),0)</f>
        <v>0</v>
      </c>
      <c r="M394" s="588"/>
      <c r="N394" s="587">
        <f>IFERROR(VLOOKUP($B394,اسماء,9,0),0)</f>
        <v>0</v>
      </c>
      <c r="O394" s="605"/>
      <c r="P394" s="587">
        <f>IFERROR(VLOOKUP($B394,اسماء,10,0),0)</f>
        <v>0</v>
      </c>
      <c r="Q394" s="605"/>
      <c r="R394" s="606">
        <f>IFERROR(VLOOKUP($B394,اسماء,11,0),0)</f>
        <v>0</v>
      </c>
      <c r="S394" s="591"/>
      <c r="T394" s="587">
        <f>IFERROR(VLOOKUP($B394,اسماء,12,0),0)</f>
        <v>0</v>
      </c>
      <c r="U394" s="591"/>
      <c r="V394" s="263">
        <f t="shared" ref="V394:V396" si="1173">SUM(F394:U394)</f>
        <v>0</v>
      </c>
      <c r="W394" s="373">
        <f>IFERROR(VLOOKUP($B394,اسماء,14,0),0)</f>
        <v>0</v>
      </c>
      <c r="X394" s="373">
        <f>IFERROR(VLOOKUP($B394,اسماء,15,0),0)</f>
        <v>0</v>
      </c>
      <c r="Y394" s="595" t="str">
        <f t="shared" ref="Y394" si="1174">IF(AC394="غائب","راسب",IF(AND(F397&gt;=$G$8,H397&gt;=$I$8,J397&gt;=$K$8,L397&gt;=$M$8,N397&gt;=$O$8,P397&gt;=$Q$8,R397&gt;=$S$8,T397&gt;=$U$8),"ناجح","له دور ثان"))</f>
        <v>له دور ثان</v>
      </c>
      <c r="Z394" s="21" t="str">
        <f t="shared" ref="Z394:Z395" si="1175">LOOKUP(V394,$AF$6:$AG$10)</f>
        <v>ضعيف</v>
      </c>
      <c r="AA394" s="656">
        <f t="shared" ref="AA394" si="1176">V397/$AF$3</f>
        <v>0</v>
      </c>
      <c r="AB394" s="72"/>
      <c r="AC394" s="653" t="str">
        <f>IFERROR(VLOOKUP($B394,اسماء,54,0),"")</f>
        <v/>
      </c>
      <c r="AN394" s="607" t="str">
        <f t="shared" ref="AN394" si="1177">IF(V397=0,"",V397/1+ROW()*0.00001)</f>
        <v/>
      </c>
      <c r="AO394" s="607">
        <f>B394</f>
        <v>0</v>
      </c>
      <c r="AP394" s="613"/>
      <c r="AQ394" s="612">
        <v>85</v>
      </c>
      <c r="AR394" s="611" t="str">
        <f>IFERROR(LARGE($AN$10:$AN$1006,AQ394),"")</f>
        <v/>
      </c>
      <c r="AS394" s="612" t="str">
        <f>VLOOKUP(AR394,$AN$10:$AO$1116,2,0)</f>
        <v>أحمد نورالدين أحمد الذيب</v>
      </c>
    </row>
    <row r="395" spans="1:45" ht="15" customHeight="1" thickBot="1" x14ac:dyDescent="0.3">
      <c r="A395" s="633"/>
      <c r="B395" s="630"/>
      <c r="C395" s="622"/>
      <c r="D395" s="625"/>
      <c r="E395" s="133" t="s">
        <v>31</v>
      </c>
      <c r="F395" s="589">
        <f>IFERROR(VLOOKUP($B394,اسماء,18,0),0)</f>
        <v>0</v>
      </c>
      <c r="G395" s="592"/>
      <c r="H395" s="608">
        <f>IFERROR(VLOOKUP($B394,اسماء,19,0),0)</f>
        <v>0</v>
      </c>
      <c r="I395" s="609"/>
      <c r="J395" s="589">
        <f>IFERROR(VLOOKUP($B394,اسماء,20,0),0)</f>
        <v>0</v>
      </c>
      <c r="K395" s="592"/>
      <c r="L395" s="589">
        <f>IFERROR(VLOOKUP($B394,اسماء,21,0),0)</f>
        <v>0</v>
      </c>
      <c r="M395" s="590"/>
      <c r="N395" s="589">
        <f>IFERROR(VLOOKUP($B394,اسماء,22,0),0)</f>
        <v>0</v>
      </c>
      <c r="O395" s="590"/>
      <c r="P395" s="589">
        <f>IFERROR(VLOOKUP($B394,اسماء,23,0),0)</f>
        <v>0</v>
      </c>
      <c r="Q395" s="609"/>
      <c r="R395" s="603">
        <f>IFERROR(VLOOKUP($B394,اسماء,24,0),0)</f>
        <v>0</v>
      </c>
      <c r="S395" s="592"/>
      <c r="T395" s="589">
        <f>IFERROR(VLOOKUP($B394,اسماء,25,0),0)</f>
        <v>0</v>
      </c>
      <c r="U395" s="592"/>
      <c r="V395" s="263">
        <f t="shared" si="1173"/>
        <v>0</v>
      </c>
      <c r="W395" s="373">
        <f>IFERROR(VLOOKUP($B394,اسماء,27,0),0)</f>
        <v>0</v>
      </c>
      <c r="X395" s="373">
        <f>IFERROR(VLOOKUP($B394,اسماء,28,0),0)</f>
        <v>0</v>
      </c>
      <c r="Y395" s="596"/>
      <c r="Z395" s="22" t="str">
        <f t="shared" si="1175"/>
        <v>ضعيف</v>
      </c>
      <c r="AA395" s="657"/>
      <c r="AB395" s="10"/>
      <c r="AC395" s="654"/>
      <c r="AN395" s="607"/>
      <c r="AO395" s="607"/>
      <c r="AP395" s="613"/>
      <c r="AQ395" s="612"/>
      <c r="AR395" s="611"/>
      <c r="AS395" s="612"/>
    </row>
    <row r="396" spans="1:45" ht="15" customHeight="1" x14ac:dyDescent="0.25">
      <c r="A396" s="633"/>
      <c r="B396" s="630"/>
      <c r="C396" s="622"/>
      <c r="D396" s="625"/>
      <c r="E396" s="133" t="s">
        <v>32</v>
      </c>
      <c r="F396" s="589">
        <f>IFERROR(VLOOKUP($B394,اسماء,31,0),0)</f>
        <v>0</v>
      </c>
      <c r="G396" s="592"/>
      <c r="H396" s="608">
        <f>IFERROR(VLOOKUP($B394,اسماء,32,0),0)</f>
        <v>0</v>
      </c>
      <c r="I396" s="609"/>
      <c r="J396" s="589">
        <f>IFERROR(VLOOKUP($B394,اسماء,33,0),0)</f>
        <v>0</v>
      </c>
      <c r="K396" s="592"/>
      <c r="L396" s="589">
        <f>IFERROR(VLOOKUP($B394,اسماء,34,0),0)</f>
        <v>0</v>
      </c>
      <c r="M396" s="590"/>
      <c r="N396" s="589">
        <f>IFERROR(VLOOKUP($B394,اسماء,35,0),0)</f>
        <v>0</v>
      </c>
      <c r="O396" s="590"/>
      <c r="P396" s="589">
        <f>IFERROR(VLOOKUP($B394,اسماء,36,0),0)</f>
        <v>0</v>
      </c>
      <c r="Q396" s="609"/>
      <c r="R396" s="603">
        <f>IFERROR(VLOOKUP($B394,اسماء,37,0),0)</f>
        <v>0</v>
      </c>
      <c r="S396" s="592"/>
      <c r="T396" s="589">
        <f>IFERROR(VLOOKUP($B394,اسماء,38,0),0)</f>
        <v>0</v>
      </c>
      <c r="U396" s="592"/>
      <c r="V396" s="263">
        <f t="shared" si="1173"/>
        <v>0</v>
      </c>
      <c r="W396" s="373">
        <f>IFERROR(VLOOKUP($B394,اسماء,40,0),0)</f>
        <v>0</v>
      </c>
      <c r="X396" s="373">
        <f>IFERROR(VLOOKUP($B394,اسماء,41,0),0)</f>
        <v>0</v>
      </c>
      <c r="Y396" s="596"/>
      <c r="Z396" s="22" t="str">
        <f t="shared" ref="Z396" si="1178">LOOKUP(V396,$AI$6:$AJ$10)</f>
        <v>ضعيف</v>
      </c>
      <c r="AA396" s="657"/>
      <c r="AB396" s="72"/>
      <c r="AC396" s="654"/>
      <c r="AN396" s="607"/>
      <c r="AO396" s="607"/>
      <c r="AP396" s="613"/>
      <c r="AQ396" s="612"/>
      <c r="AR396" s="611"/>
      <c r="AS396" s="612"/>
    </row>
    <row r="397" spans="1:45" ht="15" customHeight="1" thickBot="1" x14ac:dyDescent="0.3">
      <c r="A397" s="634"/>
      <c r="B397" s="631"/>
      <c r="C397" s="623"/>
      <c r="D397" s="626"/>
      <c r="E397" s="127" t="s">
        <v>33</v>
      </c>
      <c r="F397" s="585">
        <f t="shared" ref="F397" si="1179">SUM(F394:G396)</f>
        <v>0</v>
      </c>
      <c r="G397" s="593"/>
      <c r="H397" s="604">
        <f t="shared" ref="H397" si="1180">SUM(H394:I396)</f>
        <v>0</v>
      </c>
      <c r="I397" s="601"/>
      <c r="J397" s="585">
        <f t="shared" ref="J397" si="1181">SUM(J394:K396)</f>
        <v>0</v>
      </c>
      <c r="K397" s="593"/>
      <c r="L397" s="585">
        <f t="shared" ref="L397" si="1182">SUM(L394:M396)</f>
        <v>0</v>
      </c>
      <c r="M397" s="586"/>
      <c r="N397" s="585">
        <f t="shared" ref="N397" si="1183">SUM(N394:O396)</f>
        <v>0</v>
      </c>
      <c r="O397" s="586"/>
      <c r="P397" s="585">
        <f t="shared" ref="P397" si="1184">SUM(P394:Q396)</f>
        <v>0</v>
      </c>
      <c r="Q397" s="601"/>
      <c r="R397" s="602">
        <f t="shared" ref="R397" si="1185">SUM(R394:S396)</f>
        <v>0</v>
      </c>
      <c r="S397" s="593"/>
      <c r="T397" s="585">
        <f t="shared" ref="T397" si="1186">SUM(T394:U396)</f>
        <v>0</v>
      </c>
      <c r="U397" s="593"/>
      <c r="V397" s="210">
        <f t="shared" ref="V397" si="1187">IF(AND(F397&gt;=$G$8,H397&gt;=$I$8,L397&gt;=$M$8,P397&gt;=$Q$8,R397&gt;=$S$8,T397&gt;=$U$8),SUM(F397:U397),0)</f>
        <v>0</v>
      </c>
      <c r="W397" s="264"/>
      <c r="X397" s="97"/>
      <c r="Y397" s="597"/>
      <c r="Z397" s="91" t="str">
        <f t="shared" ref="Z397" si="1188">LOOKUP(V397,$AL$6:$AM$10)</f>
        <v>ضعيف</v>
      </c>
      <c r="AA397" s="658"/>
      <c r="AB397" s="72"/>
      <c r="AC397" s="655"/>
      <c r="AN397" s="607"/>
      <c r="AO397" s="607"/>
      <c r="AP397" s="613"/>
      <c r="AQ397" s="612"/>
      <c r="AR397" s="611"/>
      <c r="AS397" s="612"/>
    </row>
    <row r="398" spans="1:45" ht="15" customHeight="1" thickBot="1" x14ac:dyDescent="0.3">
      <c r="A398" s="632">
        <v>86</v>
      </c>
      <c r="B398" s="629">
        <f>VLOOKUP(A398,مسلسل,2,0)</f>
        <v>0</v>
      </c>
      <c r="C398" s="621" t="str">
        <f>IFERROR(VLOOKUP(B398,اسماء,2,0),"")</f>
        <v/>
      </c>
      <c r="D398" s="624" t="str">
        <f>IFERROR(VLOOKUP($B398,اسماء,3,0),"")</f>
        <v/>
      </c>
      <c r="E398" s="132" t="s">
        <v>30</v>
      </c>
      <c r="F398" s="627">
        <f>IFERROR(VLOOKUP($B398,اسماء,5,0),0)</f>
        <v>0</v>
      </c>
      <c r="G398" s="606"/>
      <c r="H398" s="628">
        <f>IFERROR(VLOOKUP($B398,اسماء,6,0),0)</f>
        <v>0</v>
      </c>
      <c r="I398" s="605"/>
      <c r="J398" s="587">
        <f>IFERROR(VLOOKUP($B398,اسماء,7,0),0)</f>
        <v>0</v>
      </c>
      <c r="K398" s="591"/>
      <c r="L398" s="587">
        <f>IFERROR(VLOOKUP($B398,اسماء,8,0),0)</f>
        <v>0</v>
      </c>
      <c r="M398" s="588"/>
      <c r="N398" s="587">
        <f>IFERROR(VLOOKUP($B398,اسماء,9,0),0)</f>
        <v>0</v>
      </c>
      <c r="O398" s="605"/>
      <c r="P398" s="587">
        <f>IFERROR(VLOOKUP($B398,اسماء,10,0),0)</f>
        <v>0</v>
      </c>
      <c r="Q398" s="605"/>
      <c r="R398" s="606">
        <f>IFERROR(VLOOKUP($B398,اسماء,11,0),0)</f>
        <v>0</v>
      </c>
      <c r="S398" s="591"/>
      <c r="T398" s="587">
        <f>IFERROR(VLOOKUP($B398,اسماء,12,0),0)</f>
        <v>0</v>
      </c>
      <c r="U398" s="591"/>
      <c r="V398" s="263">
        <f t="shared" ref="V398:V400" si="1189">SUM(F398:U398)</f>
        <v>0</v>
      </c>
      <c r="W398" s="373">
        <f>IFERROR(VLOOKUP($B398,اسماء,14,0),0)</f>
        <v>0</v>
      </c>
      <c r="X398" s="373">
        <f>IFERROR(VLOOKUP($B398,اسماء,15,0),0)</f>
        <v>0</v>
      </c>
      <c r="Y398" s="595" t="str">
        <f t="shared" ref="Y398" si="1190">IF(AC398="غائب","راسب",IF(AND(F401&gt;=$G$8,H401&gt;=$I$8,J401&gt;=$K$8,L401&gt;=$M$8,N401&gt;=$O$8,P401&gt;=$Q$8,R401&gt;=$S$8,T401&gt;=$U$8),"ناجح","له دور ثان"))</f>
        <v>له دور ثان</v>
      </c>
      <c r="Z398" s="21" t="str">
        <f t="shared" ref="Z398:Z399" si="1191">LOOKUP(V398,$AF$6:$AG$10)</f>
        <v>ضعيف</v>
      </c>
      <c r="AA398" s="656">
        <f t="shared" ref="AA398" si="1192">V401/$AF$3</f>
        <v>0</v>
      </c>
      <c r="AB398" s="10"/>
      <c r="AC398" s="653" t="str">
        <f>IFERROR(VLOOKUP($B398,اسماء,54,0),"")</f>
        <v/>
      </c>
      <c r="AN398" s="607" t="str">
        <f t="shared" ref="AN398" si="1193">IF(V401=0,"",V401/1+ROW()*0.00001)</f>
        <v/>
      </c>
      <c r="AO398" s="607">
        <f>B398</f>
        <v>0</v>
      </c>
      <c r="AP398" s="613"/>
      <c r="AQ398" s="612">
        <v>86</v>
      </c>
      <c r="AR398" s="611" t="str">
        <f>IFERROR(LARGE($AN$10:$AN$1006,AQ398),"")</f>
        <v/>
      </c>
      <c r="AS398" s="612" t="str">
        <f>VLOOKUP(AR398,$AN$10:$AO$1116,2,0)</f>
        <v>أحمد نورالدين أحمد الذيب</v>
      </c>
    </row>
    <row r="399" spans="1:45" ht="15" customHeight="1" thickBot="1" x14ac:dyDescent="0.3">
      <c r="A399" s="633"/>
      <c r="B399" s="630"/>
      <c r="C399" s="622"/>
      <c r="D399" s="625"/>
      <c r="E399" s="133" t="s">
        <v>31</v>
      </c>
      <c r="F399" s="589">
        <f>IFERROR(VLOOKUP($B398,اسماء,18,0),0)</f>
        <v>0</v>
      </c>
      <c r="G399" s="592"/>
      <c r="H399" s="608">
        <f>IFERROR(VLOOKUP($B398,اسماء,19,0),0)</f>
        <v>0</v>
      </c>
      <c r="I399" s="609"/>
      <c r="J399" s="589">
        <f>IFERROR(VLOOKUP($B398,اسماء,20,0),0)</f>
        <v>0</v>
      </c>
      <c r="K399" s="592"/>
      <c r="L399" s="589">
        <f>IFERROR(VLOOKUP($B398,اسماء,21,0),0)</f>
        <v>0</v>
      </c>
      <c r="M399" s="590"/>
      <c r="N399" s="589">
        <f>IFERROR(VLOOKUP($B398,اسماء,22,0),0)</f>
        <v>0</v>
      </c>
      <c r="O399" s="590"/>
      <c r="P399" s="589">
        <f>IFERROR(VLOOKUP($B398,اسماء,23,0),0)</f>
        <v>0</v>
      </c>
      <c r="Q399" s="609"/>
      <c r="R399" s="603">
        <f>IFERROR(VLOOKUP($B398,اسماء,24,0),0)</f>
        <v>0</v>
      </c>
      <c r="S399" s="592"/>
      <c r="T399" s="589">
        <f>IFERROR(VLOOKUP($B398,اسماء,25,0),0)</f>
        <v>0</v>
      </c>
      <c r="U399" s="592"/>
      <c r="V399" s="263">
        <f t="shared" si="1189"/>
        <v>0</v>
      </c>
      <c r="W399" s="373">
        <f>IFERROR(VLOOKUP($B398,اسماء,27,0),0)</f>
        <v>0</v>
      </c>
      <c r="X399" s="373">
        <f>IFERROR(VLOOKUP($B398,اسماء,28,0),0)</f>
        <v>0</v>
      </c>
      <c r="Y399" s="596"/>
      <c r="Z399" s="22" t="str">
        <f t="shared" si="1191"/>
        <v>ضعيف</v>
      </c>
      <c r="AA399" s="657"/>
      <c r="AB399" s="72"/>
      <c r="AC399" s="654"/>
      <c r="AN399" s="607"/>
      <c r="AO399" s="607"/>
      <c r="AP399" s="613"/>
      <c r="AQ399" s="612"/>
      <c r="AR399" s="611"/>
      <c r="AS399" s="612"/>
    </row>
    <row r="400" spans="1:45" ht="15" customHeight="1" x14ac:dyDescent="0.25">
      <c r="A400" s="633"/>
      <c r="B400" s="630"/>
      <c r="C400" s="622"/>
      <c r="D400" s="625"/>
      <c r="E400" s="133" t="s">
        <v>32</v>
      </c>
      <c r="F400" s="589">
        <f>IFERROR(VLOOKUP($B398,اسماء,31,0),0)</f>
        <v>0</v>
      </c>
      <c r="G400" s="592"/>
      <c r="H400" s="608">
        <f>IFERROR(VLOOKUP($B398,اسماء,32,0),0)</f>
        <v>0</v>
      </c>
      <c r="I400" s="609"/>
      <c r="J400" s="589">
        <f>IFERROR(VLOOKUP($B398,اسماء,33,0),0)</f>
        <v>0</v>
      </c>
      <c r="K400" s="592"/>
      <c r="L400" s="589">
        <f>IFERROR(VLOOKUP($B398,اسماء,34,0),0)</f>
        <v>0</v>
      </c>
      <c r="M400" s="590"/>
      <c r="N400" s="589">
        <f>IFERROR(VLOOKUP($B398,اسماء,35,0),0)</f>
        <v>0</v>
      </c>
      <c r="O400" s="590"/>
      <c r="P400" s="589">
        <f>IFERROR(VLOOKUP($B398,اسماء,36,0),0)</f>
        <v>0</v>
      </c>
      <c r="Q400" s="609"/>
      <c r="R400" s="603">
        <f>IFERROR(VLOOKUP($B398,اسماء,37,0),0)</f>
        <v>0</v>
      </c>
      <c r="S400" s="592"/>
      <c r="T400" s="589">
        <f>IFERROR(VLOOKUP($B398,اسماء,38,0),0)</f>
        <v>0</v>
      </c>
      <c r="U400" s="592"/>
      <c r="V400" s="263">
        <f t="shared" si="1189"/>
        <v>0</v>
      </c>
      <c r="W400" s="373">
        <f>IFERROR(VLOOKUP($B398,اسماء,40,0),0)</f>
        <v>0</v>
      </c>
      <c r="X400" s="373">
        <f>IFERROR(VLOOKUP($B398,اسماء,41,0),0)</f>
        <v>0</v>
      </c>
      <c r="Y400" s="596"/>
      <c r="Z400" s="22" t="str">
        <f t="shared" ref="Z400" si="1194">LOOKUP(V400,$AI$6:$AJ$10)</f>
        <v>ضعيف</v>
      </c>
      <c r="AA400" s="657"/>
      <c r="AB400" s="72"/>
      <c r="AC400" s="654"/>
      <c r="AN400" s="607"/>
      <c r="AO400" s="607"/>
      <c r="AP400" s="613"/>
      <c r="AQ400" s="612"/>
      <c r="AR400" s="611"/>
      <c r="AS400" s="612"/>
    </row>
    <row r="401" spans="1:45" ht="15" customHeight="1" thickBot="1" x14ac:dyDescent="0.3">
      <c r="A401" s="634"/>
      <c r="B401" s="631"/>
      <c r="C401" s="623"/>
      <c r="D401" s="626"/>
      <c r="E401" s="127" t="s">
        <v>33</v>
      </c>
      <c r="F401" s="585">
        <f t="shared" ref="F401" si="1195">SUM(F398:G400)</f>
        <v>0</v>
      </c>
      <c r="G401" s="593"/>
      <c r="H401" s="604">
        <f t="shared" ref="H401" si="1196">SUM(H398:I400)</f>
        <v>0</v>
      </c>
      <c r="I401" s="601"/>
      <c r="J401" s="585">
        <f t="shared" ref="J401" si="1197">SUM(J398:K400)</f>
        <v>0</v>
      </c>
      <c r="K401" s="593"/>
      <c r="L401" s="585">
        <f t="shared" ref="L401" si="1198">SUM(L398:M400)</f>
        <v>0</v>
      </c>
      <c r="M401" s="586"/>
      <c r="N401" s="585">
        <f t="shared" ref="N401" si="1199">SUM(N398:O400)</f>
        <v>0</v>
      </c>
      <c r="O401" s="586"/>
      <c r="P401" s="585">
        <f t="shared" ref="P401" si="1200">SUM(P398:Q400)</f>
        <v>0</v>
      </c>
      <c r="Q401" s="601"/>
      <c r="R401" s="602">
        <f t="shared" ref="R401" si="1201">SUM(R398:S400)</f>
        <v>0</v>
      </c>
      <c r="S401" s="593"/>
      <c r="T401" s="585">
        <f t="shared" ref="T401" si="1202">SUM(T398:U400)</f>
        <v>0</v>
      </c>
      <c r="U401" s="593"/>
      <c r="V401" s="210">
        <f t="shared" ref="V401" si="1203">IF(AND(F401&gt;=$G$8,H401&gt;=$I$8,L401&gt;=$M$8,P401&gt;=$Q$8,R401&gt;=$S$8,T401&gt;=$U$8),SUM(F401:U401),0)</f>
        <v>0</v>
      </c>
      <c r="W401" s="264"/>
      <c r="X401" s="97"/>
      <c r="Y401" s="597"/>
      <c r="Z401" s="91" t="str">
        <f t="shared" ref="Z401" si="1204">LOOKUP(V401,$AL$6:$AM$10)</f>
        <v>ضعيف</v>
      </c>
      <c r="AA401" s="658"/>
      <c r="AB401" s="10"/>
      <c r="AC401" s="655"/>
      <c r="AN401" s="607"/>
      <c r="AO401" s="607"/>
      <c r="AP401" s="613"/>
      <c r="AQ401" s="612"/>
      <c r="AR401" s="611"/>
      <c r="AS401" s="612"/>
    </row>
    <row r="402" spans="1:45" ht="15" customHeight="1" thickBot="1" x14ac:dyDescent="0.3">
      <c r="A402" s="632">
        <v>87</v>
      </c>
      <c r="B402" s="629">
        <f>VLOOKUP(A402,مسلسل,2,0)</f>
        <v>0</v>
      </c>
      <c r="C402" s="621" t="str">
        <f>IFERROR(VLOOKUP(B402,اسماء,2,0),"")</f>
        <v/>
      </c>
      <c r="D402" s="624" t="str">
        <f>IFERROR(VLOOKUP($B402,اسماء,3,0),"")</f>
        <v/>
      </c>
      <c r="E402" s="132" t="s">
        <v>30</v>
      </c>
      <c r="F402" s="627">
        <f>IFERROR(VLOOKUP($B402,اسماء,5,0),0)</f>
        <v>0</v>
      </c>
      <c r="G402" s="606"/>
      <c r="H402" s="628">
        <f>IFERROR(VLOOKUP($B402,اسماء,6,0),0)</f>
        <v>0</v>
      </c>
      <c r="I402" s="605"/>
      <c r="J402" s="587">
        <f>IFERROR(VLOOKUP($B402,اسماء,7,0),0)</f>
        <v>0</v>
      </c>
      <c r="K402" s="591"/>
      <c r="L402" s="587">
        <f>IFERROR(VLOOKUP($B402,اسماء,8,0),0)</f>
        <v>0</v>
      </c>
      <c r="M402" s="588"/>
      <c r="N402" s="587">
        <f>IFERROR(VLOOKUP($B402,اسماء,9,0),0)</f>
        <v>0</v>
      </c>
      <c r="O402" s="605"/>
      <c r="P402" s="587">
        <f>IFERROR(VLOOKUP($B402,اسماء,10,0),0)</f>
        <v>0</v>
      </c>
      <c r="Q402" s="605"/>
      <c r="R402" s="606">
        <f>IFERROR(VLOOKUP($B402,اسماء,11,0),0)</f>
        <v>0</v>
      </c>
      <c r="S402" s="591"/>
      <c r="T402" s="587">
        <f>IFERROR(VLOOKUP($B402,اسماء,12,0),0)</f>
        <v>0</v>
      </c>
      <c r="U402" s="591"/>
      <c r="V402" s="263">
        <f t="shared" ref="V402:V404" si="1205">SUM(F402:U402)</f>
        <v>0</v>
      </c>
      <c r="W402" s="373">
        <f>IFERROR(VLOOKUP($B402,اسماء,14,0),0)</f>
        <v>0</v>
      </c>
      <c r="X402" s="373">
        <f>IFERROR(VLOOKUP($B402,اسماء,15,0),0)</f>
        <v>0</v>
      </c>
      <c r="Y402" s="595" t="str">
        <f t="shared" ref="Y402" si="1206">IF(AC402="غائب","راسب",IF(AND(F405&gt;=$G$8,H405&gt;=$I$8,J405&gt;=$K$8,L405&gt;=$M$8,N405&gt;=$O$8,P405&gt;=$Q$8,R405&gt;=$S$8,T405&gt;=$U$8),"ناجح","له دور ثان"))</f>
        <v>له دور ثان</v>
      </c>
      <c r="Z402" s="21" t="str">
        <f t="shared" ref="Z402:Z403" si="1207">LOOKUP(V402,$AF$6:$AG$10)</f>
        <v>ضعيف</v>
      </c>
      <c r="AA402" s="656">
        <f t="shared" ref="AA402" si="1208">V405/$AF$3</f>
        <v>0</v>
      </c>
      <c r="AB402" s="72"/>
      <c r="AC402" s="653" t="str">
        <f>IFERROR(VLOOKUP($B402,اسماء,54,0),"")</f>
        <v/>
      </c>
      <c r="AN402" s="607" t="str">
        <f t="shared" ref="AN402" si="1209">IF(V405=0,"",V405/1+ROW()*0.00001)</f>
        <v/>
      </c>
      <c r="AO402" s="607">
        <f>B402</f>
        <v>0</v>
      </c>
      <c r="AP402" s="613"/>
      <c r="AQ402" s="612">
        <v>87</v>
      </c>
      <c r="AR402" s="611" t="str">
        <f>IFERROR(LARGE($AN$10:$AN$1006,AQ402),"")</f>
        <v/>
      </c>
      <c r="AS402" s="612" t="str">
        <f>VLOOKUP(AR402,$AN$10:$AO$1116,2,0)</f>
        <v>أحمد نورالدين أحمد الذيب</v>
      </c>
    </row>
    <row r="403" spans="1:45" ht="15" customHeight="1" thickBot="1" x14ac:dyDescent="0.3">
      <c r="A403" s="633"/>
      <c r="B403" s="630"/>
      <c r="C403" s="622"/>
      <c r="D403" s="625"/>
      <c r="E403" s="133" t="s">
        <v>31</v>
      </c>
      <c r="F403" s="589">
        <f>IFERROR(VLOOKUP($B402,اسماء,18,0),0)</f>
        <v>0</v>
      </c>
      <c r="G403" s="592"/>
      <c r="H403" s="608">
        <f>IFERROR(VLOOKUP($B402,اسماء,19,0),0)</f>
        <v>0</v>
      </c>
      <c r="I403" s="609"/>
      <c r="J403" s="589">
        <f>IFERROR(VLOOKUP($B402,اسماء,20,0),0)</f>
        <v>0</v>
      </c>
      <c r="K403" s="592"/>
      <c r="L403" s="589">
        <f>IFERROR(VLOOKUP($B402,اسماء,21,0),0)</f>
        <v>0</v>
      </c>
      <c r="M403" s="590"/>
      <c r="N403" s="589">
        <f>IFERROR(VLOOKUP($B402,اسماء,22,0),0)</f>
        <v>0</v>
      </c>
      <c r="O403" s="590"/>
      <c r="P403" s="589">
        <f>IFERROR(VLOOKUP($B402,اسماء,23,0),0)</f>
        <v>0</v>
      </c>
      <c r="Q403" s="609"/>
      <c r="R403" s="603">
        <f>IFERROR(VLOOKUP($B402,اسماء,24,0),0)</f>
        <v>0</v>
      </c>
      <c r="S403" s="592"/>
      <c r="T403" s="589">
        <f>IFERROR(VLOOKUP($B402,اسماء,25,0),0)</f>
        <v>0</v>
      </c>
      <c r="U403" s="592"/>
      <c r="V403" s="263">
        <f t="shared" si="1205"/>
        <v>0</v>
      </c>
      <c r="W403" s="373">
        <f>IFERROR(VLOOKUP($B402,اسماء,27,0),0)</f>
        <v>0</v>
      </c>
      <c r="X403" s="373">
        <f>IFERROR(VLOOKUP($B402,اسماء,28,0),0)</f>
        <v>0</v>
      </c>
      <c r="Y403" s="596"/>
      <c r="Z403" s="22" t="str">
        <f t="shared" si="1207"/>
        <v>ضعيف</v>
      </c>
      <c r="AA403" s="657"/>
      <c r="AB403" s="72"/>
      <c r="AC403" s="654"/>
      <c r="AN403" s="607"/>
      <c r="AO403" s="607"/>
      <c r="AP403" s="613"/>
      <c r="AQ403" s="612"/>
      <c r="AR403" s="611"/>
      <c r="AS403" s="612"/>
    </row>
    <row r="404" spans="1:45" ht="15" customHeight="1" x14ac:dyDescent="0.25">
      <c r="A404" s="633"/>
      <c r="B404" s="630"/>
      <c r="C404" s="622"/>
      <c r="D404" s="625"/>
      <c r="E404" s="133" t="s">
        <v>32</v>
      </c>
      <c r="F404" s="589">
        <f>IFERROR(VLOOKUP($B402,اسماء,31,0),0)</f>
        <v>0</v>
      </c>
      <c r="G404" s="592"/>
      <c r="H404" s="608">
        <f>IFERROR(VLOOKUP($B402,اسماء,32,0),0)</f>
        <v>0</v>
      </c>
      <c r="I404" s="609"/>
      <c r="J404" s="589">
        <f>IFERROR(VLOOKUP($B402,اسماء,33,0),0)</f>
        <v>0</v>
      </c>
      <c r="K404" s="592"/>
      <c r="L404" s="589">
        <f>IFERROR(VLOOKUP($B402,اسماء,34,0),0)</f>
        <v>0</v>
      </c>
      <c r="M404" s="590"/>
      <c r="N404" s="589">
        <f>IFERROR(VLOOKUP($B402,اسماء,35,0),0)</f>
        <v>0</v>
      </c>
      <c r="O404" s="590"/>
      <c r="P404" s="589">
        <f>IFERROR(VLOOKUP($B402,اسماء,36,0),0)</f>
        <v>0</v>
      </c>
      <c r="Q404" s="609"/>
      <c r="R404" s="603">
        <f>IFERROR(VLOOKUP($B402,اسماء,37,0),0)</f>
        <v>0</v>
      </c>
      <c r="S404" s="592"/>
      <c r="T404" s="589">
        <f>IFERROR(VLOOKUP($B402,اسماء,38,0),0)</f>
        <v>0</v>
      </c>
      <c r="U404" s="592"/>
      <c r="V404" s="263">
        <f t="shared" si="1205"/>
        <v>0</v>
      </c>
      <c r="W404" s="373">
        <f>IFERROR(VLOOKUP($B402,اسماء,40,0),0)</f>
        <v>0</v>
      </c>
      <c r="X404" s="373">
        <f>IFERROR(VLOOKUP($B402,اسماء,41,0),0)</f>
        <v>0</v>
      </c>
      <c r="Y404" s="596"/>
      <c r="Z404" s="22" t="str">
        <f t="shared" ref="Z404" si="1210">LOOKUP(V404,$AI$6:$AJ$10)</f>
        <v>ضعيف</v>
      </c>
      <c r="AA404" s="657"/>
      <c r="AB404" s="10"/>
      <c r="AC404" s="654"/>
      <c r="AN404" s="607"/>
      <c r="AO404" s="607"/>
      <c r="AP404" s="613"/>
      <c r="AQ404" s="612"/>
      <c r="AR404" s="611"/>
      <c r="AS404" s="612"/>
    </row>
    <row r="405" spans="1:45" ht="15" customHeight="1" thickBot="1" x14ac:dyDescent="0.3">
      <c r="A405" s="634"/>
      <c r="B405" s="631"/>
      <c r="C405" s="623"/>
      <c r="D405" s="626"/>
      <c r="E405" s="127" t="s">
        <v>33</v>
      </c>
      <c r="F405" s="585">
        <f t="shared" ref="F405" si="1211">SUM(F402:G404)</f>
        <v>0</v>
      </c>
      <c r="G405" s="593"/>
      <c r="H405" s="604">
        <f t="shared" ref="H405" si="1212">SUM(H402:I404)</f>
        <v>0</v>
      </c>
      <c r="I405" s="601"/>
      <c r="J405" s="585">
        <f t="shared" ref="J405" si="1213">SUM(J402:K404)</f>
        <v>0</v>
      </c>
      <c r="K405" s="593"/>
      <c r="L405" s="585">
        <f t="shared" ref="L405" si="1214">SUM(L402:M404)</f>
        <v>0</v>
      </c>
      <c r="M405" s="586"/>
      <c r="N405" s="585">
        <f t="shared" ref="N405" si="1215">SUM(N402:O404)</f>
        <v>0</v>
      </c>
      <c r="O405" s="586"/>
      <c r="P405" s="585">
        <f t="shared" ref="P405" si="1216">SUM(P402:Q404)</f>
        <v>0</v>
      </c>
      <c r="Q405" s="601"/>
      <c r="R405" s="602">
        <f t="shared" ref="R405" si="1217">SUM(R402:S404)</f>
        <v>0</v>
      </c>
      <c r="S405" s="593"/>
      <c r="T405" s="585">
        <f t="shared" ref="T405" si="1218">SUM(T402:U404)</f>
        <v>0</v>
      </c>
      <c r="U405" s="593"/>
      <c r="V405" s="210">
        <f t="shared" ref="V405" si="1219">IF(AND(F405&gt;=$G$8,H405&gt;=$I$8,L405&gt;=$M$8,P405&gt;=$Q$8,R405&gt;=$S$8,T405&gt;=$U$8),SUM(F405:U405),0)</f>
        <v>0</v>
      </c>
      <c r="W405" s="264"/>
      <c r="X405" s="97"/>
      <c r="Y405" s="597"/>
      <c r="Z405" s="91" t="str">
        <f t="shared" ref="Z405" si="1220">LOOKUP(V405,$AL$6:$AM$10)</f>
        <v>ضعيف</v>
      </c>
      <c r="AA405" s="658"/>
      <c r="AB405" s="72"/>
      <c r="AC405" s="655"/>
      <c r="AN405" s="607"/>
      <c r="AO405" s="607"/>
      <c r="AP405" s="613"/>
      <c r="AQ405" s="612"/>
      <c r="AR405" s="611"/>
      <c r="AS405" s="612"/>
    </row>
    <row r="406" spans="1:45" ht="15" customHeight="1" thickBot="1" x14ac:dyDescent="0.3">
      <c r="A406" s="632">
        <v>88</v>
      </c>
      <c r="B406" s="629">
        <f>VLOOKUP(A406,مسلسل,2,0)</f>
        <v>0</v>
      </c>
      <c r="C406" s="621" t="str">
        <f>IFERROR(VLOOKUP(B406,اسماء,2,0),"")</f>
        <v/>
      </c>
      <c r="D406" s="624" t="str">
        <f>IFERROR(VLOOKUP($B406,اسماء,3,0),"")</f>
        <v/>
      </c>
      <c r="E406" s="132" t="s">
        <v>30</v>
      </c>
      <c r="F406" s="627">
        <f>IFERROR(VLOOKUP($B406,اسماء,5,0),0)</f>
        <v>0</v>
      </c>
      <c r="G406" s="606"/>
      <c r="H406" s="628">
        <f>IFERROR(VLOOKUP($B406,اسماء,6,0),0)</f>
        <v>0</v>
      </c>
      <c r="I406" s="605"/>
      <c r="J406" s="587">
        <f>IFERROR(VLOOKUP($B406,اسماء,7,0),0)</f>
        <v>0</v>
      </c>
      <c r="K406" s="591"/>
      <c r="L406" s="587">
        <f>IFERROR(VLOOKUP($B406,اسماء,8,0),0)</f>
        <v>0</v>
      </c>
      <c r="M406" s="588"/>
      <c r="N406" s="587">
        <f>IFERROR(VLOOKUP($B406,اسماء,9,0),0)</f>
        <v>0</v>
      </c>
      <c r="O406" s="605"/>
      <c r="P406" s="587">
        <f>IFERROR(VLOOKUP($B406,اسماء,10,0),0)</f>
        <v>0</v>
      </c>
      <c r="Q406" s="605"/>
      <c r="R406" s="606">
        <f>IFERROR(VLOOKUP($B406,اسماء,11,0),0)</f>
        <v>0</v>
      </c>
      <c r="S406" s="591"/>
      <c r="T406" s="587">
        <f>IFERROR(VLOOKUP($B406,اسماء,12,0),0)</f>
        <v>0</v>
      </c>
      <c r="U406" s="591"/>
      <c r="V406" s="263">
        <f t="shared" ref="V406:V408" si="1221">SUM(F406:U406)</f>
        <v>0</v>
      </c>
      <c r="W406" s="373">
        <f>IFERROR(VLOOKUP($B406,اسماء,14,0),0)</f>
        <v>0</v>
      </c>
      <c r="X406" s="373">
        <f>IFERROR(VLOOKUP($B406,اسماء,15,0),0)</f>
        <v>0</v>
      </c>
      <c r="Y406" s="595" t="str">
        <f t="shared" ref="Y406" si="1222">IF(AC406="غائب","راسب",IF(AND(F409&gt;=$G$8,H409&gt;=$I$8,J409&gt;=$K$8,L409&gt;=$M$8,N409&gt;=$O$8,P409&gt;=$Q$8,R409&gt;=$S$8,T409&gt;=$U$8),"ناجح","له دور ثان"))</f>
        <v>له دور ثان</v>
      </c>
      <c r="Z406" s="21" t="str">
        <f t="shared" ref="Z406:Z407" si="1223">LOOKUP(V406,$AF$6:$AG$10)</f>
        <v>ضعيف</v>
      </c>
      <c r="AA406" s="656">
        <f t="shared" ref="AA406" si="1224">V409/$AF$3</f>
        <v>0</v>
      </c>
      <c r="AB406" s="72"/>
      <c r="AC406" s="653" t="str">
        <f>IFERROR(VLOOKUP($B406,اسماء,54,0),"")</f>
        <v/>
      </c>
      <c r="AN406" s="607" t="str">
        <f t="shared" ref="AN406" si="1225">IF(V409=0,"",V409/1+ROW()*0.00001)</f>
        <v/>
      </c>
      <c r="AO406" s="607">
        <f>B406</f>
        <v>0</v>
      </c>
      <c r="AP406" s="613"/>
      <c r="AQ406" s="612">
        <v>88</v>
      </c>
      <c r="AR406" s="611" t="str">
        <f>IFERROR(LARGE($AN$10:$AN$1006,AQ406),"")</f>
        <v/>
      </c>
      <c r="AS406" s="612" t="str">
        <f>VLOOKUP(AR406,$AN$10:$AO$1116,2,0)</f>
        <v>أحمد نورالدين أحمد الذيب</v>
      </c>
    </row>
    <row r="407" spans="1:45" ht="15" customHeight="1" thickBot="1" x14ac:dyDescent="0.3">
      <c r="A407" s="633"/>
      <c r="B407" s="630"/>
      <c r="C407" s="622"/>
      <c r="D407" s="625"/>
      <c r="E407" s="133" t="s">
        <v>31</v>
      </c>
      <c r="F407" s="589">
        <f>IFERROR(VLOOKUP($B406,اسماء,18,0),0)</f>
        <v>0</v>
      </c>
      <c r="G407" s="592"/>
      <c r="H407" s="608">
        <f>IFERROR(VLOOKUP($B406,اسماء,19,0),0)</f>
        <v>0</v>
      </c>
      <c r="I407" s="609"/>
      <c r="J407" s="589">
        <f>IFERROR(VLOOKUP($B406,اسماء,20,0),0)</f>
        <v>0</v>
      </c>
      <c r="K407" s="592"/>
      <c r="L407" s="589">
        <f>IFERROR(VLOOKUP($B406,اسماء,21,0),0)</f>
        <v>0</v>
      </c>
      <c r="M407" s="590"/>
      <c r="N407" s="589">
        <f>IFERROR(VLOOKUP($B406,اسماء,22,0),0)</f>
        <v>0</v>
      </c>
      <c r="O407" s="590"/>
      <c r="P407" s="589">
        <f>IFERROR(VLOOKUP($B406,اسماء,23,0),0)</f>
        <v>0</v>
      </c>
      <c r="Q407" s="609"/>
      <c r="R407" s="603">
        <f>IFERROR(VLOOKUP($B406,اسماء,24,0),0)</f>
        <v>0</v>
      </c>
      <c r="S407" s="592"/>
      <c r="T407" s="589">
        <f>IFERROR(VLOOKUP($B406,اسماء,25,0),0)</f>
        <v>0</v>
      </c>
      <c r="U407" s="592"/>
      <c r="V407" s="263">
        <f t="shared" si="1221"/>
        <v>0</v>
      </c>
      <c r="W407" s="373">
        <f>IFERROR(VLOOKUP($B406,اسماء,27,0),0)</f>
        <v>0</v>
      </c>
      <c r="X407" s="373">
        <f>IFERROR(VLOOKUP($B406,اسماء,28,0),0)</f>
        <v>0</v>
      </c>
      <c r="Y407" s="596"/>
      <c r="Z407" s="22" t="str">
        <f t="shared" si="1223"/>
        <v>ضعيف</v>
      </c>
      <c r="AA407" s="657"/>
      <c r="AB407" s="10"/>
      <c r="AC407" s="654"/>
      <c r="AN407" s="607"/>
      <c r="AO407" s="607"/>
      <c r="AP407" s="613"/>
      <c r="AQ407" s="612"/>
      <c r="AR407" s="611"/>
      <c r="AS407" s="612"/>
    </row>
    <row r="408" spans="1:45" ht="15" customHeight="1" x14ac:dyDescent="0.25">
      <c r="A408" s="633"/>
      <c r="B408" s="630"/>
      <c r="C408" s="622"/>
      <c r="D408" s="625"/>
      <c r="E408" s="133" t="s">
        <v>32</v>
      </c>
      <c r="F408" s="589">
        <f>IFERROR(VLOOKUP($B406,اسماء,31,0),0)</f>
        <v>0</v>
      </c>
      <c r="G408" s="592"/>
      <c r="H408" s="608">
        <f>IFERROR(VLOOKUP($B406,اسماء,32,0),0)</f>
        <v>0</v>
      </c>
      <c r="I408" s="609"/>
      <c r="J408" s="589">
        <f>IFERROR(VLOOKUP($B406,اسماء,33,0),0)</f>
        <v>0</v>
      </c>
      <c r="K408" s="592"/>
      <c r="L408" s="589">
        <f>IFERROR(VLOOKUP($B406,اسماء,34,0),0)</f>
        <v>0</v>
      </c>
      <c r="M408" s="590"/>
      <c r="N408" s="589">
        <f>IFERROR(VLOOKUP($B406,اسماء,35,0),0)</f>
        <v>0</v>
      </c>
      <c r="O408" s="590"/>
      <c r="P408" s="589">
        <f>IFERROR(VLOOKUP($B406,اسماء,36,0),0)</f>
        <v>0</v>
      </c>
      <c r="Q408" s="609"/>
      <c r="R408" s="603">
        <f>IFERROR(VLOOKUP($B406,اسماء,37,0),0)</f>
        <v>0</v>
      </c>
      <c r="S408" s="592"/>
      <c r="T408" s="589">
        <f>IFERROR(VLOOKUP($B406,اسماء,38,0),0)</f>
        <v>0</v>
      </c>
      <c r="U408" s="592"/>
      <c r="V408" s="263">
        <f t="shared" si="1221"/>
        <v>0</v>
      </c>
      <c r="W408" s="373">
        <f>IFERROR(VLOOKUP($B406,اسماء,40,0),0)</f>
        <v>0</v>
      </c>
      <c r="X408" s="373">
        <f>IFERROR(VLOOKUP($B406,اسماء,41,0),0)</f>
        <v>0</v>
      </c>
      <c r="Y408" s="596"/>
      <c r="Z408" s="22" t="str">
        <f t="shared" ref="Z408" si="1226">LOOKUP(V408,$AI$6:$AJ$10)</f>
        <v>ضعيف</v>
      </c>
      <c r="AA408" s="657"/>
      <c r="AB408" s="72"/>
      <c r="AC408" s="654"/>
      <c r="AN408" s="607"/>
      <c r="AO408" s="607"/>
      <c r="AP408" s="613"/>
      <c r="AQ408" s="612"/>
      <c r="AR408" s="611"/>
      <c r="AS408" s="612"/>
    </row>
    <row r="409" spans="1:45" ht="15" customHeight="1" thickBot="1" x14ac:dyDescent="0.3">
      <c r="A409" s="634"/>
      <c r="B409" s="631"/>
      <c r="C409" s="623"/>
      <c r="D409" s="626"/>
      <c r="E409" s="127" t="s">
        <v>33</v>
      </c>
      <c r="F409" s="585">
        <f t="shared" ref="F409" si="1227">SUM(F406:G408)</f>
        <v>0</v>
      </c>
      <c r="G409" s="593"/>
      <c r="H409" s="604">
        <f t="shared" ref="H409" si="1228">SUM(H406:I408)</f>
        <v>0</v>
      </c>
      <c r="I409" s="601"/>
      <c r="J409" s="585">
        <f t="shared" ref="J409" si="1229">SUM(J406:K408)</f>
        <v>0</v>
      </c>
      <c r="K409" s="593"/>
      <c r="L409" s="585">
        <f t="shared" ref="L409" si="1230">SUM(L406:M408)</f>
        <v>0</v>
      </c>
      <c r="M409" s="586"/>
      <c r="N409" s="585">
        <f t="shared" ref="N409" si="1231">SUM(N406:O408)</f>
        <v>0</v>
      </c>
      <c r="O409" s="586"/>
      <c r="P409" s="585">
        <f t="shared" ref="P409" si="1232">SUM(P406:Q408)</f>
        <v>0</v>
      </c>
      <c r="Q409" s="601"/>
      <c r="R409" s="602">
        <f t="shared" ref="R409" si="1233">SUM(R406:S408)</f>
        <v>0</v>
      </c>
      <c r="S409" s="593"/>
      <c r="T409" s="585">
        <f t="shared" ref="T409" si="1234">SUM(T406:U408)</f>
        <v>0</v>
      </c>
      <c r="U409" s="593"/>
      <c r="V409" s="210">
        <f t="shared" ref="V409" si="1235">IF(AND(F409&gt;=$G$8,H409&gt;=$I$8,L409&gt;=$M$8,P409&gt;=$Q$8,R409&gt;=$S$8,T409&gt;=$U$8),SUM(F409:U409),0)</f>
        <v>0</v>
      </c>
      <c r="W409" s="264"/>
      <c r="X409" s="97"/>
      <c r="Y409" s="597"/>
      <c r="Z409" s="91" t="str">
        <f t="shared" ref="Z409" si="1236">LOOKUP(V409,$AL$6:$AM$10)</f>
        <v>ضعيف</v>
      </c>
      <c r="AA409" s="658"/>
      <c r="AB409" s="72"/>
      <c r="AC409" s="655"/>
      <c r="AN409" s="607"/>
      <c r="AO409" s="607"/>
      <c r="AP409" s="613"/>
      <c r="AQ409" s="612"/>
      <c r="AR409" s="611"/>
      <c r="AS409" s="612"/>
    </row>
    <row r="410" spans="1:45" ht="15" customHeight="1" thickBot="1" x14ac:dyDescent="0.3">
      <c r="A410" s="632">
        <v>89</v>
      </c>
      <c r="B410" s="629">
        <f>VLOOKUP(A410,مسلسل,2,0)</f>
        <v>0</v>
      </c>
      <c r="C410" s="621" t="str">
        <f>IFERROR(VLOOKUP(B410,اسماء,2,0),"")</f>
        <v/>
      </c>
      <c r="D410" s="624" t="str">
        <f>IFERROR(VLOOKUP($B410,اسماء,3,0),"")</f>
        <v/>
      </c>
      <c r="E410" s="132" t="s">
        <v>30</v>
      </c>
      <c r="F410" s="627">
        <f>IFERROR(VLOOKUP($B410,اسماء,5,0),0)</f>
        <v>0</v>
      </c>
      <c r="G410" s="606"/>
      <c r="H410" s="628">
        <f>IFERROR(VLOOKUP($B410,اسماء,6,0),0)</f>
        <v>0</v>
      </c>
      <c r="I410" s="605"/>
      <c r="J410" s="587">
        <f>IFERROR(VLOOKUP($B410,اسماء,7,0),0)</f>
        <v>0</v>
      </c>
      <c r="K410" s="591"/>
      <c r="L410" s="587">
        <f>IFERROR(VLOOKUP($B410,اسماء,8,0),0)</f>
        <v>0</v>
      </c>
      <c r="M410" s="588"/>
      <c r="N410" s="587">
        <f>IFERROR(VLOOKUP($B410,اسماء,9,0),0)</f>
        <v>0</v>
      </c>
      <c r="O410" s="605"/>
      <c r="P410" s="587">
        <f>IFERROR(VLOOKUP($B410,اسماء,10,0),0)</f>
        <v>0</v>
      </c>
      <c r="Q410" s="605"/>
      <c r="R410" s="606">
        <f>IFERROR(VLOOKUP($B410,اسماء,11,0),0)</f>
        <v>0</v>
      </c>
      <c r="S410" s="591"/>
      <c r="T410" s="587">
        <f>IFERROR(VLOOKUP($B410,اسماء,12,0),0)</f>
        <v>0</v>
      </c>
      <c r="U410" s="591"/>
      <c r="V410" s="263">
        <f t="shared" ref="V410:V412" si="1237">SUM(F410:U410)</f>
        <v>0</v>
      </c>
      <c r="W410" s="373">
        <f>IFERROR(VLOOKUP($B410,اسماء,14,0),0)</f>
        <v>0</v>
      </c>
      <c r="X410" s="373">
        <f>IFERROR(VLOOKUP($B410,اسماء,15,0),0)</f>
        <v>0</v>
      </c>
      <c r="Y410" s="595" t="str">
        <f t="shared" ref="Y410" si="1238">IF(AC410="غائب","راسب",IF(AND(F413&gt;=$G$8,H413&gt;=$I$8,J413&gt;=$K$8,L413&gt;=$M$8,N413&gt;=$O$8,P413&gt;=$Q$8,R413&gt;=$S$8,T413&gt;=$U$8),"ناجح","له دور ثان"))</f>
        <v>له دور ثان</v>
      </c>
      <c r="Z410" s="21" t="str">
        <f t="shared" ref="Z410:Z411" si="1239">LOOKUP(V410,$AF$6:$AG$10)</f>
        <v>ضعيف</v>
      </c>
      <c r="AA410" s="656">
        <f t="shared" ref="AA410" si="1240">V413/$AF$3</f>
        <v>0</v>
      </c>
      <c r="AB410" s="10"/>
      <c r="AC410" s="653" t="str">
        <f>IFERROR(VLOOKUP($B410,اسماء,54,0),"")</f>
        <v/>
      </c>
      <c r="AN410" s="607" t="str">
        <f t="shared" ref="AN410" si="1241">IF(V413=0,"",V413/1+ROW()*0.00001)</f>
        <v/>
      </c>
      <c r="AO410" s="607">
        <f>B410</f>
        <v>0</v>
      </c>
      <c r="AP410" s="613"/>
      <c r="AQ410" s="612">
        <v>89</v>
      </c>
      <c r="AR410" s="611" t="str">
        <f>IFERROR(LARGE($AN$10:$AN$1006,AQ410),"")</f>
        <v/>
      </c>
      <c r="AS410" s="612" t="str">
        <f>VLOOKUP(AR410,$AN$10:$AO$1116,2,0)</f>
        <v>أحمد نورالدين أحمد الذيب</v>
      </c>
    </row>
    <row r="411" spans="1:45" ht="15" customHeight="1" thickBot="1" x14ac:dyDescent="0.3">
      <c r="A411" s="633"/>
      <c r="B411" s="630"/>
      <c r="C411" s="622"/>
      <c r="D411" s="625"/>
      <c r="E411" s="133" t="s">
        <v>31</v>
      </c>
      <c r="F411" s="589">
        <f>IFERROR(VLOOKUP($B410,اسماء,18,0),0)</f>
        <v>0</v>
      </c>
      <c r="G411" s="592"/>
      <c r="H411" s="608">
        <f>IFERROR(VLOOKUP($B410,اسماء,19,0),0)</f>
        <v>0</v>
      </c>
      <c r="I411" s="609"/>
      <c r="J411" s="589">
        <f>IFERROR(VLOOKUP($B410,اسماء,20,0),0)</f>
        <v>0</v>
      </c>
      <c r="K411" s="592"/>
      <c r="L411" s="589">
        <f>IFERROR(VLOOKUP($B410,اسماء,21,0),0)</f>
        <v>0</v>
      </c>
      <c r="M411" s="590"/>
      <c r="N411" s="589">
        <f>IFERROR(VLOOKUP($B410,اسماء,22,0),0)</f>
        <v>0</v>
      </c>
      <c r="O411" s="590"/>
      <c r="P411" s="589">
        <f>IFERROR(VLOOKUP($B410,اسماء,23,0),0)</f>
        <v>0</v>
      </c>
      <c r="Q411" s="609"/>
      <c r="R411" s="603">
        <f>IFERROR(VLOOKUP($B410,اسماء,24,0),0)</f>
        <v>0</v>
      </c>
      <c r="S411" s="592"/>
      <c r="T411" s="589">
        <f>IFERROR(VLOOKUP($B410,اسماء,25,0),0)</f>
        <v>0</v>
      </c>
      <c r="U411" s="592"/>
      <c r="V411" s="263">
        <f t="shared" si="1237"/>
        <v>0</v>
      </c>
      <c r="W411" s="373">
        <f>IFERROR(VLOOKUP($B410,اسماء,27,0),0)</f>
        <v>0</v>
      </c>
      <c r="X411" s="373">
        <f>IFERROR(VLOOKUP($B410,اسماء,28,0),0)</f>
        <v>0</v>
      </c>
      <c r="Y411" s="596"/>
      <c r="Z411" s="22" t="str">
        <f t="shared" si="1239"/>
        <v>ضعيف</v>
      </c>
      <c r="AA411" s="657"/>
      <c r="AB411" s="72"/>
      <c r="AC411" s="654"/>
      <c r="AN411" s="607"/>
      <c r="AO411" s="607"/>
      <c r="AP411" s="613"/>
      <c r="AQ411" s="612"/>
      <c r="AR411" s="611"/>
      <c r="AS411" s="612"/>
    </row>
    <row r="412" spans="1:45" ht="15" customHeight="1" x14ac:dyDescent="0.25">
      <c r="A412" s="633"/>
      <c r="B412" s="630"/>
      <c r="C412" s="622"/>
      <c r="D412" s="625"/>
      <c r="E412" s="133" t="s">
        <v>32</v>
      </c>
      <c r="F412" s="589">
        <f>IFERROR(VLOOKUP($B410,اسماء,31,0),0)</f>
        <v>0</v>
      </c>
      <c r="G412" s="592"/>
      <c r="H412" s="608">
        <f>IFERROR(VLOOKUP($B410,اسماء,32,0),0)</f>
        <v>0</v>
      </c>
      <c r="I412" s="609"/>
      <c r="J412" s="589">
        <f>IFERROR(VLOOKUP($B410,اسماء,33,0),0)</f>
        <v>0</v>
      </c>
      <c r="K412" s="592"/>
      <c r="L412" s="589">
        <f>IFERROR(VLOOKUP($B410,اسماء,34,0),0)</f>
        <v>0</v>
      </c>
      <c r="M412" s="590"/>
      <c r="N412" s="589">
        <f>IFERROR(VLOOKUP($B410,اسماء,35,0),0)</f>
        <v>0</v>
      </c>
      <c r="O412" s="590"/>
      <c r="P412" s="589">
        <f>IFERROR(VLOOKUP($B410,اسماء,36,0),0)</f>
        <v>0</v>
      </c>
      <c r="Q412" s="609"/>
      <c r="R412" s="603">
        <f>IFERROR(VLOOKUP($B410,اسماء,37,0),0)</f>
        <v>0</v>
      </c>
      <c r="S412" s="592"/>
      <c r="T412" s="589">
        <f>IFERROR(VLOOKUP($B410,اسماء,38,0),0)</f>
        <v>0</v>
      </c>
      <c r="U412" s="592"/>
      <c r="V412" s="263">
        <f t="shared" si="1237"/>
        <v>0</v>
      </c>
      <c r="W412" s="373">
        <f>IFERROR(VLOOKUP($B410,اسماء,40,0),0)</f>
        <v>0</v>
      </c>
      <c r="X412" s="373">
        <f>IFERROR(VLOOKUP($B410,اسماء,41,0),0)</f>
        <v>0</v>
      </c>
      <c r="Y412" s="596"/>
      <c r="Z412" s="22" t="str">
        <f t="shared" ref="Z412" si="1242">LOOKUP(V412,$AI$6:$AJ$10)</f>
        <v>ضعيف</v>
      </c>
      <c r="AA412" s="657"/>
      <c r="AB412" s="72"/>
      <c r="AC412" s="654"/>
      <c r="AN412" s="607"/>
      <c r="AO412" s="607"/>
      <c r="AP412" s="613"/>
      <c r="AQ412" s="612"/>
      <c r="AR412" s="611"/>
      <c r="AS412" s="612"/>
    </row>
    <row r="413" spans="1:45" ht="15" customHeight="1" thickBot="1" x14ac:dyDescent="0.3">
      <c r="A413" s="634"/>
      <c r="B413" s="631"/>
      <c r="C413" s="623"/>
      <c r="D413" s="626"/>
      <c r="E413" s="127" t="s">
        <v>33</v>
      </c>
      <c r="F413" s="585">
        <f t="shared" ref="F413" si="1243">SUM(F410:G412)</f>
        <v>0</v>
      </c>
      <c r="G413" s="593"/>
      <c r="H413" s="604">
        <f t="shared" ref="H413" si="1244">SUM(H410:I412)</f>
        <v>0</v>
      </c>
      <c r="I413" s="601"/>
      <c r="J413" s="585">
        <f t="shared" ref="J413" si="1245">SUM(J410:K412)</f>
        <v>0</v>
      </c>
      <c r="K413" s="593"/>
      <c r="L413" s="585">
        <f t="shared" ref="L413" si="1246">SUM(L410:M412)</f>
        <v>0</v>
      </c>
      <c r="M413" s="586"/>
      <c r="N413" s="585">
        <f t="shared" ref="N413" si="1247">SUM(N410:O412)</f>
        <v>0</v>
      </c>
      <c r="O413" s="586"/>
      <c r="P413" s="585">
        <f t="shared" ref="P413" si="1248">SUM(P410:Q412)</f>
        <v>0</v>
      </c>
      <c r="Q413" s="601"/>
      <c r="R413" s="602">
        <f t="shared" ref="R413" si="1249">SUM(R410:S412)</f>
        <v>0</v>
      </c>
      <c r="S413" s="593"/>
      <c r="T413" s="585">
        <f t="shared" ref="T413" si="1250">SUM(T410:U412)</f>
        <v>0</v>
      </c>
      <c r="U413" s="593"/>
      <c r="V413" s="210">
        <f t="shared" ref="V413" si="1251">IF(AND(F413&gt;=$G$8,H413&gt;=$I$8,L413&gt;=$M$8,P413&gt;=$Q$8,R413&gt;=$S$8,T413&gt;=$U$8),SUM(F413:U413),0)</f>
        <v>0</v>
      </c>
      <c r="W413" s="264"/>
      <c r="X413" s="97"/>
      <c r="Y413" s="597"/>
      <c r="Z413" s="91" t="str">
        <f t="shared" ref="Z413" si="1252">LOOKUP(V413,$AL$6:$AM$10)</f>
        <v>ضعيف</v>
      </c>
      <c r="AA413" s="658"/>
      <c r="AB413" s="10"/>
      <c r="AC413" s="655"/>
      <c r="AN413" s="607"/>
      <c r="AO413" s="607"/>
      <c r="AP413" s="613"/>
      <c r="AQ413" s="612"/>
      <c r="AR413" s="611"/>
      <c r="AS413" s="612"/>
    </row>
    <row r="414" spans="1:45" ht="15" customHeight="1" thickBot="1" x14ac:dyDescent="0.3">
      <c r="A414" s="632">
        <v>90</v>
      </c>
      <c r="B414" s="629">
        <f>VLOOKUP(A414,مسلسل,2,0)</f>
        <v>0</v>
      </c>
      <c r="C414" s="621" t="str">
        <f>IFERROR(VLOOKUP(B414,اسماء,2,0),"")</f>
        <v/>
      </c>
      <c r="D414" s="624" t="str">
        <f>IFERROR(VLOOKUP($B414,اسماء,3,0),"")</f>
        <v/>
      </c>
      <c r="E414" s="132" t="s">
        <v>30</v>
      </c>
      <c r="F414" s="627">
        <f>IFERROR(VLOOKUP($B414,اسماء,5,0),0)</f>
        <v>0</v>
      </c>
      <c r="G414" s="606"/>
      <c r="H414" s="628">
        <f>IFERROR(VLOOKUP($B414,اسماء,6,0),0)</f>
        <v>0</v>
      </c>
      <c r="I414" s="605"/>
      <c r="J414" s="587">
        <f>IFERROR(VLOOKUP($B414,اسماء,7,0),0)</f>
        <v>0</v>
      </c>
      <c r="K414" s="591"/>
      <c r="L414" s="587">
        <f>IFERROR(VLOOKUP($B414,اسماء,8,0),0)</f>
        <v>0</v>
      </c>
      <c r="M414" s="588"/>
      <c r="N414" s="587">
        <f>IFERROR(VLOOKUP($B414,اسماء,9,0),0)</f>
        <v>0</v>
      </c>
      <c r="O414" s="605"/>
      <c r="P414" s="587">
        <f>IFERROR(VLOOKUP($B414,اسماء,10,0),0)</f>
        <v>0</v>
      </c>
      <c r="Q414" s="605"/>
      <c r="R414" s="606">
        <f>IFERROR(VLOOKUP($B414,اسماء,11,0),0)</f>
        <v>0</v>
      </c>
      <c r="S414" s="591"/>
      <c r="T414" s="587">
        <f>IFERROR(VLOOKUP($B414,اسماء,12,0),0)</f>
        <v>0</v>
      </c>
      <c r="U414" s="591"/>
      <c r="V414" s="263">
        <f t="shared" ref="V414:V416" si="1253">SUM(F414:U414)</f>
        <v>0</v>
      </c>
      <c r="W414" s="373">
        <f>IFERROR(VLOOKUP($B414,اسماء,14,0),0)</f>
        <v>0</v>
      </c>
      <c r="X414" s="373">
        <f>IFERROR(VLOOKUP($B414,اسماء,15,0),0)</f>
        <v>0</v>
      </c>
      <c r="Y414" s="595" t="str">
        <f t="shared" ref="Y414" si="1254">IF(AC414="غائب","راسب",IF(AND(F417&gt;=$G$8,H417&gt;=$I$8,J417&gt;=$K$8,L417&gt;=$M$8,N417&gt;=$O$8,P417&gt;=$Q$8,R417&gt;=$S$8,T417&gt;=$U$8),"ناجح","له دور ثان"))</f>
        <v>له دور ثان</v>
      </c>
      <c r="Z414" s="21" t="str">
        <f t="shared" ref="Z414:Z415" si="1255">LOOKUP(V414,$AF$6:$AG$10)</f>
        <v>ضعيف</v>
      </c>
      <c r="AA414" s="656">
        <f t="shared" ref="AA414" si="1256">V417/$AF$3</f>
        <v>0</v>
      </c>
      <c r="AB414" s="72"/>
      <c r="AC414" s="653" t="str">
        <f>IFERROR(VLOOKUP($B414,اسماء,54,0),"")</f>
        <v/>
      </c>
      <c r="AN414" s="607" t="str">
        <f t="shared" ref="AN414" si="1257">IF(V417=0,"",V417/1+ROW()*0.00001)</f>
        <v/>
      </c>
      <c r="AO414" s="607">
        <f>B414</f>
        <v>0</v>
      </c>
      <c r="AP414" s="613"/>
      <c r="AQ414" s="612">
        <v>90</v>
      </c>
      <c r="AR414" s="611" t="str">
        <f>IFERROR(LARGE($AN$10:$AN$1006,AQ414),"")</f>
        <v/>
      </c>
      <c r="AS414" s="612" t="str">
        <f>VLOOKUP(AR414,$AN$10:$AO$1116,2,0)</f>
        <v>أحمد نورالدين أحمد الذيب</v>
      </c>
    </row>
    <row r="415" spans="1:45" ht="15" customHeight="1" thickBot="1" x14ac:dyDescent="0.3">
      <c r="A415" s="633"/>
      <c r="B415" s="630"/>
      <c r="C415" s="622"/>
      <c r="D415" s="625"/>
      <c r="E415" s="133" t="s">
        <v>31</v>
      </c>
      <c r="F415" s="589">
        <f>IFERROR(VLOOKUP($B414,اسماء,18,0),0)</f>
        <v>0</v>
      </c>
      <c r="G415" s="592"/>
      <c r="H415" s="608">
        <f>IFERROR(VLOOKUP($B414,اسماء,19,0),0)</f>
        <v>0</v>
      </c>
      <c r="I415" s="609"/>
      <c r="J415" s="589">
        <f>IFERROR(VLOOKUP($B414,اسماء,20,0),0)</f>
        <v>0</v>
      </c>
      <c r="K415" s="592"/>
      <c r="L415" s="589">
        <f>IFERROR(VLOOKUP($B414,اسماء,21,0),0)</f>
        <v>0</v>
      </c>
      <c r="M415" s="590"/>
      <c r="N415" s="589">
        <f>IFERROR(VLOOKUP($B414,اسماء,22,0),0)</f>
        <v>0</v>
      </c>
      <c r="O415" s="590"/>
      <c r="P415" s="589">
        <f>IFERROR(VLOOKUP($B414,اسماء,23,0),0)</f>
        <v>0</v>
      </c>
      <c r="Q415" s="609"/>
      <c r="R415" s="603">
        <f>IFERROR(VLOOKUP($B414,اسماء,24,0),0)</f>
        <v>0</v>
      </c>
      <c r="S415" s="592"/>
      <c r="T415" s="589">
        <f>IFERROR(VLOOKUP($B414,اسماء,25,0),0)</f>
        <v>0</v>
      </c>
      <c r="U415" s="592"/>
      <c r="V415" s="263">
        <f t="shared" si="1253"/>
        <v>0</v>
      </c>
      <c r="W415" s="373">
        <f>IFERROR(VLOOKUP($B414,اسماء,27,0),0)</f>
        <v>0</v>
      </c>
      <c r="X415" s="373">
        <f>IFERROR(VLOOKUP($B414,اسماء,28,0),0)</f>
        <v>0</v>
      </c>
      <c r="Y415" s="596"/>
      <c r="Z415" s="22" t="str">
        <f t="shared" si="1255"/>
        <v>ضعيف</v>
      </c>
      <c r="AA415" s="657"/>
      <c r="AB415" s="72"/>
      <c r="AC415" s="654"/>
      <c r="AN415" s="607"/>
      <c r="AO415" s="607"/>
      <c r="AP415" s="613"/>
      <c r="AQ415" s="612"/>
      <c r="AR415" s="611"/>
      <c r="AS415" s="612"/>
    </row>
    <row r="416" spans="1:45" ht="15" customHeight="1" x14ac:dyDescent="0.25">
      <c r="A416" s="633"/>
      <c r="B416" s="630"/>
      <c r="C416" s="622"/>
      <c r="D416" s="625"/>
      <c r="E416" s="133" t="s">
        <v>32</v>
      </c>
      <c r="F416" s="589">
        <f>IFERROR(VLOOKUP($B414,اسماء,31,0),0)</f>
        <v>0</v>
      </c>
      <c r="G416" s="592"/>
      <c r="H416" s="608">
        <f>IFERROR(VLOOKUP($B414,اسماء,32,0),0)</f>
        <v>0</v>
      </c>
      <c r="I416" s="609"/>
      <c r="J416" s="589">
        <f>IFERROR(VLOOKUP($B414,اسماء,33,0),0)</f>
        <v>0</v>
      </c>
      <c r="K416" s="592"/>
      <c r="L416" s="589">
        <f>IFERROR(VLOOKUP($B414,اسماء,34,0),0)</f>
        <v>0</v>
      </c>
      <c r="M416" s="590"/>
      <c r="N416" s="589">
        <f>IFERROR(VLOOKUP($B414,اسماء,35,0),0)</f>
        <v>0</v>
      </c>
      <c r="O416" s="590"/>
      <c r="P416" s="589">
        <f>IFERROR(VLOOKUP($B414,اسماء,36,0),0)</f>
        <v>0</v>
      </c>
      <c r="Q416" s="609"/>
      <c r="R416" s="603">
        <f>IFERROR(VLOOKUP($B414,اسماء,37,0),0)</f>
        <v>0</v>
      </c>
      <c r="S416" s="592"/>
      <c r="T416" s="589">
        <f>IFERROR(VLOOKUP($B414,اسماء,38,0),0)</f>
        <v>0</v>
      </c>
      <c r="U416" s="592"/>
      <c r="V416" s="263">
        <f t="shared" si="1253"/>
        <v>0</v>
      </c>
      <c r="W416" s="373">
        <f>IFERROR(VLOOKUP($B414,اسماء,40,0),0)</f>
        <v>0</v>
      </c>
      <c r="X416" s="373">
        <f>IFERROR(VLOOKUP($B414,اسماء,41,0),0)</f>
        <v>0</v>
      </c>
      <c r="Y416" s="596"/>
      <c r="Z416" s="22" t="str">
        <f t="shared" ref="Z416" si="1258">LOOKUP(V416,$AI$6:$AJ$10)</f>
        <v>ضعيف</v>
      </c>
      <c r="AA416" s="657"/>
      <c r="AB416" s="10"/>
      <c r="AC416" s="654"/>
      <c r="AN416" s="607"/>
      <c r="AO416" s="607"/>
      <c r="AP416" s="613"/>
      <c r="AQ416" s="612"/>
      <c r="AR416" s="611"/>
      <c r="AS416" s="612"/>
    </row>
    <row r="417" spans="1:45" ht="15" customHeight="1" thickBot="1" x14ac:dyDescent="0.3">
      <c r="A417" s="634"/>
      <c r="B417" s="631"/>
      <c r="C417" s="623"/>
      <c r="D417" s="626"/>
      <c r="E417" s="127" t="s">
        <v>33</v>
      </c>
      <c r="F417" s="585">
        <f t="shared" ref="F417" si="1259">SUM(F414:G416)</f>
        <v>0</v>
      </c>
      <c r="G417" s="593"/>
      <c r="H417" s="604">
        <f t="shared" ref="H417" si="1260">SUM(H414:I416)</f>
        <v>0</v>
      </c>
      <c r="I417" s="601"/>
      <c r="J417" s="585">
        <f t="shared" ref="J417" si="1261">SUM(J414:K416)</f>
        <v>0</v>
      </c>
      <c r="K417" s="593"/>
      <c r="L417" s="585">
        <f t="shared" ref="L417" si="1262">SUM(L414:M416)</f>
        <v>0</v>
      </c>
      <c r="M417" s="586"/>
      <c r="N417" s="585">
        <f t="shared" ref="N417" si="1263">SUM(N414:O416)</f>
        <v>0</v>
      </c>
      <c r="O417" s="586"/>
      <c r="P417" s="585">
        <f t="shared" ref="P417" si="1264">SUM(P414:Q416)</f>
        <v>0</v>
      </c>
      <c r="Q417" s="601"/>
      <c r="R417" s="602">
        <f t="shared" ref="R417" si="1265">SUM(R414:S416)</f>
        <v>0</v>
      </c>
      <c r="S417" s="593"/>
      <c r="T417" s="585">
        <f t="shared" ref="T417" si="1266">SUM(T414:U416)</f>
        <v>0</v>
      </c>
      <c r="U417" s="593"/>
      <c r="V417" s="210">
        <f t="shared" ref="V417" si="1267">IF(AND(F417&gt;=$G$8,H417&gt;=$I$8,L417&gt;=$M$8,P417&gt;=$Q$8,R417&gt;=$S$8,T417&gt;=$U$8),SUM(F417:U417),0)</f>
        <v>0</v>
      </c>
      <c r="W417" s="264"/>
      <c r="X417" s="97"/>
      <c r="Y417" s="597"/>
      <c r="Z417" s="91" t="str">
        <f t="shared" ref="Z417" si="1268">LOOKUP(V417,$AL$6:$AM$10)</f>
        <v>ضعيف</v>
      </c>
      <c r="AA417" s="658"/>
      <c r="AB417" s="72"/>
      <c r="AC417" s="655"/>
      <c r="AN417" s="607"/>
      <c r="AO417" s="607"/>
      <c r="AP417" s="613"/>
      <c r="AQ417" s="612"/>
      <c r="AR417" s="611"/>
      <c r="AS417" s="612"/>
    </row>
    <row r="418" spans="1:45" ht="15" customHeight="1" thickBot="1" x14ac:dyDescent="0.3">
      <c r="F418" s="75"/>
      <c r="G418" s="76"/>
      <c r="H418" s="75"/>
      <c r="I418" s="76"/>
      <c r="J418" s="75"/>
      <c r="K418" s="76"/>
      <c r="L418" s="75"/>
      <c r="M418" s="76"/>
      <c r="N418" s="76"/>
      <c r="O418" s="76"/>
      <c r="P418" s="75"/>
      <c r="Q418" s="76"/>
      <c r="R418" s="75"/>
      <c r="S418" s="76"/>
      <c r="T418" s="75"/>
      <c r="U418" s="76"/>
      <c r="V418" s="74"/>
      <c r="W418" s="77"/>
      <c r="X418" s="74"/>
      <c r="Y418" s="362"/>
      <c r="Z418" s="74"/>
      <c r="AA418" s="267"/>
      <c r="AB418" s="72"/>
      <c r="AK418" s="78"/>
    </row>
    <row r="419" spans="1:45" customFormat="1" ht="15" customHeight="1" x14ac:dyDescent="0.3">
      <c r="A419" s="617" t="s">
        <v>9</v>
      </c>
      <c r="B419" s="618"/>
      <c r="C419" s="619"/>
      <c r="D419" s="288" t="s">
        <v>11</v>
      </c>
      <c r="E419" s="600" t="s">
        <v>97</v>
      </c>
      <c r="F419" s="598"/>
      <c r="G419" s="598"/>
      <c r="H419" s="598"/>
      <c r="I419" s="598"/>
      <c r="J419" s="9"/>
      <c r="K419" s="9"/>
      <c r="L419" s="9"/>
      <c r="M419" s="9"/>
      <c r="N419" s="9"/>
      <c r="O419" s="9"/>
      <c r="P419" s="9"/>
      <c r="Q419" s="9"/>
      <c r="R419" s="9"/>
      <c r="S419" s="598" t="s">
        <v>156</v>
      </c>
      <c r="T419" s="598"/>
      <c r="U419" s="598"/>
      <c r="V419" s="598"/>
      <c r="W419" s="598"/>
      <c r="X419" s="598"/>
      <c r="Y419" s="598"/>
      <c r="Z419" s="1"/>
      <c r="AA419" s="268"/>
      <c r="AC419" s="79"/>
      <c r="AD419" s="80"/>
      <c r="AE419" s="80"/>
      <c r="AF419" s="80"/>
      <c r="AG419" s="80"/>
    </row>
    <row r="420" spans="1:45" customFormat="1" ht="15" customHeight="1" x14ac:dyDescent="0.25">
      <c r="A420" s="81" t="s">
        <v>8</v>
      </c>
      <c r="B420" s="610">
        <f>ادخال1!$BP$3</f>
        <v>0</v>
      </c>
      <c r="C420" s="620"/>
      <c r="D420" s="289"/>
      <c r="E420" s="9" t="s">
        <v>9</v>
      </c>
      <c r="F420" s="599" t="str">
        <f>ادخال1!$BP$5</f>
        <v>د.عبدالرحمن خليفة العريبي</v>
      </c>
      <c r="G420" s="599"/>
      <c r="H420" s="599"/>
      <c r="I420" s="599"/>
      <c r="J420" s="599"/>
      <c r="K420" s="599"/>
      <c r="L420" s="599"/>
      <c r="M420" s="599"/>
      <c r="N420" s="599"/>
      <c r="O420" s="599"/>
      <c r="P420" s="599"/>
      <c r="Q420" s="599"/>
      <c r="R420" s="9"/>
      <c r="S420" s="599" t="str">
        <f>ادخال1!$BP$6</f>
        <v>تاجوراء</v>
      </c>
      <c r="T420" s="599"/>
      <c r="U420" s="599"/>
      <c r="V420" s="599"/>
      <c r="W420" s="599"/>
      <c r="X420" s="599"/>
      <c r="Y420" s="599"/>
      <c r="Z420" s="599"/>
      <c r="AA420" s="67"/>
      <c r="AB420" s="67"/>
      <c r="AC420" s="79"/>
      <c r="AD420" s="79"/>
      <c r="AE420" s="79"/>
      <c r="AF420" s="79"/>
    </row>
    <row r="421" spans="1:45" customFormat="1" ht="15" customHeight="1" thickBot="1" x14ac:dyDescent="0.3">
      <c r="A421" s="82" t="s">
        <v>98</v>
      </c>
      <c r="B421" s="615">
        <f>ادخال1!$BP$4</f>
        <v>0</v>
      </c>
      <c r="C421" s="616"/>
      <c r="D421" s="290"/>
      <c r="E421" s="9" t="s">
        <v>11</v>
      </c>
      <c r="F421" s="607"/>
      <c r="G421" s="607"/>
      <c r="H421" s="607"/>
      <c r="I421" s="607"/>
      <c r="J421" s="607"/>
      <c r="K421" s="607"/>
      <c r="L421" s="607"/>
      <c r="M421" s="607"/>
      <c r="N421" s="607"/>
      <c r="O421" s="607"/>
      <c r="P421" s="607"/>
      <c r="Q421" s="607"/>
      <c r="R421" s="9"/>
      <c r="S421" s="9" t="s">
        <v>11</v>
      </c>
      <c r="T421" s="9"/>
      <c r="U421" s="9" t="s">
        <v>11</v>
      </c>
      <c r="V421" s="1"/>
      <c r="W421" s="1"/>
      <c r="X421" s="1"/>
      <c r="Y421" s="363"/>
      <c r="Z421" s="1"/>
      <c r="AA421" s="268"/>
      <c r="AC421" s="79"/>
      <c r="AD421" s="79"/>
      <c r="AE421" s="79"/>
      <c r="AF421" s="79"/>
    </row>
    <row r="422" spans="1:45" customFormat="1" ht="15" customHeight="1" x14ac:dyDescent="0.25">
      <c r="A422" s="598" t="s">
        <v>99</v>
      </c>
      <c r="B422" s="598"/>
      <c r="C422" s="598"/>
      <c r="D422" s="598"/>
      <c r="E422" s="598" t="s">
        <v>100</v>
      </c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9"/>
      <c r="U422" s="9"/>
      <c r="V422" s="9"/>
      <c r="W422" s="594">
        <f ca="1">TODAY()</f>
        <v>46035</v>
      </c>
      <c r="X422" s="594"/>
      <c r="Y422" s="594"/>
      <c r="Z422" s="594"/>
      <c r="AA422" s="268"/>
    </row>
    <row r="423" spans="1:45" customFormat="1" ht="15" customHeight="1" thickBot="1" x14ac:dyDescent="0.3">
      <c r="A423" s="9"/>
      <c r="B423" s="598" t="s">
        <v>101</v>
      </c>
      <c r="C423" s="598"/>
      <c r="D423" s="598"/>
      <c r="E423" s="598" t="s">
        <v>102</v>
      </c>
      <c r="F423" s="598"/>
      <c r="G423" s="598"/>
      <c r="H423" s="598"/>
      <c r="I423" s="598"/>
      <c r="J423" s="598"/>
      <c r="K423" s="598"/>
      <c r="L423" s="598"/>
      <c r="M423" s="598"/>
      <c r="N423" s="598"/>
      <c r="O423" s="598"/>
      <c r="P423" s="598"/>
      <c r="Q423" s="598"/>
      <c r="R423" s="598"/>
      <c r="S423" s="598"/>
      <c r="T423" s="9"/>
      <c r="U423" s="9"/>
      <c r="V423" s="1"/>
      <c r="W423" s="1"/>
      <c r="X423" s="1"/>
      <c r="Y423" s="363"/>
      <c r="Z423" s="1"/>
      <c r="AA423" s="268"/>
    </row>
    <row r="424" spans="1:45" ht="15" customHeight="1" thickBot="1" x14ac:dyDescent="0.3">
      <c r="A424" s="632">
        <v>91</v>
      </c>
      <c r="B424" s="629">
        <f>VLOOKUP(A424,مسلسل,2,0)</f>
        <v>0</v>
      </c>
      <c r="C424" s="621" t="str">
        <f>IFERROR(VLOOKUP(B424,اسماء,2,0),"")</f>
        <v/>
      </c>
      <c r="D424" s="624" t="str">
        <f>IFERROR(VLOOKUP($B424,اسماء,3,0),"")</f>
        <v/>
      </c>
      <c r="E424" s="132" t="s">
        <v>30</v>
      </c>
      <c r="F424" s="627">
        <f>IFERROR(VLOOKUP($B424,اسماء,5,0),0)</f>
        <v>0</v>
      </c>
      <c r="G424" s="606"/>
      <c r="H424" s="628">
        <f>IFERROR(VLOOKUP($B424,اسماء,6,0),0)</f>
        <v>0</v>
      </c>
      <c r="I424" s="605"/>
      <c r="J424" s="587">
        <f>IFERROR(VLOOKUP($B424,اسماء,7,0),0)</f>
        <v>0</v>
      </c>
      <c r="K424" s="591"/>
      <c r="L424" s="587">
        <f>IFERROR(VLOOKUP($B424,اسماء,8,0),0)</f>
        <v>0</v>
      </c>
      <c r="M424" s="588"/>
      <c r="N424" s="587">
        <f>IFERROR(VLOOKUP($B424,اسماء,9,0),0)</f>
        <v>0</v>
      </c>
      <c r="O424" s="605"/>
      <c r="P424" s="587">
        <f>IFERROR(VLOOKUP($B424,اسماء,10,0),0)</f>
        <v>0</v>
      </c>
      <c r="Q424" s="605"/>
      <c r="R424" s="606">
        <f>IFERROR(VLOOKUP($B424,اسماء,11,0),0)</f>
        <v>0</v>
      </c>
      <c r="S424" s="591"/>
      <c r="T424" s="587">
        <f>IFERROR(VLOOKUP($B424,اسماء,12,0),0)</f>
        <v>0</v>
      </c>
      <c r="U424" s="591"/>
      <c r="V424" s="263">
        <f t="shared" ref="V424:V426" si="1269">SUM(F424:U424)</f>
        <v>0</v>
      </c>
      <c r="W424" s="373">
        <f>IFERROR(VLOOKUP($B424,اسماء,14,0),0)</f>
        <v>0</v>
      </c>
      <c r="X424" s="373">
        <f>IFERROR(VLOOKUP($B424,اسماء,15,0),0)</f>
        <v>0</v>
      </c>
      <c r="Y424" s="595" t="str">
        <f>IF(AC424="غائب","راسب",IF(AND(F427&gt;=$G$8,H427&gt;=$I$8,J427&gt;=$K$8,L427&gt;=$M$8,N427&gt;=$O$8,P427&gt;=$Q$8,R427&gt;=$S$8,T427&gt;=$U$8),"ناجح","له دور ثان"))</f>
        <v>له دور ثان</v>
      </c>
      <c r="Z424" s="21" t="str">
        <f>LOOKUP(V424,$AF$6:$AG$10)</f>
        <v>ضعيف</v>
      </c>
      <c r="AA424" s="656">
        <f>V427/$AF$3</f>
        <v>0</v>
      </c>
      <c r="AB424" s="72"/>
      <c r="AC424" s="653" t="str">
        <f>IFERROR(VLOOKUP($B424,اسماء,54,0),"")</f>
        <v/>
      </c>
      <c r="AN424" s="610" t="str">
        <f>IF(V427=0,"",V427/1+ROW()*0.00001)</f>
        <v/>
      </c>
      <c r="AO424" s="610">
        <f>B424</f>
        <v>0</v>
      </c>
      <c r="AP424" s="613"/>
      <c r="AQ424" s="612">
        <v>91</v>
      </c>
      <c r="AR424" s="611" t="str">
        <f>IFERROR(LARGE($AN$10:$AN$1006,AQ424),"")</f>
        <v/>
      </c>
      <c r="AS424" s="612" t="str">
        <f>VLOOKUP(AR424,$AN$10:$AO$1116,2,0)</f>
        <v>أحمد نورالدين أحمد الذيب</v>
      </c>
    </row>
    <row r="425" spans="1:45" ht="15" customHeight="1" thickBot="1" x14ac:dyDescent="0.3">
      <c r="A425" s="633"/>
      <c r="B425" s="630"/>
      <c r="C425" s="622"/>
      <c r="D425" s="625"/>
      <c r="E425" s="133" t="s">
        <v>31</v>
      </c>
      <c r="F425" s="589">
        <f>IFERROR(VLOOKUP($B424,اسماء,18,0),0)</f>
        <v>0</v>
      </c>
      <c r="G425" s="592"/>
      <c r="H425" s="608">
        <f>IFERROR(VLOOKUP($B424,اسماء,19,0),0)</f>
        <v>0</v>
      </c>
      <c r="I425" s="609"/>
      <c r="J425" s="589">
        <f>IFERROR(VLOOKUP($B424,اسماء,20,0),0)</f>
        <v>0</v>
      </c>
      <c r="K425" s="592"/>
      <c r="L425" s="589">
        <f>IFERROR(VLOOKUP($B424,اسماء,21,0),0)</f>
        <v>0</v>
      </c>
      <c r="M425" s="590"/>
      <c r="N425" s="589">
        <f>IFERROR(VLOOKUP($B424,اسماء,22,0),0)</f>
        <v>0</v>
      </c>
      <c r="O425" s="590"/>
      <c r="P425" s="589">
        <f>IFERROR(VLOOKUP($B424,اسماء,23,0),0)</f>
        <v>0</v>
      </c>
      <c r="Q425" s="609"/>
      <c r="R425" s="603">
        <f>IFERROR(VLOOKUP($B424,اسماء,24,0),0)</f>
        <v>0</v>
      </c>
      <c r="S425" s="592"/>
      <c r="T425" s="589">
        <f>IFERROR(VLOOKUP($B424,اسماء,25,0),0)</f>
        <v>0</v>
      </c>
      <c r="U425" s="592"/>
      <c r="V425" s="263">
        <f t="shared" si="1269"/>
        <v>0</v>
      </c>
      <c r="W425" s="373">
        <f>IFERROR(VLOOKUP($B424,اسماء,27,0),0)</f>
        <v>0</v>
      </c>
      <c r="X425" s="373">
        <f>IFERROR(VLOOKUP($B424,اسماء,28,0),0)</f>
        <v>0</v>
      </c>
      <c r="Y425" s="596"/>
      <c r="Z425" s="22" t="str">
        <f>LOOKUP(V425,$AF$6:$AG$10)</f>
        <v>ضعيف</v>
      </c>
      <c r="AA425" s="657"/>
      <c r="AB425" s="10"/>
      <c r="AC425" s="654"/>
      <c r="AN425" s="610"/>
      <c r="AO425" s="610"/>
      <c r="AP425" s="613"/>
      <c r="AQ425" s="612"/>
      <c r="AR425" s="611"/>
      <c r="AS425" s="612"/>
    </row>
    <row r="426" spans="1:45" ht="15" customHeight="1" x14ac:dyDescent="0.25">
      <c r="A426" s="633"/>
      <c r="B426" s="630"/>
      <c r="C426" s="622"/>
      <c r="D426" s="625"/>
      <c r="E426" s="133" t="s">
        <v>32</v>
      </c>
      <c r="F426" s="589">
        <f>IFERROR(VLOOKUP($B424,اسماء,31,0),0)</f>
        <v>0</v>
      </c>
      <c r="G426" s="592"/>
      <c r="H426" s="608">
        <f>IFERROR(VLOOKUP($B424,اسماء,32,0),0)</f>
        <v>0</v>
      </c>
      <c r="I426" s="609"/>
      <c r="J426" s="589">
        <f>IFERROR(VLOOKUP($B424,اسماء,33,0),0)</f>
        <v>0</v>
      </c>
      <c r="K426" s="592"/>
      <c r="L426" s="589">
        <f>IFERROR(VLOOKUP($B424,اسماء,34,0),0)</f>
        <v>0</v>
      </c>
      <c r="M426" s="590"/>
      <c r="N426" s="589">
        <f>IFERROR(VLOOKUP($B424,اسماء,35,0),0)</f>
        <v>0</v>
      </c>
      <c r="O426" s="590"/>
      <c r="P426" s="589">
        <f>IFERROR(VLOOKUP($B424,اسماء,36,0),0)</f>
        <v>0</v>
      </c>
      <c r="Q426" s="609"/>
      <c r="R426" s="603">
        <f>IFERROR(VLOOKUP($B424,اسماء,37,0),0)</f>
        <v>0</v>
      </c>
      <c r="S426" s="592"/>
      <c r="T426" s="589">
        <f>IFERROR(VLOOKUP($B424,اسماء,38,0),0)</f>
        <v>0</v>
      </c>
      <c r="U426" s="592"/>
      <c r="V426" s="263">
        <f t="shared" si="1269"/>
        <v>0</v>
      </c>
      <c r="W426" s="373">
        <f>IFERROR(VLOOKUP($B424,اسماء,40,0),0)</f>
        <v>0</v>
      </c>
      <c r="X426" s="373">
        <f>IFERROR(VLOOKUP($B424,اسماء,41,0),0)</f>
        <v>0</v>
      </c>
      <c r="Y426" s="596"/>
      <c r="Z426" s="22" t="str">
        <f>LOOKUP(V426,$AI$6:$AJ$10)</f>
        <v>ضعيف</v>
      </c>
      <c r="AA426" s="657"/>
      <c r="AB426" s="72"/>
      <c r="AC426" s="654"/>
      <c r="AN426" s="610"/>
      <c r="AO426" s="610"/>
      <c r="AP426" s="613"/>
      <c r="AQ426" s="612"/>
      <c r="AR426" s="611"/>
      <c r="AS426" s="612"/>
    </row>
    <row r="427" spans="1:45" ht="15" customHeight="1" thickBot="1" x14ac:dyDescent="0.3">
      <c r="A427" s="634"/>
      <c r="B427" s="631"/>
      <c r="C427" s="623"/>
      <c r="D427" s="626"/>
      <c r="E427" s="127" t="s">
        <v>33</v>
      </c>
      <c r="F427" s="585">
        <f t="shared" ref="F427" si="1270">SUM(F424:G426)</f>
        <v>0</v>
      </c>
      <c r="G427" s="593"/>
      <c r="H427" s="604">
        <f t="shared" ref="H427" si="1271">SUM(H424:I426)</f>
        <v>0</v>
      </c>
      <c r="I427" s="601"/>
      <c r="J427" s="585">
        <f t="shared" ref="J427" si="1272">SUM(J424:K426)</f>
        <v>0</v>
      </c>
      <c r="K427" s="593"/>
      <c r="L427" s="585">
        <f t="shared" ref="L427" si="1273">SUM(L424:M426)</f>
        <v>0</v>
      </c>
      <c r="M427" s="586"/>
      <c r="N427" s="585">
        <f t="shared" ref="N427" si="1274">SUM(N424:O426)</f>
        <v>0</v>
      </c>
      <c r="O427" s="586"/>
      <c r="P427" s="585">
        <f t="shared" ref="P427" si="1275">SUM(P424:Q426)</f>
        <v>0</v>
      </c>
      <c r="Q427" s="601"/>
      <c r="R427" s="602">
        <f t="shared" ref="R427" si="1276">SUM(R424:S426)</f>
        <v>0</v>
      </c>
      <c r="S427" s="593"/>
      <c r="T427" s="585">
        <f t="shared" ref="T427" si="1277">SUM(T424:U426)</f>
        <v>0</v>
      </c>
      <c r="U427" s="593"/>
      <c r="V427" s="210">
        <f t="shared" ref="V427" si="1278">IF(AND(F427&gt;=$G$8,H427&gt;=$I$8,L427&gt;=$M$8,P427&gt;=$Q$8,R427&gt;=$S$8,T427&gt;=$U$8),SUM(F427:U427),0)</f>
        <v>0</v>
      </c>
      <c r="W427" s="264"/>
      <c r="X427" s="97"/>
      <c r="Y427" s="597"/>
      <c r="Z427" s="91" t="str">
        <f>LOOKUP(V427,$AL$6:$AM$10)</f>
        <v>ضعيف</v>
      </c>
      <c r="AA427" s="658"/>
      <c r="AB427" s="72"/>
      <c r="AC427" s="655"/>
      <c r="AN427" s="610"/>
      <c r="AO427" s="610"/>
      <c r="AP427" s="613"/>
      <c r="AQ427" s="612"/>
      <c r="AR427" s="611"/>
      <c r="AS427" s="612"/>
    </row>
    <row r="428" spans="1:45" ht="15" customHeight="1" thickBot="1" x14ac:dyDescent="0.3">
      <c r="A428" s="632">
        <v>92</v>
      </c>
      <c r="B428" s="629">
        <f>VLOOKUP(A428,مسلسل,2,0)</f>
        <v>0</v>
      </c>
      <c r="C428" s="621" t="str">
        <f>IFERROR(VLOOKUP(B428,اسماء,2,0),"")</f>
        <v/>
      </c>
      <c r="D428" s="624" t="str">
        <f>IFERROR(VLOOKUP($B428,اسماء,3,0),"")</f>
        <v/>
      </c>
      <c r="E428" s="132" t="s">
        <v>30</v>
      </c>
      <c r="F428" s="627">
        <f>IFERROR(VLOOKUP($B428,اسماء,5,0),0)</f>
        <v>0</v>
      </c>
      <c r="G428" s="606"/>
      <c r="H428" s="628">
        <f>IFERROR(VLOOKUP($B428,اسماء,6,0),0)</f>
        <v>0</v>
      </c>
      <c r="I428" s="605"/>
      <c r="J428" s="587">
        <f>IFERROR(VLOOKUP($B428,اسماء,7,0),0)</f>
        <v>0</v>
      </c>
      <c r="K428" s="591"/>
      <c r="L428" s="587">
        <f>IFERROR(VLOOKUP($B428,اسماء,8,0),0)</f>
        <v>0</v>
      </c>
      <c r="M428" s="588"/>
      <c r="N428" s="587">
        <f>IFERROR(VLOOKUP($B428,اسماء,9,0),0)</f>
        <v>0</v>
      </c>
      <c r="O428" s="605"/>
      <c r="P428" s="587">
        <f>IFERROR(VLOOKUP($B428,اسماء,10,0),0)</f>
        <v>0</v>
      </c>
      <c r="Q428" s="605"/>
      <c r="R428" s="606">
        <f>IFERROR(VLOOKUP($B428,اسماء,11,0),0)</f>
        <v>0</v>
      </c>
      <c r="S428" s="591"/>
      <c r="T428" s="587">
        <f>IFERROR(VLOOKUP($B428,اسماء,12,0),0)</f>
        <v>0</v>
      </c>
      <c r="U428" s="591"/>
      <c r="V428" s="263">
        <f t="shared" ref="V428:V430" si="1279">SUM(F428:U428)</f>
        <v>0</v>
      </c>
      <c r="W428" s="373">
        <f>IFERROR(VLOOKUP($B428,اسماء,14,0),0)</f>
        <v>0</v>
      </c>
      <c r="X428" s="373">
        <f>IFERROR(VLOOKUP($B428,اسماء,15,0),0)</f>
        <v>0</v>
      </c>
      <c r="Y428" s="595" t="str">
        <f t="shared" ref="Y428" si="1280">IF(AC428="غائب","راسب",IF(AND(F431&gt;=$G$8,H431&gt;=$I$8,J431&gt;=$K$8,L431&gt;=$M$8,N431&gt;=$O$8,P431&gt;=$Q$8,R431&gt;=$S$8,T431&gt;=$U$8),"ناجح","له دور ثان"))</f>
        <v>له دور ثان</v>
      </c>
      <c r="Z428" s="21" t="str">
        <f>LOOKUP(V428,$AF$6:$AG$10)</f>
        <v>ضعيف</v>
      </c>
      <c r="AA428" s="656">
        <f>V431/$AF$3</f>
        <v>0</v>
      </c>
      <c r="AB428" s="10"/>
      <c r="AC428" s="653" t="str">
        <f>IFERROR(VLOOKUP($B428,اسماء,54,0),"")</f>
        <v/>
      </c>
      <c r="AN428" s="607" t="str">
        <f t="shared" ref="AN428" si="1281">IF(V431=0,"",V431/1+ROW()*0.00001)</f>
        <v/>
      </c>
      <c r="AO428" s="607">
        <f>B428</f>
        <v>0</v>
      </c>
      <c r="AP428" s="613"/>
      <c r="AQ428" s="612">
        <v>92</v>
      </c>
      <c r="AR428" s="611" t="str">
        <f>IFERROR(LARGE($AN$10:$AN$1006,AQ428),"")</f>
        <v/>
      </c>
      <c r="AS428" s="612" t="str">
        <f>VLOOKUP(AR428,$AN$10:$AO$1116,2,0)</f>
        <v>أحمد نورالدين أحمد الذيب</v>
      </c>
    </row>
    <row r="429" spans="1:45" ht="15" customHeight="1" thickBot="1" x14ac:dyDescent="0.3">
      <c r="A429" s="633"/>
      <c r="B429" s="630"/>
      <c r="C429" s="622"/>
      <c r="D429" s="625"/>
      <c r="E429" s="133" t="s">
        <v>31</v>
      </c>
      <c r="F429" s="589">
        <f>IFERROR(VLOOKUP($B428,اسماء,18,0),0)</f>
        <v>0</v>
      </c>
      <c r="G429" s="592"/>
      <c r="H429" s="608">
        <f>IFERROR(VLOOKUP($B428,اسماء,19,0),0)</f>
        <v>0</v>
      </c>
      <c r="I429" s="609"/>
      <c r="J429" s="589">
        <f>IFERROR(VLOOKUP($B428,اسماء,20,0),0)</f>
        <v>0</v>
      </c>
      <c r="K429" s="592"/>
      <c r="L429" s="589">
        <f>IFERROR(VLOOKUP($B428,اسماء,21,0),0)</f>
        <v>0</v>
      </c>
      <c r="M429" s="590"/>
      <c r="N429" s="589">
        <f>IFERROR(VLOOKUP($B428,اسماء,22,0),0)</f>
        <v>0</v>
      </c>
      <c r="O429" s="590"/>
      <c r="P429" s="589">
        <f>IFERROR(VLOOKUP($B428,اسماء,23,0),0)</f>
        <v>0</v>
      </c>
      <c r="Q429" s="609"/>
      <c r="R429" s="603">
        <f>IFERROR(VLOOKUP($B428,اسماء,24,0),0)</f>
        <v>0</v>
      </c>
      <c r="S429" s="592"/>
      <c r="T429" s="589">
        <f>IFERROR(VLOOKUP($B428,اسماء,25,0),0)</f>
        <v>0</v>
      </c>
      <c r="U429" s="592"/>
      <c r="V429" s="263">
        <f t="shared" si="1279"/>
        <v>0</v>
      </c>
      <c r="W429" s="373">
        <f>IFERROR(VLOOKUP($B428,اسماء,27,0),0)</f>
        <v>0</v>
      </c>
      <c r="X429" s="373">
        <f>IFERROR(VLOOKUP($B428,اسماء,28,0),0)</f>
        <v>0</v>
      </c>
      <c r="Y429" s="596"/>
      <c r="Z429" s="22" t="str">
        <f>LOOKUP(V429,$AF$6:$AG$10)</f>
        <v>ضعيف</v>
      </c>
      <c r="AA429" s="657"/>
      <c r="AB429" s="72"/>
      <c r="AC429" s="654"/>
      <c r="AN429" s="607"/>
      <c r="AO429" s="607"/>
      <c r="AP429" s="613"/>
      <c r="AQ429" s="612"/>
      <c r="AR429" s="611"/>
      <c r="AS429" s="612"/>
    </row>
    <row r="430" spans="1:45" ht="15" customHeight="1" x14ac:dyDescent="0.25">
      <c r="A430" s="633"/>
      <c r="B430" s="630"/>
      <c r="C430" s="622"/>
      <c r="D430" s="625"/>
      <c r="E430" s="133" t="s">
        <v>32</v>
      </c>
      <c r="F430" s="589">
        <f>IFERROR(VLOOKUP($B428,اسماء,31,0),0)</f>
        <v>0</v>
      </c>
      <c r="G430" s="592"/>
      <c r="H430" s="608">
        <f>IFERROR(VLOOKUP($B428,اسماء,32,0),0)</f>
        <v>0</v>
      </c>
      <c r="I430" s="609"/>
      <c r="J430" s="589">
        <f>IFERROR(VLOOKUP($B428,اسماء,33,0),0)</f>
        <v>0</v>
      </c>
      <c r="K430" s="592"/>
      <c r="L430" s="589">
        <f>IFERROR(VLOOKUP($B428,اسماء,34,0),0)</f>
        <v>0</v>
      </c>
      <c r="M430" s="590"/>
      <c r="N430" s="589">
        <f>IFERROR(VLOOKUP($B428,اسماء,35,0),0)</f>
        <v>0</v>
      </c>
      <c r="O430" s="590"/>
      <c r="P430" s="589">
        <f>IFERROR(VLOOKUP($B428,اسماء,36,0),0)</f>
        <v>0</v>
      </c>
      <c r="Q430" s="609"/>
      <c r="R430" s="603">
        <f>IFERROR(VLOOKUP($B428,اسماء,37,0),0)</f>
        <v>0</v>
      </c>
      <c r="S430" s="592"/>
      <c r="T430" s="589">
        <f>IFERROR(VLOOKUP($B428,اسماء,38,0),0)</f>
        <v>0</v>
      </c>
      <c r="U430" s="592"/>
      <c r="V430" s="263">
        <f t="shared" si="1279"/>
        <v>0</v>
      </c>
      <c r="W430" s="373">
        <f>IFERROR(VLOOKUP($B428,اسماء,40,0),0)</f>
        <v>0</v>
      </c>
      <c r="X430" s="373">
        <f>IFERROR(VLOOKUP($B428,اسماء,41,0),0)</f>
        <v>0</v>
      </c>
      <c r="Y430" s="596"/>
      <c r="Z430" s="22" t="str">
        <f>LOOKUP(V430,$AI$6:$AJ$10)</f>
        <v>ضعيف</v>
      </c>
      <c r="AA430" s="657"/>
      <c r="AB430" s="72"/>
      <c r="AC430" s="654"/>
      <c r="AN430" s="607"/>
      <c r="AO430" s="607"/>
      <c r="AP430" s="613"/>
      <c r="AQ430" s="612"/>
      <c r="AR430" s="611"/>
      <c r="AS430" s="612"/>
    </row>
    <row r="431" spans="1:45" ht="15" customHeight="1" thickBot="1" x14ac:dyDescent="0.3">
      <c r="A431" s="634"/>
      <c r="B431" s="631"/>
      <c r="C431" s="623"/>
      <c r="D431" s="626"/>
      <c r="E431" s="127" t="s">
        <v>33</v>
      </c>
      <c r="F431" s="585">
        <f t="shared" ref="F431" si="1282">SUM(F428:G430)</f>
        <v>0</v>
      </c>
      <c r="G431" s="593"/>
      <c r="H431" s="604">
        <f t="shared" ref="H431" si="1283">SUM(H428:I430)</f>
        <v>0</v>
      </c>
      <c r="I431" s="601"/>
      <c r="J431" s="585">
        <f t="shared" ref="J431" si="1284">SUM(J428:K430)</f>
        <v>0</v>
      </c>
      <c r="K431" s="593"/>
      <c r="L431" s="585">
        <f t="shared" ref="L431" si="1285">SUM(L428:M430)</f>
        <v>0</v>
      </c>
      <c r="M431" s="586"/>
      <c r="N431" s="585">
        <f t="shared" ref="N431" si="1286">SUM(N428:O430)</f>
        <v>0</v>
      </c>
      <c r="O431" s="586"/>
      <c r="P431" s="585">
        <f t="shared" ref="P431" si="1287">SUM(P428:Q430)</f>
        <v>0</v>
      </c>
      <c r="Q431" s="601"/>
      <c r="R431" s="602">
        <f t="shared" ref="R431" si="1288">SUM(R428:S430)</f>
        <v>0</v>
      </c>
      <c r="S431" s="593"/>
      <c r="T431" s="585">
        <f t="shared" ref="T431" si="1289">SUM(T428:U430)</f>
        <v>0</v>
      </c>
      <c r="U431" s="593"/>
      <c r="V431" s="210">
        <f t="shared" ref="V431" si="1290">IF(AND(F431&gt;=$G$8,H431&gt;=$I$8,L431&gt;=$M$8,P431&gt;=$Q$8,R431&gt;=$S$8,T431&gt;=$U$8),SUM(F431:U431),0)</f>
        <v>0</v>
      </c>
      <c r="W431" s="264"/>
      <c r="X431" s="97"/>
      <c r="Y431" s="597"/>
      <c r="Z431" s="91" t="str">
        <f>LOOKUP(V431,$AL$6:$AM$10)</f>
        <v>ضعيف</v>
      </c>
      <c r="AA431" s="658"/>
      <c r="AB431" s="10"/>
      <c r="AC431" s="655"/>
      <c r="AN431" s="607"/>
      <c r="AO431" s="607"/>
      <c r="AP431" s="613"/>
      <c r="AQ431" s="612"/>
      <c r="AR431" s="611"/>
      <c r="AS431" s="612"/>
    </row>
    <row r="432" spans="1:45" ht="15" customHeight="1" thickBot="1" x14ac:dyDescent="0.3">
      <c r="A432" s="632">
        <v>93</v>
      </c>
      <c r="B432" s="629">
        <f>VLOOKUP(A432,مسلسل,2,0)</f>
        <v>0</v>
      </c>
      <c r="C432" s="621" t="str">
        <f>IFERROR(VLOOKUP(B432,اسماء,2,0),"")</f>
        <v/>
      </c>
      <c r="D432" s="624" t="str">
        <f>IFERROR(VLOOKUP($B432,اسماء,3,0),"")</f>
        <v/>
      </c>
      <c r="E432" s="132" t="s">
        <v>30</v>
      </c>
      <c r="F432" s="627">
        <f>IFERROR(VLOOKUP($B432,اسماء,5,0),0)</f>
        <v>0</v>
      </c>
      <c r="G432" s="606"/>
      <c r="H432" s="628">
        <f>IFERROR(VLOOKUP($B432,اسماء,6,0),0)</f>
        <v>0</v>
      </c>
      <c r="I432" s="605"/>
      <c r="J432" s="587">
        <f>IFERROR(VLOOKUP($B432,اسماء,7,0),0)</f>
        <v>0</v>
      </c>
      <c r="K432" s="591"/>
      <c r="L432" s="587">
        <f>IFERROR(VLOOKUP($B432,اسماء,8,0),0)</f>
        <v>0</v>
      </c>
      <c r="M432" s="588"/>
      <c r="N432" s="587">
        <f>IFERROR(VLOOKUP($B432,اسماء,9,0),0)</f>
        <v>0</v>
      </c>
      <c r="O432" s="605"/>
      <c r="P432" s="587">
        <f>IFERROR(VLOOKUP($B432,اسماء,10,0),0)</f>
        <v>0</v>
      </c>
      <c r="Q432" s="605"/>
      <c r="R432" s="606">
        <f>IFERROR(VLOOKUP($B432,اسماء,11,0),0)</f>
        <v>0</v>
      </c>
      <c r="S432" s="591"/>
      <c r="T432" s="587">
        <f>IFERROR(VLOOKUP($B432,اسماء,12,0),0)</f>
        <v>0</v>
      </c>
      <c r="U432" s="591"/>
      <c r="V432" s="263">
        <f t="shared" ref="V432:V434" si="1291">SUM(F432:U432)</f>
        <v>0</v>
      </c>
      <c r="W432" s="373">
        <f>IFERROR(VLOOKUP($B432,اسماء,14,0),0)</f>
        <v>0</v>
      </c>
      <c r="X432" s="373">
        <f>IFERROR(VLOOKUP($B432,اسماء,15,0),0)</f>
        <v>0</v>
      </c>
      <c r="Y432" s="595" t="str">
        <f t="shared" ref="Y432" si="1292">IF(AC432="غائب","راسب",IF(AND(F435&gt;=$G$8,H435&gt;=$I$8,J435&gt;=$K$8,L435&gt;=$M$8,N435&gt;=$O$8,P435&gt;=$Q$8,R435&gt;=$S$8,T435&gt;=$U$8),"ناجح","له دور ثان"))</f>
        <v>له دور ثان</v>
      </c>
      <c r="Z432" s="21" t="str">
        <f>LOOKUP(V432,$AF$6:$AG$10)</f>
        <v>ضعيف</v>
      </c>
      <c r="AA432" s="656">
        <f>V435/$AF$3</f>
        <v>0</v>
      </c>
      <c r="AB432" s="72"/>
      <c r="AC432" s="653" t="str">
        <f>IFERROR(VLOOKUP($B432,اسماء,54,0),"")</f>
        <v/>
      </c>
      <c r="AN432" s="607" t="str">
        <f t="shared" ref="AN432" si="1293">IF(V435=0,"",V435/1+ROW()*0.00001)</f>
        <v/>
      </c>
      <c r="AO432" s="607">
        <f>B432</f>
        <v>0</v>
      </c>
      <c r="AP432" s="613"/>
      <c r="AQ432" s="612">
        <v>93</v>
      </c>
      <c r="AR432" s="611" t="str">
        <f>IFERROR(LARGE($AN$10:$AN$1006,AQ432),"")</f>
        <v/>
      </c>
      <c r="AS432" s="612" t="str">
        <f>VLOOKUP(AR432,$AN$10:$AO$1116,2,0)</f>
        <v>أحمد نورالدين أحمد الذيب</v>
      </c>
    </row>
    <row r="433" spans="1:45" ht="15" customHeight="1" thickBot="1" x14ac:dyDescent="0.3">
      <c r="A433" s="633"/>
      <c r="B433" s="630"/>
      <c r="C433" s="622"/>
      <c r="D433" s="625"/>
      <c r="E433" s="133" t="s">
        <v>31</v>
      </c>
      <c r="F433" s="589">
        <f>IFERROR(VLOOKUP($B432,اسماء,18,0),0)</f>
        <v>0</v>
      </c>
      <c r="G433" s="592"/>
      <c r="H433" s="608">
        <f>IFERROR(VLOOKUP($B432,اسماء,19,0),0)</f>
        <v>0</v>
      </c>
      <c r="I433" s="609"/>
      <c r="J433" s="589">
        <f>IFERROR(VLOOKUP($B432,اسماء,20,0),0)</f>
        <v>0</v>
      </c>
      <c r="K433" s="592"/>
      <c r="L433" s="589">
        <f>IFERROR(VLOOKUP($B432,اسماء,21,0),0)</f>
        <v>0</v>
      </c>
      <c r="M433" s="590"/>
      <c r="N433" s="589">
        <f>IFERROR(VLOOKUP($B432,اسماء,22,0),0)</f>
        <v>0</v>
      </c>
      <c r="O433" s="590"/>
      <c r="P433" s="589">
        <f>IFERROR(VLOOKUP($B432,اسماء,23,0),0)</f>
        <v>0</v>
      </c>
      <c r="Q433" s="609"/>
      <c r="R433" s="603">
        <f>IFERROR(VLOOKUP($B432,اسماء,24,0),0)</f>
        <v>0</v>
      </c>
      <c r="S433" s="592"/>
      <c r="T433" s="589">
        <f>IFERROR(VLOOKUP($B432,اسماء,25,0),0)</f>
        <v>0</v>
      </c>
      <c r="U433" s="592"/>
      <c r="V433" s="263">
        <f t="shared" si="1291"/>
        <v>0</v>
      </c>
      <c r="W433" s="373">
        <f>IFERROR(VLOOKUP($B432,اسماء,27,0),0)</f>
        <v>0</v>
      </c>
      <c r="X433" s="373">
        <f>IFERROR(VLOOKUP($B432,اسماء,28,0),0)</f>
        <v>0</v>
      </c>
      <c r="Y433" s="596"/>
      <c r="Z433" s="22" t="str">
        <f>LOOKUP(V433,$AF$6:$AG$10)</f>
        <v>ضعيف</v>
      </c>
      <c r="AA433" s="657"/>
      <c r="AB433" s="72"/>
      <c r="AC433" s="654"/>
      <c r="AN433" s="607"/>
      <c r="AO433" s="607"/>
      <c r="AP433" s="613"/>
      <c r="AQ433" s="612"/>
      <c r="AR433" s="611"/>
      <c r="AS433" s="612"/>
    </row>
    <row r="434" spans="1:45" ht="15" customHeight="1" x14ac:dyDescent="0.25">
      <c r="A434" s="633"/>
      <c r="B434" s="630"/>
      <c r="C434" s="622"/>
      <c r="D434" s="625"/>
      <c r="E434" s="133" t="s">
        <v>32</v>
      </c>
      <c r="F434" s="589">
        <f>IFERROR(VLOOKUP($B432,اسماء,31,0),0)</f>
        <v>0</v>
      </c>
      <c r="G434" s="592"/>
      <c r="H434" s="608">
        <f>IFERROR(VLOOKUP($B432,اسماء,32,0),0)</f>
        <v>0</v>
      </c>
      <c r="I434" s="609"/>
      <c r="J434" s="589">
        <f>IFERROR(VLOOKUP($B432,اسماء,33,0),0)</f>
        <v>0</v>
      </c>
      <c r="K434" s="592"/>
      <c r="L434" s="589">
        <f>IFERROR(VLOOKUP($B432,اسماء,34,0),0)</f>
        <v>0</v>
      </c>
      <c r="M434" s="590"/>
      <c r="N434" s="589">
        <f>IFERROR(VLOOKUP($B432,اسماء,35,0),0)</f>
        <v>0</v>
      </c>
      <c r="O434" s="590"/>
      <c r="P434" s="589">
        <f>IFERROR(VLOOKUP($B432,اسماء,36,0),0)</f>
        <v>0</v>
      </c>
      <c r="Q434" s="609"/>
      <c r="R434" s="603">
        <f>IFERROR(VLOOKUP($B432,اسماء,37,0),0)</f>
        <v>0</v>
      </c>
      <c r="S434" s="592"/>
      <c r="T434" s="589">
        <f>IFERROR(VLOOKUP($B432,اسماء,38,0),0)</f>
        <v>0</v>
      </c>
      <c r="U434" s="592"/>
      <c r="V434" s="263">
        <f t="shared" si="1291"/>
        <v>0</v>
      </c>
      <c r="W434" s="373">
        <f>IFERROR(VLOOKUP($B432,اسماء,40,0),0)</f>
        <v>0</v>
      </c>
      <c r="X434" s="373">
        <f>IFERROR(VLOOKUP($B432,اسماء,41,0),0)</f>
        <v>0</v>
      </c>
      <c r="Y434" s="596"/>
      <c r="Z434" s="22" t="str">
        <f>LOOKUP(V434,$AI$6:$AJ$10)</f>
        <v>ضعيف</v>
      </c>
      <c r="AA434" s="657"/>
      <c r="AB434" s="10"/>
      <c r="AC434" s="654"/>
      <c r="AN434" s="607"/>
      <c r="AO434" s="607"/>
      <c r="AP434" s="613"/>
      <c r="AQ434" s="612"/>
      <c r="AR434" s="611"/>
      <c r="AS434" s="612"/>
    </row>
    <row r="435" spans="1:45" ht="15" customHeight="1" thickBot="1" x14ac:dyDescent="0.3">
      <c r="A435" s="634"/>
      <c r="B435" s="631"/>
      <c r="C435" s="623"/>
      <c r="D435" s="626"/>
      <c r="E435" s="127" t="s">
        <v>33</v>
      </c>
      <c r="F435" s="585">
        <f t="shared" ref="F435" si="1294">SUM(F432:G434)</f>
        <v>0</v>
      </c>
      <c r="G435" s="593"/>
      <c r="H435" s="604">
        <f t="shared" ref="H435" si="1295">SUM(H432:I434)</f>
        <v>0</v>
      </c>
      <c r="I435" s="601"/>
      <c r="J435" s="585">
        <f t="shared" ref="J435" si="1296">SUM(J432:K434)</f>
        <v>0</v>
      </c>
      <c r="K435" s="593"/>
      <c r="L435" s="585">
        <f t="shared" ref="L435" si="1297">SUM(L432:M434)</f>
        <v>0</v>
      </c>
      <c r="M435" s="586"/>
      <c r="N435" s="585">
        <f t="shared" ref="N435" si="1298">SUM(N432:O434)</f>
        <v>0</v>
      </c>
      <c r="O435" s="586"/>
      <c r="P435" s="585">
        <f t="shared" ref="P435" si="1299">SUM(P432:Q434)</f>
        <v>0</v>
      </c>
      <c r="Q435" s="601"/>
      <c r="R435" s="602">
        <f t="shared" ref="R435" si="1300">SUM(R432:S434)</f>
        <v>0</v>
      </c>
      <c r="S435" s="593"/>
      <c r="T435" s="585">
        <f t="shared" ref="T435" si="1301">SUM(T432:U434)</f>
        <v>0</v>
      </c>
      <c r="U435" s="593"/>
      <c r="V435" s="210">
        <f t="shared" ref="V435" si="1302">IF(AND(F435&gt;=$G$8,H435&gt;=$I$8,L435&gt;=$M$8,P435&gt;=$Q$8,R435&gt;=$S$8,T435&gt;=$U$8),SUM(F435:U435),0)</f>
        <v>0</v>
      </c>
      <c r="W435" s="264"/>
      <c r="X435" s="97"/>
      <c r="Y435" s="597"/>
      <c r="Z435" s="91" t="str">
        <f>LOOKUP(V435,$AL$6:$AM$10)</f>
        <v>ضعيف</v>
      </c>
      <c r="AA435" s="658"/>
      <c r="AB435" s="72"/>
      <c r="AC435" s="655"/>
      <c r="AN435" s="607"/>
      <c r="AO435" s="607"/>
      <c r="AP435" s="613"/>
      <c r="AQ435" s="612"/>
      <c r="AR435" s="611"/>
      <c r="AS435" s="612"/>
    </row>
    <row r="436" spans="1:45" ht="15" customHeight="1" thickBot="1" x14ac:dyDescent="0.3">
      <c r="A436" s="632">
        <v>94</v>
      </c>
      <c r="B436" s="629">
        <f>VLOOKUP(A436,مسلسل,2,0)</f>
        <v>0</v>
      </c>
      <c r="C436" s="621" t="str">
        <f>IFERROR(VLOOKUP(B436,اسماء,2,0),"")</f>
        <v/>
      </c>
      <c r="D436" s="624" t="str">
        <f>IFERROR(VLOOKUP($B436,اسماء,3,0),"")</f>
        <v/>
      </c>
      <c r="E436" s="132" t="s">
        <v>30</v>
      </c>
      <c r="F436" s="627">
        <f>IFERROR(VLOOKUP($B436,اسماء,5,0),0)</f>
        <v>0</v>
      </c>
      <c r="G436" s="606"/>
      <c r="H436" s="628">
        <f>IFERROR(VLOOKUP($B436,اسماء,6,0),0)</f>
        <v>0</v>
      </c>
      <c r="I436" s="605"/>
      <c r="J436" s="587">
        <f>IFERROR(VLOOKUP($B436,اسماء,7,0),0)</f>
        <v>0</v>
      </c>
      <c r="K436" s="591"/>
      <c r="L436" s="587">
        <f>IFERROR(VLOOKUP($B436,اسماء,8,0),0)</f>
        <v>0</v>
      </c>
      <c r="M436" s="588"/>
      <c r="N436" s="587">
        <f>IFERROR(VLOOKUP($B436,اسماء,9,0),0)</f>
        <v>0</v>
      </c>
      <c r="O436" s="605"/>
      <c r="P436" s="587">
        <f>IFERROR(VLOOKUP($B436,اسماء,10,0),0)</f>
        <v>0</v>
      </c>
      <c r="Q436" s="605"/>
      <c r="R436" s="606">
        <f>IFERROR(VLOOKUP($B436,اسماء,11,0),0)</f>
        <v>0</v>
      </c>
      <c r="S436" s="591"/>
      <c r="T436" s="587">
        <f>IFERROR(VLOOKUP($B436,اسماء,12,0),0)</f>
        <v>0</v>
      </c>
      <c r="U436" s="591"/>
      <c r="V436" s="263">
        <f t="shared" ref="V436:V438" si="1303">SUM(F436:U436)</f>
        <v>0</v>
      </c>
      <c r="W436" s="373">
        <f>IFERROR(VLOOKUP($B436,اسماء,14,0),0)</f>
        <v>0</v>
      </c>
      <c r="X436" s="373">
        <f>IFERROR(VLOOKUP($B436,اسماء,15,0),0)</f>
        <v>0</v>
      </c>
      <c r="Y436" s="595" t="str">
        <f t="shared" ref="Y436" si="1304">IF(AC436="غائب","راسب",IF(AND(F439&gt;=$G$8,H439&gt;=$I$8,J439&gt;=$K$8,L439&gt;=$M$8,N439&gt;=$O$8,P439&gt;=$Q$8,R439&gt;=$S$8,T439&gt;=$U$8),"ناجح","له دور ثان"))</f>
        <v>له دور ثان</v>
      </c>
      <c r="Z436" s="21" t="str">
        <f>LOOKUP(V436,$AF$6:$AG$10)</f>
        <v>ضعيف</v>
      </c>
      <c r="AA436" s="656">
        <f>V439/$AF$3</f>
        <v>0</v>
      </c>
      <c r="AB436" s="72"/>
      <c r="AC436" s="653" t="str">
        <f>IFERROR(VLOOKUP($B436,اسماء,54,0),"")</f>
        <v/>
      </c>
      <c r="AN436" s="607" t="str">
        <f t="shared" ref="AN436" si="1305">IF(V439=0,"",V439/1+ROW()*0.00001)</f>
        <v/>
      </c>
      <c r="AO436" s="607">
        <f>B436</f>
        <v>0</v>
      </c>
      <c r="AP436" s="613"/>
      <c r="AQ436" s="612">
        <v>94</v>
      </c>
      <c r="AR436" s="611" t="str">
        <f>IFERROR(LARGE($AN$10:$AN$1006,AQ436),"")</f>
        <v/>
      </c>
      <c r="AS436" s="612" t="str">
        <f>VLOOKUP(AR436,$AN$10:$AO$1116,2,0)</f>
        <v>أحمد نورالدين أحمد الذيب</v>
      </c>
    </row>
    <row r="437" spans="1:45" ht="15" customHeight="1" thickBot="1" x14ac:dyDescent="0.3">
      <c r="A437" s="633"/>
      <c r="B437" s="630"/>
      <c r="C437" s="622"/>
      <c r="D437" s="625"/>
      <c r="E437" s="133" t="s">
        <v>31</v>
      </c>
      <c r="F437" s="589">
        <f>IFERROR(VLOOKUP($B436,اسماء,18,0),0)</f>
        <v>0</v>
      </c>
      <c r="G437" s="592"/>
      <c r="H437" s="608">
        <f>IFERROR(VLOOKUP($B436,اسماء,19,0),0)</f>
        <v>0</v>
      </c>
      <c r="I437" s="609"/>
      <c r="J437" s="589">
        <f>IFERROR(VLOOKUP($B436,اسماء,20,0),0)</f>
        <v>0</v>
      </c>
      <c r="K437" s="592"/>
      <c r="L437" s="589">
        <f>IFERROR(VLOOKUP($B436,اسماء,21,0),0)</f>
        <v>0</v>
      </c>
      <c r="M437" s="590"/>
      <c r="N437" s="589">
        <f>IFERROR(VLOOKUP($B436,اسماء,22,0),0)</f>
        <v>0</v>
      </c>
      <c r="O437" s="590"/>
      <c r="P437" s="589">
        <f>IFERROR(VLOOKUP($B436,اسماء,23,0),0)</f>
        <v>0</v>
      </c>
      <c r="Q437" s="609"/>
      <c r="R437" s="603">
        <f>IFERROR(VLOOKUP($B436,اسماء,24,0),0)</f>
        <v>0</v>
      </c>
      <c r="S437" s="592"/>
      <c r="T437" s="589">
        <f>IFERROR(VLOOKUP($B436,اسماء,25,0),0)</f>
        <v>0</v>
      </c>
      <c r="U437" s="592"/>
      <c r="V437" s="263">
        <f t="shared" si="1303"/>
        <v>0</v>
      </c>
      <c r="W437" s="373">
        <f>IFERROR(VLOOKUP($B436,اسماء,27,0),0)</f>
        <v>0</v>
      </c>
      <c r="X437" s="373">
        <f>IFERROR(VLOOKUP($B436,اسماء,28,0),0)</f>
        <v>0</v>
      </c>
      <c r="Y437" s="596"/>
      <c r="Z437" s="22" t="str">
        <f>LOOKUP(V437,$AF$6:$AG$10)</f>
        <v>ضعيف</v>
      </c>
      <c r="AA437" s="657"/>
      <c r="AB437" s="10"/>
      <c r="AC437" s="654"/>
      <c r="AN437" s="607"/>
      <c r="AO437" s="607"/>
      <c r="AP437" s="613"/>
      <c r="AQ437" s="612"/>
      <c r="AR437" s="611"/>
      <c r="AS437" s="612"/>
    </row>
    <row r="438" spans="1:45" ht="15" customHeight="1" x14ac:dyDescent="0.25">
      <c r="A438" s="633"/>
      <c r="B438" s="630"/>
      <c r="C438" s="622"/>
      <c r="D438" s="625"/>
      <c r="E438" s="133" t="s">
        <v>32</v>
      </c>
      <c r="F438" s="589">
        <f>IFERROR(VLOOKUP($B436,اسماء,31,0),0)</f>
        <v>0</v>
      </c>
      <c r="G438" s="592"/>
      <c r="H438" s="608">
        <f>IFERROR(VLOOKUP($B436,اسماء,32,0),0)</f>
        <v>0</v>
      </c>
      <c r="I438" s="609"/>
      <c r="J438" s="589">
        <f>IFERROR(VLOOKUP($B436,اسماء,33,0),0)</f>
        <v>0</v>
      </c>
      <c r="K438" s="592"/>
      <c r="L438" s="589">
        <f>IFERROR(VLOOKUP($B436,اسماء,34,0),0)</f>
        <v>0</v>
      </c>
      <c r="M438" s="590"/>
      <c r="N438" s="589">
        <f>IFERROR(VLOOKUP($B436,اسماء,35,0),0)</f>
        <v>0</v>
      </c>
      <c r="O438" s="590"/>
      <c r="P438" s="589">
        <f>IFERROR(VLOOKUP($B436,اسماء,36,0),0)</f>
        <v>0</v>
      </c>
      <c r="Q438" s="609"/>
      <c r="R438" s="603">
        <f>IFERROR(VLOOKUP($B436,اسماء,37,0),0)</f>
        <v>0</v>
      </c>
      <c r="S438" s="592"/>
      <c r="T438" s="589">
        <f>IFERROR(VLOOKUP($B436,اسماء,38,0),0)</f>
        <v>0</v>
      </c>
      <c r="U438" s="592"/>
      <c r="V438" s="263">
        <f t="shared" si="1303"/>
        <v>0</v>
      </c>
      <c r="W438" s="373">
        <f>IFERROR(VLOOKUP($B436,اسماء,40,0),0)</f>
        <v>0</v>
      </c>
      <c r="X438" s="373">
        <f>IFERROR(VLOOKUP($B436,اسماء,41,0),0)</f>
        <v>0</v>
      </c>
      <c r="Y438" s="596"/>
      <c r="Z438" s="22" t="str">
        <f>LOOKUP(V438,$AI$6:$AJ$10)</f>
        <v>ضعيف</v>
      </c>
      <c r="AA438" s="657"/>
      <c r="AB438" s="72"/>
      <c r="AC438" s="654"/>
      <c r="AN438" s="607"/>
      <c r="AO438" s="607"/>
      <c r="AP438" s="613"/>
      <c r="AQ438" s="612"/>
      <c r="AR438" s="611"/>
      <c r="AS438" s="612"/>
    </row>
    <row r="439" spans="1:45" ht="15" customHeight="1" thickBot="1" x14ac:dyDescent="0.3">
      <c r="A439" s="634"/>
      <c r="B439" s="631"/>
      <c r="C439" s="623"/>
      <c r="D439" s="626"/>
      <c r="E439" s="127" t="s">
        <v>33</v>
      </c>
      <c r="F439" s="585">
        <f t="shared" ref="F439" si="1306">SUM(F436:G438)</f>
        <v>0</v>
      </c>
      <c r="G439" s="593"/>
      <c r="H439" s="604">
        <f t="shared" ref="H439" si="1307">SUM(H436:I438)</f>
        <v>0</v>
      </c>
      <c r="I439" s="601"/>
      <c r="J439" s="585">
        <f t="shared" ref="J439" si="1308">SUM(J436:K438)</f>
        <v>0</v>
      </c>
      <c r="K439" s="593"/>
      <c r="L439" s="585">
        <f t="shared" ref="L439" si="1309">SUM(L436:M438)</f>
        <v>0</v>
      </c>
      <c r="M439" s="586"/>
      <c r="N439" s="585">
        <f t="shared" ref="N439" si="1310">SUM(N436:O438)</f>
        <v>0</v>
      </c>
      <c r="O439" s="586"/>
      <c r="P439" s="585">
        <f t="shared" ref="P439" si="1311">SUM(P436:Q438)</f>
        <v>0</v>
      </c>
      <c r="Q439" s="601"/>
      <c r="R439" s="602">
        <f t="shared" ref="R439" si="1312">SUM(R436:S438)</f>
        <v>0</v>
      </c>
      <c r="S439" s="593"/>
      <c r="T439" s="585">
        <f t="shared" ref="T439" si="1313">SUM(T436:U438)</f>
        <v>0</v>
      </c>
      <c r="U439" s="593"/>
      <c r="V439" s="210">
        <f t="shared" ref="V439" si="1314">IF(AND(F439&gt;=$G$8,H439&gt;=$I$8,L439&gt;=$M$8,P439&gt;=$Q$8,R439&gt;=$S$8,T439&gt;=$U$8),SUM(F439:U439),0)</f>
        <v>0</v>
      </c>
      <c r="W439" s="264"/>
      <c r="X439" s="97"/>
      <c r="Y439" s="597"/>
      <c r="Z439" s="91" t="str">
        <f>LOOKUP(V439,$AL$6:$AM$10)</f>
        <v>ضعيف</v>
      </c>
      <c r="AA439" s="658"/>
      <c r="AB439" s="72"/>
      <c r="AC439" s="655"/>
      <c r="AN439" s="607"/>
      <c r="AO439" s="607"/>
      <c r="AP439" s="613"/>
      <c r="AQ439" s="612"/>
      <c r="AR439" s="611"/>
      <c r="AS439" s="612"/>
    </row>
    <row r="440" spans="1:45" ht="15" customHeight="1" thickBot="1" x14ac:dyDescent="0.3">
      <c r="A440" s="632">
        <v>95</v>
      </c>
      <c r="B440" s="629">
        <f>VLOOKUP(A440,مسلسل,2,0)</f>
        <v>0</v>
      </c>
      <c r="C440" s="621" t="str">
        <f>IFERROR(VLOOKUP(B440,اسماء,2,0),"")</f>
        <v/>
      </c>
      <c r="D440" s="624" t="str">
        <f>IFERROR(VLOOKUP($B440,اسماء,3,0),"")</f>
        <v/>
      </c>
      <c r="E440" s="132" t="s">
        <v>30</v>
      </c>
      <c r="F440" s="627">
        <f>IFERROR(VLOOKUP($B440,اسماء,5,0),0)</f>
        <v>0</v>
      </c>
      <c r="G440" s="606"/>
      <c r="H440" s="628">
        <f>IFERROR(VLOOKUP($B440,اسماء,6,0),0)</f>
        <v>0</v>
      </c>
      <c r="I440" s="605"/>
      <c r="J440" s="587">
        <f>IFERROR(VLOOKUP($B440,اسماء,7,0),0)</f>
        <v>0</v>
      </c>
      <c r="K440" s="591"/>
      <c r="L440" s="587">
        <f>IFERROR(VLOOKUP($B440,اسماء,8,0),0)</f>
        <v>0</v>
      </c>
      <c r="M440" s="588"/>
      <c r="N440" s="587">
        <f>IFERROR(VLOOKUP($B440,اسماء,9,0),0)</f>
        <v>0</v>
      </c>
      <c r="O440" s="605"/>
      <c r="P440" s="587">
        <f>IFERROR(VLOOKUP($B440,اسماء,10,0),0)</f>
        <v>0</v>
      </c>
      <c r="Q440" s="605"/>
      <c r="R440" s="606">
        <f>IFERROR(VLOOKUP($B440,اسماء,11,0),0)</f>
        <v>0</v>
      </c>
      <c r="S440" s="591"/>
      <c r="T440" s="587">
        <f>IFERROR(VLOOKUP($B440,اسماء,12,0),0)</f>
        <v>0</v>
      </c>
      <c r="U440" s="591"/>
      <c r="V440" s="263">
        <f t="shared" ref="V440:V442" si="1315">SUM(F440:U440)</f>
        <v>0</v>
      </c>
      <c r="W440" s="373">
        <f>IFERROR(VLOOKUP($B440,اسماء,14,0),0)</f>
        <v>0</v>
      </c>
      <c r="X440" s="373">
        <f>IFERROR(VLOOKUP($B440,اسماء,15,0),0)</f>
        <v>0</v>
      </c>
      <c r="Y440" s="595" t="str">
        <f t="shared" ref="Y440" si="1316">IF(AC440="غائب","راسب",IF(AND(F443&gt;=$G$8,H443&gt;=$I$8,J443&gt;=$K$8,L443&gt;=$M$8,N443&gt;=$O$8,P443&gt;=$Q$8,R443&gt;=$S$8,T443&gt;=$U$8),"ناجح","له دور ثان"))</f>
        <v>له دور ثان</v>
      </c>
      <c r="Z440" s="21" t="str">
        <f t="shared" ref="Z440:Z441" si="1317">LOOKUP(V440,$AF$6:$AG$10)</f>
        <v>ضعيف</v>
      </c>
      <c r="AA440" s="656">
        <f t="shared" ref="AA440" si="1318">V443/$AF$3</f>
        <v>0</v>
      </c>
      <c r="AB440" s="10"/>
      <c r="AC440" s="653" t="str">
        <f>IFERROR(VLOOKUP($B440,اسماء,54,0),"")</f>
        <v/>
      </c>
      <c r="AN440" s="607" t="str">
        <f t="shared" ref="AN440" si="1319">IF(V443=0,"",V443/1+ROW()*0.00001)</f>
        <v/>
      </c>
      <c r="AO440" s="607">
        <f>B440</f>
        <v>0</v>
      </c>
      <c r="AP440" s="613"/>
      <c r="AQ440" s="612">
        <v>95</v>
      </c>
      <c r="AR440" s="611" t="str">
        <f>IFERROR(LARGE($AN$10:$AN$1006,AQ440),"")</f>
        <v/>
      </c>
      <c r="AS440" s="612" t="str">
        <f>VLOOKUP(AR440,$AN$10:$AO$1116,2,0)</f>
        <v>أحمد نورالدين أحمد الذيب</v>
      </c>
    </row>
    <row r="441" spans="1:45" ht="15" customHeight="1" thickBot="1" x14ac:dyDescent="0.3">
      <c r="A441" s="633"/>
      <c r="B441" s="630"/>
      <c r="C441" s="622"/>
      <c r="D441" s="625"/>
      <c r="E441" s="133" t="s">
        <v>31</v>
      </c>
      <c r="F441" s="589">
        <f>IFERROR(VLOOKUP($B440,اسماء,18,0),0)</f>
        <v>0</v>
      </c>
      <c r="G441" s="592"/>
      <c r="H441" s="608">
        <f>IFERROR(VLOOKUP($B440,اسماء,19,0),0)</f>
        <v>0</v>
      </c>
      <c r="I441" s="609"/>
      <c r="J441" s="589">
        <f>IFERROR(VLOOKUP($B440,اسماء,20,0),0)</f>
        <v>0</v>
      </c>
      <c r="K441" s="592"/>
      <c r="L441" s="589">
        <f>IFERROR(VLOOKUP($B440,اسماء,21,0),0)</f>
        <v>0</v>
      </c>
      <c r="M441" s="590"/>
      <c r="N441" s="589">
        <f>IFERROR(VLOOKUP($B440,اسماء,22,0),0)</f>
        <v>0</v>
      </c>
      <c r="O441" s="590"/>
      <c r="P441" s="589">
        <f>IFERROR(VLOOKUP($B440,اسماء,23,0),0)</f>
        <v>0</v>
      </c>
      <c r="Q441" s="609"/>
      <c r="R441" s="603">
        <f>IFERROR(VLOOKUP($B440,اسماء,24,0),0)</f>
        <v>0</v>
      </c>
      <c r="S441" s="592"/>
      <c r="T441" s="589">
        <f>IFERROR(VLOOKUP($B440,اسماء,25,0),0)</f>
        <v>0</v>
      </c>
      <c r="U441" s="592"/>
      <c r="V441" s="263">
        <f t="shared" si="1315"/>
        <v>0</v>
      </c>
      <c r="W441" s="373">
        <f>IFERROR(VLOOKUP($B440,اسماء,27,0),0)</f>
        <v>0</v>
      </c>
      <c r="X441" s="373">
        <f>IFERROR(VLOOKUP($B440,اسماء,28,0),0)</f>
        <v>0</v>
      </c>
      <c r="Y441" s="596"/>
      <c r="Z441" s="22" t="str">
        <f t="shared" si="1317"/>
        <v>ضعيف</v>
      </c>
      <c r="AA441" s="657"/>
      <c r="AB441" s="72"/>
      <c r="AC441" s="654"/>
      <c r="AN441" s="607"/>
      <c r="AO441" s="607"/>
      <c r="AP441" s="613"/>
      <c r="AQ441" s="612"/>
      <c r="AR441" s="611"/>
      <c r="AS441" s="612"/>
    </row>
    <row r="442" spans="1:45" ht="15" customHeight="1" x14ac:dyDescent="0.25">
      <c r="A442" s="633"/>
      <c r="B442" s="630"/>
      <c r="C442" s="622"/>
      <c r="D442" s="625"/>
      <c r="E442" s="133" t="s">
        <v>32</v>
      </c>
      <c r="F442" s="589">
        <f>IFERROR(VLOOKUP($B440,اسماء,31,0),0)</f>
        <v>0</v>
      </c>
      <c r="G442" s="592"/>
      <c r="H442" s="608">
        <f>IFERROR(VLOOKUP($B440,اسماء,32,0),0)</f>
        <v>0</v>
      </c>
      <c r="I442" s="609"/>
      <c r="J442" s="589">
        <f>IFERROR(VLOOKUP($B440,اسماء,33,0),0)</f>
        <v>0</v>
      </c>
      <c r="K442" s="592"/>
      <c r="L442" s="589">
        <f>IFERROR(VLOOKUP($B440,اسماء,34,0),0)</f>
        <v>0</v>
      </c>
      <c r="M442" s="590"/>
      <c r="N442" s="589">
        <f>IFERROR(VLOOKUP($B440,اسماء,35,0),0)</f>
        <v>0</v>
      </c>
      <c r="O442" s="590"/>
      <c r="P442" s="589">
        <f>IFERROR(VLOOKUP($B440,اسماء,36,0),0)</f>
        <v>0</v>
      </c>
      <c r="Q442" s="609"/>
      <c r="R442" s="603">
        <f>IFERROR(VLOOKUP($B440,اسماء,37,0),0)</f>
        <v>0</v>
      </c>
      <c r="S442" s="592"/>
      <c r="T442" s="589">
        <f>IFERROR(VLOOKUP($B440,اسماء,38,0),0)</f>
        <v>0</v>
      </c>
      <c r="U442" s="592"/>
      <c r="V442" s="263">
        <f t="shared" si="1315"/>
        <v>0</v>
      </c>
      <c r="W442" s="373">
        <f>IFERROR(VLOOKUP($B440,اسماء,40,0),0)</f>
        <v>0</v>
      </c>
      <c r="X442" s="373">
        <f>IFERROR(VLOOKUP($B440,اسماء,41,0),0)</f>
        <v>0</v>
      </c>
      <c r="Y442" s="596"/>
      <c r="Z442" s="22" t="str">
        <f t="shared" ref="Z442" si="1320">LOOKUP(V442,$AI$6:$AJ$10)</f>
        <v>ضعيف</v>
      </c>
      <c r="AA442" s="657"/>
      <c r="AB442" s="72"/>
      <c r="AC442" s="654"/>
      <c r="AN442" s="607"/>
      <c r="AO442" s="607"/>
      <c r="AP442" s="613"/>
      <c r="AQ442" s="612"/>
      <c r="AR442" s="611"/>
      <c r="AS442" s="612"/>
    </row>
    <row r="443" spans="1:45" ht="15" customHeight="1" thickBot="1" x14ac:dyDescent="0.3">
      <c r="A443" s="634"/>
      <c r="B443" s="631"/>
      <c r="C443" s="623"/>
      <c r="D443" s="626"/>
      <c r="E443" s="127" t="s">
        <v>33</v>
      </c>
      <c r="F443" s="585">
        <f t="shared" ref="F443" si="1321">SUM(F440:G442)</f>
        <v>0</v>
      </c>
      <c r="G443" s="593"/>
      <c r="H443" s="604">
        <f t="shared" ref="H443" si="1322">SUM(H440:I442)</f>
        <v>0</v>
      </c>
      <c r="I443" s="601"/>
      <c r="J443" s="585">
        <f t="shared" ref="J443" si="1323">SUM(J440:K442)</f>
        <v>0</v>
      </c>
      <c r="K443" s="593"/>
      <c r="L443" s="585">
        <f t="shared" ref="L443" si="1324">SUM(L440:M442)</f>
        <v>0</v>
      </c>
      <c r="M443" s="586"/>
      <c r="N443" s="585">
        <f t="shared" ref="N443" si="1325">SUM(N440:O442)</f>
        <v>0</v>
      </c>
      <c r="O443" s="586"/>
      <c r="P443" s="585">
        <f t="shared" ref="P443" si="1326">SUM(P440:Q442)</f>
        <v>0</v>
      </c>
      <c r="Q443" s="601"/>
      <c r="R443" s="602">
        <f t="shared" ref="R443" si="1327">SUM(R440:S442)</f>
        <v>0</v>
      </c>
      <c r="S443" s="593"/>
      <c r="T443" s="585">
        <f t="shared" ref="T443" si="1328">SUM(T440:U442)</f>
        <v>0</v>
      </c>
      <c r="U443" s="593"/>
      <c r="V443" s="210">
        <f t="shared" ref="V443" si="1329">IF(AND(F443&gt;=$G$8,H443&gt;=$I$8,L443&gt;=$M$8,P443&gt;=$Q$8,R443&gt;=$S$8,T443&gt;=$U$8),SUM(F443:U443),0)</f>
        <v>0</v>
      </c>
      <c r="W443" s="264"/>
      <c r="X443" s="97"/>
      <c r="Y443" s="597"/>
      <c r="Z443" s="91" t="str">
        <f t="shared" ref="Z443" si="1330">LOOKUP(V443,$AL$6:$AM$10)</f>
        <v>ضعيف</v>
      </c>
      <c r="AA443" s="658"/>
      <c r="AB443" s="10"/>
      <c r="AC443" s="655"/>
      <c r="AN443" s="607"/>
      <c r="AO443" s="607"/>
      <c r="AP443" s="613"/>
      <c r="AQ443" s="612"/>
      <c r="AR443" s="611"/>
      <c r="AS443" s="612"/>
    </row>
    <row r="444" spans="1:45" ht="15" customHeight="1" thickBot="1" x14ac:dyDescent="0.3">
      <c r="A444" s="632">
        <v>96</v>
      </c>
      <c r="B444" s="629">
        <f>VLOOKUP(A444,مسلسل,2,0)</f>
        <v>0</v>
      </c>
      <c r="C444" s="621" t="str">
        <f>IFERROR(VLOOKUP(B444,اسماء,2,0),"")</f>
        <v/>
      </c>
      <c r="D444" s="624" t="str">
        <f>IFERROR(VLOOKUP($B444,اسماء,3,0),"")</f>
        <v/>
      </c>
      <c r="E444" s="132" t="s">
        <v>30</v>
      </c>
      <c r="F444" s="627">
        <f>IFERROR(VLOOKUP($B444,اسماء,5,0),0)</f>
        <v>0</v>
      </c>
      <c r="G444" s="606"/>
      <c r="H444" s="628">
        <f>IFERROR(VLOOKUP($B444,اسماء,6,0),0)</f>
        <v>0</v>
      </c>
      <c r="I444" s="605"/>
      <c r="J444" s="587">
        <f>IFERROR(VLOOKUP($B444,اسماء,7,0),0)</f>
        <v>0</v>
      </c>
      <c r="K444" s="591"/>
      <c r="L444" s="587">
        <f>IFERROR(VLOOKUP($B444,اسماء,8,0),0)</f>
        <v>0</v>
      </c>
      <c r="M444" s="588"/>
      <c r="N444" s="587">
        <f>IFERROR(VLOOKUP($B444,اسماء,9,0),0)</f>
        <v>0</v>
      </c>
      <c r="O444" s="605"/>
      <c r="P444" s="587">
        <f>IFERROR(VLOOKUP($B444,اسماء,10,0),0)</f>
        <v>0</v>
      </c>
      <c r="Q444" s="605"/>
      <c r="R444" s="606">
        <f>IFERROR(VLOOKUP($B444,اسماء,11,0),0)</f>
        <v>0</v>
      </c>
      <c r="S444" s="591"/>
      <c r="T444" s="587">
        <f>IFERROR(VLOOKUP($B444,اسماء,12,0),0)</f>
        <v>0</v>
      </c>
      <c r="U444" s="591"/>
      <c r="V444" s="263">
        <f t="shared" ref="V444:V446" si="1331">SUM(F444:U444)</f>
        <v>0</v>
      </c>
      <c r="W444" s="373">
        <f>IFERROR(VLOOKUP($B444,اسماء,14,0),0)</f>
        <v>0</v>
      </c>
      <c r="X444" s="373">
        <f>IFERROR(VLOOKUP($B444,اسماء,15,0),0)</f>
        <v>0</v>
      </c>
      <c r="Y444" s="595" t="str">
        <f t="shared" ref="Y444" si="1332">IF(AC444="غائب","راسب",IF(AND(F447&gt;=$G$8,H447&gt;=$I$8,J447&gt;=$K$8,L447&gt;=$M$8,N447&gt;=$O$8,P447&gt;=$Q$8,R447&gt;=$S$8,T447&gt;=$U$8),"ناجح","له دور ثان"))</f>
        <v>له دور ثان</v>
      </c>
      <c r="Z444" s="21" t="str">
        <f t="shared" ref="Z444:Z445" si="1333">LOOKUP(V444,$AF$6:$AG$10)</f>
        <v>ضعيف</v>
      </c>
      <c r="AA444" s="656">
        <f t="shared" ref="AA444" si="1334">V447/$AF$3</f>
        <v>0</v>
      </c>
      <c r="AB444" s="72"/>
      <c r="AC444" s="653" t="str">
        <f>IFERROR(VLOOKUP($B444,اسماء,54,0),"")</f>
        <v/>
      </c>
      <c r="AN444" s="607" t="str">
        <f t="shared" ref="AN444" si="1335">IF(V447=0,"",V447/1+ROW()*0.00001)</f>
        <v/>
      </c>
      <c r="AO444" s="607">
        <f>B444</f>
        <v>0</v>
      </c>
      <c r="AP444" s="613"/>
      <c r="AQ444" s="612">
        <v>96</v>
      </c>
      <c r="AR444" s="611" t="str">
        <f>IFERROR(LARGE($AN$10:$AN$1006,AQ444),"")</f>
        <v/>
      </c>
      <c r="AS444" s="612" t="str">
        <f>VLOOKUP(AR444,$AN$10:$AO$1116,2,0)</f>
        <v>أحمد نورالدين أحمد الذيب</v>
      </c>
    </row>
    <row r="445" spans="1:45" ht="15" customHeight="1" thickBot="1" x14ac:dyDescent="0.3">
      <c r="A445" s="633"/>
      <c r="B445" s="630"/>
      <c r="C445" s="622"/>
      <c r="D445" s="625"/>
      <c r="E445" s="133" t="s">
        <v>31</v>
      </c>
      <c r="F445" s="589">
        <f>IFERROR(VLOOKUP($B444,اسماء,18,0),0)</f>
        <v>0</v>
      </c>
      <c r="G445" s="592"/>
      <c r="H445" s="608">
        <f>IFERROR(VLOOKUP($B444,اسماء,19,0),0)</f>
        <v>0</v>
      </c>
      <c r="I445" s="609"/>
      <c r="J445" s="589">
        <f>IFERROR(VLOOKUP($B444,اسماء,20,0),0)</f>
        <v>0</v>
      </c>
      <c r="K445" s="592"/>
      <c r="L445" s="589">
        <f>IFERROR(VLOOKUP($B444,اسماء,21,0),0)</f>
        <v>0</v>
      </c>
      <c r="M445" s="590"/>
      <c r="N445" s="589">
        <f>IFERROR(VLOOKUP($B444,اسماء,22,0),0)</f>
        <v>0</v>
      </c>
      <c r="O445" s="590"/>
      <c r="P445" s="589">
        <f>IFERROR(VLOOKUP($B444,اسماء,23,0),0)</f>
        <v>0</v>
      </c>
      <c r="Q445" s="609"/>
      <c r="R445" s="603">
        <f>IFERROR(VLOOKUP($B444,اسماء,24,0),0)</f>
        <v>0</v>
      </c>
      <c r="S445" s="592"/>
      <c r="T445" s="589">
        <f>IFERROR(VLOOKUP($B444,اسماء,25,0),0)</f>
        <v>0</v>
      </c>
      <c r="U445" s="592"/>
      <c r="V445" s="263">
        <f t="shared" si="1331"/>
        <v>0</v>
      </c>
      <c r="W445" s="373">
        <f>IFERROR(VLOOKUP($B444,اسماء,27,0),0)</f>
        <v>0</v>
      </c>
      <c r="X445" s="373">
        <f>IFERROR(VLOOKUP($B444,اسماء,28,0),0)</f>
        <v>0</v>
      </c>
      <c r="Y445" s="596"/>
      <c r="Z445" s="22" t="str">
        <f t="shared" si="1333"/>
        <v>ضعيف</v>
      </c>
      <c r="AA445" s="657"/>
      <c r="AB445" s="72"/>
      <c r="AC445" s="654"/>
      <c r="AN445" s="607"/>
      <c r="AO445" s="607"/>
      <c r="AP445" s="613"/>
      <c r="AQ445" s="612"/>
      <c r="AR445" s="611"/>
      <c r="AS445" s="612"/>
    </row>
    <row r="446" spans="1:45" ht="15" customHeight="1" x14ac:dyDescent="0.25">
      <c r="A446" s="633"/>
      <c r="B446" s="630"/>
      <c r="C446" s="622"/>
      <c r="D446" s="625"/>
      <c r="E446" s="133" t="s">
        <v>32</v>
      </c>
      <c r="F446" s="589">
        <f>IFERROR(VLOOKUP($B444,اسماء,31,0),0)</f>
        <v>0</v>
      </c>
      <c r="G446" s="592"/>
      <c r="H446" s="608">
        <f>IFERROR(VLOOKUP($B444,اسماء,32,0),0)</f>
        <v>0</v>
      </c>
      <c r="I446" s="609"/>
      <c r="J446" s="589">
        <f>IFERROR(VLOOKUP($B444,اسماء,33,0),0)</f>
        <v>0</v>
      </c>
      <c r="K446" s="592"/>
      <c r="L446" s="589">
        <f>IFERROR(VLOOKUP($B444,اسماء,34,0),0)</f>
        <v>0</v>
      </c>
      <c r="M446" s="590"/>
      <c r="N446" s="589">
        <f>IFERROR(VLOOKUP($B444,اسماء,35,0),0)</f>
        <v>0</v>
      </c>
      <c r="O446" s="590"/>
      <c r="P446" s="589">
        <f>IFERROR(VLOOKUP($B444,اسماء,36,0),0)</f>
        <v>0</v>
      </c>
      <c r="Q446" s="609"/>
      <c r="R446" s="603">
        <f>IFERROR(VLOOKUP($B444,اسماء,37,0),0)</f>
        <v>0</v>
      </c>
      <c r="S446" s="592"/>
      <c r="T446" s="589">
        <f>IFERROR(VLOOKUP($B444,اسماء,38,0),0)</f>
        <v>0</v>
      </c>
      <c r="U446" s="592"/>
      <c r="V446" s="263">
        <f t="shared" si="1331"/>
        <v>0</v>
      </c>
      <c r="W446" s="373">
        <f>IFERROR(VLOOKUP($B444,اسماء,40,0),0)</f>
        <v>0</v>
      </c>
      <c r="X446" s="373">
        <f>IFERROR(VLOOKUP($B444,اسماء,41,0),0)</f>
        <v>0</v>
      </c>
      <c r="Y446" s="596"/>
      <c r="Z446" s="22" t="str">
        <f t="shared" ref="Z446" si="1336">LOOKUP(V446,$AI$6:$AJ$10)</f>
        <v>ضعيف</v>
      </c>
      <c r="AA446" s="657"/>
      <c r="AB446" s="10"/>
      <c r="AC446" s="654"/>
      <c r="AN446" s="607"/>
      <c r="AO446" s="607"/>
      <c r="AP446" s="613"/>
      <c r="AQ446" s="612"/>
      <c r="AR446" s="611"/>
      <c r="AS446" s="612"/>
    </row>
    <row r="447" spans="1:45" ht="15" customHeight="1" thickBot="1" x14ac:dyDescent="0.3">
      <c r="A447" s="634"/>
      <c r="B447" s="631"/>
      <c r="C447" s="623"/>
      <c r="D447" s="626"/>
      <c r="E447" s="127" t="s">
        <v>33</v>
      </c>
      <c r="F447" s="585">
        <f t="shared" ref="F447" si="1337">SUM(F444:G446)</f>
        <v>0</v>
      </c>
      <c r="G447" s="593"/>
      <c r="H447" s="604">
        <f t="shared" ref="H447" si="1338">SUM(H444:I446)</f>
        <v>0</v>
      </c>
      <c r="I447" s="601"/>
      <c r="J447" s="585">
        <f t="shared" ref="J447" si="1339">SUM(J444:K446)</f>
        <v>0</v>
      </c>
      <c r="K447" s="593"/>
      <c r="L447" s="585">
        <f t="shared" ref="L447" si="1340">SUM(L444:M446)</f>
        <v>0</v>
      </c>
      <c r="M447" s="586"/>
      <c r="N447" s="585">
        <f t="shared" ref="N447" si="1341">SUM(N444:O446)</f>
        <v>0</v>
      </c>
      <c r="O447" s="586"/>
      <c r="P447" s="585">
        <f t="shared" ref="P447" si="1342">SUM(P444:Q446)</f>
        <v>0</v>
      </c>
      <c r="Q447" s="601"/>
      <c r="R447" s="602">
        <f t="shared" ref="R447" si="1343">SUM(R444:S446)</f>
        <v>0</v>
      </c>
      <c r="S447" s="593"/>
      <c r="T447" s="585">
        <f t="shared" ref="T447" si="1344">SUM(T444:U446)</f>
        <v>0</v>
      </c>
      <c r="U447" s="593"/>
      <c r="V447" s="210">
        <f t="shared" ref="V447" si="1345">IF(AND(F447&gt;=$G$8,H447&gt;=$I$8,L447&gt;=$M$8,P447&gt;=$Q$8,R447&gt;=$S$8,T447&gt;=$U$8),SUM(F447:U447),0)</f>
        <v>0</v>
      </c>
      <c r="W447" s="264"/>
      <c r="X447" s="97"/>
      <c r="Y447" s="597"/>
      <c r="Z447" s="91" t="str">
        <f t="shared" ref="Z447" si="1346">LOOKUP(V447,$AL$6:$AM$10)</f>
        <v>ضعيف</v>
      </c>
      <c r="AA447" s="658"/>
      <c r="AB447" s="72"/>
      <c r="AC447" s="655"/>
      <c r="AN447" s="607"/>
      <c r="AO447" s="607"/>
      <c r="AP447" s="613"/>
      <c r="AQ447" s="612"/>
      <c r="AR447" s="611"/>
      <c r="AS447" s="612"/>
    </row>
    <row r="448" spans="1:45" ht="15" customHeight="1" thickBot="1" x14ac:dyDescent="0.3">
      <c r="A448" s="632">
        <v>97</v>
      </c>
      <c r="B448" s="629">
        <f>VLOOKUP(A448,مسلسل,2,0)</f>
        <v>0</v>
      </c>
      <c r="C448" s="621" t="str">
        <f>IFERROR(VLOOKUP(B448,اسماء,2,0),"")</f>
        <v/>
      </c>
      <c r="D448" s="624" t="str">
        <f>IFERROR(VLOOKUP($B448,اسماء,3,0),"")</f>
        <v/>
      </c>
      <c r="E448" s="132" t="s">
        <v>30</v>
      </c>
      <c r="F448" s="627">
        <f>IFERROR(VLOOKUP($B448,اسماء,5,0),0)</f>
        <v>0</v>
      </c>
      <c r="G448" s="606"/>
      <c r="H448" s="628">
        <f>IFERROR(VLOOKUP($B448,اسماء,6,0),0)</f>
        <v>0</v>
      </c>
      <c r="I448" s="605"/>
      <c r="J448" s="587">
        <f>IFERROR(VLOOKUP($B448,اسماء,7,0),0)</f>
        <v>0</v>
      </c>
      <c r="K448" s="591"/>
      <c r="L448" s="587">
        <f>IFERROR(VLOOKUP($B448,اسماء,8,0),0)</f>
        <v>0</v>
      </c>
      <c r="M448" s="588"/>
      <c r="N448" s="587">
        <f>IFERROR(VLOOKUP($B448,اسماء,9,0),0)</f>
        <v>0</v>
      </c>
      <c r="O448" s="605"/>
      <c r="P448" s="587">
        <f>IFERROR(VLOOKUP($B448,اسماء,10,0),0)</f>
        <v>0</v>
      </c>
      <c r="Q448" s="605"/>
      <c r="R448" s="606">
        <f>IFERROR(VLOOKUP($B448,اسماء,11,0),0)</f>
        <v>0</v>
      </c>
      <c r="S448" s="591"/>
      <c r="T448" s="587">
        <f>IFERROR(VLOOKUP($B448,اسماء,12,0),0)</f>
        <v>0</v>
      </c>
      <c r="U448" s="591"/>
      <c r="V448" s="263">
        <f t="shared" ref="V448:V450" si="1347">SUM(F448:U448)</f>
        <v>0</v>
      </c>
      <c r="W448" s="373">
        <f>IFERROR(VLOOKUP($B448,اسماء,14,0),0)</f>
        <v>0</v>
      </c>
      <c r="X448" s="373">
        <f>IFERROR(VLOOKUP($B448,اسماء,15,0),0)</f>
        <v>0</v>
      </c>
      <c r="Y448" s="595" t="str">
        <f t="shared" ref="Y448" si="1348">IF(AC448="غائب","راسب",IF(AND(F451&gt;=$G$8,H451&gt;=$I$8,J451&gt;=$K$8,L451&gt;=$M$8,N451&gt;=$O$8,P451&gt;=$Q$8,R451&gt;=$S$8,T451&gt;=$U$8),"ناجح","له دور ثان"))</f>
        <v>له دور ثان</v>
      </c>
      <c r="Z448" s="21" t="str">
        <f t="shared" ref="Z448:Z449" si="1349">LOOKUP(V448,$AF$6:$AG$10)</f>
        <v>ضعيف</v>
      </c>
      <c r="AA448" s="656">
        <f t="shared" ref="AA448" si="1350">V451/$AF$3</f>
        <v>0</v>
      </c>
      <c r="AB448" s="72"/>
      <c r="AC448" s="653" t="str">
        <f>IFERROR(VLOOKUP($B448,اسماء,54,0),"")</f>
        <v/>
      </c>
      <c r="AN448" s="607" t="str">
        <f t="shared" ref="AN448" si="1351">IF(V451=0,"",V451/1+ROW()*0.00001)</f>
        <v/>
      </c>
      <c r="AO448" s="607">
        <f>B448</f>
        <v>0</v>
      </c>
      <c r="AP448" s="613"/>
      <c r="AQ448" s="612">
        <v>97</v>
      </c>
      <c r="AR448" s="611" t="str">
        <f>IFERROR(LARGE($AN$10:$AN$1006,AQ448),"")</f>
        <v/>
      </c>
      <c r="AS448" s="612" t="str">
        <f>VLOOKUP(AR448,$AN$10:$AO$1116,2,0)</f>
        <v>أحمد نورالدين أحمد الذيب</v>
      </c>
    </row>
    <row r="449" spans="1:45" ht="15" customHeight="1" thickBot="1" x14ac:dyDescent="0.3">
      <c r="A449" s="633"/>
      <c r="B449" s="630"/>
      <c r="C449" s="622"/>
      <c r="D449" s="625"/>
      <c r="E449" s="133" t="s">
        <v>31</v>
      </c>
      <c r="F449" s="589">
        <f>IFERROR(VLOOKUP($B448,اسماء,18,0),0)</f>
        <v>0</v>
      </c>
      <c r="G449" s="592"/>
      <c r="H449" s="608">
        <f>IFERROR(VLOOKUP($B448,اسماء,19,0),0)</f>
        <v>0</v>
      </c>
      <c r="I449" s="609"/>
      <c r="J449" s="589">
        <f>IFERROR(VLOOKUP($B448,اسماء,20,0),0)</f>
        <v>0</v>
      </c>
      <c r="K449" s="592"/>
      <c r="L449" s="589">
        <f>IFERROR(VLOOKUP($B448,اسماء,21,0),0)</f>
        <v>0</v>
      </c>
      <c r="M449" s="590"/>
      <c r="N449" s="589">
        <f>IFERROR(VLOOKUP($B448,اسماء,22,0),0)</f>
        <v>0</v>
      </c>
      <c r="O449" s="590"/>
      <c r="P449" s="589">
        <f>IFERROR(VLOOKUP($B448,اسماء,23,0),0)</f>
        <v>0</v>
      </c>
      <c r="Q449" s="609"/>
      <c r="R449" s="603">
        <f>IFERROR(VLOOKUP($B448,اسماء,24,0),0)</f>
        <v>0</v>
      </c>
      <c r="S449" s="592"/>
      <c r="T449" s="589">
        <f>IFERROR(VLOOKUP($B448,اسماء,25,0),0)</f>
        <v>0</v>
      </c>
      <c r="U449" s="592"/>
      <c r="V449" s="263">
        <f t="shared" si="1347"/>
        <v>0</v>
      </c>
      <c r="W449" s="373">
        <f>IFERROR(VLOOKUP($B448,اسماء,27,0),0)</f>
        <v>0</v>
      </c>
      <c r="X449" s="373">
        <f>IFERROR(VLOOKUP($B448,اسماء,28,0),0)</f>
        <v>0</v>
      </c>
      <c r="Y449" s="596"/>
      <c r="Z449" s="22" t="str">
        <f t="shared" si="1349"/>
        <v>ضعيف</v>
      </c>
      <c r="AA449" s="657"/>
      <c r="AB449" s="10"/>
      <c r="AC449" s="654"/>
      <c r="AN449" s="607"/>
      <c r="AO449" s="607"/>
      <c r="AP449" s="613"/>
      <c r="AQ449" s="612"/>
      <c r="AR449" s="611"/>
      <c r="AS449" s="612"/>
    </row>
    <row r="450" spans="1:45" ht="15" customHeight="1" x14ac:dyDescent="0.25">
      <c r="A450" s="633"/>
      <c r="B450" s="630"/>
      <c r="C450" s="622"/>
      <c r="D450" s="625"/>
      <c r="E450" s="133" t="s">
        <v>32</v>
      </c>
      <c r="F450" s="589">
        <f>IFERROR(VLOOKUP($B448,اسماء,31,0),0)</f>
        <v>0</v>
      </c>
      <c r="G450" s="592"/>
      <c r="H450" s="608">
        <f>IFERROR(VLOOKUP($B448,اسماء,32,0),0)</f>
        <v>0</v>
      </c>
      <c r="I450" s="609"/>
      <c r="J450" s="589">
        <f>IFERROR(VLOOKUP($B448,اسماء,33,0),0)</f>
        <v>0</v>
      </c>
      <c r="K450" s="592"/>
      <c r="L450" s="589">
        <f>IFERROR(VLOOKUP($B448,اسماء,34,0),0)</f>
        <v>0</v>
      </c>
      <c r="M450" s="590"/>
      <c r="N450" s="589">
        <f>IFERROR(VLOOKUP($B448,اسماء,35,0),0)</f>
        <v>0</v>
      </c>
      <c r="O450" s="590"/>
      <c r="P450" s="589">
        <f>IFERROR(VLOOKUP($B448,اسماء,36,0),0)</f>
        <v>0</v>
      </c>
      <c r="Q450" s="609"/>
      <c r="R450" s="603">
        <f>IFERROR(VLOOKUP($B448,اسماء,37,0),0)</f>
        <v>0</v>
      </c>
      <c r="S450" s="592"/>
      <c r="T450" s="589">
        <f>IFERROR(VLOOKUP($B448,اسماء,38,0),0)</f>
        <v>0</v>
      </c>
      <c r="U450" s="592"/>
      <c r="V450" s="263">
        <f t="shared" si="1347"/>
        <v>0</v>
      </c>
      <c r="W450" s="373">
        <f>IFERROR(VLOOKUP($B448,اسماء,40,0),0)</f>
        <v>0</v>
      </c>
      <c r="X450" s="373">
        <f>IFERROR(VLOOKUP($B448,اسماء,41,0),0)</f>
        <v>0</v>
      </c>
      <c r="Y450" s="596"/>
      <c r="Z450" s="22" t="str">
        <f t="shared" ref="Z450" si="1352">LOOKUP(V450,$AI$6:$AJ$10)</f>
        <v>ضعيف</v>
      </c>
      <c r="AA450" s="657"/>
      <c r="AB450" s="72"/>
      <c r="AC450" s="654"/>
      <c r="AN450" s="607"/>
      <c r="AO450" s="607"/>
      <c r="AP450" s="613"/>
      <c r="AQ450" s="612"/>
      <c r="AR450" s="611"/>
      <c r="AS450" s="612"/>
    </row>
    <row r="451" spans="1:45" ht="15" customHeight="1" thickBot="1" x14ac:dyDescent="0.3">
      <c r="A451" s="634"/>
      <c r="B451" s="631"/>
      <c r="C451" s="623"/>
      <c r="D451" s="626"/>
      <c r="E451" s="127" t="s">
        <v>33</v>
      </c>
      <c r="F451" s="585">
        <f t="shared" ref="F451" si="1353">SUM(F448:G450)</f>
        <v>0</v>
      </c>
      <c r="G451" s="593"/>
      <c r="H451" s="604">
        <f t="shared" ref="H451" si="1354">SUM(H448:I450)</f>
        <v>0</v>
      </c>
      <c r="I451" s="601"/>
      <c r="J451" s="585">
        <f t="shared" ref="J451" si="1355">SUM(J448:K450)</f>
        <v>0</v>
      </c>
      <c r="K451" s="593"/>
      <c r="L451" s="585">
        <f t="shared" ref="L451" si="1356">SUM(L448:M450)</f>
        <v>0</v>
      </c>
      <c r="M451" s="586"/>
      <c r="N451" s="585">
        <f t="shared" ref="N451" si="1357">SUM(N448:O450)</f>
        <v>0</v>
      </c>
      <c r="O451" s="586"/>
      <c r="P451" s="585">
        <f t="shared" ref="P451" si="1358">SUM(P448:Q450)</f>
        <v>0</v>
      </c>
      <c r="Q451" s="601"/>
      <c r="R451" s="602">
        <f t="shared" ref="R451" si="1359">SUM(R448:S450)</f>
        <v>0</v>
      </c>
      <c r="S451" s="593"/>
      <c r="T451" s="585">
        <f t="shared" ref="T451" si="1360">SUM(T448:U450)</f>
        <v>0</v>
      </c>
      <c r="U451" s="593"/>
      <c r="V451" s="210">
        <f t="shared" ref="V451" si="1361">IF(AND(F451&gt;=$G$8,H451&gt;=$I$8,L451&gt;=$M$8,P451&gt;=$Q$8,R451&gt;=$S$8,T451&gt;=$U$8),SUM(F451:U451),0)</f>
        <v>0</v>
      </c>
      <c r="W451" s="264"/>
      <c r="X451" s="97"/>
      <c r="Y451" s="597"/>
      <c r="Z451" s="91" t="str">
        <f t="shared" ref="Z451" si="1362">LOOKUP(V451,$AL$6:$AM$10)</f>
        <v>ضعيف</v>
      </c>
      <c r="AA451" s="658"/>
      <c r="AB451" s="72"/>
      <c r="AC451" s="655"/>
      <c r="AN451" s="607"/>
      <c r="AO451" s="607"/>
      <c r="AP451" s="613"/>
      <c r="AQ451" s="612"/>
      <c r="AR451" s="611"/>
      <c r="AS451" s="612"/>
    </row>
    <row r="452" spans="1:45" ht="15" customHeight="1" thickBot="1" x14ac:dyDescent="0.3">
      <c r="A452" s="632">
        <v>98</v>
      </c>
      <c r="B452" s="629">
        <f>VLOOKUP(A452,مسلسل,2,0)</f>
        <v>0</v>
      </c>
      <c r="C452" s="621" t="str">
        <f>IFERROR(VLOOKUP(B452,اسماء,2,0),"")</f>
        <v/>
      </c>
      <c r="D452" s="624" t="str">
        <f>IFERROR(VLOOKUP($B452,اسماء,3,0),"")</f>
        <v/>
      </c>
      <c r="E452" s="132" t="s">
        <v>30</v>
      </c>
      <c r="F452" s="627">
        <f>IFERROR(VLOOKUP($B452,اسماء,5,0),0)</f>
        <v>0</v>
      </c>
      <c r="G452" s="606"/>
      <c r="H452" s="628">
        <f>IFERROR(VLOOKUP($B452,اسماء,6,0),0)</f>
        <v>0</v>
      </c>
      <c r="I452" s="605"/>
      <c r="J452" s="587">
        <f>IFERROR(VLOOKUP($B452,اسماء,7,0),0)</f>
        <v>0</v>
      </c>
      <c r="K452" s="591"/>
      <c r="L452" s="587">
        <f>IFERROR(VLOOKUP($B452,اسماء,8,0),0)</f>
        <v>0</v>
      </c>
      <c r="M452" s="588"/>
      <c r="N452" s="587">
        <f>IFERROR(VLOOKUP($B452,اسماء,9,0),0)</f>
        <v>0</v>
      </c>
      <c r="O452" s="605"/>
      <c r="P452" s="587">
        <f>IFERROR(VLOOKUP($B452,اسماء,10,0),0)</f>
        <v>0</v>
      </c>
      <c r="Q452" s="605"/>
      <c r="R452" s="606">
        <f>IFERROR(VLOOKUP($B452,اسماء,11,0),0)</f>
        <v>0</v>
      </c>
      <c r="S452" s="591"/>
      <c r="T452" s="587">
        <f>IFERROR(VLOOKUP($B452,اسماء,12,0),0)</f>
        <v>0</v>
      </c>
      <c r="U452" s="591"/>
      <c r="V452" s="263">
        <f t="shared" ref="V452:V454" si="1363">SUM(F452:U452)</f>
        <v>0</v>
      </c>
      <c r="W452" s="373">
        <f>IFERROR(VLOOKUP($B452,اسماء,14,0),0)</f>
        <v>0</v>
      </c>
      <c r="X452" s="373">
        <f>IFERROR(VLOOKUP($B452,اسماء,15,0),0)</f>
        <v>0</v>
      </c>
      <c r="Y452" s="595" t="str">
        <f t="shared" ref="Y452" si="1364">IF(AC452="غائب","راسب",IF(AND(F455&gt;=$G$8,H455&gt;=$I$8,J455&gt;=$K$8,L455&gt;=$M$8,N455&gt;=$O$8,P455&gt;=$Q$8,R455&gt;=$S$8,T455&gt;=$U$8),"ناجح","له دور ثان"))</f>
        <v>له دور ثان</v>
      </c>
      <c r="Z452" s="21" t="str">
        <f t="shared" ref="Z452:Z453" si="1365">LOOKUP(V452,$AF$6:$AG$10)</f>
        <v>ضعيف</v>
      </c>
      <c r="AA452" s="656">
        <f t="shared" ref="AA452" si="1366">V455/$AF$3</f>
        <v>0</v>
      </c>
      <c r="AB452" s="10"/>
      <c r="AC452" s="653" t="str">
        <f>IFERROR(VLOOKUP($B452,اسماء,54,0),"")</f>
        <v/>
      </c>
      <c r="AN452" s="607" t="str">
        <f t="shared" ref="AN452" si="1367">IF(V455=0,"",V455/1+ROW()*0.00001)</f>
        <v/>
      </c>
      <c r="AO452" s="607">
        <f>B452</f>
        <v>0</v>
      </c>
      <c r="AP452" s="613"/>
      <c r="AQ452" s="612">
        <v>98</v>
      </c>
      <c r="AR452" s="611" t="str">
        <f>IFERROR(LARGE($AN$10:$AN$1006,AQ452),"")</f>
        <v/>
      </c>
      <c r="AS452" s="612" t="str">
        <f>VLOOKUP(AR452,$AN$10:$AO$1116,2,0)</f>
        <v>أحمد نورالدين أحمد الذيب</v>
      </c>
    </row>
    <row r="453" spans="1:45" ht="15" customHeight="1" thickBot="1" x14ac:dyDescent="0.3">
      <c r="A453" s="633"/>
      <c r="B453" s="630"/>
      <c r="C453" s="622"/>
      <c r="D453" s="625"/>
      <c r="E453" s="133" t="s">
        <v>31</v>
      </c>
      <c r="F453" s="589">
        <f>IFERROR(VLOOKUP($B452,اسماء,18,0),0)</f>
        <v>0</v>
      </c>
      <c r="G453" s="592"/>
      <c r="H453" s="608">
        <f>IFERROR(VLOOKUP($B452,اسماء,19,0),0)</f>
        <v>0</v>
      </c>
      <c r="I453" s="609"/>
      <c r="J453" s="589">
        <f>IFERROR(VLOOKUP($B452,اسماء,20,0),0)</f>
        <v>0</v>
      </c>
      <c r="K453" s="592"/>
      <c r="L453" s="589">
        <f>IFERROR(VLOOKUP($B452,اسماء,21,0),0)</f>
        <v>0</v>
      </c>
      <c r="M453" s="590"/>
      <c r="N453" s="589">
        <f>IFERROR(VLOOKUP($B452,اسماء,22,0),0)</f>
        <v>0</v>
      </c>
      <c r="O453" s="590"/>
      <c r="P453" s="589">
        <f>IFERROR(VLOOKUP($B452,اسماء,23,0),0)</f>
        <v>0</v>
      </c>
      <c r="Q453" s="609"/>
      <c r="R453" s="603">
        <f>IFERROR(VLOOKUP($B452,اسماء,24,0),0)</f>
        <v>0</v>
      </c>
      <c r="S453" s="592"/>
      <c r="T453" s="589">
        <f>IFERROR(VLOOKUP($B452,اسماء,25,0),0)</f>
        <v>0</v>
      </c>
      <c r="U453" s="592"/>
      <c r="V453" s="263">
        <f t="shared" si="1363"/>
        <v>0</v>
      </c>
      <c r="W453" s="373">
        <f>IFERROR(VLOOKUP($B452,اسماء,27,0),0)</f>
        <v>0</v>
      </c>
      <c r="X453" s="373">
        <f>IFERROR(VLOOKUP($B452,اسماء,28,0),0)</f>
        <v>0</v>
      </c>
      <c r="Y453" s="596"/>
      <c r="Z453" s="22" t="str">
        <f t="shared" si="1365"/>
        <v>ضعيف</v>
      </c>
      <c r="AA453" s="657"/>
      <c r="AB453" s="72"/>
      <c r="AC453" s="654"/>
      <c r="AN453" s="607"/>
      <c r="AO453" s="607"/>
      <c r="AP453" s="613"/>
      <c r="AQ453" s="612"/>
      <c r="AR453" s="611"/>
      <c r="AS453" s="612"/>
    </row>
    <row r="454" spans="1:45" ht="15" customHeight="1" x14ac:dyDescent="0.25">
      <c r="A454" s="633"/>
      <c r="B454" s="630"/>
      <c r="C454" s="622"/>
      <c r="D454" s="625"/>
      <c r="E454" s="133" t="s">
        <v>32</v>
      </c>
      <c r="F454" s="589">
        <f>IFERROR(VLOOKUP($B452,اسماء,31,0),0)</f>
        <v>0</v>
      </c>
      <c r="G454" s="592"/>
      <c r="H454" s="608">
        <f>IFERROR(VLOOKUP($B452,اسماء,32,0),0)</f>
        <v>0</v>
      </c>
      <c r="I454" s="609"/>
      <c r="J454" s="589">
        <f>IFERROR(VLOOKUP($B452,اسماء,33,0),0)</f>
        <v>0</v>
      </c>
      <c r="K454" s="592"/>
      <c r="L454" s="589">
        <f>IFERROR(VLOOKUP($B452,اسماء,34,0),0)</f>
        <v>0</v>
      </c>
      <c r="M454" s="590"/>
      <c r="N454" s="589">
        <f>IFERROR(VLOOKUP($B452,اسماء,35,0),0)</f>
        <v>0</v>
      </c>
      <c r="O454" s="590"/>
      <c r="P454" s="589">
        <f>IFERROR(VLOOKUP($B452,اسماء,36,0),0)</f>
        <v>0</v>
      </c>
      <c r="Q454" s="609"/>
      <c r="R454" s="603">
        <f>IFERROR(VLOOKUP($B452,اسماء,37,0),0)</f>
        <v>0</v>
      </c>
      <c r="S454" s="592"/>
      <c r="T454" s="589">
        <f>IFERROR(VLOOKUP($B452,اسماء,38,0),0)</f>
        <v>0</v>
      </c>
      <c r="U454" s="592"/>
      <c r="V454" s="263">
        <f t="shared" si="1363"/>
        <v>0</v>
      </c>
      <c r="W454" s="373">
        <f>IFERROR(VLOOKUP($B452,اسماء,40,0),0)</f>
        <v>0</v>
      </c>
      <c r="X454" s="373">
        <f>IFERROR(VLOOKUP($B452,اسماء,41,0),0)</f>
        <v>0</v>
      </c>
      <c r="Y454" s="596"/>
      <c r="Z454" s="22" t="str">
        <f t="shared" ref="Z454" si="1368">LOOKUP(V454,$AI$6:$AJ$10)</f>
        <v>ضعيف</v>
      </c>
      <c r="AA454" s="657"/>
      <c r="AB454" s="72"/>
      <c r="AC454" s="654"/>
      <c r="AN454" s="607"/>
      <c r="AO454" s="607"/>
      <c r="AP454" s="613"/>
      <c r="AQ454" s="612"/>
      <c r="AR454" s="611"/>
      <c r="AS454" s="612"/>
    </row>
    <row r="455" spans="1:45" ht="15" customHeight="1" thickBot="1" x14ac:dyDescent="0.3">
      <c r="A455" s="634"/>
      <c r="B455" s="631"/>
      <c r="C455" s="623"/>
      <c r="D455" s="626"/>
      <c r="E455" s="127" t="s">
        <v>33</v>
      </c>
      <c r="F455" s="585">
        <f t="shared" ref="F455" si="1369">SUM(F452:G454)</f>
        <v>0</v>
      </c>
      <c r="G455" s="593"/>
      <c r="H455" s="604">
        <f t="shared" ref="H455" si="1370">SUM(H452:I454)</f>
        <v>0</v>
      </c>
      <c r="I455" s="601"/>
      <c r="J455" s="585">
        <f t="shared" ref="J455" si="1371">SUM(J452:K454)</f>
        <v>0</v>
      </c>
      <c r="K455" s="593"/>
      <c r="L455" s="585">
        <f t="shared" ref="L455" si="1372">SUM(L452:M454)</f>
        <v>0</v>
      </c>
      <c r="M455" s="586"/>
      <c r="N455" s="585">
        <f t="shared" ref="N455" si="1373">SUM(N452:O454)</f>
        <v>0</v>
      </c>
      <c r="O455" s="586"/>
      <c r="P455" s="585">
        <f t="shared" ref="P455" si="1374">SUM(P452:Q454)</f>
        <v>0</v>
      </c>
      <c r="Q455" s="601"/>
      <c r="R455" s="602">
        <f t="shared" ref="R455" si="1375">SUM(R452:S454)</f>
        <v>0</v>
      </c>
      <c r="S455" s="593"/>
      <c r="T455" s="585">
        <f t="shared" ref="T455" si="1376">SUM(T452:U454)</f>
        <v>0</v>
      </c>
      <c r="U455" s="593"/>
      <c r="V455" s="210">
        <f t="shared" ref="V455" si="1377">IF(AND(F455&gt;=$G$8,H455&gt;=$I$8,L455&gt;=$M$8,P455&gt;=$Q$8,R455&gt;=$S$8,T455&gt;=$U$8),SUM(F455:U455),0)</f>
        <v>0</v>
      </c>
      <c r="W455" s="264"/>
      <c r="X455" s="97"/>
      <c r="Y455" s="597"/>
      <c r="Z455" s="91" t="str">
        <f t="shared" ref="Z455" si="1378">LOOKUP(V455,$AL$6:$AM$10)</f>
        <v>ضعيف</v>
      </c>
      <c r="AA455" s="658"/>
      <c r="AB455" s="10"/>
      <c r="AC455" s="655"/>
      <c r="AN455" s="607"/>
      <c r="AO455" s="607"/>
      <c r="AP455" s="613"/>
      <c r="AQ455" s="612"/>
      <c r="AR455" s="611"/>
      <c r="AS455" s="612"/>
    </row>
    <row r="456" spans="1:45" ht="15" customHeight="1" thickBot="1" x14ac:dyDescent="0.3">
      <c r="A456" s="632">
        <v>99</v>
      </c>
      <c r="B456" s="629">
        <f>VLOOKUP(A456,مسلسل,2,0)</f>
        <v>0</v>
      </c>
      <c r="C456" s="621" t="str">
        <f>IFERROR(VLOOKUP(B456,اسماء,2,0),"")</f>
        <v/>
      </c>
      <c r="D456" s="624" t="str">
        <f>IFERROR(VLOOKUP($B456,اسماء,3,0),"")</f>
        <v/>
      </c>
      <c r="E456" s="132" t="s">
        <v>30</v>
      </c>
      <c r="F456" s="627">
        <f>IFERROR(VLOOKUP($B456,اسماء,5,0),0)</f>
        <v>0</v>
      </c>
      <c r="G456" s="606"/>
      <c r="H456" s="628">
        <f>IFERROR(VLOOKUP($B456,اسماء,6,0),0)</f>
        <v>0</v>
      </c>
      <c r="I456" s="605"/>
      <c r="J456" s="587">
        <f>IFERROR(VLOOKUP($B456,اسماء,7,0),0)</f>
        <v>0</v>
      </c>
      <c r="K456" s="591"/>
      <c r="L456" s="587">
        <f>IFERROR(VLOOKUP($B456,اسماء,8,0),0)</f>
        <v>0</v>
      </c>
      <c r="M456" s="588"/>
      <c r="N456" s="587">
        <f>IFERROR(VLOOKUP($B456,اسماء,9,0),0)</f>
        <v>0</v>
      </c>
      <c r="O456" s="605"/>
      <c r="P456" s="587">
        <f>IFERROR(VLOOKUP($B456,اسماء,10,0),0)</f>
        <v>0</v>
      </c>
      <c r="Q456" s="605"/>
      <c r="R456" s="606">
        <f>IFERROR(VLOOKUP($B456,اسماء,11,0),0)</f>
        <v>0</v>
      </c>
      <c r="S456" s="591"/>
      <c r="T456" s="587">
        <f>IFERROR(VLOOKUP($B456,اسماء,12,0),0)</f>
        <v>0</v>
      </c>
      <c r="U456" s="591"/>
      <c r="V456" s="263">
        <f t="shared" ref="V456:V458" si="1379">SUM(F456:U456)</f>
        <v>0</v>
      </c>
      <c r="W456" s="373">
        <f>IFERROR(VLOOKUP($B456,اسماء,14,0),0)</f>
        <v>0</v>
      </c>
      <c r="X456" s="373">
        <f>IFERROR(VLOOKUP($B456,اسماء,15,0),0)</f>
        <v>0</v>
      </c>
      <c r="Y456" s="595" t="str">
        <f t="shared" ref="Y456" si="1380">IF(AC456="غائب","راسب",IF(AND(F459&gt;=$G$8,H459&gt;=$I$8,J459&gt;=$K$8,L459&gt;=$M$8,N459&gt;=$O$8,P459&gt;=$Q$8,R459&gt;=$S$8,T459&gt;=$U$8),"ناجح","له دور ثان"))</f>
        <v>له دور ثان</v>
      </c>
      <c r="Z456" s="21" t="str">
        <f t="shared" ref="Z456:Z457" si="1381">LOOKUP(V456,$AF$6:$AG$10)</f>
        <v>ضعيف</v>
      </c>
      <c r="AA456" s="656">
        <f t="shared" ref="AA456" si="1382">V459/$AF$3</f>
        <v>0</v>
      </c>
      <c r="AB456" s="72"/>
      <c r="AC456" s="653" t="str">
        <f>IFERROR(VLOOKUP($B456,اسماء,54,0),"")</f>
        <v/>
      </c>
      <c r="AN456" s="607" t="str">
        <f t="shared" ref="AN456" si="1383">IF(V459=0,"",V459/1+ROW()*0.00001)</f>
        <v/>
      </c>
      <c r="AO456" s="607">
        <f>B456</f>
        <v>0</v>
      </c>
      <c r="AP456" s="613"/>
      <c r="AQ456" s="612">
        <v>99</v>
      </c>
      <c r="AR456" s="611" t="str">
        <f>IFERROR(LARGE($AN$10:$AN$1006,AQ456),"")</f>
        <v/>
      </c>
      <c r="AS456" s="612" t="str">
        <f>VLOOKUP(AR456,$AN$10:$AO$1116,2,0)</f>
        <v>أحمد نورالدين أحمد الذيب</v>
      </c>
    </row>
    <row r="457" spans="1:45" ht="15" customHeight="1" thickBot="1" x14ac:dyDescent="0.3">
      <c r="A457" s="633"/>
      <c r="B457" s="630"/>
      <c r="C457" s="622"/>
      <c r="D457" s="625"/>
      <c r="E457" s="133" t="s">
        <v>31</v>
      </c>
      <c r="F457" s="589">
        <f>IFERROR(VLOOKUP($B456,اسماء,18,0),0)</f>
        <v>0</v>
      </c>
      <c r="G457" s="592"/>
      <c r="H457" s="608">
        <f>IFERROR(VLOOKUP($B456,اسماء,19,0),0)</f>
        <v>0</v>
      </c>
      <c r="I457" s="609"/>
      <c r="J457" s="589">
        <f>IFERROR(VLOOKUP($B456,اسماء,20,0),0)</f>
        <v>0</v>
      </c>
      <c r="K457" s="592"/>
      <c r="L457" s="589">
        <f>IFERROR(VLOOKUP($B456,اسماء,21,0),0)</f>
        <v>0</v>
      </c>
      <c r="M457" s="590"/>
      <c r="N457" s="589">
        <f>IFERROR(VLOOKUP($B456,اسماء,22,0),0)</f>
        <v>0</v>
      </c>
      <c r="O457" s="590"/>
      <c r="P457" s="589">
        <f>IFERROR(VLOOKUP($B456,اسماء,23,0),0)</f>
        <v>0</v>
      </c>
      <c r="Q457" s="609"/>
      <c r="R457" s="603">
        <f>IFERROR(VLOOKUP($B456,اسماء,24,0),0)</f>
        <v>0</v>
      </c>
      <c r="S457" s="592"/>
      <c r="T457" s="589">
        <f>IFERROR(VLOOKUP($B456,اسماء,25,0),0)</f>
        <v>0</v>
      </c>
      <c r="U457" s="592"/>
      <c r="V457" s="263">
        <f t="shared" si="1379"/>
        <v>0</v>
      </c>
      <c r="W457" s="373">
        <f>IFERROR(VLOOKUP($B456,اسماء,27,0),0)</f>
        <v>0</v>
      </c>
      <c r="X457" s="373">
        <f>IFERROR(VLOOKUP($B456,اسماء,28,0),0)</f>
        <v>0</v>
      </c>
      <c r="Y457" s="596"/>
      <c r="Z457" s="22" t="str">
        <f t="shared" si="1381"/>
        <v>ضعيف</v>
      </c>
      <c r="AA457" s="657"/>
      <c r="AB457" s="72"/>
      <c r="AC457" s="654"/>
      <c r="AN457" s="607"/>
      <c r="AO457" s="607"/>
      <c r="AP457" s="613"/>
      <c r="AQ457" s="612"/>
      <c r="AR457" s="611"/>
      <c r="AS457" s="612"/>
    </row>
    <row r="458" spans="1:45" ht="15" customHeight="1" x14ac:dyDescent="0.25">
      <c r="A458" s="633"/>
      <c r="B458" s="630"/>
      <c r="C458" s="622"/>
      <c r="D458" s="625"/>
      <c r="E458" s="133" t="s">
        <v>32</v>
      </c>
      <c r="F458" s="589">
        <f>IFERROR(VLOOKUP($B456,اسماء,31,0),0)</f>
        <v>0</v>
      </c>
      <c r="G458" s="592"/>
      <c r="H458" s="608">
        <f>IFERROR(VLOOKUP($B456,اسماء,32,0),0)</f>
        <v>0</v>
      </c>
      <c r="I458" s="609"/>
      <c r="J458" s="589">
        <f>IFERROR(VLOOKUP($B456,اسماء,33,0),0)</f>
        <v>0</v>
      </c>
      <c r="K458" s="592"/>
      <c r="L458" s="589">
        <f>IFERROR(VLOOKUP($B456,اسماء,34,0),0)</f>
        <v>0</v>
      </c>
      <c r="M458" s="590"/>
      <c r="N458" s="589">
        <f>IFERROR(VLOOKUP($B456,اسماء,35,0),0)</f>
        <v>0</v>
      </c>
      <c r="O458" s="590"/>
      <c r="P458" s="589">
        <f>IFERROR(VLOOKUP($B456,اسماء,36,0),0)</f>
        <v>0</v>
      </c>
      <c r="Q458" s="609"/>
      <c r="R458" s="603">
        <f>IFERROR(VLOOKUP($B456,اسماء,37,0),0)</f>
        <v>0</v>
      </c>
      <c r="S458" s="592"/>
      <c r="T458" s="589">
        <f>IFERROR(VLOOKUP($B456,اسماء,38,0),0)</f>
        <v>0</v>
      </c>
      <c r="U458" s="592"/>
      <c r="V458" s="263">
        <f t="shared" si="1379"/>
        <v>0</v>
      </c>
      <c r="W458" s="373">
        <f>IFERROR(VLOOKUP($B456,اسماء,40,0),0)</f>
        <v>0</v>
      </c>
      <c r="X458" s="373">
        <f>IFERROR(VLOOKUP($B456,اسماء,41,0),0)</f>
        <v>0</v>
      </c>
      <c r="Y458" s="596"/>
      <c r="Z458" s="22" t="str">
        <f t="shared" ref="Z458" si="1384">LOOKUP(V458,$AI$6:$AJ$10)</f>
        <v>ضعيف</v>
      </c>
      <c r="AA458" s="657"/>
      <c r="AB458" s="10"/>
      <c r="AC458" s="654"/>
      <c r="AN458" s="607"/>
      <c r="AO458" s="607"/>
      <c r="AP458" s="613"/>
      <c r="AQ458" s="612"/>
      <c r="AR458" s="611"/>
      <c r="AS458" s="612"/>
    </row>
    <row r="459" spans="1:45" ht="15" customHeight="1" thickBot="1" x14ac:dyDescent="0.3">
      <c r="A459" s="634"/>
      <c r="B459" s="631"/>
      <c r="C459" s="623"/>
      <c r="D459" s="626"/>
      <c r="E459" s="127" t="s">
        <v>33</v>
      </c>
      <c r="F459" s="585">
        <f t="shared" ref="F459" si="1385">SUM(F456:G458)</f>
        <v>0</v>
      </c>
      <c r="G459" s="593"/>
      <c r="H459" s="604">
        <f t="shared" ref="H459" si="1386">SUM(H456:I458)</f>
        <v>0</v>
      </c>
      <c r="I459" s="601"/>
      <c r="J459" s="585">
        <f t="shared" ref="J459" si="1387">SUM(J456:K458)</f>
        <v>0</v>
      </c>
      <c r="K459" s="593"/>
      <c r="L459" s="585">
        <f t="shared" ref="L459" si="1388">SUM(L456:M458)</f>
        <v>0</v>
      </c>
      <c r="M459" s="586"/>
      <c r="N459" s="585">
        <f t="shared" ref="N459" si="1389">SUM(N456:O458)</f>
        <v>0</v>
      </c>
      <c r="O459" s="586"/>
      <c r="P459" s="585">
        <f t="shared" ref="P459" si="1390">SUM(P456:Q458)</f>
        <v>0</v>
      </c>
      <c r="Q459" s="601"/>
      <c r="R459" s="602">
        <f t="shared" ref="R459" si="1391">SUM(R456:S458)</f>
        <v>0</v>
      </c>
      <c r="S459" s="593"/>
      <c r="T459" s="585">
        <f t="shared" ref="T459" si="1392">SUM(T456:U458)</f>
        <v>0</v>
      </c>
      <c r="U459" s="593"/>
      <c r="V459" s="210">
        <f t="shared" ref="V459" si="1393">IF(AND(F459&gt;=$G$8,H459&gt;=$I$8,L459&gt;=$M$8,P459&gt;=$Q$8,R459&gt;=$S$8,T459&gt;=$U$8),SUM(F459:U459),0)</f>
        <v>0</v>
      </c>
      <c r="W459" s="264"/>
      <c r="X459" s="97"/>
      <c r="Y459" s="597"/>
      <c r="Z459" s="91" t="str">
        <f t="shared" ref="Z459" si="1394">LOOKUP(V459,$AL$6:$AM$10)</f>
        <v>ضعيف</v>
      </c>
      <c r="AA459" s="658"/>
      <c r="AB459" s="72"/>
      <c r="AC459" s="655"/>
      <c r="AN459" s="607"/>
      <c r="AO459" s="607"/>
      <c r="AP459" s="613"/>
      <c r="AQ459" s="612"/>
      <c r="AR459" s="611"/>
      <c r="AS459" s="612"/>
    </row>
    <row r="460" spans="1:45" ht="15" customHeight="1" thickBot="1" x14ac:dyDescent="0.3">
      <c r="A460" s="632">
        <v>100</v>
      </c>
      <c r="B460" s="629">
        <f>VLOOKUP(A460,مسلسل,2,0)</f>
        <v>0</v>
      </c>
      <c r="C460" s="621" t="str">
        <f>IFERROR(VLOOKUP(B460,اسماء,2,0),"")</f>
        <v/>
      </c>
      <c r="D460" s="624" t="str">
        <f>IFERROR(VLOOKUP($B460,اسماء,3,0),"")</f>
        <v/>
      </c>
      <c r="E460" s="132" t="s">
        <v>30</v>
      </c>
      <c r="F460" s="627">
        <f>IFERROR(VLOOKUP($B460,اسماء,5,0),0)</f>
        <v>0</v>
      </c>
      <c r="G460" s="606"/>
      <c r="H460" s="628">
        <f>IFERROR(VLOOKUP($B460,اسماء,6,0),0)</f>
        <v>0</v>
      </c>
      <c r="I460" s="605"/>
      <c r="J460" s="587">
        <f>IFERROR(VLOOKUP($B460,اسماء,7,0),0)</f>
        <v>0</v>
      </c>
      <c r="K460" s="591"/>
      <c r="L460" s="587">
        <f>IFERROR(VLOOKUP($B460,اسماء,8,0),0)</f>
        <v>0</v>
      </c>
      <c r="M460" s="588"/>
      <c r="N460" s="587">
        <f>IFERROR(VLOOKUP($B460,اسماء,9,0),0)</f>
        <v>0</v>
      </c>
      <c r="O460" s="605"/>
      <c r="P460" s="587">
        <f>IFERROR(VLOOKUP($B460,اسماء,10,0),0)</f>
        <v>0</v>
      </c>
      <c r="Q460" s="605"/>
      <c r="R460" s="606">
        <f>IFERROR(VLOOKUP($B460,اسماء,11,0),0)</f>
        <v>0</v>
      </c>
      <c r="S460" s="591"/>
      <c r="T460" s="587">
        <f>IFERROR(VLOOKUP($B460,اسماء,12,0),0)</f>
        <v>0</v>
      </c>
      <c r="U460" s="591"/>
      <c r="V460" s="263">
        <f t="shared" ref="V460:V462" si="1395">SUM(F460:U460)</f>
        <v>0</v>
      </c>
      <c r="W460" s="373">
        <f>IFERROR(VLOOKUP($B460,اسماء,14,0),0)</f>
        <v>0</v>
      </c>
      <c r="X460" s="373">
        <f>IFERROR(VLOOKUP($B460,اسماء,15,0),0)</f>
        <v>0</v>
      </c>
      <c r="Y460" s="595" t="str">
        <f t="shared" ref="Y460" si="1396">IF(AC460="غائب","راسب",IF(AND(F463&gt;=$G$8,H463&gt;=$I$8,J463&gt;=$K$8,L463&gt;=$M$8,N463&gt;=$O$8,P463&gt;=$Q$8,R463&gt;=$S$8,T463&gt;=$U$8),"ناجح","له دور ثان"))</f>
        <v>له دور ثان</v>
      </c>
      <c r="Z460" s="21" t="str">
        <f t="shared" ref="Z460:Z461" si="1397">LOOKUP(V460,$AF$6:$AG$10)</f>
        <v>ضعيف</v>
      </c>
      <c r="AA460" s="656">
        <f t="shared" ref="AA460" si="1398">V463/$AF$3</f>
        <v>0</v>
      </c>
      <c r="AB460" s="72"/>
      <c r="AC460" s="653" t="str">
        <f>IFERROR(VLOOKUP($B460,اسماء,54,0),"")</f>
        <v/>
      </c>
      <c r="AN460" s="607" t="str">
        <f t="shared" ref="AN460" si="1399">IF(V463=0,"",V463/1+ROW()*0.00001)</f>
        <v/>
      </c>
      <c r="AO460" s="607">
        <f>B460</f>
        <v>0</v>
      </c>
      <c r="AP460" s="613"/>
      <c r="AQ460" s="612">
        <v>100</v>
      </c>
      <c r="AR460" s="611" t="str">
        <f>IFERROR(LARGE($AN$10:$AN$1006,AQ460),"")</f>
        <v/>
      </c>
      <c r="AS460" s="612" t="str">
        <f>VLOOKUP(AR460,$AN$10:$AO$1116,2,0)</f>
        <v>أحمد نورالدين أحمد الذيب</v>
      </c>
    </row>
    <row r="461" spans="1:45" ht="15" customHeight="1" thickBot="1" x14ac:dyDescent="0.3">
      <c r="A461" s="633"/>
      <c r="B461" s="630"/>
      <c r="C461" s="622"/>
      <c r="D461" s="625"/>
      <c r="E461" s="133" t="s">
        <v>31</v>
      </c>
      <c r="F461" s="589">
        <f>IFERROR(VLOOKUP($B460,اسماء,18,0),0)</f>
        <v>0</v>
      </c>
      <c r="G461" s="592"/>
      <c r="H461" s="608">
        <f>IFERROR(VLOOKUP($B460,اسماء,19,0),0)</f>
        <v>0</v>
      </c>
      <c r="I461" s="609"/>
      <c r="J461" s="589">
        <f>IFERROR(VLOOKUP($B460,اسماء,20,0),0)</f>
        <v>0</v>
      </c>
      <c r="K461" s="592"/>
      <c r="L461" s="589">
        <f>IFERROR(VLOOKUP($B460,اسماء,21,0),0)</f>
        <v>0</v>
      </c>
      <c r="M461" s="590"/>
      <c r="N461" s="589">
        <f>IFERROR(VLOOKUP($B460,اسماء,22,0),0)</f>
        <v>0</v>
      </c>
      <c r="O461" s="590"/>
      <c r="P461" s="589">
        <f>IFERROR(VLOOKUP($B460,اسماء,23,0),0)</f>
        <v>0</v>
      </c>
      <c r="Q461" s="609"/>
      <c r="R461" s="603">
        <f>IFERROR(VLOOKUP($B460,اسماء,24,0),0)</f>
        <v>0</v>
      </c>
      <c r="S461" s="592"/>
      <c r="T461" s="589">
        <f>IFERROR(VLOOKUP($B460,اسماء,25,0),0)</f>
        <v>0</v>
      </c>
      <c r="U461" s="592"/>
      <c r="V461" s="263">
        <f t="shared" si="1395"/>
        <v>0</v>
      </c>
      <c r="W461" s="373">
        <f>IFERROR(VLOOKUP($B460,اسماء,27,0),0)</f>
        <v>0</v>
      </c>
      <c r="X461" s="373">
        <f>IFERROR(VLOOKUP($B460,اسماء,28,0),0)</f>
        <v>0</v>
      </c>
      <c r="Y461" s="596"/>
      <c r="Z461" s="22" t="str">
        <f t="shared" si="1397"/>
        <v>ضعيف</v>
      </c>
      <c r="AA461" s="657"/>
      <c r="AB461" s="10"/>
      <c r="AC461" s="654"/>
      <c r="AN461" s="607"/>
      <c r="AO461" s="607"/>
      <c r="AP461" s="613"/>
      <c r="AQ461" s="612"/>
      <c r="AR461" s="611"/>
      <c r="AS461" s="612"/>
    </row>
    <row r="462" spans="1:45" ht="15" customHeight="1" x14ac:dyDescent="0.25">
      <c r="A462" s="633"/>
      <c r="B462" s="630"/>
      <c r="C462" s="622"/>
      <c r="D462" s="625"/>
      <c r="E462" s="133" t="s">
        <v>32</v>
      </c>
      <c r="F462" s="589">
        <f>IFERROR(VLOOKUP($B460,اسماء,31,0),0)</f>
        <v>0</v>
      </c>
      <c r="G462" s="592"/>
      <c r="H462" s="608">
        <f>IFERROR(VLOOKUP($B460,اسماء,32,0),0)</f>
        <v>0</v>
      </c>
      <c r="I462" s="609"/>
      <c r="J462" s="589">
        <f>IFERROR(VLOOKUP($B460,اسماء,33,0),0)</f>
        <v>0</v>
      </c>
      <c r="K462" s="592"/>
      <c r="L462" s="589">
        <f>IFERROR(VLOOKUP($B460,اسماء,34,0),0)</f>
        <v>0</v>
      </c>
      <c r="M462" s="590"/>
      <c r="N462" s="589">
        <f>IFERROR(VLOOKUP($B460,اسماء,35,0),0)</f>
        <v>0</v>
      </c>
      <c r="O462" s="590"/>
      <c r="P462" s="589">
        <f>IFERROR(VLOOKUP($B460,اسماء,36,0),0)</f>
        <v>0</v>
      </c>
      <c r="Q462" s="609"/>
      <c r="R462" s="603">
        <f>IFERROR(VLOOKUP($B460,اسماء,37,0),0)</f>
        <v>0</v>
      </c>
      <c r="S462" s="592"/>
      <c r="T462" s="589">
        <f>IFERROR(VLOOKUP($B460,اسماء,38,0),0)</f>
        <v>0</v>
      </c>
      <c r="U462" s="592"/>
      <c r="V462" s="263">
        <f t="shared" si="1395"/>
        <v>0</v>
      </c>
      <c r="W462" s="373">
        <f>IFERROR(VLOOKUP($B460,اسماء,40,0),0)</f>
        <v>0</v>
      </c>
      <c r="X462" s="373">
        <f>IFERROR(VLOOKUP($B460,اسماء,41,0),0)</f>
        <v>0</v>
      </c>
      <c r="Y462" s="596"/>
      <c r="Z462" s="22" t="str">
        <f t="shared" ref="Z462" si="1400">LOOKUP(V462,$AI$6:$AJ$10)</f>
        <v>ضعيف</v>
      </c>
      <c r="AA462" s="657"/>
      <c r="AB462" s="72"/>
      <c r="AC462" s="654"/>
      <c r="AN462" s="607"/>
      <c r="AO462" s="607"/>
      <c r="AP462" s="613"/>
      <c r="AQ462" s="612"/>
      <c r="AR462" s="611"/>
      <c r="AS462" s="612"/>
    </row>
    <row r="463" spans="1:45" ht="15" customHeight="1" thickBot="1" x14ac:dyDescent="0.3">
      <c r="A463" s="634"/>
      <c r="B463" s="631"/>
      <c r="C463" s="623"/>
      <c r="D463" s="626"/>
      <c r="E463" s="127" t="s">
        <v>33</v>
      </c>
      <c r="F463" s="585">
        <f t="shared" ref="F463" si="1401">SUM(F460:G462)</f>
        <v>0</v>
      </c>
      <c r="G463" s="593"/>
      <c r="H463" s="604">
        <f t="shared" ref="H463" si="1402">SUM(H460:I462)</f>
        <v>0</v>
      </c>
      <c r="I463" s="601"/>
      <c r="J463" s="585">
        <f t="shared" ref="J463" si="1403">SUM(J460:K462)</f>
        <v>0</v>
      </c>
      <c r="K463" s="593"/>
      <c r="L463" s="585">
        <f t="shared" ref="L463" si="1404">SUM(L460:M462)</f>
        <v>0</v>
      </c>
      <c r="M463" s="586"/>
      <c r="N463" s="585">
        <f t="shared" ref="N463" si="1405">SUM(N460:O462)</f>
        <v>0</v>
      </c>
      <c r="O463" s="586"/>
      <c r="P463" s="585">
        <f t="shared" ref="P463" si="1406">SUM(P460:Q462)</f>
        <v>0</v>
      </c>
      <c r="Q463" s="601"/>
      <c r="R463" s="602">
        <f t="shared" ref="R463" si="1407">SUM(R460:S462)</f>
        <v>0</v>
      </c>
      <c r="S463" s="593"/>
      <c r="T463" s="585">
        <f t="shared" ref="T463" si="1408">SUM(T460:U462)</f>
        <v>0</v>
      </c>
      <c r="U463" s="593"/>
      <c r="V463" s="210">
        <f t="shared" ref="V463" si="1409">IF(AND(F463&gt;=$G$8,H463&gt;=$I$8,L463&gt;=$M$8,P463&gt;=$Q$8,R463&gt;=$S$8,T463&gt;=$U$8),SUM(F463:U463),0)</f>
        <v>0</v>
      </c>
      <c r="W463" s="264"/>
      <c r="X463" s="97"/>
      <c r="Y463" s="597"/>
      <c r="Z463" s="91" t="str">
        <f t="shared" ref="Z463" si="1410">LOOKUP(V463,$AL$6:$AM$10)</f>
        <v>ضعيف</v>
      </c>
      <c r="AA463" s="658"/>
      <c r="AB463" s="72"/>
      <c r="AC463" s="655"/>
      <c r="AN463" s="607"/>
      <c r="AO463" s="607"/>
      <c r="AP463" s="613"/>
      <c r="AQ463" s="612"/>
      <c r="AR463" s="611"/>
      <c r="AS463" s="612"/>
    </row>
    <row r="464" spans="1:45" ht="15" customHeight="1" thickBot="1" x14ac:dyDescent="0.3">
      <c r="F464" s="75"/>
      <c r="G464" s="76"/>
      <c r="H464" s="75"/>
      <c r="I464" s="76"/>
      <c r="J464" s="75"/>
      <c r="K464" s="76"/>
      <c r="L464" s="75"/>
      <c r="M464" s="76"/>
      <c r="N464" s="76"/>
      <c r="O464" s="76"/>
      <c r="P464" s="75"/>
      <c r="Q464" s="76"/>
      <c r="R464" s="75"/>
      <c r="S464" s="76"/>
      <c r="T464" s="75"/>
      <c r="U464" s="76"/>
      <c r="V464" s="74"/>
      <c r="W464" s="77"/>
      <c r="X464" s="74"/>
      <c r="Y464" s="362"/>
      <c r="Z464" s="74"/>
      <c r="AA464" s="267"/>
      <c r="AB464" s="72"/>
      <c r="AK464" s="78"/>
    </row>
    <row r="465" spans="1:45" customFormat="1" ht="15" customHeight="1" x14ac:dyDescent="0.3">
      <c r="A465" s="617" t="s">
        <v>9</v>
      </c>
      <c r="B465" s="618"/>
      <c r="C465" s="619"/>
      <c r="D465" s="288" t="s">
        <v>11</v>
      </c>
      <c r="E465" s="600" t="s">
        <v>97</v>
      </c>
      <c r="F465" s="598"/>
      <c r="G465" s="598"/>
      <c r="H465" s="598"/>
      <c r="I465" s="598"/>
      <c r="J465" s="9"/>
      <c r="K465" s="9"/>
      <c r="L465" s="9"/>
      <c r="M465" s="9"/>
      <c r="N465" s="9"/>
      <c r="O465" s="9"/>
      <c r="P465" s="9"/>
      <c r="Q465" s="9"/>
      <c r="R465" s="9"/>
      <c r="S465" s="598" t="s">
        <v>156</v>
      </c>
      <c r="T465" s="598"/>
      <c r="U465" s="598"/>
      <c r="V465" s="598"/>
      <c r="W465" s="598"/>
      <c r="X465" s="598"/>
      <c r="Y465" s="598"/>
      <c r="Z465" s="1"/>
      <c r="AA465" s="268"/>
      <c r="AC465" s="79"/>
      <c r="AD465" s="80"/>
      <c r="AE465" s="80"/>
      <c r="AF465" s="80"/>
      <c r="AG465" s="80"/>
    </row>
    <row r="466" spans="1:45" customFormat="1" ht="15" customHeight="1" x14ac:dyDescent="0.25">
      <c r="A466" s="81" t="s">
        <v>8</v>
      </c>
      <c r="B466" s="610">
        <f>ادخال1!$BP$3</f>
        <v>0</v>
      </c>
      <c r="C466" s="620"/>
      <c r="D466" s="289"/>
      <c r="E466" s="9" t="s">
        <v>9</v>
      </c>
      <c r="F466" s="599" t="str">
        <f>ادخال1!$BP$5</f>
        <v>د.عبدالرحمن خليفة العريبي</v>
      </c>
      <c r="G466" s="599"/>
      <c r="H466" s="599"/>
      <c r="I466" s="599"/>
      <c r="J466" s="599"/>
      <c r="K466" s="599"/>
      <c r="L466" s="599"/>
      <c r="M466" s="599"/>
      <c r="N466" s="599"/>
      <c r="O466" s="599"/>
      <c r="P466" s="599"/>
      <c r="Q466" s="599"/>
      <c r="R466" s="9"/>
      <c r="S466" s="599" t="str">
        <f>ادخال1!$BP$6</f>
        <v>تاجوراء</v>
      </c>
      <c r="T466" s="599"/>
      <c r="U466" s="599"/>
      <c r="V466" s="599"/>
      <c r="W466" s="599"/>
      <c r="X466" s="599"/>
      <c r="Y466" s="599"/>
      <c r="Z466" s="599"/>
      <c r="AA466" s="67"/>
      <c r="AB466" s="67"/>
      <c r="AC466" s="79"/>
      <c r="AD466" s="79"/>
      <c r="AE466" s="79"/>
      <c r="AF466" s="79"/>
    </row>
    <row r="467" spans="1:45" customFormat="1" ht="15" customHeight="1" thickBot="1" x14ac:dyDescent="0.3">
      <c r="A467" s="82" t="s">
        <v>98</v>
      </c>
      <c r="B467" s="615">
        <f>ادخال1!$BP$4</f>
        <v>0</v>
      </c>
      <c r="C467" s="616"/>
      <c r="D467" s="290"/>
      <c r="E467" s="9" t="s">
        <v>11</v>
      </c>
      <c r="F467" s="607"/>
      <c r="G467" s="607"/>
      <c r="H467" s="607"/>
      <c r="I467" s="607"/>
      <c r="J467" s="607"/>
      <c r="K467" s="607"/>
      <c r="L467" s="607"/>
      <c r="M467" s="607"/>
      <c r="N467" s="607"/>
      <c r="O467" s="607"/>
      <c r="P467" s="607"/>
      <c r="Q467" s="607"/>
      <c r="R467" s="9"/>
      <c r="S467" s="9" t="s">
        <v>11</v>
      </c>
      <c r="T467" s="9"/>
      <c r="U467" s="9" t="s">
        <v>11</v>
      </c>
      <c r="V467" s="1"/>
      <c r="W467" s="1"/>
      <c r="X467" s="1"/>
      <c r="Y467" s="363"/>
      <c r="Z467" s="1"/>
      <c r="AA467" s="268"/>
      <c r="AC467" s="79"/>
      <c r="AD467" s="79"/>
      <c r="AE467" s="79"/>
      <c r="AF467" s="79"/>
    </row>
    <row r="468" spans="1:45" customFormat="1" ht="15" customHeight="1" x14ac:dyDescent="0.25">
      <c r="A468" s="598" t="s">
        <v>99</v>
      </c>
      <c r="B468" s="598"/>
      <c r="C468" s="598"/>
      <c r="D468" s="598"/>
      <c r="E468" s="598" t="s">
        <v>100</v>
      </c>
      <c r="F468" s="598"/>
      <c r="G468" s="598"/>
      <c r="H468" s="598"/>
      <c r="I468" s="598"/>
      <c r="J468" s="598"/>
      <c r="K468" s="598"/>
      <c r="L468" s="598"/>
      <c r="M468" s="598"/>
      <c r="N468" s="598"/>
      <c r="O468" s="598"/>
      <c r="P468" s="598"/>
      <c r="Q468" s="598"/>
      <c r="R468" s="598"/>
      <c r="S468" s="598"/>
      <c r="T468" s="9"/>
      <c r="U468" s="9"/>
      <c r="V468" s="9"/>
      <c r="W468" s="594">
        <f ca="1">TODAY()</f>
        <v>46035</v>
      </c>
      <c r="X468" s="594"/>
      <c r="Y468" s="594"/>
      <c r="Z468" s="594"/>
      <c r="AA468" s="268"/>
    </row>
    <row r="469" spans="1:45" customFormat="1" ht="15" customHeight="1" thickBot="1" x14ac:dyDescent="0.3">
      <c r="A469" s="9"/>
      <c r="B469" s="598" t="s">
        <v>101</v>
      </c>
      <c r="C469" s="598"/>
      <c r="D469" s="598"/>
      <c r="E469" s="598" t="s">
        <v>102</v>
      </c>
      <c r="F469" s="598"/>
      <c r="G469" s="598"/>
      <c r="H469" s="598"/>
      <c r="I469" s="598"/>
      <c r="J469" s="598"/>
      <c r="K469" s="598"/>
      <c r="L469" s="598"/>
      <c r="M469" s="598"/>
      <c r="N469" s="598"/>
      <c r="O469" s="598"/>
      <c r="P469" s="598"/>
      <c r="Q469" s="598"/>
      <c r="R469" s="598"/>
      <c r="S469" s="598"/>
      <c r="T469" s="9"/>
      <c r="U469" s="9"/>
      <c r="V469" s="1"/>
      <c r="W469" s="1"/>
      <c r="X469" s="1"/>
      <c r="Y469" s="363"/>
      <c r="Z469" s="1"/>
      <c r="AA469" s="268"/>
    </row>
    <row r="470" spans="1:45" ht="15" customHeight="1" thickBot="1" x14ac:dyDescent="0.3">
      <c r="A470" s="632">
        <v>101</v>
      </c>
      <c r="B470" s="629">
        <f>VLOOKUP(A470,مسلسل,2,0)</f>
        <v>0</v>
      </c>
      <c r="C470" s="621" t="str">
        <f>IFERROR(VLOOKUP(B470,اسماء,2,0),"")</f>
        <v/>
      </c>
      <c r="D470" s="624" t="str">
        <f>IFERROR(VLOOKUP($B470,اسماء,3,0),"")</f>
        <v/>
      </c>
      <c r="E470" s="132" t="s">
        <v>30</v>
      </c>
      <c r="F470" s="627">
        <f>IFERROR(VLOOKUP($B470,اسماء,5,0),0)</f>
        <v>0</v>
      </c>
      <c r="G470" s="606"/>
      <c r="H470" s="628">
        <f>IFERROR(VLOOKUP($B470,اسماء,6,0),0)</f>
        <v>0</v>
      </c>
      <c r="I470" s="605"/>
      <c r="J470" s="587">
        <f>IFERROR(VLOOKUP($B470,اسماء,7,0),0)</f>
        <v>0</v>
      </c>
      <c r="K470" s="591"/>
      <c r="L470" s="587">
        <f>IFERROR(VLOOKUP($B470,اسماء,8,0),0)</f>
        <v>0</v>
      </c>
      <c r="M470" s="588"/>
      <c r="N470" s="587">
        <f>IFERROR(VLOOKUP($B470,اسماء,9,0),0)</f>
        <v>0</v>
      </c>
      <c r="O470" s="605"/>
      <c r="P470" s="587">
        <f>IFERROR(VLOOKUP($B470,اسماء,10,0),0)</f>
        <v>0</v>
      </c>
      <c r="Q470" s="605"/>
      <c r="R470" s="606">
        <f>IFERROR(VLOOKUP($B470,اسماء,11,0),0)</f>
        <v>0</v>
      </c>
      <c r="S470" s="591"/>
      <c r="T470" s="587">
        <f>IFERROR(VLOOKUP($B470,اسماء,12,0),0)</f>
        <v>0</v>
      </c>
      <c r="U470" s="591"/>
      <c r="V470" s="263">
        <f t="shared" ref="V470:V472" si="1411">SUM(F470:U470)</f>
        <v>0</v>
      </c>
      <c r="W470" s="373">
        <f>IFERROR(VLOOKUP($B470,اسماء,14,0),0)</f>
        <v>0</v>
      </c>
      <c r="X470" s="373">
        <f>IFERROR(VLOOKUP($B470,اسماء,15,0),0)</f>
        <v>0</v>
      </c>
      <c r="Y470" s="595" t="str">
        <f>IF(AC470="غائب","راسب",IF(AND(F473&gt;=$G$8,H473&gt;=$I$8,J473&gt;=$K$8,L473&gt;=$M$8,N473&gt;=$O$8,P473&gt;=$Q$8,R473&gt;=$S$8,T473&gt;=$U$8),"ناجح","له دور ثان"))</f>
        <v>له دور ثان</v>
      </c>
      <c r="Z470" s="21" t="str">
        <f>LOOKUP(V470,$AF$6:$AG$10)</f>
        <v>ضعيف</v>
      </c>
      <c r="AA470" s="656">
        <f>V473/$AF$3</f>
        <v>0</v>
      </c>
      <c r="AB470" s="10"/>
      <c r="AC470" s="653" t="str">
        <f>IFERROR(VLOOKUP($B470,اسماء,54,0),"")</f>
        <v/>
      </c>
      <c r="AN470" s="610" t="str">
        <f>IF(V473=0,"",V473/1+ROW()*0.00001)</f>
        <v/>
      </c>
      <c r="AO470" s="610">
        <f>B470</f>
        <v>0</v>
      </c>
      <c r="AP470" s="613"/>
      <c r="AQ470" s="612">
        <v>101</v>
      </c>
      <c r="AR470" s="611" t="str">
        <f>IFERROR(LARGE($AN$10:$AN$1006,AQ470),"")</f>
        <v/>
      </c>
      <c r="AS470" s="612" t="str">
        <f>VLOOKUP(AR470,$AN$10:$AO$1116,2,0)</f>
        <v>أحمد نورالدين أحمد الذيب</v>
      </c>
    </row>
    <row r="471" spans="1:45" ht="15" customHeight="1" thickBot="1" x14ac:dyDescent="0.3">
      <c r="A471" s="633"/>
      <c r="B471" s="630"/>
      <c r="C471" s="622"/>
      <c r="D471" s="625"/>
      <c r="E471" s="133" t="s">
        <v>31</v>
      </c>
      <c r="F471" s="589">
        <f>IFERROR(VLOOKUP($B470,اسماء,18,0),0)</f>
        <v>0</v>
      </c>
      <c r="G471" s="592"/>
      <c r="H471" s="608">
        <f>IFERROR(VLOOKUP($B470,اسماء,19,0),0)</f>
        <v>0</v>
      </c>
      <c r="I471" s="609"/>
      <c r="J471" s="589">
        <f>IFERROR(VLOOKUP($B470,اسماء,20,0),0)</f>
        <v>0</v>
      </c>
      <c r="K471" s="592"/>
      <c r="L471" s="589">
        <f>IFERROR(VLOOKUP($B470,اسماء,21,0),0)</f>
        <v>0</v>
      </c>
      <c r="M471" s="590"/>
      <c r="N471" s="589">
        <f>IFERROR(VLOOKUP($B470,اسماء,22,0),0)</f>
        <v>0</v>
      </c>
      <c r="O471" s="590"/>
      <c r="P471" s="589">
        <f>IFERROR(VLOOKUP($B470,اسماء,23,0),0)</f>
        <v>0</v>
      </c>
      <c r="Q471" s="609"/>
      <c r="R471" s="603">
        <f>IFERROR(VLOOKUP($B470,اسماء,24,0),0)</f>
        <v>0</v>
      </c>
      <c r="S471" s="592"/>
      <c r="T471" s="589">
        <f>IFERROR(VLOOKUP($B470,اسماء,25,0),0)</f>
        <v>0</v>
      </c>
      <c r="U471" s="592"/>
      <c r="V471" s="263">
        <f t="shared" si="1411"/>
        <v>0</v>
      </c>
      <c r="W471" s="373">
        <f>IFERROR(VLOOKUP($B470,اسماء,27,0),0)</f>
        <v>0</v>
      </c>
      <c r="X471" s="373">
        <f>IFERROR(VLOOKUP($B470,اسماء,28,0),0)</f>
        <v>0</v>
      </c>
      <c r="Y471" s="596"/>
      <c r="Z471" s="22" t="str">
        <f>LOOKUP(V471,$AF$6:$AG$10)</f>
        <v>ضعيف</v>
      </c>
      <c r="AA471" s="657"/>
      <c r="AB471" s="72"/>
      <c r="AC471" s="654"/>
      <c r="AN471" s="610"/>
      <c r="AO471" s="610"/>
      <c r="AP471" s="613"/>
      <c r="AQ471" s="612"/>
      <c r="AR471" s="611"/>
      <c r="AS471" s="612"/>
    </row>
    <row r="472" spans="1:45" ht="15" customHeight="1" x14ac:dyDescent="0.25">
      <c r="A472" s="633"/>
      <c r="B472" s="630"/>
      <c r="C472" s="622"/>
      <c r="D472" s="625"/>
      <c r="E472" s="133" t="s">
        <v>32</v>
      </c>
      <c r="F472" s="589">
        <f>IFERROR(VLOOKUP($B470,اسماء,31,0),0)</f>
        <v>0</v>
      </c>
      <c r="G472" s="592"/>
      <c r="H472" s="608">
        <f>IFERROR(VLOOKUP($B470,اسماء,32,0),0)</f>
        <v>0</v>
      </c>
      <c r="I472" s="609"/>
      <c r="J472" s="589">
        <f>IFERROR(VLOOKUP($B470,اسماء,33,0),0)</f>
        <v>0</v>
      </c>
      <c r="K472" s="592"/>
      <c r="L472" s="589">
        <f>IFERROR(VLOOKUP($B470,اسماء,34,0),0)</f>
        <v>0</v>
      </c>
      <c r="M472" s="590"/>
      <c r="N472" s="589">
        <f>IFERROR(VLOOKUP($B470,اسماء,35,0),0)</f>
        <v>0</v>
      </c>
      <c r="O472" s="590"/>
      <c r="P472" s="589">
        <f>IFERROR(VLOOKUP($B470,اسماء,36,0),0)</f>
        <v>0</v>
      </c>
      <c r="Q472" s="609"/>
      <c r="R472" s="603">
        <f>IFERROR(VLOOKUP($B470,اسماء,37,0),0)</f>
        <v>0</v>
      </c>
      <c r="S472" s="592"/>
      <c r="T472" s="589">
        <f>IFERROR(VLOOKUP($B470,اسماء,38,0),0)</f>
        <v>0</v>
      </c>
      <c r="U472" s="592"/>
      <c r="V472" s="263">
        <f t="shared" si="1411"/>
        <v>0</v>
      </c>
      <c r="W472" s="373">
        <f>IFERROR(VLOOKUP($B470,اسماء,40,0),0)</f>
        <v>0</v>
      </c>
      <c r="X472" s="373">
        <f>IFERROR(VLOOKUP($B470,اسماء,41,0),0)</f>
        <v>0</v>
      </c>
      <c r="Y472" s="596"/>
      <c r="Z472" s="22" t="str">
        <f>LOOKUP(V472,$AI$6:$AJ$10)</f>
        <v>ضعيف</v>
      </c>
      <c r="AA472" s="657"/>
      <c r="AB472" s="72"/>
      <c r="AC472" s="654"/>
      <c r="AN472" s="610"/>
      <c r="AO472" s="610"/>
      <c r="AP472" s="613"/>
      <c r="AQ472" s="612"/>
      <c r="AR472" s="611"/>
      <c r="AS472" s="612"/>
    </row>
    <row r="473" spans="1:45" ht="15" customHeight="1" thickBot="1" x14ac:dyDescent="0.3">
      <c r="A473" s="634"/>
      <c r="B473" s="631"/>
      <c r="C473" s="623"/>
      <c r="D473" s="626"/>
      <c r="E473" s="127" t="s">
        <v>33</v>
      </c>
      <c r="F473" s="585">
        <f t="shared" ref="F473" si="1412">SUM(F470:G472)</f>
        <v>0</v>
      </c>
      <c r="G473" s="593"/>
      <c r="H473" s="604">
        <f t="shared" ref="H473" si="1413">SUM(H470:I472)</f>
        <v>0</v>
      </c>
      <c r="I473" s="601"/>
      <c r="J473" s="585">
        <f t="shared" ref="J473" si="1414">SUM(J470:K472)</f>
        <v>0</v>
      </c>
      <c r="K473" s="593"/>
      <c r="L473" s="585">
        <f t="shared" ref="L473" si="1415">SUM(L470:M472)</f>
        <v>0</v>
      </c>
      <c r="M473" s="586"/>
      <c r="N473" s="585">
        <f t="shared" ref="N473" si="1416">SUM(N470:O472)</f>
        <v>0</v>
      </c>
      <c r="O473" s="586"/>
      <c r="P473" s="585">
        <f t="shared" ref="P473" si="1417">SUM(P470:Q472)</f>
        <v>0</v>
      </c>
      <c r="Q473" s="601"/>
      <c r="R473" s="602">
        <f t="shared" ref="R473" si="1418">SUM(R470:S472)</f>
        <v>0</v>
      </c>
      <c r="S473" s="593"/>
      <c r="T473" s="585">
        <f t="shared" ref="T473" si="1419">SUM(T470:U472)</f>
        <v>0</v>
      </c>
      <c r="U473" s="593"/>
      <c r="V473" s="210">
        <f t="shared" ref="V473" si="1420">IF(AND(F473&gt;=$G$8,H473&gt;=$I$8,L473&gt;=$M$8,P473&gt;=$Q$8,R473&gt;=$S$8,T473&gt;=$U$8),SUM(F473:U473),0)</f>
        <v>0</v>
      </c>
      <c r="W473" s="264"/>
      <c r="X473" s="97"/>
      <c r="Y473" s="597"/>
      <c r="Z473" s="91" t="str">
        <f>LOOKUP(V473,$AL$6:$AM$10)</f>
        <v>ضعيف</v>
      </c>
      <c r="AA473" s="658"/>
      <c r="AB473" s="10"/>
      <c r="AC473" s="655"/>
      <c r="AN473" s="610"/>
      <c r="AO473" s="610"/>
      <c r="AP473" s="613"/>
      <c r="AQ473" s="612"/>
      <c r="AR473" s="611"/>
      <c r="AS473" s="612"/>
    </row>
    <row r="474" spans="1:45" ht="15" customHeight="1" thickBot="1" x14ac:dyDescent="0.3">
      <c r="A474" s="632">
        <v>102</v>
      </c>
      <c r="B474" s="629">
        <f>VLOOKUP(A474,مسلسل,2,0)</f>
        <v>0</v>
      </c>
      <c r="C474" s="621" t="str">
        <f>IFERROR(VLOOKUP(B474,اسماء,2,0),"")</f>
        <v/>
      </c>
      <c r="D474" s="624" t="str">
        <f>IFERROR(VLOOKUP($B474,اسماء,3,0),"")</f>
        <v/>
      </c>
      <c r="E474" s="132" t="s">
        <v>30</v>
      </c>
      <c r="F474" s="627">
        <f>IFERROR(VLOOKUP($B474,اسماء,5,0),0)</f>
        <v>0</v>
      </c>
      <c r="G474" s="606"/>
      <c r="H474" s="628">
        <f>IFERROR(VLOOKUP($B474,اسماء,6,0),0)</f>
        <v>0</v>
      </c>
      <c r="I474" s="605"/>
      <c r="J474" s="587">
        <f>IFERROR(VLOOKUP($B474,اسماء,7,0),0)</f>
        <v>0</v>
      </c>
      <c r="K474" s="591"/>
      <c r="L474" s="587">
        <f>IFERROR(VLOOKUP($B474,اسماء,8,0),0)</f>
        <v>0</v>
      </c>
      <c r="M474" s="588"/>
      <c r="N474" s="587">
        <f>IFERROR(VLOOKUP($B474,اسماء,9,0),0)</f>
        <v>0</v>
      </c>
      <c r="O474" s="605"/>
      <c r="P474" s="587">
        <f>IFERROR(VLOOKUP($B474,اسماء,10,0),0)</f>
        <v>0</v>
      </c>
      <c r="Q474" s="605"/>
      <c r="R474" s="606">
        <f>IFERROR(VLOOKUP($B474,اسماء,11,0),0)</f>
        <v>0</v>
      </c>
      <c r="S474" s="591"/>
      <c r="T474" s="587">
        <f>IFERROR(VLOOKUP($B474,اسماء,12,0),0)</f>
        <v>0</v>
      </c>
      <c r="U474" s="591"/>
      <c r="V474" s="263">
        <f t="shared" ref="V474:V476" si="1421">SUM(F474:U474)</f>
        <v>0</v>
      </c>
      <c r="W474" s="373">
        <f>IFERROR(VLOOKUP($B474,اسماء,14,0),0)</f>
        <v>0</v>
      </c>
      <c r="X474" s="373">
        <f>IFERROR(VLOOKUP($B474,اسماء,15,0),0)</f>
        <v>0</v>
      </c>
      <c r="Y474" s="595" t="str">
        <f t="shared" ref="Y474" si="1422">IF(AC474="غائب","راسب",IF(AND(F477&gt;=$G$8,H477&gt;=$I$8,J477&gt;=$K$8,L477&gt;=$M$8,N477&gt;=$O$8,P477&gt;=$Q$8,R477&gt;=$S$8,T477&gt;=$U$8),"ناجح","له دور ثان"))</f>
        <v>له دور ثان</v>
      </c>
      <c r="Z474" s="21" t="str">
        <f>LOOKUP(V474,$AF$6:$AG$10)</f>
        <v>ضعيف</v>
      </c>
      <c r="AA474" s="656">
        <f>V477/$AF$3</f>
        <v>0</v>
      </c>
      <c r="AB474" s="72"/>
      <c r="AC474" s="653" t="str">
        <f>IFERROR(VLOOKUP($B474,اسماء,54,0),"")</f>
        <v/>
      </c>
      <c r="AN474" s="607" t="str">
        <f t="shared" ref="AN474" si="1423">IF(V477=0,"",V477/1+ROW()*0.00001)</f>
        <v/>
      </c>
      <c r="AO474" s="607">
        <f>B474</f>
        <v>0</v>
      </c>
      <c r="AP474" s="613"/>
      <c r="AQ474" s="612">
        <v>102</v>
      </c>
      <c r="AR474" s="611" t="str">
        <f>IFERROR(LARGE($AN$10:$AN$1006,AQ474),"")</f>
        <v/>
      </c>
      <c r="AS474" s="612" t="str">
        <f>VLOOKUP(AR474,$AN$10:$AO$1116,2,0)</f>
        <v>أحمد نورالدين أحمد الذيب</v>
      </c>
    </row>
    <row r="475" spans="1:45" ht="15" customHeight="1" thickBot="1" x14ac:dyDescent="0.3">
      <c r="A475" s="633"/>
      <c r="B475" s="630"/>
      <c r="C475" s="622"/>
      <c r="D475" s="625"/>
      <c r="E475" s="133" t="s">
        <v>31</v>
      </c>
      <c r="F475" s="589">
        <f>IFERROR(VLOOKUP($B474,اسماء,18,0),0)</f>
        <v>0</v>
      </c>
      <c r="G475" s="592"/>
      <c r="H475" s="608">
        <f>IFERROR(VLOOKUP($B474,اسماء,19,0),0)</f>
        <v>0</v>
      </c>
      <c r="I475" s="609"/>
      <c r="J475" s="589">
        <f>IFERROR(VLOOKUP($B474,اسماء,20,0),0)</f>
        <v>0</v>
      </c>
      <c r="K475" s="592"/>
      <c r="L475" s="589">
        <f>IFERROR(VLOOKUP($B474,اسماء,21,0),0)</f>
        <v>0</v>
      </c>
      <c r="M475" s="590"/>
      <c r="N475" s="589">
        <f>IFERROR(VLOOKUP($B474,اسماء,22,0),0)</f>
        <v>0</v>
      </c>
      <c r="O475" s="590"/>
      <c r="P475" s="589">
        <f>IFERROR(VLOOKUP($B474,اسماء,23,0),0)</f>
        <v>0</v>
      </c>
      <c r="Q475" s="609"/>
      <c r="R475" s="603">
        <f>IFERROR(VLOOKUP($B474,اسماء,24,0),0)</f>
        <v>0</v>
      </c>
      <c r="S475" s="592"/>
      <c r="T475" s="589">
        <f>IFERROR(VLOOKUP($B474,اسماء,25,0),0)</f>
        <v>0</v>
      </c>
      <c r="U475" s="592"/>
      <c r="V475" s="263">
        <f t="shared" si="1421"/>
        <v>0</v>
      </c>
      <c r="W475" s="373">
        <f>IFERROR(VLOOKUP($B474,اسماء,27,0),0)</f>
        <v>0</v>
      </c>
      <c r="X475" s="373">
        <f>IFERROR(VLOOKUP($B474,اسماء,28,0),0)</f>
        <v>0</v>
      </c>
      <c r="Y475" s="596"/>
      <c r="Z475" s="22" t="str">
        <f>LOOKUP(V475,$AF$6:$AG$10)</f>
        <v>ضعيف</v>
      </c>
      <c r="AA475" s="657"/>
      <c r="AB475" s="72"/>
      <c r="AC475" s="654"/>
      <c r="AN475" s="607"/>
      <c r="AO475" s="607"/>
      <c r="AP475" s="613"/>
      <c r="AQ475" s="612"/>
      <c r="AR475" s="611"/>
      <c r="AS475" s="612"/>
    </row>
    <row r="476" spans="1:45" ht="15" customHeight="1" x14ac:dyDescent="0.25">
      <c r="A476" s="633"/>
      <c r="B476" s="630"/>
      <c r="C476" s="622"/>
      <c r="D476" s="625"/>
      <c r="E476" s="133" t="s">
        <v>32</v>
      </c>
      <c r="F476" s="589">
        <f>IFERROR(VLOOKUP($B474,اسماء,31,0),0)</f>
        <v>0</v>
      </c>
      <c r="G476" s="592"/>
      <c r="H476" s="608">
        <f>IFERROR(VLOOKUP($B474,اسماء,32,0),0)</f>
        <v>0</v>
      </c>
      <c r="I476" s="609"/>
      <c r="J476" s="589">
        <f>IFERROR(VLOOKUP($B474,اسماء,33,0),0)</f>
        <v>0</v>
      </c>
      <c r="K476" s="592"/>
      <c r="L476" s="589">
        <f>IFERROR(VLOOKUP($B474,اسماء,34,0),0)</f>
        <v>0</v>
      </c>
      <c r="M476" s="590"/>
      <c r="N476" s="589">
        <f>IFERROR(VLOOKUP($B474,اسماء,35,0),0)</f>
        <v>0</v>
      </c>
      <c r="O476" s="590"/>
      <c r="P476" s="589">
        <f>IFERROR(VLOOKUP($B474,اسماء,36,0),0)</f>
        <v>0</v>
      </c>
      <c r="Q476" s="609"/>
      <c r="R476" s="603">
        <f>IFERROR(VLOOKUP($B474,اسماء,37,0),0)</f>
        <v>0</v>
      </c>
      <c r="S476" s="592"/>
      <c r="T476" s="589">
        <f>IFERROR(VLOOKUP($B474,اسماء,38,0),0)</f>
        <v>0</v>
      </c>
      <c r="U476" s="592"/>
      <c r="V476" s="263">
        <f t="shared" si="1421"/>
        <v>0</v>
      </c>
      <c r="W476" s="373">
        <f>IFERROR(VLOOKUP($B474,اسماء,40,0),0)</f>
        <v>0</v>
      </c>
      <c r="X476" s="373">
        <f>IFERROR(VLOOKUP($B474,اسماء,41,0),0)</f>
        <v>0</v>
      </c>
      <c r="Y476" s="596"/>
      <c r="Z476" s="22" t="str">
        <f>LOOKUP(V476,$AI$6:$AJ$10)</f>
        <v>ضعيف</v>
      </c>
      <c r="AA476" s="657"/>
      <c r="AB476" s="10"/>
      <c r="AC476" s="654"/>
      <c r="AN476" s="607"/>
      <c r="AO476" s="607"/>
      <c r="AP476" s="613"/>
      <c r="AQ476" s="612"/>
      <c r="AR476" s="611"/>
      <c r="AS476" s="612"/>
    </row>
    <row r="477" spans="1:45" ht="15" customHeight="1" thickBot="1" x14ac:dyDescent="0.3">
      <c r="A477" s="634"/>
      <c r="B477" s="631"/>
      <c r="C477" s="623"/>
      <c r="D477" s="626"/>
      <c r="E477" s="127" t="s">
        <v>33</v>
      </c>
      <c r="F477" s="585">
        <f t="shared" ref="F477" si="1424">SUM(F474:G476)</f>
        <v>0</v>
      </c>
      <c r="G477" s="593"/>
      <c r="H477" s="604">
        <f t="shared" ref="H477" si="1425">SUM(H474:I476)</f>
        <v>0</v>
      </c>
      <c r="I477" s="601"/>
      <c r="J477" s="585">
        <f t="shared" ref="J477" si="1426">SUM(J474:K476)</f>
        <v>0</v>
      </c>
      <c r="K477" s="593"/>
      <c r="L477" s="585">
        <f t="shared" ref="L477" si="1427">SUM(L474:M476)</f>
        <v>0</v>
      </c>
      <c r="M477" s="586"/>
      <c r="N477" s="585">
        <f t="shared" ref="N477" si="1428">SUM(N474:O476)</f>
        <v>0</v>
      </c>
      <c r="O477" s="586"/>
      <c r="P477" s="585">
        <f t="shared" ref="P477" si="1429">SUM(P474:Q476)</f>
        <v>0</v>
      </c>
      <c r="Q477" s="601"/>
      <c r="R477" s="602">
        <f t="shared" ref="R477" si="1430">SUM(R474:S476)</f>
        <v>0</v>
      </c>
      <c r="S477" s="593"/>
      <c r="T477" s="585">
        <f t="shared" ref="T477" si="1431">SUM(T474:U476)</f>
        <v>0</v>
      </c>
      <c r="U477" s="593"/>
      <c r="V477" s="210">
        <f t="shared" ref="V477" si="1432">IF(AND(F477&gt;=$G$8,H477&gt;=$I$8,L477&gt;=$M$8,P477&gt;=$Q$8,R477&gt;=$S$8,T477&gt;=$U$8),SUM(F477:U477),0)</f>
        <v>0</v>
      </c>
      <c r="W477" s="264"/>
      <c r="X477" s="97"/>
      <c r="Y477" s="597"/>
      <c r="Z477" s="91" t="str">
        <f>LOOKUP(V477,$AL$6:$AM$10)</f>
        <v>ضعيف</v>
      </c>
      <c r="AA477" s="658"/>
      <c r="AB477" s="72"/>
      <c r="AC477" s="655"/>
      <c r="AN477" s="607"/>
      <c r="AO477" s="607"/>
      <c r="AP477" s="613"/>
      <c r="AQ477" s="612"/>
      <c r="AR477" s="611"/>
      <c r="AS477" s="612"/>
    </row>
    <row r="478" spans="1:45" ht="15" customHeight="1" thickBot="1" x14ac:dyDescent="0.3">
      <c r="A478" s="632">
        <v>103</v>
      </c>
      <c r="B478" s="629">
        <f>VLOOKUP(A478,مسلسل,2,0)</f>
        <v>0</v>
      </c>
      <c r="C478" s="621" t="str">
        <f>IFERROR(VLOOKUP(B478,اسماء,2,0),"")</f>
        <v/>
      </c>
      <c r="D478" s="624" t="str">
        <f>IFERROR(VLOOKUP($B478,اسماء,3,0),"")</f>
        <v/>
      </c>
      <c r="E478" s="132" t="s">
        <v>30</v>
      </c>
      <c r="F478" s="627">
        <f>IFERROR(VLOOKUP($B478,اسماء,5,0),0)</f>
        <v>0</v>
      </c>
      <c r="G478" s="606"/>
      <c r="H478" s="628">
        <f>IFERROR(VLOOKUP($B478,اسماء,6,0),0)</f>
        <v>0</v>
      </c>
      <c r="I478" s="605"/>
      <c r="J478" s="587">
        <f>IFERROR(VLOOKUP($B478,اسماء,7,0),0)</f>
        <v>0</v>
      </c>
      <c r="K478" s="591"/>
      <c r="L478" s="587">
        <f>IFERROR(VLOOKUP($B478,اسماء,8,0),0)</f>
        <v>0</v>
      </c>
      <c r="M478" s="588"/>
      <c r="N478" s="587">
        <f>IFERROR(VLOOKUP($B478,اسماء,9,0),0)</f>
        <v>0</v>
      </c>
      <c r="O478" s="605"/>
      <c r="P478" s="587">
        <f>IFERROR(VLOOKUP($B478,اسماء,10,0),0)</f>
        <v>0</v>
      </c>
      <c r="Q478" s="605"/>
      <c r="R478" s="606">
        <f>IFERROR(VLOOKUP($B478,اسماء,11,0),0)</f>
        <v>0</v>
      </c>
      <c r="S478" s="591"/>
      <c r="T478" s="587">
        <f>IFERROR(VLOOKUP($B478,اسماء,12,0),0)</f>
        <v>0</v>
      </c>
      <c r="U478" s="591"/>
      <c r="V478" s="263">
        <f t="shared" ref="V478:V480" si="1433">SUM(F478:U478)</f>
        <v>0</v>
      </c>
      <c r="W478" s="373">
        <f>IFERROR(VLOOKUP($B478,اسماء,14,0),0)</f>
        <v>0</v>
      </c>
      <c r="X478" s="373">
        <f>IFERROR(VLOOKUP($B478,اسماء,15,0),0)</f>
        <v>0</v>
      </c>
      <c r="Y478" s="595" t="str">
        <f t="shared" ref="Y478" si="1434">IF(AC478="غائب","راسب",IF(AND(F481&gt;=$G$8,H481&gt;=$I$8,J481&gt;=$K$8,L481&gt;=$M$8,N481&gt;=$O$8,P481&gt;=$Q$8,R481&gt;=$S$8,T481&gt;=$U$8),"ناجح","له دور ثان"))</f>
        <v>له دور ثان</v>
      </c>
      <c r="Z478" s="21" t="str">
        <f>LOOKUP(V478,$AF$6:$AG$10)</f>
        <v>ضعيف</v>
      </c>
      <c r="AA478" s="656">
        <f>V481/$AF$3</f>
        <v>0</v>
      </c>
      <c r="AB478" s="72"/>
      <c r="AC478" s="653" t="str">
        <f>IFERROR(VLOOKUP($B478,اسماء,54,0),"")</f>
        <v/>
      </c>
      <c r="AN478" s="607" t="str">
        <f t="shared" ref="AN478" si="1435">IF(V481=0,"",V481/1+ROW()*0.00001)</f>
        <v/>
      </c>
      <c r="AO478" s="607">
        <f>B478</f>
        <v>0</v>
      </c>
      <c r="AP478" s="613"/>
      <c r="AQ478" s="612">
        <v>103</v>
      </c>
      <c r="AR478" s="611" t="str">
        <f>IFERROR(LARGE($AN$10:$AN$1006,AQ478),"")</f>
        <v/>
      </c>
      <c r="AS478" s="612" t="str">
        <f>VLOOKUP(AR478,$AN$10:$AO$1116,2,0)</f>
        <v>أحمد نورالدين أحمد الذيب</v>
      </c>
    </row>
    <row r="479" spans="1:45" ht="15" customHeight="1" thickBot="1" x14ac:dyDescent="0.3">
      <c r="A479" s="633"/>
      <c r="B479" s="630"/>
      <c r="C479" s="622"/>
      <c r="D479" s="625"/>
      <c r="E479" s="133" t="s">
        <v>31</v>
      </c>
      <c r="F479" s="589">
        <f>IFERROR(VLOOKUP($B478,اسماء,18,0),0)</f>
        <v>0</v>
      </c>
      <c r="G479" s="592"/>
      <c r="H479" s="608">
        <f>IFERROR(VLOOKUP($B478,اسماء,19,0),0)</f>
        <v>0</v>
      </c>
      <c r="I479" s="609"/>
      <c r="J479" s="589">
        <f>IFERROR(VLOOKUP($B478,اسماء,20,0),0)</f>
        <v>0</v>
      </c>
      <c r="K479" s="592"/>
      <c r="L479" s="589">
        <f>IFERROR(VLOOKUP($B478,اسماء,21,0),0)</f>
        <v>0</v>
      </c>
      <c r="M479" s="590"/>
      <c r="N479" s="589">
        <f>IFERROR(VLOOKUP($B478,اسماء,22,0),0)</f>
        <v>0</v>
      </c>
      <c r="O479" s="590"/>
      <c r="P479" s="589">
        <f>IFERROR(VLOOKUP($B478,اسماء,23,0),0)</f>
        <v>0</v>
      </c>
      <c r="Q479" s="609"/>
      <c r="R479" s="603">
        <f>IFERROR(VLOOKUP($B478,اسماء,24,0),0)</f>
        <v>0</v>
      </c>
      <c r="S479" s="592"/>
      <c r="T479" s="589">
        <f>IFERROR(VLOOKUP($B478,اسماء,25,0),0)</f>
        <v>0</v>
      </c>
      <c r="U479" s="592"/>
      <c r="V479" s="263">
        <f t="shared" si="1433"/>
        <v>0</v>
      </c>
      <c r="W479" s="373">
        <f>IFERROR(VLOOKUP($B478,اسماء,27,0),0)</f>
        <v>0</v>
      </c>
      <c r="X479" s="373">
        <f>IFERROR(VLOOKUP($B478,اسماء,28,0),0)</f>
        <v>0</v>
      </c>
      <c r="Y479" s="596"/>
      <c r="Z479" s="22" t="str">
        <f>LOOKUP(V479,$AF$6:$AG$10)</f>
        <v>ضعيف</v>
      </c>
      <c r="AA479" s="657"/>
      <c r="AB479" s="10"/>
      <c r="AC479" s="654"/>
      <c r="AN479" s="607"/>
      <c r="AO479" s="607"/>
      <c r="AP479" s="613"/>
      <c r="AQ479" s="612"/>
      <c r="AR479" s="611"/>
      <c r="AS479" s="612"/>
    </row>
    <row r="480" spans="1:45" ht="15" customHeight="1" x14ac:dyDescent="0.25">
      <c r="A480" s="633"/>
      <c r="B480" s="630"/>
      <c r="C480" s="622"/>
      <c r="D480" s="625"/>
      <c r="E480" s="133" t="s">
        <v>32</v>
      </c>
      <c r="F480" s="589">
        <f>IFERROR(VLOOKUP($B478,اسماء,31,0),0)</f>
        <v>0</v>
      </c>
      <c r="G480" s="592"/>
      <c r="H480" s="608">
        <f>IFERROR(VLOOKUP($B478,اسماء,32,0),0)</f>
        <v>0</v>
      </c>
      <c r="I480" s="609"/>
      <c r="J480" s="589">
        <f>IFERROR(VLOOKUP($B478,اسماء,33,0),0)</f>
        <v>0</v>
      </c>
      <c r="K480" s="592"/>
      <c r="L480" s="589">
        <f>IFERROR(VLOOKUP($B478,اسماء,34,0),0)</f>
        <v>0</v>
      </c>
      <c r="M480" s="590"/>
      <c r="N480" s="589">
        <f>IFERROR(VLOOKUP($B478,اسماء,35,0),0)</f>
        <v>0</v>
      </c>
      <c r="O480" s="590"/>
      <c r="P480" s="589">
        <f>IFERROR(VLOOKUP($B478,اسماء,36,0),0)</f>
        <v>0</v>
      </c>
      <c r="Q480" s="609"/>
      <c r="R480" s="603">
        <f>IFERROR(VLOOKUP($B478,اسماء,37,0),0)</f>
        <v>0</v>
      </c>
      <c r="S480" s="592"/>
      <c r="T480" s="589">
        <f>IFERROR(VLOOKUP($B478,اسماء,38,0),0)</f>
        <v>0</v>
      </c>
      <c r="U480" s="592"/>
      <c r="V480" s="263">
        <f t="shared" si="1433"/>
        <v>0</v>
      </c>
      <c r="W480" s="373">
        <f>IFERROR(VLOOKUP($B478,اسماء,40,0),0)</f>
        <v>0</v>
      </c>
      <c r="X480" s="373">
        <f>IFERROR(VLOOKUP($B478,اسماء,41,0),0)</f>
        <v>0</v>
      </c>
      <c r="Y480" s="596"/>
      <c r="Z480" s="22" t="str">
        <f>LOOKUP(V480,$AI$6:$AJ$10)</f>
        <v>ضعيف</v>
      </c>
      <c r="AA480" s="657"/>
      <c r="AB480" s="72"/>
      <c r="AC480" s="654"/>
      <c r="AN480" s="607"/>
      <c r="AO480" s="607"/>
      <c r="AP480" s="613"/>
      <c r="AQ480" s="612"/>
      <c r="AR480" s="611"/>
      <c r="AS480" s="612"/>
    </row>
    <row r="481" spans="1:45" ht="15" customHeight="1" thickBot="1" x14ac:dyDescent="0.3">
      <c r="A481" s="634"/>
      <c r="B481" s="631"/>
      <c r="C481" s="623"/>
      <c r="D481" s="626"/>
      <c r="E481" s="127" t="s">
        <v>33</v>
      </c>
      <c r="F481" s="585">
        <f t="shared" ref="F481" si="1436">SUM(F478:G480)</f>
        <v>0</v>
      </c>
      <c r="G481" s="593"/>
      <c r="H481" s="604">
        <f t="shared" ref="H481" si="1437">SUM(H478:I480)</f>
        <v>0</v>
      </c>
      <c r="I481" s="601"/>
      <c r="J481" s="585">
        <f t="shared" ref="J481" si="1438">SUM(J478:K480)</f>
        <v>0</v>
      </c>
      <c r="K481" s="593"/>
      <c r="L481" s="585">
        <f t="shared" ref="L481" si="1439">SUM(L478:M480)</f>
        <v>0</v>
      </c>
      <c r="M481" s="586"/>
      <c r="N481" s="585">
        <f t="shared" ref="N481" si="1440">SUM(N478:O480)</f>
        <v>0</v>
      </c>
      <c r="O481" s="586"/>
      <c r="P481" s="585">
        <f t="shared" ref="P481" si="1441">SUM(P478:Q480)</f>
        <v>0</v>
      </c>
      <c r="Q481" s="601"/>
      <c r="R481" s="602">
        <f t="shared" ref="R481" si="1442">SUM(R478:S480)</f>
        <v>0</v>
      </c>
      <c r="S481" s="593"/>
      <c r="T481" s="585">
        <f t="shared" ref="T481" si="1443">SUM(T478:U480)</f>
        <v>0</v>
      </c>
      <c r="U481" s="593"/>
      <c r="V481" s="210">
        <f t="shared" ref="V481" si="1444">IF(AND(F481&gt;=$G$8,H481&gt;=$I$8,L481&gt;=$M$8,P481&gt;=$Q$8,R481&gt;=$S$8,T481&gt;=$U$8),SUM(F481:U481),0)</f>
        <v>0</v>
      </c>
      <c r="W481" s="264"/>
      <c r="X481" s="97"/>
      <c r="Y481" s="597"/>
      <c r="Z481" s="91" t="str">
        <f>LOOKUP(V481,$AL$6:$AM$10)</f>
        <v>ضعيف</v>
      </c>
      <c r="AA481" s="658"/>
      <c r="AB481" s="72"/>
      <c r="AC481" s="655"/>
      <c r="AN481" s="607"/>
      <c r="AO481" s="607"/>
      <c r="AP481" s="613"/>
      <c r="AQ481" s="612"/>
      <c r="AR481" s="611"/>
      <c r="AS481" s="612"/>
    </row>
    <row r="482" spans="1:45" ht="15" customHeight="1" thickBot="1" x14ac:dyDescent="0.3">
      <c r="A482" s="632">
        <v>104</v>
      </c>
      <c r="B482" s="629">
        <f>VLOOKUP(A482,مسلسل,2,0)</f>
        <v>0</v>
      </c>
      <c r="C482" s="621" t="str">
        <f>IFERROR(VLOOKUP(B482,اسماء,2,0),"")</f>
        <v/>
      </c>
      <c r="D482" s="624" t="str">
        <f>IFERROR(VLOOKUP($B482,اسماء,3,0),"")</f>
        <v/>
      </c>
      <c r="E482" s="132" t="s">
        <v>30</v>
      </c>
      <c r="F482" s="627">
        <f>IFERROR(VLOOKUP($B482,اسماء,5,0),0)</f>
        <v>0</v>
      </c>
      <c r="G482" s="606"/>
      <c r="H482" s="628">
        <f>IFERROR(VLOOKUP($B482,اسماء,6,0),0)</f>
        <v>0</v>
      </c>
      <c r="I482" s="605"/>
      <c r="J482" s="587">
        <f>IFERROR(VLOOKUP($B482,اسماء,7,0),0)</f>
        <v>0</v>
      </c>
      <c r="K482" s="591"/>
      <c r="L482" s="587">
        <f>IFERROR(VLOOKUP($B482,اسماء,8,0),0)</f>
        <v>0</v>
      </c>
      <c r="M482" s="588"/>
      <c r="N482" s="587">
        <f>IFERROR(VLOOKUP($B482,اسماء,9,0),0)</f>
        <v>0</v>
      </c>
      <c r="O482" s="605"/>
      <c r="P482" s="587">
        <f>IFERROR(VLOOKUP($B482,اسماء,10,0),0)</f>
        <v>0</v>
      </c>
      <c r="Q482" s="605"/>
      <c r="R482" s="606">
        <f>IFERROR(VLOOKUP($B482,اسماء,11,0),0)</f>
        <v>0</v>
      </c>
      <c r="S482" s="591"/>
      <c r="T482" s="587">
        <f>IFERROR(VLOOKUP($B482,اسماء,12,0),0)</f>
        <v>0</v>
      </c>
      <c r="U482" s="591"/>
      <c r="V482" s="263">
        <f t="shared" ref="V482:V484" si="1445">SUM(F482:U482)</f>
        <v>0</v>
      </c>
      <c r="W482" s="373">
        <f>IFERROR(VLOOKUP($B482,اسماء,14,0),0)</f>
        <v>0</v>
      </c>
      <c r="X482" s="373">
        <f>IFERROR(VLOOKUP($B482,اسماء,15,0),0)</f>
        <v>0</v>
      </c>
      <c r="Y482" s="595" t="str">
        <f t="shared" ref="Y482" si="1446">IF(AC482="غائب","راسب",IF(AND(F485&gt;=$G$8,H485&gt;=$I$8,J485&gt;=$K$8,L485&gt;=$M$8,N485&gt;=$O$8,P485&gt;=$Q$8,R485&gt;=$S$8,T485&gt;=$U$8),"ناجح","له دور ثان"))</f>
        <v>له دور ثان</v>
      </c>
      <c r="Z482" s="21" t="str">
        <f>LOOKUP(V482,$AF$6:$AG$10)</f>
        <v>ضعيف</v>
      </c>
      <c r="AA482" s="656">
        <f>V485/$AF$3</f>
        <v>0</v>
      </c>
      <c r="AB482" s="10"/>
      <c r="AC482" s="653" t="str">
        <f>IFERROR(VLOOKUP($B482,اسماء,54,0),"")</f>
        <v/>
      </c>
      <c r="AN482" s="607" t="str">
        <f t="shared" ref="AN482" si="1447">IF(V485=0,"",V485/1+ROW()*0.00001)</f>
        <v/>
      </c>
      <c r="AO482" s="607">
        <f>B482</f>
        <v>0</v>
      </c>
      <c r="AP482" s="613"/>
      <c r="AQ482" s="612">
        <v>104</v>
      </c>
      <c r="AR482" s="611" t="str">
        <f>IFERROR(LARGE($AN$10:$AN$1006,AQ482),"")</f>
        <v/>
      </c>
      <c r="AS482" s="612" t="str">
        <f>VLOOKUP(AR482,$AN$10:$AO$1116,2,0)</f>
        <v>أحمد نورالدين أحمد الذيب</v>
      </c>
    </row>
    <row r="483" spans="1:45" ht="15" customHeight="1" thickBot="1" x14ac:dyDescent="0.3">
      <c r="A483" s="633"/>
      <c r="B483" s="630"/>
      <c r="C483" s="622"/>
      <c r="D483" s="625"/>
      <c r="E483" s="133" t="s">
        <v>31</v>
      </c>
      <c r="F483" s="589">
        <f>IFERROR(VLOOKUP($B482,اسماء,18,0),0)</f>
        <v>0</v>
      </c>
      <c r="G483" s="592"/>
      <c r="H483" s="608">
        <f>IFERROR(VLOOKUP($B482,اسماء,19,0),0)</f>
        <v>0</v>
      </c>
      <c r="I483" s="609"/>
      <c r="J483" s="589">
        <f>IFERROR(VLOOKUP($B482,اسماء,20,0),0)</f>
        <v>0</v>
      </c>
      <c r="K483" s="592"/>
      <c r="L483" s="589">
        <f>IFERROR(VLOOKUP($B482,اسماء,21,0),0)</f>
        <v>0</v>
      </c>
      <c r="M483" s="590"/>
      <c r="N483" s="589">
        <f>IFERROR(VLOOKUP($B482,اسماء,22,0),0)</f>
        <v>0</v>
      </c>
      <c r="O483" s="590"/>
      <c r="P483" s="589">
        <f>IFERROR(VLOOKUP($B482,اسماء,23,0),0)</f>
        <v>0</v>
      </c>
      <c r="Q483" s="609"/>
      <c r="R483" s="603">
        <f>IFERROR(VLOOKUP($B482,اسماء,24,0),0)</f>
        <v>0</v>
      </c>
      <c r="S483" s="592"/>
      <c r="T483" s="589">
        <f>IFERROR(VLOOKUP($B482,اسماء,25,0),0)</f>
        <v>0</v>
      </c>
      <c r="U483" s="592"/>
      <c r="V483" s="263">
        <f t="shared" si="1445"/>
        <v>0</v>
      </c>
      <c r="W483" s="373">
        <f>IFERROR(VLOOKUP($B482,اسماء,27,0),0)</f>
        <v>0</v>
      </c>
      <c r="X483" s="373">
        <f>IFERROR(VLOOKUP($B482,اسماء,28,0),0)</f>
        <v>0</v>
      </c>
      <c r="Y483" s="596"/>
      <c r="Z483" s="22" t="str">
        <f>LOOKUP(V483,$AF$6:$AG$10)</f>
        <v>ضعيف</v>
      </c>
      <c r="AA483" s="657"/>
      <c r="AB483" s="72"/>
      <c r="AC483" s="654"/>
      <c r="AN483" s="607"/>
      <c r="AO483" s="607"/>
      <c r="AP483" s="613"/>
      <c r="AQ483" s="612"/>
      <c r="AR483" s="611"/>
      <c r="AS483" s="612"/>
    </row>
    <row r="484" spans="1:45" ht="15" customHeight="1" x14ac:dyDescent="0.25">
      <c r="A484" s="633"/>
      <c r="B484" s="630"/>
      <c r="C484" s="622"/>
      <c r="D484" s="625"/>
      <c r="E484" s="133" t="s">
        <v>32</v>
      </c>
      <c r="F484" s="589">
        <f>IFERROR(VLOOKUP($B482,اسماء,31,0),0)</f>
        <v>0</v>
      </c>
      <c r="G484" s="592"/>
      <c r="H484" s="608">
        <f>IFERROR(VLOOKUP($B482,اسماء,32,0),0)</f>
        <v>0</v>
      </c>
      <c r="I484" s="609"/>
      <c r="J484" s="589">
        <f>IFERROR(VLOOKUP($B482,اسماء,33,0),0)</f>
        <v>0</v>
      </c>
      <c r="K484" s="592"/>
      <c r="L484" s="589">
        <f>IFERROR(VLOOKUP($B482,اسماء,34,0),0)</f>
        <v>0</v>
      </c>
      <c r="M484" s="590"/>
      <c r="N484" s="589">
        <f>IFERROR(VLOOKUP($B482,اسماء,35,0),0)</f>
        <v>0</v>
      </c>
      <c r="O484" s="590"/>
      <c r="P484" s="589">
        <f>IFERROR(VLOOKUP($B482,اسماء,36,0),0)</f>
        <v>0</v>
      </c>
      <c r="Q484" s="609"/>
      <c r="R484" s="603">
        <f>IFERROR(VLOOKUP($B482,اسماء,37,0),0)</f>
        <v>0</v>
      </c>
      <c r="S484" s="592"/>
      <c r="T484" s="589">
        <f>IFERROR(VLOOKUP($B482,اسماء,38,0),0)</f>
        <v>0</v>
      </c>
      <c r="U484" s="592"/>
      <c r="V484" s="263">
        <f t="shared" si="1445"/>
        <v>0</v>
      </c>
      <c r="W484" s="373">
        <f>IFERROR(VLOOKUP($B482,اسماء,40,0),0)</f>
        <v>0</v>
      </c>
      <c r="X484" s="373">
        <f>IFERROR(VLOOKUP($B482,اسماء,41,0),0)</f>
        <v>0</v>
      </c>
      <c r="Y484" s="596"/>
      <c r="Z484" s="22" t="str">
        <f>LOOKUP(V484,$AI$6:$AJ$10)</f>
        <v>ضعيف</v>
      </c>
      <c r="AA484" s="657"/>
      <c r="AB484" s="72"/>
      <c r="AC484" s="654"/>
      <c r="AN484" s="607"/>
      <c r="AO484" s="607"/>
      <c r="AP484" s="613"/>
      <c r="AQ484" s="612"/>
      <c r="AR484" s="611"/>
      <c r="AS484" s="612"/>
    </row>
    <row r="485" spans="1:45" ht="15" customHeight="1" thickBot="1" x14ac:dyDescent="0.3">
      <c r="A485" s="634"/>
      <c r="B485" s="631"/>
      <c r="C485" s="623"/>
      <c r="D485" s="626"/>
      <c r="E485" s="127" t="s">
        <v>33</v>
      </c>
      <c r="F485" s="585">
        <f t="shared" ref="F485" si="1448">SUM(F482:G484)</f>
        <v>0</v>
      </c>
      <c r="G485" s="593"/>
      <c r="H485" s="604">
        <f t="shared" ref="H485" si="1449">SUM(H482:I484)</f>
        <v>0</v>
      </c>
      <c r="I485" s="601"/>
      <c r="J485" s="585">
        <f t="shared" ref="J485" si="1450">SUM(J482:K484)</f>
        <v>0</v>
      </c>
      <c r="K485" s="593"/>
      <c r="L485" s="585">
        <f t="shared" ref="L485" si="1451">SUM(L482:M484)</f>
        <v>0</v>
      </c>
      <c r="M485" s="586"/>
      <c r="N485" s="585">
        <f t="shared" ref="N485" si="1452">SUM(N482:O484)</f>
        <v>0</v>
      </c>
      <c r="O485" s="586"/>
      <c r="P485" s="585">
        <f t="shared" ref="P485" si="1453">SUM(P482:Q484)</f>
        <v>0</v>
      </c>
      <c r="Q485" s="601"/>
      <c r="R485" s="602">
        <f t="shared" ref="R485" si="1454">SUM(R482:S484)</f>
        <v>0</v>
      </c>
      <c r="S485" s="593"/>
      <c r="T485" s="585">
        <f t="shared" ref="T485" si="1455">SUM(T482:U484)</f>
        <v>0</v>
      </c>
      <c r="U485" s="593"/>
      <c r="V485" s="210">
        <f t="shared" ref="V485" si="1456">IF(AND(F485&gt;=$G$8,H485&gt;=$I$8,L485&gt;=$M$8,P485&gt;=$Q$8,R485&gt;=$S$8,T485&gt;=$U$8),SUM(F485:U485),0)</f>
        <v>0</v>
      </c>
      <c r="W485" s="264"/>
      <c r="X485" s="97"/>
      <c r="Y485" s="597"/>
      <c r="Z485" s="91" t="str">
        <f>LOOKUP(V485,$AL$6:$AM$10)</f>
        <v>ضعيف</v>
      </c>
      <c r="AA485" s="658"/>
      <c r="AB485" s="10"/>
      <c r="AC485" s="655"/>
      <c r="AN485" s="607"/>
      <c r="AO485" s="607"/>
      <c r="AP485" s="613"/>
      <c r="AQ485" s="612"/>
      <c r="AR485" s="611"/>
      <c r="AS485" s="612"/>
    </row>
    <row r="486" spans="1:45" ht="15" customHeight="1" thickBot="1" x14ac:dyDescent="0.3">
      <c r="A486" s="632">
        <v>105</v>
      </c>
      <c r="B486" s="629">
        <f>VLOOKUP(A486,مسلسل,2,0)</f>
        <v>0</v>
      </c>
      <c r="C486" s="621" t="str">
        <f>IFERROR(VLOOKUP(B486,اسماء,2,0),"")</f>
        <v/>
      </c>
      <c r="D486" s="624" t="str">
        <f>IFERROR(VLOOKUP($B486,اسماء,3,0),"")</f>
        <v/>
      </c>
      <c r="E486" s="132" t="s">
        <v>30</v>
      </c>
      <c r="F486" s="627">
        <f>IFERROR(VLOOKUP($B486,اسماء,5,0),0)</f>
        <v>0</v>
      </c>
      <c r="G486" s="606"/>
      <c r="H486" s="628">
        <f>IFERROR(VLOOKUP($B486,اسماء,6,0),0)</f>
        <v>0</v>
      </c>
      <c r="I486" s="605"/>
      <c r="J486" s="587">
        <f>IFERROR(VLOOKUP($B486,اسماء,7,0),0)</f>
        <v>0</v>
      </c>
      <c r="K486" s="591"/>
      <c r="L486" s="587">
        <f>IFERROR(VLOOKUP($B486,اسماء,8,0),0)</f>
        <v>0</v>
      </c>
      <c r="M486" s="588"/>
      <c r="N486" s="587">
        <f>IFERROR(VLOOKUP($B486,اسماء,9,0),0)</f>
        <v>0</v>
      </c>
      <c r="O486" s="605"/>
      <c r="P486" s="587">
        <f>IFERROR(VLOOKUP($B486,اسماء,10,0),0)</f>
        <v>0</v>
      </c>
      <c r="Q486" s="605"/>
      <c r="R486" s="606">
        <f>IFERROR(VLOOKUP($B486,اسماء,11,0),0)</f>
        <v>0</v>
      </c>
      <c r="S486" s="591"/>
      <c r="T486" s="587">
        <f>IFERROR(VLOOKUP($B486,اسماء,12,0),0)</f>
        <v>0</v>
      </c>
      <c r="U486" s="591"/>
      <c r="V486" s="263">
        <f t="shared" ref="V486:V488" si="1457">SUM(F486:U486)</f>
        <v>0</v>
      </c>
      <c r="W486" s="373">
        <f>IFERROR(VLOOKUP($B486,اسماء,14,0),0)</f>
        <v>0</v>
      </c>
      <c r="X486" s="373">
        <f>IFERROR(VLOOKUP($B486,اسماء,15,0),0)</f>
        <v>0</v>
      </c>
      <c r="Y486" s="595" t="str">
        <f t="shared" ref="Y486" si="1458">IF(AC486="غائب","راسب",IF(AND(F489&gt;=$G$8,H489&gt;=$I$8,J489&gt;=$K$8,L489&gt;=$M$8,N489&gt;=$O$8,P489&gt;=$Q$8,R489&gt;=$S$8,T489&gt;=$U$8),"ناجح","له دور ثان"))</f>
        <v>له دور ثان</v>
      </c>
      <c r="Z486" s="21" t="str">
        <f t="shared" ref="Z486:Z487" si="1459">LOOKUP(V486,$AF$6:$AG$10)</f>
        <v>ضعيف</v>
      </c>
      <c r="AA486" s="656">
        <f t="shared" ref="AA486" si="1460">V489/$AF$3</f>
        <v>0</v>
      </c>
      <c r="AB486" s="72"/>
      <c r="AC486" s="653" t="str">
        <f>IFERROR(VLOOKUP($B486,اسماء,54,0),"")</f>
        <v/>
      </c>
      <c r="AN486" s="607" t="str">
        <f t="shared" ref="AN486" si="1461">IF(V489=0,"",V489/1+ROW()*0.00001)</f>
        <v/>
      </c>
      <c r="AO486" s="607">
        <f>B486</f>
        <v>0</v>
      </c>
      <c r="AP486" s="613"/>
      <c r="AQ486" s="612">
        <v>105</v>
      </c>
      <c r="AR486" s="611" t="str">
        <f>IFERROR(LARGE($AN$10:$AN$1006,AQ486),"")</f>
        <v/>
      </c>
      <c r="AS486" s="612" t="str">
        <f>VLOOKUP(AR486,$AN$10:$AO$1116,2,0)</f>
        <v>أحمد نورالدين أحمد الذيب</v>
      </c>
    </row>
    <row r="487" spans="1:45" ht="15" customHeight="1" thickBot="1" x14ac:dyDescent="0.3">
      <c r="A487" s="633"/>
      <c r="B487" s="630"/>
      <c r="C487" s="622"/>
      <c r="D487" s="625"/>
      <c r="E487" s="133" t="s">
        <v>31</v>
      </c>
      <c r="F487" s="589">
        <f>IFERROR(VLOOKUP($B486,اسماء,18,0),0)</f>
        <v>0</v>
      </c>
      <c r="G487" s="592"/>
      <c r="H487" s="608">
        <f>IFERROR(VLOOKUP($B486,اسماء,19,0),0)</f>
        <v>0</v>
      </c>
      <c r="I487" s="609"/>
      <c r="J487" s="589">
        <f>IFERROR(VLOOKUP($B486,اسماء,20,0),0)</f>
        <v>0</v>
      </c>
      <c r="K487" s="592"/>
      <c r="L487" s="589">
        <f>IFERROR(VLOOKUP($B486,اسماء,21,0),0)</f>
        <v>0</v>
      </c>
      <c r="M487" s="590"/>
      <c r="N487" s="589">
        <f>IFERROR(VLOOKUP($B486,اسماء,22,0),0)</f>
        <v>0</v>
      </c>
      <c r="O487" s="590"/>
      <c r="P487" s="589">
        <f>IFERROR(VLOOKUP($B486,اسماء,23,0),0)</f>
        <v>0</v>
      </c>
      <c r="Q487" s="609"/>
      <c r="R487" s="603">
        <f>IFERROR(VLOOKUP($B486,اسماء,24,0),0)</f>
        <v>0</v>
      </c>
      <c r="S487" s="592"/>
      <c r="T487" s="589">
        <f>IFERROR(VLOOKUP($B486,اسماء,25,0),0)</f>
        <v>0</v>
      </c>
      <c r="U487" s="592"/>
      <c r="V487" s="263">
        <f t="shared" si="1457"/>
        <v>0</v>
      </c>
      <c r="W487" s="373">
        <f>IFERROR(VLOOKUP($B486,اسماء,27,0),0)</f>
        <v>0</v>
      </c>
      <c r="X487" s="373">
        <f>IFERROR(VLOOKUP($B486,اسماء,28,0),0)</f>
        <v>0</v>
      </c>
      <c r="Y487" s="596"/>
      <c r="Z487" s="22" t="str">
        <f t="shared" si="1459"/>
        <v>ضعيف</v>
      </c>
      <c r="AA487" s="657"/>
      <c r="AB487" s="72"/>
      <c r="AC487" s="654"/>
      <c r="AN487" s="607"/>
      <c r="AO487" s="607"/>
      <c r="AP487" s="613"/>
      <c r="AQ487" s="612"/>
      <c r="AR487" s="611"/>
      <c r="AS487" s="612"/>
    </row>
    <row r="488" spans="1:45" ht="15" customHeight="1" x14ac:dyDescent="0.25">
      <c r="A488" s="633"/>
      <c r="B488" s="630"/>
      <c r="C488" s="622"/>
      <c r="D488" s="625"/>
      <c r="E488" s="133" t="s">
        <v>32</v>
      </c>
      <c r="F488" s="589">
        <f>IFERROR(VLOOKUP($B486,اسماء,31,0),0)</f>
        <v>0</v>
      </c>
      <c r="G488" s="592"/>
      <c r="H488" s="608">
        <f>IFERROR(VLOOKUP($B486,اسماء,32,0),0)</f>
        <v>0</v>
      </c>
      <c r="I488" s="609"/>
      <c r="J488" s="589">
        <f>IFERROR(VLOOKUP($B486,اسماء,33,0),0)</f>
        <v>0</v>
      </c>
      <c r="K488" s="592"/>
      <c r="L488" s="589">
        <f>IFERROR(VLOOKUP($B486,اسماء,34,0),0)</f>
        <v>0</v>
      </c>
      <c r="M488" s="590"/>
      <c r="N488" s="589">
        <f>IFERROR(VLOOKUP($B486,اسماء,35,0),0)</f>
        <v>0</v>
      </c>
      <c r="O488" s="590"/>
      <c r="P488" s="589">
        <f>IFERROR(VLOOKUP($B486,اسماء,36,0),0)</f>
        <v>0</v>
      </c>
      <c r="Q488" s="609"/>
      <c r="R488" s="603">
        <f>IFERROR(VLOOKUP($B486,اسماء,37,0),0)</f>
        <v>0</v>
      </c>
      <c r="S488" s="592"/>
      <c r="T488" s="589">
        <f>IFERROR(VLOOKUP($B486,اسماء,38,0),0)</f>
        <v>0</v>
      </c>
      <c r="U488" s="592"/>
      <c r="V488" s="263">
        <f t="shared" si="1457"/>
        <v>0</v>
      </c>
      <c r="W488" s="373">
        <f>IFERROR(VLOOKUP($B486,اسماء,40,0),0)</f>
        <v>0</v>
      </c>
      <c r="X488" s="373">
        <f>IFERROR(VLOOKUP($B486,اسماء,41,0),0)</f>
        <v>0</v>
      </c>
      <c r="Y488" s="596"/>
      <c r="Z488" s="22" t="str">
        <f t="shared" ref="Z488" si="1462">LOOKUP(V488,$AI$6:$AJ$10)</f>
        <v>ضعيف</v>
      </c>
      <c r="AA488" s="657"/>
      <c r="AB488" s="10"/>
      <c r="AC488" s="654"/>
      <c r="AN488" s="607"/>
      <c r="AO488" s="607"/>
      <c r="AP488" s="613"/>
      <c r="AQ488" s="612"/>
      <c r="AR488" s="611"/>
      <c r="AS488" s="612"/>
    </row>
    <row r="489" spans="1:45" ht="15" customHeight="1" thickBot="1" x14ac:dyDescent="0.3">
      <c r="A489" s="634"/>
      <c r="B489" s="631"/>
      <c r="C489" s="623"/>
      <c r="D489" s="626"/>
      <c r="E489" s="127" t="s">
        <v>33</v>
      </c>
      <c r="F489" s="585">
        <f t="shared" ref="F489" si="1463">SUM(F486:G488)</f>
        <v>0</v>
      </c>
      <c r="G489" s="593"/>
      <c r="H489" s="604">
        <f t="shared" ref="H489" si="1464">SUM(H486:I488)</f>
        <v>0</v>
      </c>
      <c r="I489" s="601"/>
      <c r="J489" s="585">
        <f t="shared" ref="J489" si="1465">SUM(J486:K488)</f>
        <v>0</v>
      </c>
      <c r="K489" s="593"/>
      <c r="L489" s="585">
        <f t="shared" ref="L489" si="1466">SUM(L486:M488)</f>
        <v>0</v>
      </c>
      <c r="M489" s="586"/>
      <c r="N489" s="585">
        <f t="shared" ref="N489" si="1467">SUM(N486:O488)</f>
        <v>0</v>
      </c>
      <c r="O489" s="586"/>
      <c r="P489" s="585">
        <f t="shared" ref="P489" si="1468">SUM(P486:Q488)</f>
        <v>0</v>
      </c>
      <c r="Q489" s="601"/>
      <c r="R489" s="602">
        <f t="shared" ref="R489" si="1469">SUM(R486:S488)</f>
        <v>0</v>
      </c>
      <c r="S489" s="593"/>
      <c r="T489" s="585">
        <f t="shared" ref="T489" si="1470">SUM(T486:U488)</f>
        <v>0</v>
      </c>
      <c r="U489" s="593"/>
      <c r="V489" s="210">
        <f t="shared" ref="V489" si="1471">IF(AND(F489&gt;=$G$8,H489&gt;=$I$8,L489&gt;=$M$8,P489&gt;=$Q$8,R489&gt;=$S$8,T489&gt;=$U$8),SUM(F489:U489),0)</f>
        <v>0</v>
      </c>
      <c r="W489" s="264"/>
      <c r="X489" s="97"/>
      <c r="Y489" s="597"/>
      <c r="Z489" s="91" t="str">
        <f t="shared" ref="Z489" si="1472">LOOKUP(V489,$AL$6:$AM$10)</f>
        <v>ضعيف</v>
      </c>
      <c r="AA489" s="658"/>
      <c r="AB489" s="72"/>
      <c r="AC489" s="655"/>
      <c r="AN489" s="607"/>
      <c r="AO489" s="607"/>
      <c r="AP489" s="613"/>
      <c r="AQ489" s="612"/>
      <c r="AR489" s="611"/>
      <c r="AS489" s="612"/>
    </row>
    <row r="490" spans="1:45" ht="15" customHeight="1" thickBot="1" x14ac:dyDescent="0.3">
      <c r="A490" s="632">
        <v>106</v>
      </c>
      <c r="B490" s="629">
        <f>VLOOKUP(A490,مسلسل,2,0)</f>
        <v>0</v>
      </c>
      <c r="C490" s="621" t="str">
        <f>IFERROR(VLOOKUP(B490,اسماء,2,0),"")</f>
        <v/>
      </c>
      <c r="D490" s="624" t="str">
        <f>IFERROR(VLOOKUP($B490,اسماء,3,0),"")</f>
        <v/>
      </c>
      <c r="E490" s="132" t="s">
        <v>30</v>
      </c>
      <c r="F490" s="627">
        <f>IFERROR(VLOOKUP($B490,اسماء,5,0),0)</f>
        <v>0</v>
      </c>
      <c r="G490" s="606"/>
      <c r="H490" s="628">
        <f>IFERROR(VLOOKUP($B490,اسماء,6,0),0)</f>
        <v>0</v>
      </c>
      <c r="I490" s="605"/>
      <c r="J490" s="587">
        <f>IFERROR(VLOOKUP($B490,اسماء,7,0),0)</f>
        <v>0</v>
      </c>
      <c r="K490" s="591"/>
      <c r="L490" s="587">
        <f>IFERROR(VLOOKUP($B490,اسماء,8,0),0)</f>
        <v>0</v>
      </c>
      <c r="M490" s="588"/>
      <c r="N490" s="587">
        <f>IFERROR(VLOOKUP($B490,اسماء,9,0),0)</f>
        <v>0</v>
      </c>
      <c r="O490" s="605"/>
      <c r="P490" s="587">
        <f>IFERROR(VLOOKUP($B490,اسماء,10,0),0)</f>
        <v>0</v>
      </c>
      <c r="Q490" s="605"/>
      <c r="R490" s="606">
        <f>IFERROR(VLOOKUP($B490,اسماء,11,0),0)</f>
        <v>0</v>
      </c>
      <c r="S490" s="591"/>
      <c r="T490" s="587">
        <f>IFERROR(VLOOKUP($B490,اسماء,12,0),0)</f>
        <v>0</v>
      </c>
      <c r="U490" s="591"/>
      <c r="V490" s="263">
        <f t="shared" ref="V490:V492" si="1473">SUM(F490:U490)</f>
        <v>0</v>
      </c>
      <c r="W490" s="373">
        <f>IFERROR(VLOOKUP($B490,اسماء,14,0),0)</f>
        <v>0</v>
      </c>
      <c r="X490" s="373">
        <f>IFERROR(VLOOKUP($B490,اسماء,15,0),0)</f>
        <v>0</v>
      </c>
      <c r="Y490" s="595" t="str">
        <f t="shared" ref="Y490" si="1474">IF(AC490="غائب","راسب",IF(AND(F493&gt;=$G$8,H493&gt;=$I$8,J493&gt;=$K$8,L493&gt;=$M$8,N493&gt;=$O$8,P493&gt;=$Q$8,R493&gt;=$S$8,T493&gt;=$U$8),"ناجح","له دور ثان"))</f>
        <v>له دور ثان</v>
      </c>
      <c r="Z490" s="21" t="str">
        <f t="shared" ref="Z490:Z491" si="1475">LOOKUP(V490,$AF$6:$AG$10)</f>
        <v>ضعيف</v>
      </c>
      <c r="AA490" s="656">
        <f t="shared" ref="AA490" si="1476">V493/$AF$3</f>
        <v>0</v>
      </c>
      <c r="AB490" s="72"/>
      <c r="AC490" s="653" t="str">
        <f>IFERROR(VLOOKUP($B490,اسماء,54,0),"")</f>
        <v/>
      </c>
      <c r="AN490" s="607" t="str">
        <f t="shared" ref="AN490" si="1477">IF(V493=0,"",V493/1+ROW()*0.00001)</f>
        <v/>
      </c>
      <c r="AO490" s="607">
        <f>B490</f>
        <v>0</v>
      </c>
      <c r="AP490" s="613"/>
      <c r="AQ490" s="612">
        <v>106</v>
      </c>
      <c r="AR490" s="611" t="str">
        <f>IFERROR(LARGE($AN$10:$AN$1006,AQ490),"")</f>
        <v/>
      </c>
      <c r="AS490" s="612" t="str">
        <f>VLOOKUP(AR490,$AN$10:$AO$1116,2,0)</f>
        <v>أحمد نورالدين أحمد الذيب</v>
      </c>
    </row>
    <row r="491" spans="1:45" ht="15" customHeight="1" thickBot="1" x14ac:dyDescent="0.3">
      <c r="A491" s="633"/>
      <c r="B491" s="630"/>
      <c r="C491" s="622"/>
      <c r="D491" s="625"/>
      <c r="E491" s="133" t="s">
        <v>31</v>
      </c>
      <c r="F491" s="589">
        <f>IFERROR(VLOOKUP($B490,اسماء,18,0),0)</f>
        <v>0</v>
      </c>
      <c r="G491" s="592"/>
      <c r="H491" s="608">
        <f>IFERROR(VLOOKUP($B490,اسماء,19,0),0)</f>
        <v>0</v>
      </c>
      <c r="I491" s="609"/>
      <c r="J491" s="589">
        <f>IFERROR(VLOOKUP($B490,اسماء,20,0),0)</f>
        <v>0</v>
      </c>
      <c r="K491" s="592"/>
      <c r="L491" s="589">
        <f>IFERROR(VLOOKUP($B490,اسماء,21,0),0)</f>
        <v>0</v>
      </c>
      <c r="M491" s="590"/>
      <c r="N491" s="589">
        <f>IFERROR(VLOOKUP($B490,اسماء,22,0),0)</f>
        <v>0</v>
      </c>
      <c r="O491" s="590"/>
      <c r="P491" s="589">
        <f>IFERROR(VLOOKUP($B490,اسماء,23,0),0)</f>
        <v>0</v>
      </c>
      <c r="Q491" s="609"/>
      <c r="R491" s="603">
        <f>IFERROR(VLOOKUP($B490,اسماء,24,0),0)</f>
        <v>0</v>
      </c>
      <c r="S491" s="592"/>
      <c r="T491" s="589">
        <f>IFERROR(VLOOKUP($B490,اسماء,25,0),0)</f>
        <v>0</v>
      </c>
      <c r="U491" s="592"/>
      <c r="V491" s="263">
        <f t="shared" si="1473"/>
        <v>0</v>
      </c>
      <c r="W491" s="373">
        <f>IFERROR(VLOOKUP($B490,اسماء,27,0),0)</f>
        <v>0</v>
      </c>
      <c r="X491" s="373">
        <f>IFERROR(VLOOKUP($B490,اسماء,28,0),0)</f>
        <v>0</v>
      </c>
      <c r="Y491" s="596"/>
      <c r="Z491" s="22" t="str">
        <f t="shared" si="1475"/>
        <v>ضعيف</v>
      </c>
      <c r="AA491" s="657"/>
      <c r="AB491" s="10"/>
      <c r="AC491" s="654"/>
      <c r="AN491" s="607"/>
      <c r="AO491" s="607"/>
      <c r="AP491" s="613"/>
      <c r="AQ491" s="612"/>
      <c r="AR491" s="611"/>
      <c r="AS491" s="612"/>
    </row>
    <row r="492" spans="1:45" ht="15" customHeight="1" x14ac:dyDescent="0.25">
      <c r="A492" s="633"/>
      <c r="B492" s="630"/>
      <c r="C492" s="622"/>
      <c r="D492" s="625"/>
      <c r="E492" s="133" t="s">
        <v>32</v>
      </c>
      <c r="F492" s="589">
        <f>IFERROR(VLOOKUP($B490,اسماء,31,0),0)</f>
        <v>0</v>
      </c>
      <c r="G492" s="592"/>
      <c r="H492" s="608">
        <f>IFERROR(VLOOKUP($B490,اسماء,32,0),0)</f>
        <v>0</v>
      </c>
      <c r="I492" s="609"/>
      <c r="J492" s="589">
        <f>IFERROR(VLOOKUP($B490,اسماء,33,0),0)</f>
        <v>0</v>
      </c>
      <c r="K492" s="592"/>
      <c r="L492" s="589">
        <f>IFERROR(VLOOKUP($B490,اسماء,34,0),0)</f>
        <v>0</v>
      </c>
      <c r="M492" s="590"/>
      <c r="N492" s="589">
        <f>IFERROR(VLOOKUP($B490,اسماء,35,0),0)</f>
        <v>0</v>
      </c>
      <c r="O492" s="590"/>
      <c r="P492" s="589">
        <f>IFERROR(VLOOKUP($B490,اسماء,36,0),0)</f>
        <v>0</v>
      </c>
      <c r="Q492" s="609"/>
      <c r="R492" s="603">
        <f>IFERROR(VLOOKUP($B490,اسماء,37,0),0)</f>
        <v>0</v>
      </c>
      <c r="S492" s="592"/>
      <c r="T492" s="589">
        <f>IFERROR(VLOOKUP($B490,اسماء,38,0),0)</f>
        <v>0</v>
      </c>
      <c r="U492" s="592"/>
      <c r="V492" s="263">
        <f t="shared" si="1473"/>
        <v>0</v>
      </c>
      <c r="W492" s="373">
        <f>IFERROR(VLOOKUP($B490,اسماء,40,0),0)</f>
        <v>0</v>
      </c>
      <c r="X492" s="373">
        <f>IFERROR(VLOOKUP($B490,اسماء,41,0),0)</f>
        <v>0</v>
      </c>
      <c r="Y492" s="596"/>
      <c r="Z492" s="22" t="str">
        <f t="shared" ref="Z492" si="1478">LOOKUP(V492,$AI$6:$AJ$10)</f>
        <v>ضعيف</v>
      </c>
      <c r="AA492" s="657"/>
      <c r="AB492" s="72"/>
      <c r="AC492" s="654"/>
      <c r="AN492" s="607"/>
      <c r="AO492" s="607"/>
      <c r="AP492" s="613"/>
      <c r="AQ492" s="612"/>
      <c r="AR492" s="611"/>
      <c r="AS492" s="612"/>
    </row>
    <row r="493" spans="1:45" ht="15" customHeight="1" thickBot="1" x14ac:dyDescent="0.3">
      <c r="A493" s="634"/>
      <c r="B493" s="631"/>
      <c r="C493" s="623"/>
      <c r="D493" s="626"/>
      <c r="E493" s="127" t="s">
        <v>33</v>
      </c>
      <c r="F493" s="585">
        <f t="shared" ref="F493" si="1479">SUM(F490:G492)</f>
        <v>0</v>
      </c>
      <c r="G493" s="593"/>
      <c r="H493" s="604">
        <f t="shared" ref="H493" si="1480">SUM(H490:I492)</f>
        <v>0</v>
      </c>
      <c r="I493" s="601"/>
      <c r="J493" s="585">
        <f t="shared" ref="J493" si="1481">SUM(J490:K492)</f>
        <v>0</v>
      </c>
      <c r="K493" s="593"/>
      <c r="L493" s="585">
        <f t="shared" ref="L493" si="1482">SUM(L490:M492)</f>
        <v>0</v>
      </c>
      <c r="M493" s="586"/>
      <c r="N493" s="585">
        <f t="shared" ref="N493" si="1483">SUM(N490:O492)</f>
        <v>0</v>
      </c>
      <c r="O493" s="586"/>
      <c r="P493" s="585">
        <f t="shared" ref="P493" si="1484">SUM(P490:Q492)</f>
        <v>0</v>
      </c>
      <c r="Q493" s="601"/>
      <c r="R493" s="602">
        <f t="shared" ref="R493" si="1485">SUM(R490:S492)</f>
        <v>0</v>
      </c>
      <c r="S493" s="593"/>
      <c r="T493" s="585">
        <f t="shared" ref="T493" si="1486">SUM(T490:U492)</f>
        <v>0</v>
      </c>
      <c r="U493" s="593"/>
      <c r="V493" s="210">
        <f t="shared" ref="V493" si="1487">IF(AND(F493&gt;=$G$8,H493&gt;=$I$8,L493&gt;=$M$8,P493&gt;=$Q$8,R493&gt;=$S$8,T493&gt;=$U$8),SUM(F493:U493),0)</f>
        <v>0</v>
      </c>
      <c r="W493" s="264"/>
      <c r="X493" s="97"/>
      <c r="Y493" s="597"/>
      <c r="Z493" s="91" t="str">
        <f t="shared" ref="Z493" si="1488">LOOKUP(V493,$AL$6:$AM$10)</f>
        <v>ضعيف</v>
      </c>
      <c r="AA493" s="658"/>
      <c r="AB493" s="72"/>
      <c r="AC493" s="655"/>
      <c r="AN493" s="607"/>
      <c r="AO493" s="607"/>
      <c r="AP493" s="613"/>
      <c r="AQ493" s="612"/>
      <c r="AR493" s="611"/>
      <c r="AS493" s="612"/>
    </row>
    <row r="494" spans="1:45" ht="15" customHeight="1" thickBot="1" x14ac:dyDescent="0.3">
      <c r="A494" s="632">
        <v>107</v>
      </c>
      <c r="B494" s="629">
        <f>VLOOKUP(A494,مسلسل,2,0)</f>
        <v>0</v>
      </c>
      <c r="C494" s="621" t="str">
        <f>IFERROR(VLOOKUP(B494,اسماء,2,0),"")</f>
        <v/>
      </c>
      <c r="D494" s="624" t="str">
        <f>IFERROR(VLOOKUP($B494,اسماء,3,0),"")</f>
        <v/>
      </c>
      <c r="E494" s="132" t="s">
        <v>30</v>
      </c>
      <c r="F494" s="627">
        <f>IFERROR(VLOOKUP($B494,اسماء,5,0),0)</f>
        <v>0</v>
      </c>
      <c r="G494" s="606"/>
      <c r="H494" s="628">
        <f>IFERROR(VLOOKUP($B494,اسماء,6,0),0)</f>
        <v>0</v>
      </c>
      <c r="I494" s="605"/>
      <c r="J494" s="587">
        <f>IFERROR(VLOOKUP($B494,اسماء,7,0),0)</f>
        <v>0</v>
      </c>
      <c r="K494" s="591"/>
      <c r="L494" s="587">
        <f>IFERROR(VLOOKUP($B494,اسماء,8,0),0)</f>
        <v>0</v>
      </c>
      <c r="M494" s="588"/>
      <c r="N494" s="587">
        <f>IFERROR(VLOOKUP($B494,اسماء,9,0),0)</f>
        <v>0</v>
      </c>
      <c r="O494" s="605"/>
      <c r="P494" s="587">
        <f>IFERROR(VLOOKUP($B494,اسماء,10,0),0)</f>
        <v>0</v>
      </c>
      <c r="Q494" s="605"/>
      <c r="R494" s="606">
        <f>IFERROR(VLOOKUP($B494,اسماء,11,0),0)</f>
        <v>0</v>
      </c>
      <c r="S494" s="591"/>
      <c r="T494" s="587">
        <f>IFERROR(VLOOKUP($B494,اسماء,12,0),0)</f>
        <v>0</v>
      </c>
      <c r="U494" s="591"/>
      <c r="V494" s="263">
        <f t="shared" ref="V494:V496" si="1489">SUM(F494:U494)</f>
        <v>0</v>
      </c>
      <c r="W494" s="373">
        <f>IFERROR(VLOOKUP($B494,اسماء,14,0),0)</f>
        <v>0</v>
      </c>
      <c r="X494" s="373">
        <f>IFERROR(VLOOKUP($B494,اسماء,15,0),0)</f>
        <v>0</v>
      </c>
      <c r="Y494" s="595" t="str">
        <f t="shared" ref="Y494" si="1490">IF(AC494="غائب","راسب",IF(AND(F497&gt;=$G$8,H497&gt;=$I$8,J497&gt;=$K$8,L497&gt;=$M$8,N497&gt;=$O$8,P497&gt;=$Q$8,R497&gt;=$S$8,T497&gt;=$U$8),"ناجح","له دور ثان"))</f>
        <v>له دور ثان</v>
      </c>
      <c r="Z494" s="21" t="str">
        <f t="shared" ref="Z494:Z495" si="1491">LOOKUP(V494,$AF$6:$AG$10)</f>
        <v>ضعيف</v>
      </c>
      <c r="AA494" s="656">
        <f t="shared" ref="AA494" si="1492">V497/$AF$3</f>
        <v>0</v>
      </c>
      <c r="AB494" s="10"/>
      <c r="AC494" s="653" t="str">
        <f>IFERROR(VLOOKUP($B494,اسماء,54,0),"")</f>
        <v/>
      </c>
      <c r="AN494" s="607" t="str">
        <f t="shared" ref="AN494" si="1493">IF(V497=0,"",V497/1+ROW()*0.00001)</f>
        <v/>
      </c>
      <c r="AO494" s="607">
        <f>B494</f>
        <v>0</v>
      </c>
      <c r="AP494" s="613"/>
      <c r="AQ494" s="612">
        <v>107</v>
      </c>
      <c r="AR494" s="611" t="str">
        <f>IFERROR(LARGE($AN$10:$AN$1006,AQ494),"")</f>
        <v/>
      </c>
      <c r="AS494" s="612" t="str">
        <f>VLOOKUP(AR494,$AN$10:$AO$1116,2,0)</f>
        <v>أحمد نورالدين أحمد الذيب</v>
      </c>
    </row>
    <row r="495" spans="1:45" ht="15" customHeight="1" thickBot="1" x14ac:dyDescent="0.3">
      <c r="A495" s="633"/>
      <c r="B495" s="630"/>
      <c r="C495" s="622"/>
      <c r="D495" s="625"/>
      <c r="E495" s="133" t="s">
        <v>31</v>
      </c>
      <c r="F495" s="589">
        <f>IFERROR(VLOOKUP($B494,اسماء,18,0),0)</f>
        <v>0</v>
      </c>
      <c r="G495" s="592"/>
      <c r="H495" s="608">
        <f>IFERROR(VLOOKUP($B494,اسماء,19,0),0)</f>
        <v>0</v>
      </c>
      <c r="I495" s="609"/>
      <c r="J495" s="589">
        <f>IFERROR(VLOOKUP($B494,اسماء,20,0),0)</f>
        <v>0</v>
      </c>
      <c r="K495" s="592"/>
      <c r="L495" s="589">
        <f>IFERROR(VLOOKUP($B494,اسماء,21,0),0)</f>
        <v>0</v>
      </c>
      <c r="M495" s="590"/>
      <c r="N495" s="589">
        <f>IFERROR(VLOOKUP($B494,اسماء,22,0),0)</f>
        <v>0</v>
      </c>
      <c r="O495" s="590"/>
      <c r="P495" s="589">
        <f>IFERROR(VLOOKUP($B494,اسماء,23,0),0)</f>
        <v>0</v>
      </c>
      <c r="Q495" s="609"/>
      <c r="R495" s="603">
        <f>IFERROR(VLOOKUP($B494,اسماء,24,0),0)</f>
        <v>0</v>
      </c>
      <c r="S495" s="592"/>
      <c r="T495" s="589">
        <f>IFERROR(VLOOKUP($B494,اسماء,25,0),0)</f>
        <v>0</v>
      </c>
      <c r="U495" s="592"/>
      <c r="V495" s="263">
        <f t="shared" si="1489"/>
        <v>0</v>
      </c>
      <c r="W495" s="373">
        <f>IFERROR(VLOOKUP($B494,اسماء,27,0),0)</f>
        <v>0</v>
      </c>
      <c r="X495" s="373">
        <f>IFERROR(VLOOKUP($B494,اسماء,28,0),0)</f>
        <v>0</v>
      </c>
      <c r="Y495" s="596"/>
      <c r="Z495" s="22" t="str">
        <f t="shared" si="1491"/>
        <v>ضعيف</v>
      </c>
      <c r="AA495" s="657"/>
      <c r="AB495" s="72"/>
      <c r="AC495" s="654"/>
      <c r="AN495" s="607"/>
      <c r="AO495" s="607"/>
      <c r="AP495" s="613"/>
      <c r="AQ495" s="612"/>
      <c r="AR495" s="611"/>
      <c r="AS495" s="612"/>
    </row>
    <row r="496" spans="1:45" ht="15" customHeight="1" x14ac:dyDescent="0.25">
      <c r="A496" s="633"/>
      <c r="B496" s="630"/>
      <c r="C496" s="622"/>
      <c r="D496" s="625"/>
      <c r="E496" s="133" t="s">
        <v>32</v>
      </c>
      <c r="F496" s="589">
        <f>IFERROR(VLOOKUP($B494,اسماء,31,0),0)</f>
        <v>0</v>
      </c>
      <c r="G496" s="592"/>
      <c r="H496" s="608">
        <f>IFERROR(VLOOKUP($B494,اسماء,32,0),0)</f>
        <v>0</v>
      </c>
      <c r="I496" s="609"/>
      <c r="J496" s="589">
        <f>IFERROR(VLOOKUP($B494,اسماء,33,0),0)</f>
        <v>0</v>
      </c>
      <c r="K496" s="592"/>
      <c r="L496" s="589">
        <f>IFERROR(VLOOKUP($B494,اسماء,34,0),0)</f>
        <v>0</v>
      </c>
      <c r="M496" s="590"/>
      <c r="N496" s="589">
        <f>IFERROR(VLOOKUP($B494,اسماء,35,0),0)</f>
        <v>0</v>
      </c>
      <c r="O496" s="590"/>
      <c r="P496" s="589">
        <f>IFERROR(VLOOKUP($B494,اسماء,36,0),0)</f>
        <v>0</v>
      </c>
      <c r="Q496" s="609"/>
      <c r="R496" s="603">
        <f>IFERROR(VLOOKUP($B494,اسماء,37,0),0)</f>
        <v>0</v>
      </c>
      <c r="S496" s="592"/>
      <c r="T496" s="589">
        <f>IFERROR(VLOOKUP($B494,اسماء,38,0),0)</f>
        <v>0</v>
      </c>
      <c r="U496" s="592"/>
      <c r="V496" s="263">
        <f t="shared" si="1489"/>
        <v>0</v>
      </c>
      <c r="W496" s="373">
        <f>IFERROR(VLOOKUP($B494,اسماء,40,0),0)</f>
        <v>0</v>
      </c>
      <c r="X496" s="373">
        <f>IFERROR(VLOOKUP($B494,اسماء,41,0),0)</f>
        <v>0</v>
      </c>
      <c r="Y496" s="596"/>
      <c r="Z496" s="22" t="str">
        <f t="shared" ref="Z496" si="1494">LOOKUP(V496,$AI$6:$AJ$10)</f>
        <v>ضعيف</v>
      </c>
      <c r="AA496" s="657"/>
      <c r="AB496" s="72"/>
      <c r="AC496" s="654"/>
      <c r="AN496" s="607"/>
      <c r="AO496" s="607"/>
      <c r="AP496" s="613"/>
      <c r="AQ496" s="612"/>
      <c r="AR496" s="611"/>
      <c r="AS496" s="612"/>
    </row>
    <row r="497" spans="1:45" ht="15" customHeight="1" thickBot="1" x14ac:dyDescent="0.3">
      <c r="A497" s="634"/>
      <c r="B497" s="631"/>
      <c r="C497" s="623"/>
      <c r="D497" s="626"/>
      <c r="E497" s="127" t="s">
        <v>33</v>
      </c>
      <c r="F497" s="585">
        <f t="shared" ref="F497" si="1495">SUM(F494:G496)</f>
        <v>0</v>
      </c>
      <c r="G497" s="593"/>
      <c r="H497" s="604">
        <f t="shared" ref="H497" si="1496">SUM(H494:I496)</f>
        <v>0</v>
      </c>
      <c r="I497" s="601"/>
      <c r="J497" s="585">
        <f t="shared" ref="J497" si="1497">SUM(J494:K496)</f>
        <v>0</v>
      </c>
      <c r="K497" s="593"/>
      <c r="L497" s="585">
        <f t="shared" ref="L497" si="1498">SUM(L494:M496)</f>
        <v>0</v>
      </c>
      <c r="M497" s="586"/>
      <c r="N497" s="585">
        <f t="shared" ref="N497" si="1499">SUM(N494:O496)</f>
        <v>0</v>
      </c>
      <c r="O497" s="586"/>
      <c r="P497" s="585">
        <f t="shared" ref="P497" si="1500">SUM(P494:Q496)</f>
        <v>0</v>
      </c>
      <c r="Q497" s="601"/>
      <c r="R497" s="602">
        <f t="shared" ref="R497" si="1501">SUM(R494:S496)</f>
        <v>0</v>
      </c>
      <c r="S497" s="593"/>
      <c r="T497" s="585">
        <f t="shared" ref="T497" si="1502">SUM(T494:U496)</f>
        <v>0</v>
      </c>
      <c r="U497" s="593"/>
      <c r="V497" s="210">
        <f t="shared" ref="V497" si="1503">IF(AND(F497&gt;=$G$8,H497&gt;=$I$8,L497&gt;=$M$8,P497&gt;=$Q$8,R497&gt;=$S$8,T497&gt;=$U$8),SUM(F497:U497),0)</f>
        <v>0</v>
      </c>
      <c r="W497" s="264"/>
      <c r="X497" s="97"/>
      <c r="Y497" s="597"/>
      <c r="Z497" s="91" t="str">
        <f t="shared" ref="Z497" si="1504">LOOKUP(V497,$AL$6:$AM$10)</f>
        <v>ضعيف</v>
      </c>
      <c r="AA497" s="658"/>
      <c r="AB497" s="10"/>
      <c r="AC497" s="655"/>
      <c r="AN497" s="607"/>
      <c r="AO497" s="607"/>
      <c r="AP497" s="613"/>
      <c r="AQ497" s="612"/>
      <c r="AR497" s="611"/>
      <c r="AS497" s="612"/>
    </row>
    <row r="498" spans="1:45" ht="15" customHeight="1" thickBot="1" x14ac:dyDescent="0.3">
      <c r="A498" s="632">
        <v>108</v>
      </c>
      <c r="B498" s="629">
        <f>VLOOKUP(A498,مسلسل,2,0)</f>
        <v>0</v>
      </c>
      <c r="C498" s="621" t="str">
        <f>IFERROR(VLOOKUP(B498,اسماء,2,0),"")</f>
        <v/>
      </c>
      <c r="D498" s="624" t="str">
        <f>IFERROR(VLOOKUP($B498,اسماء,3,0),"")</f>
        <v/>
      </c>
      <c r="E498" s="132" t="s">
        <v>30</v>
      </c>
      <c r="F498" s="627">
        <f>IFERROR(VLOOKUP($B498,اسماء,5,0),0)</f>
        <v>0</v>
      </c>
      <c r="G498" s="606"/>
      <c r="H498" s="628">
        <f>IFERROR(VLOOKUP($B498,اسماء,6,0),0)</f>
        <v>0</v>
      </c>
      <c r="I498" s="605"/>
      <c r="J498" s="587">
        <f>IFERROR(VLOOKUP($B498,اسماء,7,0),0)</f>
        <v>0</v>
      </c>
      <c r="K498" s="591"/>
      <c r="L498" s="587">
        <f>IFERROR(VLOOKUP($B498,اسماء,8,0),0)</f>
        <v>0</v>
      </c>
      <c r="M498" s="588"/>
      <c r="N498" s="587">
        <f>IFERROR(VLOOKUP($B498,اسماء,9,0),0)</f>
        <v>0</v>
      </c>
      <c r="O498" s="605"/>
      <c r="P498" s="587">
        <f>IFERROR(VLOOKUP($B498,اسماء,10,0),0)</f>
        <v>0</v>
      </c>
      <c r="Q498" s="605"/>
      <c r="R498" s="606">
        <f>IFERROR(VLOOKUP($B498,اسماء,11,0),0)</f>
        <v>0</v>
      </c>
      <c r="S498" s="591"/>
      <c r="T498" s="587">
        <f>IFERROR(VLOOKUP($B498,اسماء,12,0),0)</f>
        <v>0</v>
      </c>
      <c r="U498" s="591"/>
      <c r="V498" s="263">
        <f t="shared" ref="V498:V500" si="1505">SUM(F498:U498)</f>
        <v>0</v>
      </c>
      <c r="W498" s="373">
        <f>IFERROR(VLOOKUP($B498,اسماء,14,0),0)</f>
        <v>0</v>
      </c>
      <c r="X498" s="373">
        <f>IFERROR(VLOOKUP($B498,اسماء,15,0),0)</f>
        <v>0</v>
      </c>
      <c r="Y498" s="595" t="str">
        <f t="shared" ref="Y498" si="1506">IF(AC498="غائب","راسب",IF(AND(F501&gt;=$G$8,H501&gt;=$I$8,J501&gt;=$K$8,L501&gt;=$M$8,N501&gt;=$O$8,P501&gt;=$Q$8,R501&gt;=$S$8,T501&gt;=$U$8),"ناجح","له دور ثان"))</f>
        <v>له دور ثان</v>
      </c>
      <c r="Z498" s="21" t="str">
        <f t="shared" ref="Z498:Z499" si="1507">LOOKUP(V498,$AF$6:$AG$10)</f>
        <v>ضعيف</v>
      </c>
      <c r="AA498" s="656">
        <f t="shared" ref="AA498" si="1508">V501/$AF$3</f>
        <v>0</v>
      </c>
      <c r="AB498" s="72"/>
      <c r="AC498" s="653" t="str">
        <f>IFERROR(VLOOKUP($B498,اسماء,54,0),"")</f>
        <v/>
      </c>
      <c r="AN498" s="607" t="str">
        <f t="shared" ref="AN498" si="1509">IF(V501=0,"",V501/1+ROW()*0.00001)</f>
        <v/>
      </c>
      <c r="AO498" s="607">
        <f>B498</f>
        <v>0</v>
      </c>
      <c r="AP498" s="613"/>
      <c r="AQ498" s="612">
        <v>108</v>
      </c>
      <c r="AR498" s="611" t="str">
        <f>IFERROR(LARGE($AN$10:$AN$1006,AQ498),"")</f>
        <v/>
      </c>
      <c r="AS498" s="612" t="str">
        <f>VLOOKUP(AR498,$AN$10:$AO$1116,2,0)</f>
        <v>أحمد نورالدين أحمد الذيب</v>
      </c>
    </row>
    <row r="499" spans="1:45" ht="15" customHeight="1" thickBot="1" x14ac:dyDescent="0.3">
      <c r="A499" s="633"/>
      <c r="B499" s="630"/>
      <c r="C499" s="622"/>
      <c r="D499" s="625"/>
      <c r="E499" s="133" t="s">
        <v>31</v>
      </c>
      <c r="F499" s="589">
        <f>IFERROR(VLOOKUP($B498,اسماء,18,0),0)</f>
        <v>0</v>
      </c>
      <c r="G499" s="592"/>
      <c r="H499" s="608">
        <f>IFERROR(VLOOKUP($B498,اسماء,19,0),0)</f>
        <v>0</v>
      </c>
      <c r="I499" s="609"/>
      <c r="J499" s="589">
        <f>IFERROR(VLOOKUP($B498,اسماء,20,0),0)</f>
        <v>0</v>
      </c>
      <c r="K499" s="592"/>
      <c r="L499" s="589">
        <f>IFERROR(VLOOKUP($B498,اسماء,21,0),0)</f>
        <v>0</v>
      </c>
      <c r="M499" s="590"/>
      <c r="N499" s="589">
        <f>IFERROR(VLOOKUP($B498,اسماء,22,0),0)</f>
        <v>0</v>
      </c>
      <c r="O499" s="590"/>
      <c r="P499" s="589">
        <f>IFERROR(VLOOKUP($B498,اسماء,23,0),0)</f>
        <v>0</v>
      </c>
      <c r="Q499" s="609"/>
      <c r="R499" s="603">
        <f>IFERROR(VLOOKUP($B498,اسماء,24,0),0)</f>
        <v>0</v>
      </c>
      <c r="S499" s="592"/>
      <c r="T499" s="589">
        <f>IFERROR(VLOOKUP($B498,اسماء,25,0),0)</f>
        <v>0</v>
      </c>
      <c r="U499" s="592"/>
      <c r="V499" s="263">
        <f t="shared" si="1505"/>
        <v>0</v>
      </c>
      <c r="W499" s="373">
        <f>IFERROR(VLOOKUP($B498,اسماء,27,0),0)</f>
        <v>0</v>
      </c>
      <c r="X499" s="373">
        <f>IFERROR(VLOOKUP($B498,اسماء,28,0),0)</f>
        <v>0</v>
      </c>
      <c r="Y499" s="596"/>
      <c r="Z499" s="22" t="str">
        <f t="shared" si="1507"/>
        <v>ضعيف</v>
      </c>
      <c r="AA499" s="657"/>
      <c r="AB499" s="72"/>
      <c r="AC499" s="654"/>
      <c r="AN499" s="607"/>
      <c r="AO499" s="607"/>
      <c r="AP499" s="613"/>
      <c r="AQ499" s="612"/>
      <c r="AR499" s="611"/>
      <c r="AS499" s="612"/>
    </row>
    <row r="500" spans="1:45" ht="15" customHeight="1" x14ac:dyDescent="0.25">
      <c r="A500" s="633"/>
      <c r="B500" s="630"/>
      <c r="C500" s="622"/>
      <c r="D500" s="625"/>
      <c r="E500" s="133" t="s">
        <v>32</v>
      </c>
      <c r="F500" s="589">
        <f>IFERROR(VLOOKUP($B498,اسماء,31,0),0)</f>
        <v>0</v>
      </c>
      <c r="G500" s="592"/>
      <c r="H500" s="608">
        <f>IFERROR(VLOOKUP($B498,اسماء,32,0),0)</f>
        <v>0</v>
      </c>
      <c r="I500" s="609"/>
      <c r="J500" s="589">
        <f>IFERROR(VLOOKUP($B498,اسماء,33,0),0)</f>
        <v>0</v>
      </c>
      <c r="K500" s="592"/>
      <c r="L500" s="589">
        <f>IFERROR(VLOOKUP($B498,اسماء,34,0),0)</f>
        <v>0</v>
      </c>
      <c r="M500" s="590"/>
      <c r="N500" s="589">
        <f>IFERROR(VLOOKUP($B498,اسماء,35,0),0)</f>
        <v>0</v>
      </c>
      <c r="O500" s="590"/>
      <c r="P500" s="589">
        <f>IFERROR(VLOOKUP($B498,اسماء,36,0),0)</f>
        <v>0</v>
      </c>
      <c r="Q500" s="609"/>
      <c r="R500" s="603">
        <f>IFERROR(VLOOKUP($B498,اسماء,37,0),0)</f>
        <v>0</v>
      </c>
      <c r="S500" s="592"/>
      <c r="T500" s="589">
        <f>IFERROR(VLOOKUP($B498,اسماء,38,0),0)</f>
        <v>0</v>
      </c>
      <c r="U500" s="592"/>
      <c r="V500" s="263">
        <f t="shared" si="1505"/>
        <v>0</v>
      </c>
      <c r="W500" s="373">
        <f>IFERROR(VLOOKUP($B498,اسماء,40,0),0)</f>
        <v>0</v>
      </c>
      <c r="X500" s="373">
        <f>IFERROR(VLOOKUP($B498,اسماء,41,0),0)</f>
        <v>0</v>
      </c>
      <c r="Y500" s="596"/>
      <c r="Z500" s="22" t="str">
        <f t="shared" ref="Z500" si="1510">LOOKUP(V500,$AI$6:$AJ$10)</f>
        <v>ضعيف</v>
      </c>
      <c r="AA500" s="657"/>
      <c r="AB500" s="10"/>
      <c r="AC500" s="654"/>
      <c r="AN500" s="607"/>
      <c r="AO500" s="607"/>
      <c r="AP500" s="613"/>
      <c r="AQ500" s="612"/>
      <c r="AR500" s="611"/>
      <c r="AS500" s="612"/>
    </row>
    <row r="501" spans="1:45" ht="15" customHeight="1" thickBot="1" x14ac:dyDescent="0.3">
      <c r="A501" s="634"/>
      <c r="B501" s="631"/>
      <c r="C501" s="623"/>
      <c r="D501" s="626"/>
      <c r="E501" s="127" t="s">
        <v>33</v>
      </c>
      <c r="F501" s="585">
        <f t="shared" ref="F501" si="1511">SUM(F498:G500)</f>
        <v>0</v>
      </c>
      <c r="G501" s="593"/>
      <c r="H501" s="604">
        <f t="shared" ref="H501" si="1512">SUM(H498:I500)</f>
        <v>0</v>
      </c>
      <c r="I501" s="601"/>
      <c r="J501" s="585">
        <f t="shared" ref="J501" si="1513">SUM(J498:K500)</f>
        <v>0</v>
      </c>
      <c r="K501" s="593"/>
      <c r="L501" s="585">
        <f t="shared" ref="L501" si="1514">SUM(L498:M500)</f>
        <v>0</v>
      </c>
      <c r="M501" s="586"/>
      <c r="N501" s="585">
        <f t="shared" ref="N501" si="1515">SUM(N498:O500)</f>
        <v>0</v>
      </c>
      <c r="O501" s="586"/>
      <c r="P501" s="585">
        <f t="shared" ref="P501" si="1516">SUM(P498:Q500)</f>
        <v>0</v>
      </c>
      <c r="Q501" s="601"/>
      <c r="R501" s="602">
        <f t="shared" ref="R501" si="1517">SUM(R498:S500)</f>
        <v>0</v>
      </c>
      <c r="S501" s="593"/>
      <c r="T501" s="585">
        <f t="shared" ref="T501" si="1518">SUM(T498:U500)</f>
        <v>0</v>
      </c>
      <c r="U501" s="593"/>
      <c r="V501" s="210">
        <f t="shared" ref="V501" si="1519">IF(AND(F501&gt;=$G$8,H501&gt;=$I$8,L501&gt;=$M$8,P501&gt;=$Q$8,R501&gt;=$S$8,T501&gt;=$U$8),SUM(F501:U501),0)</f>
        <v>0</v>
      </c>
      <c r="W501" s="264"/>
      <c r="X501" s="97"/>
      <c r="Y501" s="597"/>
      <c r="Z501" s="91" t="str">
        <f t="shared" ref="Z501" si="1520">LOOKUP(V501,$AL$6:$AM$10)</f>
        <v>ضعيف</v>
      </c>
      <c r="AA501" s="658"/>
      <c r="AB501" s="72"/>
      <c r="AC501" s="655"/>
      <c r="AN501" s="607"/>
      <c r="AO501" s="607"/>
      <c r="AP501" s="613"/>
      <c r="AQ501" s="612"/>
      <c r="AR501" s="611"/>
      <c r="AS501" s="612"/>
    </row>
    <row r="502" spans="1:45" ht="15" customHeight="1" thickBot="1" x14ac:dyDescent="0.3">
      <c r="A502" s="632">
        <v>109</v>
      </c>
      <c r="B502" s="629">
        <f>VLOOKUP(A502,مسلسل,2,0)</f>
        <v>0</v>
      </c>
      <c r="C502" s="621" t="str">
        <f>IFERROR(VLOOKUP(B502,اسماء,2,0),"")</f>
        <v/>
      </c>
      <c r="D502" s="624" t="str">
        <f>IFERROR(VLOOKUP($B502,اسماء,3,0),"")</f>
        <v/>
      </c>
      <c r="E502" s="132" t="s">
        <v>30</v>
      </c>
      <c r="F502" s="627">
        <f>IFERROR(VLOOKUP($B502,اسماء,5,0),0)</f>
        <v>0</v>
      </c>
      <c r="G502" s="606"/>
      <c r="H502" s="628">
        <f>IFERROR(VLOOKUP($B502,اسماء,6,0),0)</f>
        <v>0</v>
      </c>
      <c r="I502" s="605"/>
      <c r="J502" s="587">
        <f>IFERROR(VLOOKUP($B502,اسماء,7,0),0)</f>
        <v>0</v>
      </c>
      <c r="K502" s="591"/>
      <c r="L502" s="587">
        <f>IFERROR(VLOOKUP($B502,اسماء,8,0),0)</f>
        <v>0</v>
      </c>
      <c r="M502" s="588"/>
      <c r="N502" s="587">
        <f>IFERROR(VLOOKUP($B502,اسماء,9,0),0)</f>
        <v>0</v>
      </c>
      <c r="O502" s="605"/>
      <c r="P502" s="587">
        <f>IFERROR(VLOOKUP($B502,اسماء,10,0),0)</f>
        <v>0</v>
      </c>
      <c r="Q502" s="605"/>
      <c r="R502" s="606">
        <f>IFERROR(VLOOKUP($B502,اسماء,11,0),0)</f>
        <v>0</v>
      </c>
      <c r="S502" s="591"/>
      <c r="T502" s="587">
        <f>IFERROR(VLOOKUP($B502,اسماء,12,0),0)</f>
        <v>0</v>
      </c>
      <c r="U502" s="591"/>
      <c r="V502" s="263">
        <f t="shared" ref="V502:V504" si="1521">SUM(F502:U502)</f>
        <v>0</v>
      </c>
      <c r="W502" s="373">
        <f>IFERROR(VLOOKUP($B502,اسماء,14,0),0)</f>
        <v>0</v>
      </c>
      <c r="X502" s="373">
        <f>IFERROR(VLOOKUP($B502,اسماء,15,0),0)</f>
        <v>0</v>
      </c>
      <c r="Y502" s="595" t="str">
        <f t="shared" ref="Y502" si="1522">IF(AC502="غائب","راسب",IF(AND(F505&gt;=$G$8,H505&gt;=$I$8,J505&gt;=$K$8,L505&gt;=$M$8,N505&gt;=$O$8,P505&gt;=$Q$8,R505&gt;=$S$8,T505&gt;=$U$8),"ناجح","له دور ثان"))</f>
        <v>له دور ثان</v>
      </c>
      <c r="Z502" s="21" t="str">
        <f t="shared" ref="Z502:Z503" si="1523">LOOKUP(V502,$AF$6:$AG$10)</f>
        <v>ضعيف</v>
      </c>
      <c r="AA502" s="656">
        <f t="shared" ref="AA502" si="1524">V505/$AF$3</f>
        <v>0</v>
      </c>
      <c r="AB502" s="72"/>
      <c r="AC502" s="653" t="str">
        <f>IFERROR(VLOOKUP($B502,اسماء,54,0),"")</f>
        <v/>
      </c>
      <c r="AN502" s="607" t="str">
        <f t="shared" ref="AN502" si="1525">IF(V505=0,"",V505/1+ROW()*0.00001)</f>
        <v/>
      </c>
      <c r="AO502" s="607">
        <f>B502</f>
        <v>0</v>
      </c>
      <c r="AP502" s="613"/>
      <c r="AQ502" s="612">
        <v>109</v>
      </c>
      <c r="AR502" s="611" t="str">
        <f>IFERROR(LARGE($AN$10:$AN$1006,AQ502),"")</f>
        <v/>
      </c>
      <c r="AS502" s="612" t="str">
        <f>VLOOKUP(AR502,$AN$10:$AO$1116,2,0)</f>
        <v>أحمد نورالدين أحمد الذيب</v>
      </c>
    </row>
    <row r="503" spans="1:45" ht="15" customHeight="1" thickBot="1" x14ac:dyDescent="0.3">
      <c r="A503" s="633"/>
      <c r="B503" s="630"/>
      <c r="C503" s="622"/>
      <c r="D503" s="625"/>
      <c r="E503" s="133" t="s">
        <v>31</v>
      </c>
      <c r="F503" s="589">
        <f>IFERROR(VLOOKUP($B502,اسماء,18,0),0)</f>
        <v>0</v>
      </c>
      <c r="G503" s="592"/>
      <c r="H503" s="608">
        <f>IFERROR(VLOOKUP($B502,اسماء,19,0),0)</f>
        <v>0</v>
      </c>
      <c r="I503" s="609"/>
      <c r="J503" s="589">
        <f>IFERROR(VLOOKUP($B502,اسماء,20,0),0)</f>
        <v>0</v>
      </c>
      <c r="K503" s="592"/>
      <c r="L503" s="589">
        <f>IFERROR(VLOOKUP($B502,اسماء,21,0),0)</f>
        <v>0</v>
      </c>
      <c r="M503" s="590"/>
      <c r="N503" s="589">
        <f>IFERROR(VLOOKUP($B502,اسماء,22,0),0)</f>
        <v>0</v>
      </c>
      <c r="O503" s="590"/>
      <c r="P503" s="589">
        <f>IFERROR(VLOOKUP($B502,اسماء,23,0),0)</f>
        <v>0</v>
      </c>
      <c r="Q503" s="609"/>
      <c r="R503" s="603">
        <f>IFERROR(VLOOKUP($B502,اسماء,24,0),0)</f>
        <v>0</v>
      </c>
      <c r="S503" s="592"/>
      <c r="T503" s="589">
        <f>IFERROR(VLOOKUP($B502,اسماء,25,0),0)</f>
        <v>0</v>
      </c>
      <c r="U503" s="592"/>
      <c r="V503" s="263">
        <f t="shared" si="1521"/>
        <v>0</v>
      </c>
      <c r="W503" s="373">
        <f>IFERROR(VLOOKUP($B502,اسماء,27,0),0)</f>
        <v>0</v>
      </c>
      <c r="X503" s="373">
        <f>IFERROR(VLOOKUP($B502,اسماء,28,0),0)</f>
        <v>0</v>
      </c>
      <c r="Y503" s="596"/>
      <c r="Z503" s="22" t="str">
        <f t="shared" si="1523"/>
        <v>ضعيف</v>
      </c>
      <c r="AA503" s="657"/>
      <c r="AB503" s="10"/>
      <c r="AC503" s="654"/>
      <c r="AN503" s="607"/>
      <c r="AO503" s="607"/>
      <c r="AP503" s="613"/>
      <c r="AQ503" s="612"/>
      <c r="AR503" s="611"/>
      <c r="AS503" s="612"/>
    </row>
    <row r="504" spans="1:45" ht="15" customHeight="1" x14ac:dyDescent="0.25">
      <c r="A504" s="633"/>
      <c r="B504" s="630"/>
      <c r="C504" s="622"/>
      <c r="D504" s="625"/>
      <c r="E504" s="133" t="s">
        <v>32</v>
      </c>
      <c r="F504" s="589">
        <f>IFERROR(VLOOKUP($B502,اسماء,31,0),0)</f>
        <v>0</v>
      </c>
      <c r="G504" s="592"/>
      <c r="H504" s="608">
        <f>IFERROR(VLOOKUP($B502,اسماء,32,0),0)</f>
        <v>0</v>
      </c>
      <c r="I504" s="609"/>
      <c r="J504" s="589">
        <f>IFERROR(VLOOKUP($B502,اسماء,33,0),0)</f>
        <v>0</v>
      </c>
      <c r="K504" s="592"/>
      <c r="L504" s="589">
        <f>IFERROR(VLOOKUP($B502,اسماء,34,0),0)</f>
        <v>0</v>
      </c>
      <c r="M504" s="590"/>
      <c r="N504" s="589">
        <f>IFERROR(VLOOKUP($B502,اسماء,35,0),0)</f>
        <v>0</v>
      </c>
      <c r="O504" s="590"/>
      <c r="P504" s="589">
        <f>IFERROR(VLOOKUP($B502,اسماء,36,0),0)</f>
        <v>0</v>
      </c>
      <c r="Q504" s="609"/>
      <c r="R504" s="603">
        <f>IFERROR(VLOOKUP($B502,اسماء,37,0),0)</f>
        <v>0</v>
      </c>
      <c r="S504" s="592"/>
      <c r="T504" s="589">
        <f>IFERROR(VLOOKUP($B502,اسماء,38,0),0)</f>
        <v>0</v>
      </c>
      <c r="U504" s="592"/>
      <c r="V504" s="263">
        <f t="shared" si="1521"/>
        <v>0</v>
      </c>
      <c r="W504" s="373">
        <f>IFERROR(VLOOKUP($B502,اسماء,40,0),0)</f>
        <v>0</v>
      </c>
      <c r="X504" s="373">
        <f>IFERROR(VLOOKUP($B502,اسماء,41,0),0)</f>
        <v>0</v>
      </c>
      <c r="Y504" s="596"/>
      <c r="Z504" s="22" t="str">
        <f t="shared" ref="Z504" si="1526">LOOKUP(V504,$AI$6:$AJ$10)</f>
        <v>ضعيف</v>
      </c>
      <c r="AA504" s="657"/>
      <c r="AB504" s="72"/>
      <c r="AC504" s="654"/>
      <c r="AN504" s="607"/>
      <c r="AO504" s="607"/>
      <c r="AP504" s="613"/>
      <c r="AQ504" s="612"/>
      <c r="AR504" s="611"/>
      <c r="AS504" s="612"/>
    </row>
    <row r="505" spans="1:45" ht="15" customHeight="1" thickBot="1" x14ac:dyDescent="0.3">
      <c r="A505" s="634"/>
      <c r="B505" s="631"/>
      <c r="C505" s="623"/>
      <c r="D505" s="626"/>
      <c r="E505" s="127" t="s">
        <v>33</v>
      </c>
      <c r="F505" s="585">
        <f t="shared" ref="F505" si="1527">SUM(F502:G504)</f>
        <v>0</v>
      </c>
      <c r="G505" s="593"/>
      <c r="H505" s="604">
        <f t="shared" ref="H505" si="1528">SUM(H502:I504)</f>
        <v>0</v>
      </c>
      <c r="I505" s="601"/>
      <c r="J505" s="585">
        <f t="shared" ref="J505" si="1529">SUM(J502:K504)</f>
        <v>0</v>
      </c>
      <c r="K505" s="593"/>
      <c r="L505" s="585">
        <f t="shared" ref="L505" si="1530">SUM(L502:M504)</f>
        <v>0</v>
      </c>
      <c r="M505" s="586"/>
      <c r="N505" s="585">
        <f t="shared" ref="N505" si="1531">SUM(N502:O504)</f>
        <v>0</v>
      </c>
      <c r="O505" s="586"/>
      <c r="P505" s="585">
        <f t="shared" ref="P505" si="1532">SUM(P502:Q504)</f>
        <v>0</v>
      </c>
      <c r="Q505" s="601"/>
      <c r="R505" s="602">
        <f t="shared" ref="R505" si="1533">SUM(R502:S504)</f>
        <v>0</v>
      </c>
      <c r="S505" s="593"/>
      <c r="T505" s="585">
        <f t="shared" ref="T505" si="1534">SUM(T502:U504)</f>
        <v>0</v>
      </c>
      <c r="U505" s="593"/>
      <c r="V505" s="210">
        <f t="shared" ref="V505" si="1535">IF(AND(F505&gt;=$G$8,H505&gt;=$I$8,L505&gt;=$M$8,P505&gt;=$Q$8,R505&gt;=$S$8,T505&gt;=$U$8),SUM(F505:U505),0)</f>
        <v>0</v>
      </c>
      <c r="W505" s="264"/>
      <c r="X505" s="97"/>
      <c r="Y505" s="597"/>
      <c r="Z505" s="91" t="str">
        <f t="shared" ref="Z505" si="1536">LOOKUP(V505,$AL$6:$AM$10)</f>
        <v>ضعيف</v>
      </c>
      <c r="AA505" s="658"/>
      <c r="AB505" s="72"/>
      <c r="AC505" s="655"/>
      <c r="AN505" s="607"/>
      <c r="AO505" s="607"/>
      <c r="AP505" s="613"/>
      <c r="AQ505" s="612"/>
      <c r="AR505" s="611"/>
      <c r="AS505" s="612"/>
    </row>
    <row r="506" spans="1:45" ht="15" customHeight="1" thickBot="1" x14ac:dyDescent="0.3">
      <c r="A506" s="632">
        <v>110</v>
      </c>
      <c r="B506" s="629">
        <f>VLOOKUP(A506,مسلسل,2,0)</f>
        <v>0</v>
      </c>
      <c r="C506" s="621" t="str">
        <f>IFERROR(VLOOKUP(B506,اسماء,2,0),"")</f>
        <v/>
      </c>
      <c r="D506" s="624" t="str">
        <f>IFERROR(VLOOKUP($B506,اسماء,3,0),"")</f>
        <v/>
      </c>
      <c r="E506" s="132" t="s">
        <v>30</v>
      </c>
      <c r="F506" s="627">
        <f>IFERROR(VLOOKUP($B506,اسماء,5,0),0)</f>
        <v>0</v>
      </c>
      <c r="G506" s="606"/>
      <c r="H506" s="628">
        <f>IFERROR(VLOOKUP($B506,اسماء,6,0),0)</f>
        <v>0</v>
      </c>
      <c r="I506" s="605"/>
      <c r="J506" s="587">
        <f>IFERROR(VLOOKUP($B506,اسماء,7,0),0)</f>
        <v>0</v>
      </c>
      <c r="K506" s="591"/>
      <c r="L506" s="587">
        <f>IFERROR(VLOOKUP($B506,اسماء,8,0),0)</f>
        <v>0</v>
      </c>
      <c r="M506" s="588"/>
      <c r="N506" s="587">
        <f>IFERROR(VLOOKUP($B506,اسماء,9,0),0)</f>
        <v>0</v>
      </c>
      <c r="O506" s="605"/>
      <c r="P506" s="587">
        <f>IFERROR(VLOOKUP($B506,اسماء,10,0),0)</f>
        <v>0</v>
      </c>
      <c r="Q506" s="605"/>
      <c r="R506" s="606">
        <f>IFERROR(VLOOKUP($B506,اسماء,11,0),0)</f>
        <v>0</v>
      </c>
      <c r="S506" s="591"/>
      <c r="T506" s="587">
        <f>IFERROR(VLOOKUP($B506,اسماء,12,0),0)</f>
        <v>0</v>
      </c>
      <c r="U506" s="591"/>
      <c r="V506" s="263">
        <f t="shared" ref="V506:V508" si="1537">SUM(F506:U506)</f>
        <v>0</v>
      </c>
      <c r="W506" s="373">
        <f>IFERROR(VLOOKUP($B506,اسماء,14,0),0)</f>
        <v>0</v>
      </c>
      <c r="X506" s="373">
        <f>IFERROR(VLOOKUP($B506,اسماء,15,0),0)</f>
        <v>0</v>
      </c>
      <c r="Y506" s="595" t="str">
        <f t="shared" ref="Y506" si="1538">IF(AC506="غائب","راسب",IF(AND(F509&gt;=$G$8,H509&gt;=$I$8,J509&gt;=$K$8,L509&gt;=$M$8,N509&gt;=$O$8,P509&gt;=$Q$8,R509&gt;=$S$8,T509&gt;=$U$8),"ناجح","له دور ثان"))</f>
        <v>له دور ثان</v>
      </c>
      <c r="Z506" s="21" t="str">
        <f t="shared" ref="Z506:Z507" si="1539">LOOKUP(V506,$AF$6:$AG$10)</f>
        <v>ضعيف</v>
      </c>
      <c r="AA506" s="656">
        <f t="shared" ref="AA506" si="1540">V509/$AF$3</f>
        <v>0</v>
      </c>
      <c r="AB506" s="10"/>
      <c r="AC506" s="653" t="str">
        <f>IFERROR(VLOOKUP($B506,اسماء,54,0),"")</f>
        <v/>
      </c>
      <c r="AN506" s="607" t="str">
        <f t="shared" ref="AN506" si="1541">IF(V509=0,"",V509/1+ROW()*0.00001)</f>
        <v/>
      </c>
      <c r="AO506" s="607">
        <f>B506</f>
        <v>0</v>
      </c>
      <c r="AP506" s="613"/>
      <c r="AQ506" s="612">
        <v>110</v>
      </c>
      <c r="AR506" s="611" t="str">
        <f>IFERROR(LARGE($AN$10:$AN$1006,AQ506),"")</f>
        <v/>
      </c>
      <c r="AS506" s="612" t="str">
        <f>VLOOKUP(AR506,$AN$10:$AO$1116,2,0)</f>
        <v>أحمد نورالدين أحمد الذيب</v>
      </c>
    </row>
    <row r="507" spans="1:45" ht="15" customHeight="1" thickBot="1" x14ac:dyDescent="0.3">
      <c r="A507" s="633"/>
      <c r="B507" s="630"/>
      <c r="C507" s="622"/>
      <c r="D507" s="625"/>
      <c r="E507" s="133" t="s">
        <v>31</v>
      </c>
      <c r="F507" s="589">
        <f>IFERROR(VLOOKUP($B506,اسماء,18,0),0)</f>
        <v>0</v>
      </c>
      <c r="G507" s="592"/>
      <c r="H507" s="608">
        <f>IFERROR(VLOOKUP($B506,اسماء,19,0),0)</f>
        <v>0</v>
      </c>
      <c r="I507" s="609"/>
      <c r="J507" s="589">
        <f>IFERROR(VLOOKUP($B506,اسماء,20,0),0)</f>
        <v>0</v>
      </c>
      <c r="K507" s="592"/>
      <c r="L507" s="589">
        <f>IFERROR(VLOOKUP($B506,اسماء,21,0),0)</f>
        <v>0</v>
      </c>
      <c r="M507" s="590"/>
      <c r="N507" s="589">
        <f>IFERROR(VLOOKUP($B506,اسماء,22,0),0)</f>
        <v>0</v>
      </c>
      <c r="O507" s="590"/>
      <c r="P507" s="589">
        <f>IFERROR(VLOOKUP($B506,اسماء,23,0),0)</f>
        <v>0</v>
      </c>
      <c r="Q507" s="609"/>
      <c r="R507" s="603">
        <f>IFERROR(VLOOKUP($B506,اسماء,24,0),0)</f>
        <v>0</v>
      </c>
      <c r="S507" s="592"/>
      <c r="T507" s="589">
        <f>IFERROR(VLOOKUP($B506,اسماء,25,0),0)</f>
        <v>0</v>
      </c>
      <c r="U507" s="592"/>
      <c r="V507" s="263">
        <f t="shared" si="1537"/>
        <v>0</v>
      </c>
      <c r="W507" s="373">
        <f>IFERROR(VLOOKUP($B506,اسماء,27,0),0)</f>
        <v>0</v>
      </c>
      <c r="X507" s="373">
        <f>IFERROR(VLOOKUP($B506,اسماء,28,0),0)</f>
        <v>0</v>
      </c>
      <c r="Y507" s="596"/>
      <c r="Z507" s="22" t="str">
        <f t="shared" si="1539"/>
        <v>ضعيف</v>
      </c>
      <c r="AA507" s="657"/>
      <c r="AB507" s="72"/>
      <c r="AC507" s="654"/>
      <c r="AN507" s="607"/>
      <c r="AO507" s="607"/>
      <c r="AP507" s="613"/>
      <c r="AQ507" s="612"/>
      <c r="AR507" s="611"/>
      <c r="AS507" s="612"/>
    </row>
    <row r="508" spans="1:45" ht="15" customHeight="1" x14ac:dyDescent="0.25">
      <c r="A508" s="633"/>
      <c r="B508" s="630"/>
      <c r="C508" s="622"/>
      <c r="D508" s="625"/>
      <c r="E508" s="133" t="s">
        <v>32</v>
      </c>
      <c r="F508" s="589">
        <f>IFERROR(VLOOKUP($B506,اسماء,31,0),0)</f>
        <v>0</v>
      </c>
      <c r="G508" s="592"/>
      <c r="H508" s="608">
        <f>IFERROR(VLOOKUP($B506,اسماء,32,0),0)</f>
        <v>0</v>
      </c>
      <c r="I508" s="609"/>
      <c r="J508" s="589">
        <f>IFERROR(VLOOKUP($B506,اسماء,33,0),0)</f>
        <v>0</v>
      </c>
      <c r="K508" s="592"/>
      <c r="L508" s="589">
        <f>IFERROR(VLOOKUP($B506,اسماء,34,0),0)</f>
        <v>0</v>
      </c>
      <c r="M508" s="590"/>
      <c r="N508" s="589">
        <f>IFERROR(VLOOKUP($B506,اسماء,35,0),0)</f>
        <v>0</v>
      </c>
      <c r="O508" s="590"/>
      <c r="P508" s="589">
        <f>IFERROR(VLOOKUP($B506,اسماء,36,0),0)</f>
        <v>0</v>
      </c>
      <c r="Q508" s="609"/>
      <c r="R508" s="603">
        <f>IFERROR(VLOOKUP($B506,اسماء,37,0),0)</f>
        <v>0</v>
      </c>
      <c r="S508" s="592"/>
      <c r="T508" s="589">
        <f>IFERROR(VLOOKUP($B506,اسماء,38,0),0)</f>
        <v>0</v>
      </c>
      <c r="U508" s="592"/>
      <c r="V508" s="263">
        <f t="shared" si="1537"/>
        <v>0</v>
      </c>
      <c r="W508" s="373">
        <f>IFERROR(VLOOKUP($B506,اسماء,40,0),0)</f>
        <v>0</v>
      </c>
      <c r="X508" s="373">
        <f>IFERROR(VLOOKUP($B506,اسماء,41,0),0)</f>
        <v>0</v>
      </c>
      <c r="Y508" s="596"/>
      <c r="Z508" s="22" t="str">
        <f t="shared" ref="Z508" si="1542">LOOKUP(V508,$AI$6:$AJ$10)</f>
        <v>ضعيف</v>
      </c>
      <c r="AA508" s="657"/>
      <c r="AB508" s="72"/>
      <c r="AC508" s="654"/>
      <c r="AN508" s="607"/>
      <c r="AO508" s="607"/>
      <c r="AP508" s="613"/>
      <c r="AQ508" s="612"/>
      <c r="AR508" s="611"/>
      <c r="AS508" s="612"/>
    </row>
    <row r="509" spans="1:45" ht="15" customHeight="1" thickBot="1" x14ac:dyDescent="0.3">
      <c r="A509" s="634"/>
      <c r="B509" s="631"/>
      <c r="C509" s="623"/>
      <c r="D509" s="626"/>
      <c r="E509" s="127" t="s">
        <v>33</v>
      </c>
      <c r="F509" s="585">
        <f t="shared" ref="F509" si="1543">SUM(F506:G508)</f>
        <v>0</v>
      </c>
      <c r="G509" s="593"/>
      <c r="H509" s="604">
        <f t="shared" ref="H509" si="1544">SUM(H506:I508)</f>
        <v>0</v>
      </c>
      <c r="I509" s="601"/>
      <c r="J509" s="585">
        <f t="shared" ref="J509" si="1545">SUM(J506:K508)</f>
        <v>0</v>
      </c>
      <c r="K509" s="593"/>
      <c r="L509" s="585">
        <f t="shared" ref="L509" si="1546">SUM(L506:M508)</f>
        <v>0</v>
      </c>
      <c r="M509" s="586"/>
      <c r="N509" s="585">
        <f t="shared" ref="N509" si="1547">SUM(N506:O508)</f>
        <v>0</v>
      </c>
      <c r="O509" s="586"/>
      <c r="P509" s="585">
        <f t="shared" ref="P509" si="1548">SUM(P506:Q508)</f>
        <v>0</v>
      </c>
      <c r="Q509" s="601"/>
      <c r="R509" s="602">
        <f t="shared" ref="R509" si="1549">SUM(R506:S508)</f>
        <v>0</v>
      </c>
      <c r="S509" s="593"/>
      <c r="T509" s="585">
        <f t="shared" ref="T509" si="1550">SUM(T506:U508)</f>
        <v>0</v>
      </c>
      <c r="U509" s="593"/>
      <c r="V509" s="210">
        <f t="shared" ref="V509" si="1551">IF(AND(F509&gt;=$G$8,H509&gt;=$I$8,L509&gt;=$M$8,P509&gt;=$Q$8,R509&gt;=$S$8,T509&gt;=$U$8),SUM(F509:U509),0)</f>
        <v>0</v>
      </c>
      <c r="W509" s="264"/>
      <c r="X509" s="97"/>
      <c r="Y509" s="597"/>
      <c r="Z509" s="91" t="str">
        <f t="shared" ref="Z509" si="1552">LOOKUP(V509,$AL$6:$AM$10)</f>
        <v>ضعيف</v>
      </c>
      <c r="AA509" s="658"/>
      <c r="AB509" s="10"/>
      <c r="AC509" s="655"/>
      <c r="AN509" s="607"/>
      <c r="AO509" s="607"/>
      <c r="AP509" s="613"/>
      <c r="AQ509" s="612"/>
      <c r="AR509" s="611"/>
      <c r="AS509" s="612"/>
    </row>
    <row r="510" spans="1:45" ht="15" customHeight="1" thickBot="1" x14ac:dyDescent="0.3">
      <c r="F510" s="75"/>
      <c r="G510" s="76"/>
      <c r="H510" s="75"/>
      <c r="I510" s="76"/>
      <c r="J510" s="75"/>
      <c r="K510" s="76"/>
      <c r="L510" s="75"/>
      <c r="M510" s="76"/>
      <c r="N510" s="76"/>
      <c r="O510" s="76"/>
      <c r="P510" s="75"/>
      <c r="Q510" s="76"/>
      <c r="R510" s="75"/>
      <c r="S510" s="76"/>
      <c r="T510" s="75"/>
      <c r="U510" s="76"/>
      <c r="V510" s="74"/>
      <c r="W510" s="77"/>
      <c r="X510" s="74"/>
      <c r="Y510" s="362"/>
      <c r="Z510" s="74"/>
      <c r="AA510" s="267"/>
      <c r="AB510" s="72"/>
      <c r="AK510" s="78"/>
    </row>
    <row r="511" spans="1:45" customFormat="1" ht="15" customHeight="1" x14ac:dyDescent="0.3">
      <c r="A511" s="617" t="s">
        <v>9</v>
      </c>
      <c r="B511" s="618"/>
      <c r="C511" s="619"/>
      <c r="D511" s="288" t="s">
        <v>11</v>
      </c>
      <c r="E511" s="600" t="s">
        <v>97</v>
      </c>
      <c r="F511" s="598"/>
      <c r="G511" s="598"/>
      <c r="H511" s="598"/>
      <c r="I511" s="598"/>
      <c r="J511" s="9"/>
      <c r="K511" s="9"/>
      <c r="L511" s="9"/>
      <c r="M511" s="9"/>
      <c r="N511" s="9"/>
      <c r="O511" s="9"/>
      <c r="P511" s="9"/>
      <c r="Q511" s="9"/>
      <c r="R511" s="9"/>
      <c r="S511" s="598" t="s">
        <v>156</v>
      </c>
      <c r="T511" s="598"/>
      <c r="U511" s="598"/>
      <c r="V511" s="598"/>
      <c r="W511" s="598"/>
      <c r="X511" s="598"/>
      <c r="Y511" s="598"/>
      <c r="Z511" s="1"/>
      <c r="AA511" s="268"/>
      <c r="AC511" s="79"/>
      <c r="AD511" s="80"/>
      <c r="AE511" s="80"/>
      <c r="AF511" s="80"/>
      <c r="AG511" s="80"/>
    </row>
    <row r="512" spans="1:45" customFormat="1" ht="15" customHeight="1" x14ac:dyDescent="0.25">
      <c r="A512" s="81" t="s">
        <v>8</v>
      </c>
      <c r="B512" s="610">
        <f>ادخال1!$BP$3</f>
        <v>0</v>
      </c>
      <c r="C512" s="620"/>
      <c r="D512" s="289"/>
      <c r="E512" s="9" t="s">
        <v>9</v>
      </c>
      <c r="F512" s="599" t="str">
        <f>ادخال1!$BP$5</f>
        <v>د.عبدالرحمن خليفة العريبي</v>
      </c>
      <c r="G512" s="599"/>
      <c r="H512" s="599"/>
      <c r="I512" s="599"/>
      <c r="J512" s="599"/>
      <c r="K512" s="599"/>
      <c r="L512" s="599"/>
      <c r="M512" s="599"/>
      <c r="N512" s="599"/>
      <c r="O512" s="599"/>
      <c r="P512" s="599"/>
      <c r="Q512" s="599"/>
      <c r="R512" s="9"/>
      <c r="S512" s="599" t="str">
        <f>ادخال1!$BP$6</f>
        <v>تاجوراء</v>
      </c>
      <c r="T512" s="599"/>
      <c r="U512" s="599"/>
      <c r="V512" s="599"/>
      <c r="W512" s="599"/>
      <c r="X512" s="599"/>
      <c r="Y512" s="599"/>
      <c r="Z512" s="599"/>
      <c r="AA512" s="67"/>
      <c r="AB512" s="67"/>
      <c r="AC512" s="79"/>
      <c r="AD512" s="79"/>
      <c r="AE512" s="79"/>
      <c r="AF512" s="79"/>
    </row>
    <row r="513" spans="1:45" customFormat="1" ht="15" customHeight="1" thickBot="1" x14ac:dyDescent="0.3">
      <c r="A513" s="82" t="s">
        <v>98</v>
      </c>
      <c r="B513" s="615">
        <f>ادخال1!$BP$4</f>
        <v>0</v>
      </c>
      <c r="C513" s="616"/>
      <c r="D513" s="290"/>
      <c r="E513" s="9" t="s">
        <v>11</v>
      </c>
      <c r="F513" s="607"/>
      <c r="G513" s="607"/>
      <c r="H513" s="607"/>
      <c r="I513" s="607"/>
      <c r="J513" s="607"/>
      <c r="K513" s="607"/>
      <c r="L513" s="607"/>
      <c r="M513" s="607"/>
      <c r="N513" s="607"/>
      <c r="O513" s="607"/>
      <c r="P513" s="607"/>
      <c r="Q513" s="607"/>
      <c r="R513" s="9"/>
      <c r="S513" s="9" t="s">
        <v>11</v>
      </c>
      <c r="T513" s="9"/>
      <c r="U513" s="9" t="s">
        <v>11</v>
      </c>
      <c r="V513" s="1"/>
      <c r="W513" s="1"/>
      <c r="X513" s="1"/>
      <c r="Y513" s="363"/>
      <c r="Z513" s="1"/>
      <c r="AA513" s="268"/>
      <c r="AC513" s="79"/>
      <c r="AD513" s="79"/>
      <c r="AE513" s="79"/>
      <c r="AF513" s="79"/>
    </row>
    <row r="514" spans="1:45" customFormat="1" ht="15" customHeight="1" x14ac:dyDescent="0.25">
      <c r="A514" s="598" t="s">
        <v>99</v>
      </c>
      <c r="B514" s="598"/>
      <c r="C514" s="598"/>
      <c r="D514" s="598"/>
      <c r="E514" s="598" t="s">
        <v>100</v>
      </c>
      <c r="F514" s="598"/>
      <c r="G514" s="598"/>
      <c r="H514" s="598"/>
      <c r="I514" s="598"/>
      <c r="J514" s="598"/>
      <c r="K514" s="598"/>
      <c r="L514" s="598"/>
      <c r="M514" s="598"/>
      <c r="N514" s="598"/>
      <c r="O514" s="598"/>
      <c r="P514" s="598"/>
      <c r="Q514" s="598"/>
      <c r="R514" s="598"/>
      <c r="S514" s="598"/>
      <c r="T514" s="9"/>
      <c r="U514" s="9"/>
      <c r="V514" s="9"/>
      <c r="W514" s="594">
        <f ca="1">TODAY()</f>
        <v>46035</v>
      </c>
      <c r="X514" s="594"/>
      <c r="Y514" s="594"/>
      <c r="Z514" s="594"/>
      <c r="AA514" s="268"/>
    </row>
    <row r="515" spans="1:45" customFormat="1" ht="15" customHeight="1" thickBot="1" x14ac:dyDescent="0.3">
      <c r="A515" s="9"/>
      <c r="B515" s="598" t="s">
        <v>101</v>
      </c>
      <c r="C515" s="598"/>
      <c r="D515" s="598"/>
      <c r="E515" s="598" t="s">
        <v>102</v>
      </c>
      <c r="F515" s="598"/>
      <c r="G515" s="598"/>
      <c r="H515" s="598"/>
      <c r="I515" s="598"/>
      <c r="J515" s="598"/>
      <c r="K515" s="598"/>
      <c r="L515" s="598"/>
      <c r="M515" s="598"/>
      <c r="N515" s="598"/>
      <c r="O515" s="598"/>
      <c r="P515" s="598"/>
      <c r="Q515" s="598"/>
      <c r="R515" s="598"/>
      <c r="S515" s="598"/>
      <c r="T515" s="9"/>
      <c r="U515" s="9"/>
      <c r="V515" s="1"/>
      <c r="W515" s="1"/>
      <c r="X515" s="1"/>
      <c r="Y515" s="363"/>
      <c r="Z515" s="1"/>
      <c r="AA515" s="268"/>
    </row>
    <row r="516" spans="1:45" ht="15" customHeight="1" thickBot="1" x14ac:dyDescent="0.3">
      <c r="A516" s="632">
        <v>111</v>
      </c>
      <c r="B516" s="629">
        <f>VLOOKUP(A516,مسلسل,2,0)</f>
        <v>0</v>
      </c>
      <c r="C516" s="621" t="str">
        <f>IFERROR(VLOOKUP(B516,اسماء,2,0),"")</f>
        <v/>
      </c>
      <c r="D516" s="624" t="str">
        <f>IFERROR(VLOOKUP($B516,اسماء,3,0),"")</f>
        <v/>
      </c>
      <c r="E516" s="132" t="s">
        <v>30</v>
      </c>
      <c r="F516" s="627">
        <f>IFERROR(VLOOKUP($B516,اسماء,5,0),0)</f>
        <v>0</v>
      </c>
      <c r="G516" s="606"/>
      <c r="H516" s="628">
        <f>IFERROR(VLOOKUP($B516,اسماء,6,0),0)</f>
        <v>0</v>
      </c>
      <c r="I516" s="605"/>
      <c r="J516" s="587">
        <f>IFERROR(VLOOKUP($B516,اسماء,7,0),0)</f>
        <v>0</v>
      </c>
      <c r="K516" s="591"/>
      <c r="L516" s="587">
        <f>IFERROR(VLOOKUP($B516,اسماء,8,0),0)</f>
        <v>0</v>
      </c>
      <c r="M516" s="588"/>
      <c r="N516" s="587">
        <f>IFERROR(VLOOKUP($B516,اسماء,9,0),0)</f>
        <v>0</v>
      </c>
      <c r="O516" s="605"/>
      <c r="P516" s="587">
        <f>IFERROR(VLOOKUP($B516,اسماء,10,0),0)</f>
        <v>0</v>
      </c>
      <c r="Q516" s="605"/>
      <c r="R516" s="606">
        <f>IFERROR(VLOOKUP($B516,اسماء,11,0),0)</f>
        <v>0</v>
      </c>
      <c r="S516" s="591"/>
      <c r="T516" s="587">
        <f>IFERROR(VLOOKUP($B516,اسماء,12,0),0)</f>
        <v>0</v>
      </c>
      <c r="U516" s="591"/>
      <c r="V516" s="263">
        <f t="shared" ref="V516:V518" si="1553">SUM(F516:U516)</f>
        <v>0</v>
      </c>
      <c r="W516" s="373">
        <f>IFERROR(VLOOKUP($B516,اسماء,14,0),0)</f>
        <v>0</v>
      </c>
      <c r="X516" s="373">
        <f>IFERROR(VLOOKUP($B516,اسماء,15,0),0)</f>
        <v>0</v>
      </c>
      <c r="Y516" s="595" t="str">
        <f>IF(AC516="غائب","راسب",IF(AND(F519&gt;=$G$8,H519&gt;=$I$8,J519&gt;=$K$8,L519&gt;=$M$8,N519&gt;=$O$8,P519&gt;=$Q$8,R519&gt;=$S$8,T519&gt;=$U$8),"ناجح","له دور ثان"))</f>
        <v>له دور ثان</v>
      </c>
      <c r="Z516" s="21" t="str">
        <f>LOOKUP(V516,$AF$6:$AG$10)</f>
        <v>ضعيف</v>
      </c>
      <c r="AA516" s="656">
        <f>V519/$AF$3</f>
        <v>0</v>
      </c>
      <c r="AB516" s="72"/>
      <c r="AC516" s="653" t="str">
        <f>IFERROR(VLOOKUP($B516,اسماء,54,0),"")</f>
        <v/>
      </c>
      <c r="AN516" s="610" t="str">
        <f>IF(V519=0,"",V519/1+ROW()*0.00001)</f>
        <v/>
      </c>
      <c r="AO516" s="610">
        <f>B516</f>
        <v>0</v>
      </c>
      <c r="AP516" s="613"/>
      <c r="AQ516" s="612">
        <v>111</v>
      </c>
      <c r="AR516" s="611" t="str">
        <f>IFERROR(LARGE($AN$10:$AN$1006,AQ516),"")</f>
        <v/>
      </c>
      <c r="AS516" s="612" t="str">
        <f>VLOOKUP(AR516,$AN$10:$AO$1116,2,0)</f>
        <v>أحمد نورالدين أحمد الذيب</v>
      </c>
    </row>
    <row r="517" spans="1:45" ht="15" customHeight="1" thickBot="1" x14ac:dyDescent="0.3">
      <c r="A517" s="633"/>
      <c r="B517" s="630"/>
      <c r="C517" s="622"/>
      <c r="D517" s="625"/>
      <c r="E517" s="133" t="s">
        <v>31</v>
      </c>
      <c r="F517" s="589">
        <f>IFERROR(VLOOKUP($B516,اسماء,18,0),0)</f>
        <v>0</v>
      </c>
      <c r="G517" s="592"/>
      <c r="H517" s="608">
        <f>IFERROR(VLOOKUP($B516,اسماء,19,0),0)</f>
        <v>0</v>
      </c>
      <c r="I517" s="609"/>
      <c r="J517" s="589">
        <f>IFERROR(VLOOKUP($B516,اسماء,20,0),0)</f>
        <v>0</v>
      </c>
      <c r="K517" s="592"/>
      <c r="L517" s="589">
        <f>IFERROR(VLOOKUP($B516,اسماء,21,0),0)</f>
        <v>0</v>
      </c>
      <c r="M517" s="590"/>
      <c r="N517" s="589">
        <f>IFERROR(VLOOKUP($B516,اسماء,22,0),0)</f>
        <v>0</v>
      </c>
      <c r="O517" s="590"/>
      <c r="P517" s="589">
        <f>IFERROR(VLOOKUP($B516,اسماء,23,0),0)</f>
        <v>0</v>
      </c>
      <c r="Q517" s="609"/>
      <c r="R517" s="603">
        <f>IFERROR(VLOOKUP($B516,اسماء,24,0),0)</f>
        <v>0</v>
      </c>
      <c r="S517" s="592"/>
      <c r="T517" s="589">
        <f>IFERROR(VLOOKUP($B516,اسماء,25,0),0)</f>
        <v>0</v>
      </c>
      <c r="U517" s="592"/>
      <c r="V517" s="263">
        <f t="shared" si="1553"/>
        <v>0</v>
      </c>
      <c r="W517" s="373">
        <f>IFERROR(VLOOKUP($B516,اسماء,27,0),0)</f>
        <v>0</v>
      </c>
      <c r="X517" s="373">
        <f>IFERROR(VLOOKUP($B516,اسماء,28,0),0)</f>
        <v>0</v>
      </c>
      <c r="Y517" s="596"/>
      <c r="Z517" s="22" t="str">
        <f>LOOKUP(V517,$AF$6:$AG$10)</f>
        <v>ضعيف</v>
      </c>
      <c r="AA517" s="657"/>
      <c r="AB517" s="72"/>
      <c r="AC517" s="654"/>
      <c r="AN517" s="610"/>
      <c r="AO517" s="610"/>
      <c r="AP517" s="613"/>
      <c r="AQ517" s="612"/>
      <c r="AR517" s="611"/>
      <c r="AS517" s="612"/>
    </row>
    <row r="518" spans="1:45" ht="15" customHeight="1" x14ac:dyDescent="0.25">
      <c r="A518" s="633"/>
      <c r="B518" s="630"/>
      <c r="C518" s="622"/>
      <c r="D518" s="625"/>
      <c r="E518" s="133" t="s">
        <v>32</v>
      </c>
      <c r="F518" s="589">
        <f>IFERROR(VLOOKUP($B516,اسماء,31,0),0)</f>
        <v>0</v>
      </c>
      <c r="G518" s="592"/>
      <c r="H518" s="608">
        <f>IFERROR(VLOOKUP($B516,اسماء,32,0),0)</f>
        <v>0</v>
      </c>
      <c r="I518" s="609"/>
      <c r="J518" s="589">
        <f>IFERROR(VLOOKUP($B516,اسماء,33,0),0)</f>
        <v>0</v>
      </c>
      <c r="K518" s="592"/>
      <c r="L518" s="589">
        <f>IFERROR(VLOOKUP($B516,اسماء,34,0),0)</f>
        <v>0</v>
      </c>
      <c r="M518" s="590"/>
      <c r="N518" s="589">
        <f>IFERROR(VLOOKUP($B516,اسماء,35,0),0)</f>
        <v>0</v>
      </c>
      <c r="O518" s="590"/>
      <c r="P518" s="589">
        <f>IFERROR(VLOOKUP($B516,اسماء,36,0),0)</f>
        <v>0</v>
      </c>
      <c r="Q518" s="609"/>
      <c r="R518" s="603">
        <f>IFERROR(VLOOKUP($B516,اسماء,37,0),0)</f>
        <v>0</v>
      </c>
      <c r="S518" s="592"/>
      <c r="T518" s="589">
        <f>IFERROR(VLOOKUP($B516,اسماء,38,0),0)</f>
        <v>0</v>
      </c>
      <c r="U518" s="592"/>
      <c r="V518" s="263">
        <f t="shared" si="1553"/>
        <v>0</v>
      </c>
      <c r="W518" s="373">
        <f>IFERROR(VLOOKUP($B516,اسماء,40,0),0)</f>
        <v>0</v>
      </c>
      <c r="X518" s="373">
        <f>IFERROR(VLOOKUP($B516,اسماء,41,0),0)</f>
        <v>0</v>
      </c>
      <c r="Y518" s="596"/>
      <c r="Z518" s="22" t="str">
        <f>LOOKUP(V518,$AI$6:$AJ$10)</f>
        <v>ضعيف</v>
      </c>
      <c r="AA518" s="657"/>
      <c r="AB518" s="10"/>
      <c r="AC518" s="654"/>
      <c r="AN518" s="610"/>
      <c r="AO518" s="610"/>
      <c r="AP518" s="613"/>
      <c r="AQ518" s="612"/>
      <c r="AR518" s="611"/>
      <c r="AS518" s="612"/>
    </row>
    <row r="519" spans="1:45" ht="15" customHeight="1" thickBot="1" x14ac:dyDescent="0.3">
      <c r="A519" s="634"/>
      <c r="B519" s="631"/>
      <c r="C519" s="623"/>
      <c r="D519" s="626"/>
      <c r="E519" s="127" t="s">
        <v>33</v>
      </c>
      <c r="F519" s="585">
        <f t="shared" ref="F519" si="1554">SUM(F516:G518)</f>
        <v>0</v>
      </c>
      <c r="G519" s="593"/>
      <c r="H519" s="604">
        <f t="shared" ref="H519" si="1555">SUM(H516:I518)</f>
        <v>0</v>
      </c>
      <c r="I519" s="601"/>
      <c r="J519" s="585">
        <f t="shared" ref="J519" si="1556">SUM(J516:K518)</f>
        <v>0</v>
      </c>
      <c r="K519" s="593"/>
      <c r="L519" s="585">
        <f t="shared" ref="L519" si="1557">SUM(L516:M518)</f>
        <v>0</v>
      </c>
      <c r="M519" s="586"/>
      <c r="N519" s="585">
        <f t="shared" ref="N519" si="1558">SUM(N516:O518)</f>
        <v>0</v>
      </c>
      <c r="O519" s="586"/>
      <c r="P519" s="585">
        <f t="shared" ref="P519" si="1559">SUM(P516:Q518)</f>
        <v>0</v>
      </c>
      <c r="Q519" s="601"/>
      <c r="R519" s="602">
        <f t="shared" ref="R519" si="1560">SUM(R516:S518)</f>
        <v>0</v>
      </c>
      <c r="S519" s="593"/>
      <c r="T519" s="585">
        <f t="shared" ref="T519" si="1561">SUM(T516:U518)</f>
        <v>0</v>
      </c>
      <c r="U519" s="593"/>
      <c r="V519" s="210">
        <f t="shared" ref="V519" si="1562">IF(AND(F519&gt;=$G$8,H519&gt;=$I$8,L519&gt;=$M$8,P519&gt;=$Q$8,R519&gt;=$S$8,T519&gt;=$U$8),SUM(F519:U519),0)</f>
        <v>0</v>
      </c>
      <c r="W519" s="264"/>
      <c r="X519" s="97"/>
      <c r="Y519" s="597"/>
      <c r="Z519" s="91" t="str">
        <f>LOOKUP(V519,$AL$6:$AM$10)</f>
        <v>ضعيف</v>
      </c>
      <c r="AA519" s="658"/>
      <c r="AB519" s="72"/>
      <c r="AC519" s="655"/>
      <c r="AN519" s="610"/>
      <c r="AO519" s="610"/>
      <c r="AP519" s="613"/>
      <c r="AQ519" s="612"/>
      <c r="AR519" s="611"/>
      <c r="AS519" s="612"/>
    </row>
    <row r="520" spans="1:45" ht="15" customHeight="1" thickBot="1" x14ac:dyDescent="0.3">
      <c r="A520" s="632">
        <v>112</v>
      </c>
      <c r="B520" s="629">
        <f>VLOOKUP(A520,مسلسل,2,0)</f>
        <v>0</v>
      </c>
      <c r="C520" s="621" t="str">
        <f>IFERROR(VLOOKUP(B520,اسماء,2,0),"")</f>
        <v/>
      </c>
      <c r="D520" s="624" t="str">
        <f>IFERROR(VLOOKUP($B520,اسماء,3,0),"")</f>
        <v/>
      </c>
      <c r="E520" s="132" t="s">
        <v>30</v>
      </c>
      <c r="F520" s="627">
        <f>IFERROR(VLOOKUP($B520,اسماء,5,0),0)</f>
        <v>0</v>
      </c>
      <c r="G520" s="606"/>
      <c r="H520" s="628">
        <f>IFERROR(VLOOKUP($B520,اسماء,6,0),0)</f>
        <v>0</v>
      </c>
      <c r="I520" s="605"/>
      <c r="J520" s="587">
        <f>IFERROR(VLOOKUP($B520,اسماء,7,0),0)</f>
        <v>0</v>
      </c>
      <c r="K520" s="591"/>
      <c r="L520" s="587">
        <f>IFERROR(VLOOKUP($B520,اسماء,8,0),0)</f>
        <v>0</v>
      </c>
      <c r="M520" s="588"/>
      <c r="N520" s="587">
        <f>IFERROR(VLOOKUP($B520,اسماء,9,0),0)</f>
        <v>0</v>
      </c>
      <c r="O520" s="605"/>
      <c r="P520" s="587">
        <f>IFERROR(VLOOKUP($B520,اسماء,10,0),0)</f>
        <v>0</v>
      </c>
      <c r="Q520" s="605"/>
      <c r="R520" s="606">
        <f>IFERROR(VLOOKUP($B520,اسماء,11,0),0)</f>
        <v>0</v>
      </c>
      <c r="S520" s="591"/>
      <c r="T520" s="587">
        <f>IFERROR(VLOOKUP($B520,اسماء,12,0),0)</f>
        <v>0</v>
      </c>
      <c r="U520" s="591"/>
      <c r="V520" s="263">
        <f t="shared" ref="V520:V522" si="1563">SUM(F520:U520)</f>
        <v>0</v>
      </c>
      <c r="W520" s="373">
        <f>IFERROR(VLOOKUP($B520,اسماء,14,0),0)</f>
        <v>0</v>
      </c>
      <c r="X520" s="373">
        <f>IFERROR(VLOOKUP($B520,اسماء,15,0),0)</f>
        <v>0</v>
      </c>
      <c r="Y520" s="595" t="str">
        <f t="shared" ref="Y520" si="1564">IF(AC520="غائب","راسب",IF(AND(F523&gt;=$G$8,H523&gt;=$I$8,J523&gt;=$K$8,L523&gt;=$M$8,N523&gt;=$O$8,P523&gt;=$Q$8,R523&gt;=$S$8,T523&gt;=$U$8),"ناجح","له دور ثان"))</f>
        <v>له دور ثان</v>
      </c>
      <c r="Z520" s="21" t="str">
        <f>LOOKUP(V520,$AF$6:$AG$10)</f>
        <v>ضعيف</v>
      </c>
      <c r="AA520" s="656">
        <f>V523/$AF$3</f>
        <v>0</v>
      </c>
      <c r="AB520" s="72"/>
      <c r="AC520" s="653" t="str">
        <f>IFERROR(VLOOKUP($B520,اسماء,54,0),"")</f>
        <v/>
      </c>
      <c r="AN520" s="607" t="str">
        <f t="shared" ref="AN520" si="1565">IF(V523=0,"",V523/1+ROW()*0.00001)</f>
        <v/>
      </c>
      <c r="AO520" s="607">
        <f>B520</f>
        <v>0</v>
      </c>
      <c r="AP520" s="613"/>
      <c r="AQ520" s="612">
        <v>112</v>
      </c>
      <c r="AR520" s="611" t="str">
        <f>IFERROR(LARGE($AN$10:$AN$1006,AQ520),"")</f>
        <v/>
      </c>
      <c r="AS520" s="612" t="str">
        <f>VLOOKUP(AR520,$AN$10:$AO$1116,2,0)</f>
        <v>أحمد نورالدين أحمد الذيب</v>
      </c>
    </row>
    <row r="521" spans="1:45" ht="15" customHeight="1" thickBot="1" x14ac:dyDescent="0.3">
      <c r="A521" s="633"/>
      <c r="B521" s="630"/>
      <c r="C521" s="622"/>
      <c r="D521" s="625"/>
      <c r="E521" s="133" t="s">
        <v>31</v>
      </c>
      <c r="F521" s="589">
        <f>IFERROR(VLOOKUP($B520,اسماء,18,0),0)</f>
        <v>0</v>
      </c>
      <c r="G521" s="592"/>
      <c r="H521" s="608">
        <f>IFERROR(VLOOKUP($B520,اسماء,19,0),0)</f>
        <v>0</v>
      </c>
      <c r="I521" s="609"/>
      <c r="J521" s="589">
        <f>IFERROR(VLOOKUP($B520,اسماء,20,0),0)</f>
        <v>0</v>
      </c>
      <c r="K521" s="592"/>
      <c r="L521" s="589">
        <f>IFERROR(VLOOKUP($B520,اسماء,21,0),0)</f>
        <v>0</v>
      </c>
      <c r="M521" s="590"/>
      <c r="N521" s="589">
        <f>IFERROR(VLOOKUP($B520,اسماء,22,0),0)</f>
        <v>0</v>
      </c>
      <c r="O521" s="590"/>
      <c r="P521" s="589">
        <f>IFERROR(VLOOKUP($B520,اسماء,23,0),0)</f>
        <v>0</v>
      </c>
      <c r="Q521" s="609"/>
      <c r="R521" s="603">
        <f>IFERROR(VLOOKUP($B520,اسماء,24,0),0)</f>
        <v>0</v>
      </c>
      <c r="S521" s="592"/>
      <c r="T521" s="589">
        <f>IFERROR(VLOOKUP($B520,اسماء,25,0),0)</f>
        <v>0</v>
      </c>
      <c r="U521" s="592"/>
      <c r="V521" s="263">
        <f t="shared" si="1563"/>
        <v>0</v>
      </c>
      <c r="W521" s="373">
        <f>IFERROR(VLOOKUP($B520,اسماء,27,0),0)</f>
        <v>0</v>
      </c>
      <c r="X521" s="373">
        <f>IFERROR(VLOOKUP($B520,اسماء,28,0),0)</f>
        <v>0</v>
      </c>
      <c r="Y521" s="596"/>
      <c r="Z521" s="22" t="str">
        <f>LOOKUP(V521,$AF$6:$AG$10)</f>
        <v>ضعيف</v>
      </c>
      <c r="AA521" s="657"/>
      <c r="AB521" s="10"/>
      <c r="AC521" s="654"/>
      <c r="AN521" s="607"/>
      <c r="AO521" s="607"/>
      <c r="AP521" s="613"/>
      <c r="AQ521" s="612"/>
      <c r="AR521" s="611"/>
      <c r="AS521" s="612"/>
    </row>
    <row r="522" spans="1:45" ht="15" customHeight="1" x14ac:dyDescent="0.25">
      <c r="A522" s="633"/>
      <c r="B522" s="630"/>
      <c r="C522" s="622"/>
      <c r="D522" s="625"/>
      <c r="E522" s="133" t="s">
        <v>32</v>
      </c>
      <c r="F522" s="589">
        <f>IFERROR(VLOOKUP($B520,اسماء,31,0),0)</f>
        <v>0</v>
      </c>
      <c r="G522" s="592"/>
      <c r="H522" s="608">
        <f>IFERROR(VLOOKUP($B520,اسماء,32,0),0)</f>
        <v>0</v>
      </c>
      <c r="I522" s="609"/>
      <c r="J522" s="589">
        <f>IFERROR(VLOOKUP($B520,اسماء,33,0),0)</f>
        <v>0</v>
      </c>
      <c r="K522" s="592"/>
      <c r="L522" s="589">
        <f>IFERROR(VLOOKUP($B520,اسماء,34,0),0)</f>
        <v>0</v>
      </c>
      <c r="M522" s="590"/>
      <c r="N522" s="589">
        <f>IFERROR(VLOOKUP($B520,اسماء,35,0),0)</f>
        <v>0</v>
      </c>
      <c r="O522" s="590"/>
      <c r="P522" s="589">
        <f>IFERROR(VLOOKUP($B520,اسماء,36,0),0)</f>
        <v>0</v>
      </c>
      <c r="Q522" s="609"/>
      <c r="R522" s="603">
        <f>IFERROR(VLOOKUP($B520,اسماء,37,0),0)</f>
        <v>0</v>
      </c>
      <c r="S522" s="592"/>
      <c r="T522" s="589">
        <f>IFERROR(VLOOKUP($B520,اسماء,38,0),0)</f>
        <v>0</v>
      </c>
      <c r="U522" s="592"/>
      <c r="V522" s="263">
        <f t="shared" si="1563"/>
        <v>0</v>
      </c>
      <c r="W522" s="373">
        <f>IFERROR(VLOOKUP($B520,اسماء,40,0),0)</f>
        <v>0</v>
      </c>
      <c r="X522" s="373">
        <f>IFERROR(VLOOKUP($B520,اسماء,41,0),0)</f>
        <v>0</v>
      </c>
      <c r="Y522" s="596"/>
      <c r="Z522" s="22" t="str">
        <f>LOOKUP(V522,$AI$6:$AJ$10)</f>
        <v>ضعيف</v>
      </c>
      <c r="AA522" s="657"/>
      <c r="AB522" s="72"/>
      <c r="AC522" s="654"/>
      <c r="AN522" s="607"/>
      <c r="AO522" s="607"/>
      <c r="AP522" s="613"/>
      <c r="AQ522" s="612"/>
      <c r="AR522" s="611"/>
      <c r="AS522" s="612"/>
    </row>
    <row r="523" spans="1:45" ht="15" customHeight="1" thickBot="1" x14ac:dyDescent="0.3">
      <c r="A523" s="634"/>
      <c r="B523" s="631"/>
      <c r="C523" s="623"/>
      <c r="D523" s="626"/>
      <c r="E523" s="127" t="s">
        <v>33</v>
      </c>
      <c r="F523" s="585">
        <f t="shared" ref="F523" si="1566">SUM(F520:G522)</f>
        <v>0</v>
      </c>
      <c r="G523" s="593"/>
      <c r="H523" s="604">
        <f t="shared" ref="H523" si="1567">SUM(H520:I522)</f>
        <v>0</v>
      </c>
      <c r="I523" s="601"/>
      <c r="J523" s="585">
        <f t="shared" ref="J523" si="1568">SUM(J520:K522)</f>
        <v>0</v>
      </c>
      <c r="K523" s="593"/>
      <c r="L523" s="585">
        <f t="shared" ref="L523" si="1569">SUM(L520:M522)</f>
        <v>0</v>
      </c>
      <c r="M523" s="586"/>
      <c r="N523" s="585">
        <f t="shared" ref="N523" si="1570">SUM(N520:O522)</f>
        <v>0</v>
      </c>
      <c r="O523" s="586"/>
      <c r="P523" s="585">
        <f t="shared" ref="P523" si="1571">SUM(P520:Q522)</f>
        <v>0</v>
      </c>
      <c r="Q523" s="601"/>
      <c r="R523" s="602">
        <f t="shared" ref="R523" si="1572">SUM(R520:S522)</f>
        <v>0</v>
      </c>
      <c r="S523" s="593"/>
      <c r="T523" s="585">
        <f t="shared" ref="T523" si="1573">SUM(T520:U522)</f>
        <v>0</v>
      </c>
      <c r="U523" s="593"/>
      <c r="V523" s="210">
        <f t="shared" ref="V523" si="1574">IF(AND(F523&gt;=$G$8,H523&gt;=$I$8,L523&gt;=$M$8,P523&gt;=$Q$8,R523&gt;=$S$8,T523&gt;=$U$8),SUM(F523:U523),0)</f>
        <v>0</v>
      </c>
      <c r="W523" s="264"/>
      <c r="X523" s="97"/>
      <c r="Y523" s="597"/>
      <c r="Z523" s="91" t="str">
        <f>LOOKUP(V523,$AL$6:$AM$10)</f>
        <v>ضعيف</v>
      </c>
      <c r="AA523" s="658"/>
      <c r="AB523" s="72"/>
      <c r="AC523" s="655"/>
      <c r="AN523" s="607"/>
      <c r="AO523" s="607"/>
      <c r="AP523" s="613"/>
      <c r="AQ523" s="612"/>
      <c r="AR523" s="611"/>
      <c r="AS523" s="612"/>
    </row>
    <row r="524" spans="1:45" ht="15" customHeight="1" thickBot="1" x14ac:dyDescent="0.3">
      <c r="A524" s="632">
        <v>113</v>
      </c>
      <c r="B524" s="629">
        <f>VLOOKUP(A524,مسلسل,2,0)</f>
        <v>0</v>
      </c>
      <c r="C524" s="621" t="str">
        <f>IFERROR(VLOOKUP(B524,اسماء,2,0),"")</f>
        <v/>
      </c>
      <c r="D524" s="624" t="str">
        <f>IFERROR(VLOOKUP($B524,اسماء,3,0),"")</f>
        <v/>
      </c>
      <c r="E524" s="132" t="s">
        <v>30</v>
      </c>
      <c r="F524" s="627">
        <f>IFERROR(VLOOKUP($B524,اسماء,5,0),0)</f>
        <v>0</v>
      </c>
      <c r="G524" s="606"/>
      <c r="H524" s="628">
        <f>IFERROR(VLOOKUP($B524,اسماء,6,0),0)</f>
        <v>0</v>
      </c>
      <c r="I524" s="605"/>
      <c r="J524" s="587">
        <f>IFERROR(VLOOKUP($B524,اسماء,7,0),0)</f>
        <v>0</v>
      </c>
      <c r="K524" s="591"/>
      <c r="L524" s="587">
        <f>IFERROR(VLOOKUP($B524,اسماء,8,0),0)</f>
        <v>0</v>
      </c>
      <c r="M524" s="588"/>
      <c r="N524" s="587">
        <f>IFERROR(VLOOKUP($B524,اسماء,9,0),0)</f>
        <v>0</v>
      </c>
      <c r="O524" s="605"/>
      <c r="P524" s="587">
        <f>IFERROR(VLOOKUP($B524,اسماء,10,0),0)</f>
        <v>0</v>
      </c>
      <c r="Q524" s="605"/>
      <c r="R524" s="606">
        <f>IFERROR(VLOOKUP($B524,اسماء,11,0),0)</f>
        <v>0</v>
      </c>
      <c r="S524" s="591"/>
      <c r="T524" s="587">
        <f>IFERROR(VLOOKUP($B524,اسماء,12,0),0)</f>
        <v>0</v>
      </c>
      <c r="U524" s="591"/>
      <c r="V524" s="263">
        <f t="shared" ref="V524:V526" si="1575">SUM(F524:U524)</f>
        <v>0</v>
      </c>
      <c r="W524" s="373">
        <f>IFERROR(VLOOKUP($B524,اسماء,14,0),0)</f>
        <v>0</v>
      </c>
      <c r="X524" s="373">
        <f>IFERROR(VLOOKUP($B524,اسماء,15,0),0)</f>
        <v>0</v>
      </c>
      <c r="Y524" s="595" t="str">
        <f t="shared" ref="Y524" si="1576">IF(AC524="غائب","راسب",IF(AND(F527&gt;=$G$8,H527&gt;=$I$8,J527&gt;=$K$8,L527&gt;=$M$8,N527&gt;=$O$8,P527&gt;=$Q$8,R527&gt;=$S$8,T527&gt;=$U$8),"ناجح","له دور ثان"))</f>
        <v>له دور ثان</v>
      </c>
      <c r="Z524" s="21" t="str">
        <f>LOOKUP(V524,$AF$6:$AG$10)</f>
        <v>ضعيف</v>
      </c>
      <c r="AA524" s="656">
        <f>V527/$AF$3</f>
        <v>0</v>
      </c>
      <c r="AB524" s="10"/>
      <c r="AC524" s="653" t="str">
        <f>IFERROR(VLOOKUP($B524,اسماء,54,0),"")</f>
        <v/>
      </c>
      <c r="AN524" s="607" t="str">
        <f t="shared" ref="AN524" si="1577">IF(V527=0,"",V527/1+ROW()*0.00001)</f>
        <v/>
      </c>
      <c r="AO524" s="607">
        <f>B524</f>
        <v>0</v>
      </c>
      <c r="AP524" s="613"/>
      <c r="AQ524" s="612">
        <v>113</v>
      </c>
      <c r="AR524" s="611" t="str">
        <f>IFERROR(LARGE($AN$10:$AN$1006,AQ524),"")</f>
        <v/>
      </c>
      <c r="AS524" s="612" t="str">
        <f>VLOOKUP(AR524,$AN$10:$AO$1116,2,0)</f>
        <v>أحمد نورالدين أحمد الذيب</v>
      </c>
    </row>
    <row r="525" spans="1:45" ht="15" customHeight="1" thickBot="1" x14ac:dyDescent="0.3">
      <c r="A525" s="633"/>
      <c r="B525" s="630"/>
      <c r="C525" s="622"/>
      <c r="D525" s="625"/>
      <c r="E525" s="133" t="s">
        <v>31</v>
      </c>
      <c r="F525" s="589">
        <f>IFERROR(VLOOKUP($B524,اسماء,18,0),0)</f>
        <v>0</v>
      </c>
      <c r="G525" s="592"/>
      <c r="H525" s="608">
        <f>IFERROR(VLOOKUP($B524,اسماء,19,0),0)</f>
        <v>0</v>
      </c>
      <c r="I525" s="609"/>
      <c r="J525" s="589">
        <f>IFERROR(VLOOKUP($B524,اسماء,20,0),0)</f>
        <v>0</v>
      </c>
      <c r="K525" s="592"/>
      <c r="L525" s="589">
        <f>IFERROR(VLOOKUP($B524,اسماء,21,0),0)</f>
        <v>0</v>
      </c>
      <c r="M525" s="590"/>
      <c r="N525" s="589">
        <f>IFERROR(VLOOKUP($B524,اسماء,22,0),0)</f>
        <v>0</v>
      </c>
      <c r="O525" s="590"/>
      <c r="P525" s="589">
        <f>IFERROR(VLOOKUP($B524,اسماء,23,0),0)</f>
        <v>0</v>
      </c>
      <c r="Q525" s="609"/>
      <c r="R525" s="603">
        <f>IFERROR(VLOOKUP($B524,اسماء,24,0),0)</f>
        <v>0</v>
      </c>
      <c r="S525" s="592"/>
      <c r="T525" s="589">
        <f>IFERROR(VLOOKUP($B524,اسماء,25,0),0)</f>
        <v>0</v>
      </c>
      <c r="U525" s="592"/>
      <c r="V525" s="263">
        <f t="shared" si="1575"/>
        <v>0</v>
      </c>
      <c r="W525" s="373">
        <f>IFERROR(VLOOKUP($B524,اسماء,27,0),0)</f>
        <v>0</v>
      </c>
      <c r="X525" s="373">
        <f>IFERROR(VLOOKUP($B524,اسماء,28,0),0)</f>
        <v>0</v>
      </c>
      <c r="Y525" s="596"/>
      <c r="Z525" s="22" t="str">
        <f>LOOKUP(V525,$AF$6:$AG$10)</f>
        <v>ضعيف</v>
      </c>
      <c r="AA525" s="657"/>
      <c r="AB525" s="72"/>
      <c r="AC525" s="654"/>
      <c r="AN525" s="607"/>
      <c r="AO525" s="607"/>
      <c r="AP525" s="613"/>
      <c r="AQ525" s="612"/>
      <c r="AR525" s="611"/>
      <c r="AS525" s="612"/>
    </row>
    <row r="526" spans="1:45" ht="15" customHeight="1" x14ac:dyDescent="0.25">
      <c r="A526" s="633"/>
      <c r="B526" s="630"/>
      <c r="C526" s="622"/>
      <c r="D526" s="625"/>
      <c r="E526" s="133" t="s">
        <v>32</v>
      </c>
      <c r="F526" s="589">
        <f>IFERROR(VLOOKUP($B524,اسماء,31,0),0)</f>
        <v>0</v>
      </c>
      <c r="G526" s="592"/>
      <c r="H526" s="608">
        <f>IFERROR(VLOOKUP($B524,اسماء,32,0),0)</f>
        <v>0</v>
      </c>
      <c r="I526" s="609"/>
      <c r="J526" s="589">
        <f>IFERROR(VLOOKUP($B524,اسماء,33,0),0)</f>
        <v>0</v>
      </c>
      <c r="K526" s="592"/>
      <c r="L526" s="589">
        <f>IFERROR(VLOOKUP($B524,اسماء,34,0),0)</f>
        <v>0</v>
      </c>
      <c r="M526" s="590"/>
      <c r="N526" s="589">
        <f>IFERROR(VLOOKUP($B524,اسماء,35,0),0)</f>
        <v>0</v>
      </c>
      <c r="O526" s="590"/>
      <c r="P526" s="589">
        <f>IFERROR(VLOOKUP($B524,اسماء,36,0),0)</f>
        <v>0</v>
      </c>
      <c r="Q526" s="609"/>
      <c r="R526" s="603">
        <f>IFERROR(VLOOKUP($B524,اسماء,37,0),0)</f>
        <v>0</v>
      </c>
      <c r="S526" s="592"/>
      <c r="T526" s="589">
        <f>IFERROR(VLOOKUP($B524,اسماء,38,0),0)</f>
        <v>0</v>
      </c>
      <c r="U526" s="592"/>
      <c r="V526" s="263">
        <f t="shared" si="1575"/>
        <v>0</v>
      </c>
      <c r="W526" s="373">
        <f>IFERROR(VLOOKUP($B524,اسماء,40,0),0)</f>
        <v>0</v>
      </c>
      <c r="X526" s="373">
        <f>IFERROR(VLOOKUP($B524,اسماء,41,0),0)</f>
        <v>0</v>
      </c>
      <c r="Y526" s="596"/>
      <c r="Z526" s="22" t="str">
        <f>LOOKUP(V526,$AI$6:$AJ$10)</f>
        <v>ضعيف</v>
      </c>
      <c r="AA526" s="657"/>
      <c r="AB526" s="72"/>
      <c r="AC526" s="654"/>
      <c r="AN526" s="607"/>
      <c r="AO526" s="607"/>
      <c r="AP526" s="613"/>
      <c r="AQ526" s="612"/>
      <c r="AR526" s="611"/>
      <c r="AS526" s="612"/>
    </row>
    <row r="527" spans="1:45" ht="15" customHeight="1" thickBot="1" x14ac:dyDescent="0.3">
      <c r="A527" s="634"/>
      <c r="B527" s="631"/>
      <c r="C527" s="623"/>
      <c r="D527" s="626"/>
      <c r="E527" s="127" t="s">
        <v>33</v>
      </c>
      <c r="F527" s="585">
        <f t="shared" ref="F527" si="1578">SUM(F524:G526)</f>
        <v>0</v>
      </c>
      <c r="G527" s="593"/>
      <c r="H527" s="604">
        <f t="shared" ref="H527" si="1579">SUM(H524:I526)</f>
        <v>0</v>
      </c>
      <c r="I527" s="601"/>
      <c r="J527" s="585">
        <f t="shared" ref="J527" si="1580">SUM(J524:K526)</f>
        <v>0</v>
      </c>
      <c r="K527" s="593"/>
      <c r="L527" s="585">
        <f t="shared" ref="L527" si="1581">SUM(L524:M526)</f>
        <v>0</v>
      </c>
      <c r="M527" s="586"/>
      <c r="N527" s="585">
        <f t="shared" ref="N527" si="1582">SUM(N524:O526)</f>
        <v>0</v>
      </c>
      <c r="O527" s="586"/>
      <c r="P527" s="585">
        <f t="shared" ref="P527" si="1583">SUM(P524:Q526)</f>
        <v>0</v>
      </c>
      <c r="Q527" s="601"/>
      <c r="R527" s="602">
        <f t="shared" ref="R527" si="1584">SUM(R524:S526)</f>
        <v>0</v>
      </c>
      <c r="S527" s="593"/>
      <c r="T527" s="585">
        <f t="shared" ref="T527" si="1585">SUM(T524:U526)</f>
        <v>0</v>
      </c>
      <c r="U527" s="593"/>
      <c r="V527" s="210">
        <f t="shared" ref="V527" si="1586">IF(AND(F527&gt;=$G$8,H527&gt;=$I$8,L527&gt;=$M$8,P527&gt;=$Q$8,R527&gt;=$S$8,T527&gt;=$U$8),SUM(F527:U527),0)</f>
        <v>0</v>
      </c>
      <c r="W527" s="264"/>
      <c r="X527" s="97"/>
      <c r="Y527" s="597"/>
      <c r="Z527" s="91" t="str">
        <f>LOOKUP(V527,$AL$6:$AM$10)</f>
        <v>ضعيف</v>
      </c>
      <c r="AA527" s="658"/>
      <c r="AB527" s="10"/>
      <c r="AC527" s="655"/>
      <c r="AN527" s="607"/>
      <c r="AO527" s="607"/>
      <c r="AP527" s="613"/>
      <c r="AQ527" s="612"/>
      <c r="AR527" s="611"/>
      <c r="AS527" s="612"/>
    </row>
    <row r="528" spans="1:45" ht="15" customHeight="1" thickBot="1" x14ac:dyDescent="0.3">
      <c r="A528" s="632">
        <v>114</v>
      </c>
      <c r="B528" s="629">
        <f>VLOOKUP(A528,مسلسل,2,0)</f>
        <v>0</v>
      </c>
      <c r="C528" s="621" t="str">
        <f>IFERROR(VLOOKUP(B528,اسماء,2,0),"")</f>
        <v/>
      </c>
      <c r="D528" s="624" t="str">
        <f>IFERROR(VLOOKUP($B528,اسماء,3,0),"")</f>
        <v/>
      </c>
      <c r="E528" s="132" t="s">
        <v>30</v>
      </c>
      <c r="F528" s="627">
        <f>IFERROR(VLOOKUP($B528,اسماء,5,0),0)</f>
        <v>0</v>
      </c>
      <c r="G528" s="606"/>
      <c r="H528" s="628">
        <f>IFERROR(VLOOKUP($B528,اسماء,6,0),0)</f>
        <v>0</v>
      </c>
      <c r="I528" s="605"/>
      <c r="J528" s="587">
        <f>IFERROR(VLOOKUP($B528,اسماء,7,0),0)</f>
        <v>0</v>
      </c>
      <c r="K528" s="591"/>
      <c r="L528" s="587">
        <f>IFERROR(VLOOKUP($B528,اسماء,8,0),0)</f>
        <v>0</v>
      </c>
      <c r="M528" s="588"/>
      <c r="N528" s="587">
        <f>IFERROR(VLOOKUP($B528,اسماء,9,0),0)</f>
        <v>0</v>
      </c>
      <c r="O528" s="605"/>
      <c r="P528" s="587">
        <f>IFERROR(VLOOKUP($B528,اسماء,10,0),0)</f>
        <v>0</v>
      </c>
      <c r="Q528" s="605"/>
      <c r="R528" s="606">
        <f>IFERROR(VLOOKUP($B528,اسماء,11,0),0)</f>
        <v>0</v>
      </c>
      <c r="S528" s="591"/>
      <c r="T528" s="587">
        <f>IFERROR(VLOOKUP($B528,اسماء,12,0),0)</f>
        <v>0</v>
      </c>
      <c r="U528" s="591"/>
      <c r="V528" s="263">
        <f t="shared" ref="V528:V530" si="1587">SUM(F528:U528)</f>
        <v>0</v>
      </c>
      <c r="W528" s="373">
        <f>IFERROR(VLOOKUP($B528,اسماء,14,0),0)</f>
        <v>0</v>
      </c>
      <c r="X528" s="373">
        <f>IFERROR(VLOOKUP($B528,اسماء,15,0),0)</f>
        <v>0</v>
      </c>
      <c r="Y528" s="595" t="str">
        <f t="shared" ref="Y528" si="1588">IF(AC528="غائب","راسب",IF(AND(F531&gt;=$G$8,H531&gt;=$I$8,J531&gt;=$K$8,L531&gt;=$M$8,N531&gt;=$O$8,P531&gt;=$Q$8,R531&gt;=$S$8,T531&gt;=$U$8),"ناجح","له دور ثان"))</f>
        <v>له دور ثان</v>
      </c>
      <c r="Z528" s="21" t="str">
        <f>LOOKUP(V528,$AF$6:$AG$10)</f>
        <v>ضعيف</v>
      </c>
      <c r="AA528" s="656">
        <f>V531/$AF$3</f>
        <v>0</v>
      </c>
      <c r="AB528" s="72"/>
      <c r="AC528" s="653" t="str">
        <f>IFERROR(VLOOKUP($B528,اسماء,54,0),"")</f>
        <v/>
      </c>
      <c r="AN528" s="607" t="str">
        <f t="shared" ref="AN528" si="1589">IF(V531=0,"",V531/1+ROW()*0.00001)</f>
        <v/>
      </c>
      <c r="AO528" s="607">
        <f>B528</f>
        <v>0</v>
      </c>
      <c r="AP528" s="613"/>
      <c r="AQ528" s="612">
        <v>114</v>
      </c>
      <c r="AR528" s="611" t="str">
        <f>IFERROR(LARGE($AN$10:$AN$1006,AQ528),"")</f>
        <v/>
      </c>
      <c r="AS528" s="612" t="str">
        <f>VLOOKUP(AR528,$AN$10:$AO$1116,2,0)</f>
        <v>أحمد نورالدين أحمد الذيب</v>
      </c>
    </row>
    <row r="529" spans="1:45" ht="15" customHeight="1" thickBot="1" x14ac:dyDescent="0.3">
      <c r="A529" s="633"/>
      <c r="B529" s="630"/>
      <c r="C529" s="622"/>
      <c r="D529" s="625"/>
      <c r="E529" s="133" t="s">
        <v>31</v>
      </c>
      <c r="F529" s="589">
        <f>IFERROR(VLOOKUP($B528,اسماء,18,0),0)</f>
        <v>0</v>
      </c>
      <c r="G529" s="592"/>
      <c r="H529" s="608">
        <f>IFERROR(VLOOKUP($B528,اسماء,19,0),0)</f>
        <v>0</v>
      </c>
      <c r="I529" s="609"/>
      <c r="J529" s="589">
        <f>IFERROR(VLOOKUP($B528,اسماء,20,0),0)</f>
        <v>0</v>
      </c>
      <c r="K529" s="592"/>
      <c r="L529" s="589">
        <f>IFERROR(VLOOKUP($B528,اسماء,21,0),0)</f>
        <v>0</v>
      </c>
      <c r="M529" s="590"/>
      <c r="N529" s="589">
        <f>IFERROR(VLOOKUP($B528,اسماء,22,0),0)</f>
        <v>0</v>
      </c>
      <c r="O529" s="590"/>
      <c r="P529" s="589">
        <f>IFERROR(VLOOKUP($B528,اسماء,23,0),0)</f>
        <v>0</v>
      </c>
      <c r="Q529" s="609"/>
      <c r="R529" s="603">
        <f>IFERROR(VLOOKUP($B528,اسماء,24,0),0)</f>
        <v>0</v>
      </c>
      <c r="S529" s="592"/>
      <c r="T529" s="589">
        <f>IFERROR(VLOOKUP($B528,اسماء,25,0),0)</f>
        <v>0</v>
      </c>
      <c r="U529" s="592"/>
      <c r="V529" s="263">
        <f t="shared" si="1587"/>
        <v>0</v>
      </c>
      <c r="W529" s="373">
        <f>IFERROR(VLOOKUP($B528,اسماء,27,0),0)</f>
        <v>0</v>
      </c>
      <c r="X529" s="373">
        <f>IFERROR(VLOOKUP($B528,اسماء,28,0),0)</f>
        <v>0</v>
      </c>
      <c r="Y529" s="596"/>
      <c r="Z529" s="22" t="str">
        <f>LOOKUP(V529,$AF$6:$AG$10)</f>
        <v>ضعيف</v>
      </c>
      <c r="AA529" s="657"/>
      <c r="AB529" s="72"/>
      <c r="AC529" s="654"/>
      <c r="AN529" s="607"/>
      <c r="AO529" s="607"/>
      <c r="AP529" s="613"/>
      <c r="AQ529" s="612"/>
      <c r="AR529" s="611"/>
      <c r="AS529" s="612"/>
    </row>
    <row r="530" spans="1:45" ht="15" customHeight="1" x14ac:dyDescent="0.25">
      <c r="A530" s="633"/>
      <c r="B530" s="630"/>
      <c r="C530" s="622"/>
      <c r="D530" s="625"/>
      <c r="E530" s="133" t="s">
        <v>32</v>
      </c>
      <c r="F530" s="589">
        <f>IFERROR(VLOOKUP($B528,اسماء,31,0),0)</f>
        <v>0</v>
      </c>
      <c r="G530" s="592"/>
      <c r="H530" s="608">
        <f>IFERROR(VLOOKUP($B528,اسماء,32,0),0)</f>
        <v>0</v>
      </c>
      <c r="I530" s="609"/>
      <c r="J530" s="589">
        <f>IFERROR(VLOOKUP($B528,اسماء,33,0),0)</f>
        <v>0</v>
      </c>
      <c r="K530" s="592"/>
      <c r="L530" s="589">
        <f>IFERROR(VLOOKUP($B528,اسماء,34,0),0)</f>
        <v>0</v>
      </c>
      <c r="M530" s="590"/>
      <c r="N530" s="589">
        <f>IFERROR(VLOOKUP($B528,اسماء,35,0),0)</f>
        <v>0</v>
      </c>
      <c r="O530" s="590"/>
      <c r="P530" s="589">
        <f>IFERROR(VLOOKUP($B528,اسماء,36,0),0)</f>
        <v>0</v>
      </c>
      <c r="Q530" s="609"/>
      <c r="R530" s="603">
        <f>IFERROR(VLOOKUP($B528,اسماء,37,0),0)</f>
        <v>0</v>
      </c>
      <c r="S530" s="592"/>
      <c r="T530" s="589">
        <f>IFERROR(VLOOKUP($B528,اسماء,38,0),0)</f>
        <v>0</v>
      </c>
      <c r="U530" s="592"/>
      <c r="V530" s="263">
        <f t="shared" si="1587"/>
        <v>0</v>
      </c>
      <c r="W530" s="373">
        <f>IFERROR(VLOOKUP($B528,اسماء,40,0),0)</f>
        <v>0</v>
      </c>
      <c r="X530" s="373">
        <f>IFERROR(VLOOKUP($B528,اسماء,41,0),0)</f>
        <v>0</v>
      </c>
      <c r="Y530" s="596"/>
      <c r="Z530" s="22" t="str">
        <f>LOOKUP(V530,$AI$6:$AJ$10)</f>
        <v>ضعيف</v>
      </c>
      <c r="AA530" s="657"/>
      <c r="AB530" s="10"/>
      <c r="AC530" s="654"/>
      <c r="AN530" s="607"/>
      <c r="AO530" s="607"/>
      <c r="AP530" s="613"/>
      <c r="AQ530" s="612"/>
      <c r="AR530" s="611"/>
      <c r="AS530" s="612"/>
    </row>
    <row r="531" spans="1:45" ht="15" customHeight="1" thickBot="1" x14ac:dyDescent="0.3">
      <c r="A531" s="634"/>
      <c r="B531" s="631"/>
      <c r="C531" s="623"/>
      <c r="D531" s="626"/>
      <c r="E531" s="127" t="s">
        <v>33</v>
      </c>
      <c r="F531" s="585">
        <f t="shared" ref="F531" si="1590">SUM(F528:G530)</f>
        <v>0</v>
      </c>
      <c r="G531" s="593"/>
      <c r="H531" s="604">
        <f t="shared" ref="H531" si="1591">SUM(H528:I530)</f>
        <v>0</v>
      </c>
      <c r="I531" s="601"/>
      <c r="J531" s="585">
        <f t="shared" ref="J531" si="1592">SUM(J528:K530)</f>
        <v>0</v>
      </c>
      <c r="K531" s="593"/>
      <c r="L531" s="585">
        <f t="shared" ref="L531" si="1593">SUM(L528:M530)</f>
        <v>0</v>
      </c>
      <c r="M531" s="586"/>
      <c r="N531" s="585">
        <f t="shared" ref="N531" si="1594">SUM(N528:O530)</f>
        <v>0</v>
      </c>
      <c r="O531" s="586"/>
      <c r="P531" s="585">
        <f t="shared" ref="P531" si="1595">SUM(P528:Q530)</f>
        <v>0</v>
      </c>
      <c r="Q531" s="601"/>
      <c r="R531" s="602">
        <f t="shared" ref="R531" si="1596">SUM(R528:S530)</f>
        <v>0</v>
      </c>
      <c r="S531" s="593"/>
      <c r="T531" s="585">
        <f t="shared" ref="T531" si="1597">SUM(T528:U530)</f>
        <v>0</v>
      </c>
      <c r="U531" s="593"/>
      <c r="V531" s="210">
        <f t="shared" ref="V531" si="1598">IF(AND(F531&gt;=$G$8,H531&gt;=$I$8,L531&gt;=$M$8,P531&gt;=$Q$8,R531&gt;=$S$8,T531&gt;=$U$8),SUM(F531:U531),0)</f>
        <v>0</v>
      </c>
      <c r="W531" s="264"/>
      <c r="X531" s="97"/>
      <c r="Y531" s="597"/>
      <c r="Z531" s="91" t="str">
        <f>LOOKUP(V531,$AL$6:$AM$10)</f>
        <v>ضعيف</v>
      </c>
      <c r="AA531" s="658"/>
      <c r="AB531" s="72"/>
      <c r="AC531" s="655"/>
      <c r="AN531" s="607"/>
      <c r="AO531" s="607"/>
      <c r="AP531" s="613"/>
      <c r="AQ531" s="612"/>
      <c r="AR531" s="611"/>
      <c r="AS531" s="612"/>
    </row>
    <row r="532" spans="1:45" ht="15" customHeight="1" thickBot="1" x14ac:dyDescent="0.3">
      <c r="A532" s="632">
        <v>115</v>
      </c>
      <c r="B532" s="629">
        <f>VLOOKUP(A532,مسلسل,2,0)</f>
        <v>0</v>
      </c>
      <c r="C532" s="621" t="str">
        <f>IFERROR(VLOOKUP(B532,اسماء,2,0),"")</f>
        <v/>
      </c>
      <c r="D532" s="624" t="str">
        <f>IFERROR(VLOOKUP($B532,اسماء,3,0),"")</f>
        <v/>
      </c>
      <c r="E532" s="132" t="s">
        <v>30</v>
      </c>
      <c r="F532" s="627">
        <f>IFERROR(VLOOKUP($B532,اسماء,5,0),0)</f>
        <v>0</v>
      </c>
      <c r="G532" s="606"/>
      <c r="H532" s="628">
        <f>IFERROR(VLOOKUP($B532,اسماء,6,0),0)</f>
        <v>0</v>
      </c>
      <c r="I532" s="605"/>
      <c r="J532" s="587">
        <f>IFERROR(VLOOKUP($B532,اسماء,7,0),0)</f>
        <v>0</v>
      </c>
      <c r="K532" s="591"/>
      <c r="L532" s="587">
        <f>IFERROR(VLOOKUP($B532,اسماء,8,0),0)</f>
        <v>0</v>
      </c>
      <c r="M532" s="588"/>
      <c r="N532" s="587">
        <f>IFERROR(VLOOKUP($B532,اسماء,9,0),0)</f>
        <v>0</v>
      </c>
      <c r="O532" s="605"/>
      <c r="P532" s="587">
        <f>IFERROR(VLOOKUP($B532,اسماء,10,0),0)</f>
        <v>0</v>
      </c>
      <c r="Q532" s="605"/>
      <c r="R532" s="606">
        <f>IFERROR(VLOOKUP($B532,اسماء,11,0),0)</f>
        <v>0</v>
      </c>
      <c r="S532" s="591"/>
      <c r="T532" s="587">
        <f>IFERROR(VLOOKUP($B532,اسماء,12,0),0)</f>
        <v>0</v>
      </c>
      <c r="U532" s="591"/>
      <c r="V532" s="263">
        <f t="shared" ref="V532:V534" si="1599">SUM(F532:U532)</f>
        <v>0</v>
      </c>
      <c r="W532" s="373">
        <f>IFERROR(VLOOKUP($B532,اسماء,14,0),0)</f>
        <v>0</v>
      </c>
      <c r="X532" s="373">
        <f>IFERROR(VLOOKUP($B532,اسماء,15,0),0)</f>
        <v>0</v>
      </c>
      <c r="Y532" s="595" t="str">
        <f t="shared" ref="Y532" si="1600">IF(AC532="غائب","راسب",IF(AND(F535&gt;=$G$8,H535&gt;=$I$8,J535&gt;=$K$8,L535&gt;=$M$8,N535&gt;=$O$8,P535&gt;=$Q$8,R535&gt;=$S$8,T535&gt;=$U$8),"ناجح","له دور ثان"))</f>
        <v>له دور ثان</v>
      </c>
      <c r="Z532" s="21" t="str">
        <f t="shared" ref="Z532:Z533" si="1601">LOOKUP(V532,$AF$6:$AG$10)</f>
        <v>ضعيف</v>
      </c>
      <c r="AA532" s="656">
        <f t="shared" ref="AA532" si="1602">V535/$AF$3</f>
        <v>0</v>
      </c>
      <c r="AB532" s="72"/>
      <c r="AC532" s="653" t="str">
        <f>IFERROR(VLOOKUP($B532,اسماء,54,0),"")</f>
        <v/>
      </c>
      <c r="AN532" s="607" t="str">
        <f t="shared" ref="AN532" si="1603">IF(V535=0,"",V535/1+ROW()*0.00001)</f>
        <v/>
      </c>
      <c r="AO532" s="607">
        <f>B532</f>
        <v>0</v>
      </c>
      <c r="AP532" s="613"/>
      <c r="AQ532" s="612">
        <v>115</v>
      </c>
      <c r="AR532" s="611" t="str">
        <f>IFERROR(LARGE($AN$10:$AN$1006,AQ532),"")</f>
        <v/>
      </c>
      <c r="AS532" s="612" t="str">
        <f>VLOOKUP(AR532,$AN$10:$AO$1116,2,0)</f>
        <v>أحمد نورالدين أحمد الذيب</v>
      </c>
    </row>
    <row r="533" spans="1:45" ht="15" customHeight="1" thickBot="1" x14ac:dyDescent="0.3">
      <c r="A533" s="633"/>
      <c r="B533" s="630"/>
      <c r="C533" s="622"/>
      <c r="D533" s="625"/>
      <c r="E533" s="133" t="s">
        <v>31</v>
      </c>
      <c r="F533" s="589">
        <f>IFERROR(VLOOKUP($B532,اسماء,18,0),0)</f>
        <v>0</v>
      </c>
      <c r="G533" s="592"/>
      <c r="H533" s="608">
        <f>IFERROR(VLOOKUP($B532,اسماء,19,0),0)</f>
        <v>0</v>
      </c>
      <c r="I533" s="609"/>
      <c r="J533" s="589">
        <f>IFERROR(VLOOKUP($B532,اسماء,20,0),0)</f>
        <v>0</v>
      </c>
      <c r="K533" s="592"/>
      <c r="L533" s="589">
        <f>IFERROR(VLOOKUP($B532,اسماء,21,0),0)</f>
        <v>0</v>
      </c>
      <c r="M533" s="590"/>
      <c r="N533" s="589">
        <f>IFERROR(VLOOKUP($B532,اسماء,22,0),0)</f>
        <v>0</v>
      </c>
      <c r="O533" s="590"/>
      <c r="P533" s="589">
        <f>IFERROR(VLOOKUP($B532,اسماء,23,0),0)</f>
        <v>0</v>
      </c>
      <c r="Q533" s="609"/>
      <c r="R533" s="603">
        <f>IFERROR(VLOOKUP($B532,اسماء,24,0),0)</f>
        <v>0</v>
      </c>
      <c r="S533" s="592"/>
      <c r="T533" s="589">
        <f>IFERROR(VLOOKUP($B532,اسماء,25,0),0)</f>
        <v>0</v>
      </c>
      <c r="U533" s="592"/>
      <c r="V533" s="263">
        <f t="shared" si="1599"/>
        <v>0</v>
      </c>
      <c r="W533" s="373">
        <f>IFERROR(VLOOKUP($B532,اسماء,27,0),0)</f>
        <v>0</v>
      </c>
      <c r="X533" s="373">
        <f>IFERROR(VLOOKUP($B532,اسماء,28,0),0)</f>
        <v>0</v>
      </c>
      <c r="Y533" s="596"/>
      <c r="Z533" s="22" t="str">
        <f t="shared" si="1601"/>
        <v>ضعيف</v>
      </c>
      <c r="AA533" s="657"/>
      <c r="AB533" s="10"/>
      <c r="AC533" s="654"/>
      <c r="AN533" s="607"/>
      <c r="AO533" s="607"/>
      <c r="AP533" s="613"/>
      <c r="AQ533" s="612"/>
      <c r="AR533" s="611"/>
      <c r="AS533" s="612"/>
    </row>
    <row r="534" spans="1:45" ht="15" customHeight="1" x14ac:dyDescent="0.25">
      <c r="A534" s="633"/>
      <c r="B534" s="630"/>
      <c r="C534" s="622"/>
      <c r="D534" s="625"/>
      <c r="E534" s="133" t="s">
        <v>32</v>
      </c>
      <c r="F534" s="589">
        <f>IFERROR(VLOOKUP($B532,اسماء,31,0),0)</f>
        <v>0</v>
      </c>
      <c r="G534" s="592"/>
      <c r="H534" s="608">
        <f>IFERROR(VLOOKUP($B532,اسماء,32,0),0)</f>
        <v>0</v>
      </c>
      <c r="I534" s="609"/>
      <c r="J534" s="589">
        <f>IFERROR(VLOOKUP($B532,اسماء,33,0),0)</f>
        <v>0</v>
      </c>
      <c r="K534" s="592"/>
      <c r="L534" s="589">
        <f>IFERROR(VLOOKUP($B532,اسماء,34,0),0)</f>
        <v>0</v>
      </c>
      <c r="M534" s="590"/>
      <c r="N534" s="589">
        <f>IFERROR(VLOOKUP($B532,اسماء,35,0),0)</f>
        <v>0</v>
      </c>
      <c r="O534" s="590"/>
      <c r="P534" s="589">
        <f>IFERROR(VLOOKUP($B532,اسماء,36,0),0)</f>
        <v>0</v>
      </c>
      <c r="Q534" s="609"/>
      <c r="R534" s="603">
        <f>IFERROR(VLOOKUP($B532,اسماء,37,0),0)</f>
        <v>0</v>
      </c>
      <c r="S534" s="592"/>
      <c r="T534" s="589">
        <f>IFERROR(VLOOKUP($B532,اسماء,38,0),0)</f>
        <v>0</v>
      </c>
      <c r="U534" s="592"/>
      <c r="V534" s="263">
        <f t="shared" si="1599"/>
        <v>0</v>
      </c>
      <c r="W534" s="373">
        <f>IFERROR(VLOOKUP($B532,اسماء,40,0),0)</f>
        <v>0</v>
      </c>
      <c r="X534" s="373">
        <f>IFERROR(VLOOKUP($B532,اسماء,41,0),0)</f>
        <v>0</v>
      </c>
      <c r="Y534" s="596"/>
      <c r="Z534" s="22" t="str">
        <f t="shared" ref="Z534" si="1604">LOOKUP(V534,$AI$6:$AJ$10)</f>
        <v>ضعيف</v>
      </c>
      <c r="AA534" s="657"/>
      <c r="AB534" s="72"/>
      <c r="AC534" s="654"/>
      <c r="AN534" s="607"/>
      <c r="AO534" s="607"/>
      <c r="AP534" s="613"/>
      <c r="AQ534" s="612"/>
      <c r="AR534" s="611"/>
      <c r="AS534" s="612"/>
    </row>
    <row r="535" spans="1:45" ht="15" customHeight="1" thickBot="1" x14ac:dyDescent="0.3">
      <c r="A535" s="634"/>
      <c r="B535" s="631"/>
      <c r="C535" s="623"/>
      <c r="D535" s="626"/>
      <c r="E535" s="127" t="s">
        <v>33</v>
      </c>
      <c r="F535" s="585">
        <f t="shared" ref="F535" si="1605">SUM(F532:G534)</f>
        <v>0</v>
      </c>
      <c r="G535" s="593"/>
      <c r="H535" s="604">
        <f t="shared" ref="H535" si="1606">SUM(H532:I534)</f>
        <v>0</v>
      </c>
      <c r="I535" s="601"/>
      <c r="J535" s="585">
        <f t="shared" ref="J535" si="1607">SUM(J532:K534)</f>
        <v>0</v>
      </c>
      <c r="K535" s="593"/>
      <c r="L535" s="585">
        <f t="shared" ref="L535" si="1608">SUM(L532:M534)</f>
        <v>0</v>
      </c>
      <c r="M535" s="586"/>
      <c r="N535" s="585">
        <f t="shared" ref="N535" si="1609">SUM(N532:O534)</f>
        <v>0</v>
      </c>
      <c r="O535" s="586"/>
      <c r="P535" s="585">
        <f t="shared" ref="P535" si="1610">SUM(P532:Q534)</f>
        <v>0</v>
      </c>
      <c r="Q535" s="601"/>
      <c r="R535" s="602">
        <f t="shared" ref="R535" si="1611">SUM(R532:S534)</f>
        <v>0</v>
      </c>
      <c r="S535" s="593"/>
      <c r="T535" s="585">
        <f t="shared" ref="T535" si="1612">SUM(T532:U534)</f>
        <v>0</v>
      </c>
      <c r="U535" s="593"/>
      <c r="V535" s="210">
        <f t="shared" ref="V535" si="1613">IF(AND(F535&gt;=$G$8,H535&gt;=$I$8,L535&gt;=$M$8,P535&gt;=$Q$8,R535&gt;=$S$8,T535&gt;=$U$8),SUM(F535:U535),0)</f>
        <v>0</v>
      </c>
      <c r="W535" s="264"/>
      <c r="X535" s="97"/>
      <c r="Y535" s="597"/>
      <c r="Z535" s="91" t="str">
        <f t="shared" ref="Z535" si="1614">LOOKUP(V535,$AL$6:$AM$10)</f>
        <v>ضعيف</v>
      </c>
      <c r="AA535" s="658"/>
      <c r="AB535" s="72"/>
      <c r="AC535" s="655"/>
      <c r="AN535" s="607"/>
      <c r="AO535" s="607"/>
      <c r="AP535" s="613"/>
      <c r="AQ535" s="612"/>
      <c r="AR535" s="611"/>
      <c r="AS535" s="612"/>
    </row>
    <row r="536" spans="1:45" ht="15" customHeight="1" thickBot="1" x14ac:dyDescent="0.3">
      <c r="A536" s="632">
        <v>116</v>
      </c>
      <c r="B536" s="629">
        <f>VLOOKUP(A536,مسلسل,2,0)</f>
        <v>0</v>
      </c>
      <c r="C536" s="621" t="str">
        <f>IFERROR(VLOOKUP(B536,اسماء,2,0),"")</f>
        <v/>
      </c>
      <c r="D536" s="624" t="str">
        <f>IFERROR(VLOOKUP($B536,اسماء,3,0),"")</f>
        <v/>
      </c>
      <c r="E536" s="132" t="s">
        <v>30</v>
      </c>
      <c r="F536" s="627">
        <f>IFERROR(VLOOKUP($B536,اسماء,5,0),0)</f>
        <v>0</v>
      </c>
      <c r="G536" s="606"/>
      <c r="H536" s="628">
        <f>IFERROR(VLOOKUP($B536,اسماء,6,0),0)</f>
        <v>0</v>
      </c>
      <c r="I536" s="605"/>
      <c r="J536" s="587">
        <f>IFERROR(VLOOKUP($B536,اسماء,7,0),0)</f>
        <v>0</v>
      </c>
      <c r="K536" s="591"/>
      <c r="L536" s="587">
        <f>IFERROR(VLOOKUP($B536,اسماء,8,0),0)</f>
        <v>0</v>
      </c>
      <c r="M536" s="588"/>
      <c r="N536" s="587">
        <f>IFERROR(VLOOKUP($B536,اسماء,9,0),0)</f>
        <v>0</v>
      </c>
      <c r="O536" s="605"/>
      <c r="P536" s="587">
        <f>IFERROR(VLOOKUP($B536,اسماء,10,0),0)</f>
        <v>0</v>
      </c>
      <c r="Q536" s="605"/>
      <c r="R536" s="606">
        <f>IFERROR(VLOOKUP($B536,اسماء,11,0),0)</f>
        <v>0</v>
      </c>
      <c r="S536" s="591"/>
      <c r="T536" s="587">
        <f>IFERROR(VLOOKUP($B536,اسماء,12,0),0)</f>
        <v>0</v>
      </c>
      <c r="U536" s="591"/>
      <c r="V536" s="263">
        <f t="shared" ref="V536:V538" si="1615">SUM(F536:U536)</f>
        <v>0</v>
      </c>
      <c r="W536" s="373">
        <f>IFERROR(VLOOKUP($B536,اسماء,14,0),0)</f>
        <v>0</v>
      </c>
      <c r="X536" s="373">
        <f>IFERROR(VLOOKUP($B536,اسماء,15,0),0)</f>
        <v>0</v>
      </c>
      <c r="Y536" s="595" t="str">
        <f t="shared" ref="Y536" si="1616">IF(AC536="غائب","راسب",IF(AND(F539&gt;=$G$8,H539&gt;=$I$8,J539&gt;=$K$8,L539&gt;=$M$8,N539&gt;=$O$8,P539&gt;=$Q$8,R539&gt;=$S$8,T539&gt;=$U$8),"ناجح","له دور ثان"))</f>
        <v>له دور ثان</v>
      </c>
      <c r="Z536" s="21" t="str">
        <f t="shared" ref="Z536:Z537" si="1617">LOOKUP(V536,$AF$6:$AG$10)</f>
        <v>ضعيف</v>
      </c>
      <c r="AA536" s="656">
        <f t="shared" ref="AA536" si="1618">V539/$AF$3</f>
        <v>0</v>
      </c>
      <c r="AB536" s="10"/>
      <c r="AC536" s="653" t="str">
        <f>IFERROR(VLOOKUP($B536,اسماء,54,0),"")</f>
        <v/>
      </c>
      <c r="AN536" s="607" t="str">
        <f t="shared" ref="AN536" si="1619">IF(V539=0,"",V539/1+ROW()*0.00001)</f>
        <v/>
      </c>
      <c r="AO536" s="607">
        <f>B536</f>
        <v>0</v>
      </c>
      <c r="AP536" s="613"/>
      <c r="AQ536" s="612">
        <v>116</v>
      </c>
      <c r="AR536" s="611" t="str">
        <f>IFERROR(LARGE($AN$10:$AN$1006,AQ536),"")</f>
        <v/>
      </c>
      <c r="AS536" s="612" t="str">
        <f>VLOOKUP(AR536,$AN$10:$AO$1116,2,0)</f>
        <v>أحمد نورالدين أحمد الذيب</v>
      </c>
    </row>
    <row r="537" spans="1:45" ht="15" customHeight="1" thickBot="1" x14ac:dyDescent="0.3">
      <c r="A537" s="633"/>
      <c r="B537" s="630"/>
      <c r="C537" s="622"/>
      <c r="D537" s="625"/>
      <c r="E537" s="133" t="s">
        <v>31</v>
      </c>
      <c r="F537" s="589">
        <f>IFERROR(VLOOKUP($B536,اسماء,18,0),0)</f>
        <v>0</v>
      </c>
      <c r="G537" s="592"/>
      <c r="H537" s="608">
        <f>IFERROR(VLOOKUP($B536,اسماء,19,0),0)</f>
        <v>0</v>
      </c>
      <c r="I537" s="609"/>
      <c r="J537" s="589">
        <f>IFERROR(VLOOKUP($B536,اسماء,20,0),0)</f>
        <v>0</v>
      </c>
      <c r="K537" s="592"/>
      <c r="L537" s="589">
        <f>IFERROR(VLOOKUP($B536,اسماء,21,0),0)</f>
        <v>0</v>
      </c>
      <c r="M537" s="590"/>
      <c r="N537" s="589">
        <f>IFERROR(VLOOKUP($B536,اسماء,22,0),0)</f>
        <v>0</v>
      </c>
      <c r="O537" s="590"/>
      <c r="P537" s="589">
        <f>IFERROR(VLOOKUP($B536,اسماء,23,0),0)</f>
        <v>0</v>
      </c>
      <c r="Q537" s="609"/>
      <c r="R537" s="603">
        <f>IFERROR(VLOOKUP($B536,اسماء,24,0),0)</f>
        <v>0</v>
      </c>
      <c r="S537" s="592"/>
      <c r="T537" s="589">
        <f>IFERROR(VLOOKUP($B536,اسماء,25,0),0)</f>
        <v>0</v>
      </c>
      <c r="U537" s="592"/>
      <c r="V537" s="263">
        <f t="shared" si="1615"/>
        <v>0</v>
      </c>
      <c r="W537" s="373">
        <f>IFERROR(VLOOKUP($B536,اسماء,27,0),0)</f>
        <v>0</v>
      </c>
      <c r="X537" s="373">
        <f>IFERROR(VLOOKUP($B536,اسماء,28,0),0)</f>
        <v>0</v>
      </c>
      <c r="Y537" s="596"/>
      <c r="Z537" s="22" t="str">
        <f t="shared" si="1617"/>
        <v>ضعيف</v>
      </c>
      <c r="AA537" s="657"/>
      <c r="AB537" s="72"/>
      <c r="AC537" s="654"/>
      <c r="AN537" s="607"/>
      <c r="AO537" s="607"/>
      <c r="AP537" s="613"/>
      <c r="AQ537" s="612"/>
      <c r="AR537" s="611"/>
      <c r="AS537" s="612"/>
    </row>
    <row r="538" spans="1:45" ht="15" customHeight="1" x14ac:dyDescent="0.25">
      <c r="A538" s="633"/>
      <c r="B538" s="630"/>
      <c r="C538" s="622"/>
      <c r="D538" s="625"/>
      <c r="E538" s="133" t="s">
        <v>32</v>
      </c>
      <c r="F538" s="589">
        <f>IFERROR(VLOOKUP($B536,اسماء,31,0),0)</f>
        <v>0</v>
      </c>
      <c r="G538" s="592"/>
      <c r="H538" s="608">
        <f>IFERROR(VLOOKUP($B536,اسماء,32,0),0)</f>
        <v>0</v>
      </c>
      <c r="I538" s="609"/>
      <c r="J538" s="589">
        <f>IFERROR(VLOOKUP($B536,اسماء,33,0),0)</f>
        <v>0</v>
      </c>
      <c r="K538" s="592"/>
      <c r="L538" s="589">
        <f>IFERROR(VLOOKUP($B536,اسماء,34,0),0)</f>
        <v>0</v>
      </c>
      <c r="M538" s="590"/>
      <c r="N538" s="589">
        <f>IFERROR(VLOOKUP($B536,اسماء,35,0),0)</f>
        <v>0</v>
      </c>
      <c r="O538" s="590"/>
      <c r="P538" s="589">
        <f>IFERROR(VLOOKUP($B536,اسماء,36,0),0)</f>
        <v>0</v>
      </c>
      <c r="Q538" s="609"/>
      <c r="R538" s="603">
        <f>IFERROR(VLOOKUP($B536,اسماء,37,0),0)</f>
        <v>0</v>
      </c>
      <c r="S538" s="592"/>
      <c r="T538" s="589">
        <f>IFERROR(VLOOKUP($B536,اسماء,38,0),0)</f>
        <v>0</v>
      </c>
      <c r="U538" s="592"/>
      <c r="V538" s="263">
        <f t="shared" si="1615"/>
        <v>0</v>
      </c>
      <c r="W538" s="373">
        <f>IFERROR(VLOOKUP($B536,اسماء,40,0),0)</f>
        <v>0</v>
      </c>
      <c r="X538" s="373">
        <f>IFERROR(VLOOKUP($B536,اسماء,41,0),0)</f>
        <v>0</v>
      </c>
      <c r="Y538" s="596"/>
      <c r="Z538" s="22" t="str">
        <f t="shared" ref="Z538" si="1620">LOOKUP(V538,$AI$6:$AJ$10)</f>
        <v>ضعيف</v>
      </c>
      <c r="AA538" s="657"/>
      <c r="AB538" s="72"/>
      <c r="AC538" s="654"/>
      <c r="AN538" s="607"/>
      <c r="AO538" s="607"/>
      <c r="AP538" s="613"/>
      <c r="AQ538" s="612"/>
      <c r="AR538" s="611"/>
      <c r="AS538" s="612"/>
    </row>
    <row r="539" spans="1:45" ht="15" customHeight="1" thickBot="1" x14ac:dyDescent="0.3">
      <c r="A539" s="634"/>
      <c r="B539" s="631"/>
      <c r="C539" s="623"/>
      <c r="D539" s="626"/>
      <c r="E539" s="127" t="s">
        <v>33</v>
      </c>
      <c r="F539" s="585">
        <f t="shared" ref="F539" si="1621">SUM(F536:G538)</f>
        <v>0</v>
      </c>
      <c r="G539" s="593"/>
      <c r="H539" s="604">
        <f t="shared" ref="H539" si="1622">SUM(H536:I538)</f>
        <v>0</v>
      </c>
      <c r="I539" s="601"/>
      <c r="J539" s="585">
        <f t="shared" ref="J539" si="1623">SUM(J536:K538)</f>
        <v>0</v>
      </c>
      <c r="K539" s="593"/>
      <c r="L539" s="585">
        <f t="shared" ref="L539" si="1624">SUM(L536:M538)</f>
        <v>0</v>
      </c>
      <c r="M539" s="586"/>
      <c r="N539" s="585">
        <f t="shared" ref="N539" si="1625">SUM(N536:O538)</f>
        <v>0</v>
      </c>
      <c r="O539" s="586"/>
      <c r="P539" s="585">
        <f t="shared" ref="P539" si="1626">SUM(P536:Q538)</f>
        <v>0</v>
      </c>
      <c r="Q539" s="601"/>
      <c r="R539" s="602">
        <f t="shared" ref="R539" si="1627">SUM(R536:S538)</f>
        <v>0</v>
      </c>
      <c r="S539" s="593"/>
      <c r="T539" s="585">
        <f t="shared" ref="T539" si="1628">SUM(T536:U538)</f>
        <v>0</v>
      </c>
      <c r="U539" s="593"/>
      <c r="V539" s="210">
        <f t="shared" ref="V539" si="1629">IF(AND(F539&gt;=$G$8,H539&gt;=$I$8,L539&gt;=$M$8,P539&gt;=$Q$8,R539&gt;=$S$8,T539&gt;=$U$8),SUM(F539:U539),0)</f>
        <v>0</v>
      </c>
      <c r="W539" s="264"/>
      <c r="X539" s="97"/>
      <c r="Y539" s="597"/>
      <c r="Z539" s="91" t="str">
        <f t="shared" ref="Z539" si="1630">LOOKUP(V539,$AL$6:$AM$10)</f>
        <v>ضعيف</v>
      </c>
      <c r="AA539" s="658"/>
      <c r="AB539" s="10"/>
      <c r="AC539" s="655"/>
      <c r="AN539" s="607"/>
      <c r="AO539" s="607"/>
      <c r="AP539" s="613"/>
      <c r="AQ539" s="612"/>
      <c r="AR539" s="611"/>
      <c r="AS539" s="612"/>
    </row>
    <row r="540" spans="1:45" ht="15" customHeight="1" thickBot="1" x14ac:dyDescent="0.3">
      <c r="A540" s="632">
        <v>117</v>
      </c>
      <c r="B540" s="629">
        <f>VLOOKUP(A540,مسلسل,2,0)</f>
        <v>0</v>
      </c>
      <c r="C540" s="621" t="str">
        <f>IFERROR(VLOOKUP(B540,اسماء,2,0),"")</f>
        <v/>
      </c>
      <c r="D540" s="624" t="str">
        <f>IFERROR(VLOOKUP($B540,اسماء,3,0),"")</f>
        <v/>
      </c>
      <c r="E540" s="132" t="s">
        <v>30</v>
      </c>
      <c r="F540" s="627">
        <f>IFERROR(VLOOKUP($B540,اسماء,5,0),0)</f>
        <v>0</v>
      </c>
      <c r="G540" s="606"/>
      <c r="H540" s="628">
        <f>IFERROR(VLOOKUP($B540,اسماء,6,0),0)</f>
        <v>0</v>
      </c>
      <c r="I540" s="605"/>
      <c r="J540" s="587">
        <f>IFERROR(VLOOKUP($B540,اسماء,7,0),0)</f>
        <v>0</v>
      </c>
      <c r="K540" s="591"/>
      <c r="L540" s="587">
        <f>IFERROR(VLOOKUP($B540,اسماء,8,0),0)</f>
        <v>0</v>
      </c>
      <c r="M540" s="588"/>
      <c r="N540" s="587">
        <f>IFERROR(VLOOKUP($B540,اسماء,9,0),0)</f>
        <v>0</v>
      </c>
      <c r="O540" s="605"/>
      <c r="P540" s="587">
        <f>IFERROR(VLOOKUP($B540,اسماء,10,0),0)</f>
        <v>0</v>
      </c>
      <c r="Q540" s="605"/>
      <c r="R540" s="606">
        <f>IFERROR(VLOOKUP($B540,اسماء,11,0),0)</f>
        <v>0</v>
      </c>
      <c r="S540" s="591"/>
      <c r="T540" s="587">
        <f>IFERROR(VLOOKUP($B540,اسماء,12,0),0)</f>
        <v>0</v>
      </c>
      <c r="U540" s="591"/>
      <c r="V540" s="263">
        <f t="shared" ref="V540:V542" si="1631">SUM(F540:U540)</f>
        <v>0</v>
      </c>
      <c r="W540" s="373">
        <f>IFERROR(VLOOKUP($B540,اسماء,14,0),0)</f>
        <v>0</v>
      </c>
      <c r="X540" s="373">
        <f>IFERROR(VLOOKUP($B540,اسماء,15,0),0)</f>
        <v>0</v>
      </c>
      <c r="Y540" s="595" t="str">
        <f t="shared" ref="Y540" si="1632">IF(AC540="غائب","راسب",IF(AND(F543&gt;=$G$8,H543&gt;=$I$8,J543&gt;=$K$8,L543&gt;=$M$8,N543&gt;=$O$8,P543&gt;=$Q$8,R543&gt;=$S$8,T543&gt;=$U$8),"ناجح","له دور ثان"))</f>
        <v>له دور ثان</v>
      </c>
      <c r="Z540" s="21" t="str">
        <f t="shared" ref="Z540:Z541" si="1633">LOOKUP(V540,$AF$6:$AG$10)</f>
        <v>ضعيف</v>
      </c>
      <c r="AA540" s="656">
        <f t="shared" ref="AA540" si="1634">V543/$AF$3</f>
        <v>0</v>
      </c>
      <c r="AB540" s="72"/>
      <c r="AC540" s="653" t="str">
        <f>IFERROR(VLOOKUP($B540,اسماء,54,0),"")</f>
        <v/>
      </c>
      <c r="AN540" s="607" t="str">
        <f t="shared" ref="AN540" si="1635">IF(V543=0,"",V543/1+ROW()*0.00001)</f>
        <v/>
      </c>
      <c r="AO540" s="607">
        <f>B540</f>
        <v>0</v>
      </c>
      <c r="AP540" s="613"/>
      <c r="AQ540" s="612">
        <v>117</v>
      </c>
      <c r="AR540" s="611" t="str">
        <f>IFERROR(LARGE($AN$10:$AN$1006,AQ540),"")</f>
        <v/>
      </c>
      <c r="AS540" s="612" t="str">
        <f>VLOOKUP(AR540,$AN$10:$AO$1116,2,0)</f>
        <v>أحمد نورالدين أحمد الذيب</v>
      </c>
    </row>
    <row r="541" spans="1:45" ht="15" customHeight="1" thickBot="1" x14ac:dyDescent="0.3">
      <c r="A541" s="633"/>
      <c r="B541" s="630"/>
      <c r="C541" s="622"/>
      <c r="D541" s="625"/>
      <c r="E541" s="133" t="s">
        <v>31</v>
      </c>
      <c r="F541" s="589">
        <f>IFERROR(VLOOKUP($B540,اسماء,18,0),0)</f>
        <v>0</v>
      </c>
      <c r="G541" s="592"/>
      <c r="H541" s="608">
        <f>IFERROR(VLOOKUP($B540,اسماء,19,0),0)</f>
        <v>0</v>
      </c>
      <c r="I541" s="609"/>
      <c r="J541" s="589">
        <f>IFERROR(VLOOKUP($B540,اسماء,20,0),0)</f>
        <v>0</v>
      </c>
      <c r="K541" s="592"/>
      <c r="L541" s="589">
        <f>IFERROR(VLOOKUP($B540,اسماء,21,0),0)</f>
        <v>0</v>
      </c>
      <c r="M541" s="590"/>
      <c r="N541" s="589">
        <f>IFERROR(VLOOKUP($B540,اسماء,22,0),0)</f>
        <v>0</v>
      </c>
      <c r="O541" s="590"/>
      <c r="P541" s="589">
        <f>IFERROR(VLOOKUP($B540,اسماء,23,0),0)</f>
        <v>0</v>
      </c>
      <c r="Q541" s="609"/>
      <c r="R541" s="603">
        <f>IFERROR(VLOOKUP($B540,اسماء,24,0),0)</f>
        <v>0</v>
      </c>
      <c r="S541" s="592"/>
      <c r="T541" s="589">
        <f>IFERROR(VLOOKUP($B540,اسماء,25,0),0)</f>
        <v>0</v>
      </c>
      <c r="U541" s="592"/>
      <c r="V541" s="263">
        <f t="shared" si="1631"/>
        <v>0</v>
      </c>
      <c r="W541" s="373">
        <f>IFERROR(VLOOKUP($B540,اسماء,27,0),0)</f>
        <v>0</v>
      </c>
      <c r="X541" s="373">
        <f>IFERROR(VLOOKUP($B540,اسماء,28,0),0)</f>
        <v>0</v>
      </c>
      <c r="Y541" s="596"/>
      <c r="Z541" s="22" t="str">
        <f t="shared" si="1633"/>
        <v>ضعيف</v>
      </c>
      <c r="AA541" s="657"/>
      <c r="AB541" s="72"/>
      <c r="AC541" s="654"/>
      <c r="AN541" s="607"/>
      <c r="AO541" s="607"/>
      <c r="AP541" s="613"/>
      <c r="AQ541" s="612"/>
      <c r="AR541" s="611"/>
      <c r="AS541" s="612"/>
    </row>
    <row r="542" spans="1:45" ht="15" customHeight="1" x14ac:dyDescent="0.25">
      <c r="A542" s="633"/>
      <c r="B542" s="630"/>
      <c r="C542" s="622"/>
      <c r="D542" s="625"/>
      <c r="E542" s="133" t="s">
        <v>32</v>
      </c>
      <c r="F542" s="589">
        <f>IFERROR(VLOOKUP($B540,اسماء,31,0),0)</f>
        <v>0</v>
      </c>
      <c r="G542" s="592"/>
      <c r="H542" s="608">
        <f>IFERROR(VLOOKUP($B540,اسماء,32,0),0)</f>
        <v>0</v>
      </c>
      <c r="I542" s="609"/>
      <c r="J542" s="589">
        <f>IFERROR(VLOOKUP($B540,اسماء,33,0),0)</f>
        <v>0</v>
      </c>
      <c r="K542" s="592"/>
      <c r="L542" s="589">
        <f>IFERROR(VLOOKUP($B540,اسماء,34,0),0)</f>
        <v>0</v>
      </c>
      <c r="M542" s="590"/>
      <c r="N542" s="589">
        <f>IFERROR(VLOOKUP($B540,اسماء,35,0),0)</f>
        <v>0</v>
      </c>
      <c r="O542" s="590"/>
      <c r="P542" s="589">
        <f>IFERROR(VLOOKUP($B540,اسماء,36,0),0)</f>
        <v>0</v>
      </c>
      <c r="Q542" s="609"/>
      <c r="R542" s="603">
        <f>IFERROR(VLOOKUP($B540,اسماء,37,0),0)</f>
        <v>0</v>
      </c>
      <c r="S542" s="592"/>
      <c r="T542" s="589">
        <f>IFERROR(VLOOKUP($B540,اسماء,38,0),0)</f>
        <v>0</v>
      </c>
      <c r="U542" s="592"/>
      <c r="V542" s="263">
        <f t="shared" si="1631"/>
        <v>0</v>
      </c>
      <c r="W542" s="373">
        <f>IFERROR(VLOOKUP($B540,اسماء,40,0),0)</f>
        <v>0</v>
      </c>
      <c r="X542" s="373">
        <f>IFERROR(VLOOKUP($B540,اسماء,41,0),0)</f>
        <v>0</v>
      </c>
      <c r="Y542" s="596"/>
      <c r="Z542" s="22" t="str">
        <f t="shared" ref="Z542" si="1636">LOOKUP(V542,$AI$6:$AJ$10)</f>
        <v>ضعيف</v>
      </c>
      <c r="AA542" s="657"/>
      <c r="AB542" s="10"/>
      <c r="AC542" s="654"/>
      <c r="AN542" s="607"/>
      <c r="AO542" s="607"/>
      <c r="AP542" s="613"/>
      <c r="AQ542" s="612"/>
      <c r="AR542" s="611"/>
      <c r="AS542" s="612"/>
    </row>
    <row r="543" spans="1:45" ht="15" customHeight="1" thickBot="1" x14ac:dyDescent="0.3">
      <c r="A543" s="634"/>
      <c r="B543" s="631"/>
      <c r="C543" s="623"/>
      <c r="D543" s="626"/>
      <c r="E543" s="127" t="s">
        <v>33</v>
      </c>
      <c r="F543" s="585">
        <f t="shared" ref="F543" si="1637">SUM(F540:G542)</f>
        <v>0</v>
      </c>
      <c r="G543" s="593"/>
      <c r="H543" s="604">
        <f t="shared" ref="H543" si="1638">SUM(H540:I542)</f>
        <v>0</v>
      </c>
      <c r="I543" s="601"/>
      <c r="J543" s="585">
        <f t="shared" ref="J543" si="1639">SUM(J540:K542)</f>
        <v>0</v>
      </c>
      <c r="K543" s="593"/>
      <c r="L543" s="585">
        <f t="shared" ref="L543" si="1640">SUM(L540:M542)</f>
        <v>0</v>
      </c>
      <c r="M543" s="586"/>
      <c r="N543" s="585">
        <f t="shared" ref="N543" si="1641">SUM(N540:O542)</f>
        <v>0</v>
      </c>
      <c r="O543" s="586"/>
      <c r="P543" s="585">
        <f t="shared" ref="P543" si="1642">SUM(P540:Q542)</f>
        <v>0</v>
      </c>
      <c r="Q543" s="601"/>
      <c r="R543" s="602">
        <f t="shared" ref="R543" si="1643">SUM(R540:S542)</f>
        <v>0</v>
      </c>
      <c r="S543" s="593"/>
      <c r="T543" s="585">
        <f t="shared" ref="T543" si="1644">SUM(T540:U542)</f>
        <v>0</v>
      </c>
      <c r="U543" s="593"/>
      <c r="V543" s="210">
        <f t="shared" ref="V543" si="1645">IF(AND(F543&gt;=$G$8,H543&gt;=$I$8,L543&gt;=$M$8,P543&gt;=$Q$8,R543&gt;=$S$8,T543&gt;=$U$8),SUM(F543:U543),0)</f>
        <v>0</v>
      </c>
      <c r="W543" s="264"/>
      <c r="X543" s="97"/>
      <c r="Y543" s="597"/>
      <c r="Z543" s="91" t="str">
        <f t="shared" ref="Z543" si="1646">LOOKUP(V543,$AL$6:$AM$10)</f>
        <v>ضعيف</v>
      </c>
      <c r="AA543" s="658"/>
      <c r="AB543" s="72"/>
      <c r="AC543" s="655"/>
      <c r="AN543" s="607"/>
      <c r="AO543" s="607"/>
      <c r="AP543" s="613"/>
      <c r="AQ543" s="612"/>
      <c r="AR543" s="611"/>
      <c r="AS543" s="612"/>
    </row>
    <row r="544" spans="1:45" ht="15" customHeight="1" thickBot="1" x14ac:dyDescent="0.3">
      <c r="A544" s="632">
        <v>118</v>
      </c>
      <c r="B544" s="629">
        <f>VLOOKUP(A544,مسلسل,2,0)</f>
        <v>0</v>
      </c>
      <c r="C544" s="621" t="str">
        <f>IFERROR(VLOOKUP(B544,اسماء,2,0),"")</f>
        <v/>
      </c>
      <c r="D544" s="624" t="str">
        <f>IFERROR(VLOOKUP($B544,اسماء,3,0),"")</f>
        <v/>
      </c>
      <c r="E544" s="132" t="s">
        <v>30</v>
      </c>
      <c r="F544" s="627">
        <f>IFERROR(VLOOKUP($B544,اسماء,5,0),0)</f>
        <v>0</v>
      </c>
      <c r="G544" s="606"/>
      <c r="H544" s="628">
        <f>IFERROR(VLOOKUP($B544,اسماء,6,0),0)</f>
        <v>0</v>
      </c>
      <c r="I544" s="605"/>
      <c r="J544" s="587">
        <f>IFERROR(VLOOKUP($B544,اسماء,7,0),0)</f>
        <v>0</v>
      </c>
      <c r="K544" s="591"/>
      <c r="L544" s="587">
        <f>IFERROR(VLOOKUP($B544,اسماء,8,0),0)</f>
        <v>0</v>
      </c>
      <c r="M544" s="588"/>
      <c r="N544" s="587">
        <f>IFERROR(VLOOKUP($B544,اسماء,9,0),0)</f>
        <v>0</v>
      </c>
      <c r="O544" s="605"/>
      <c r="P544" s="587">
        <f>IFERROR(VLOOKUP($B544,اسماء,10,0),0)</f>
        <v>0</v>
      </c>
      <c r="Q544" s="605"/>
      <c r="R544" s="606">
        <f>IFERROR(VLOOKUP($B544,اسماء,11,0),0)</f>
        <v>0</v>
      </c>
      <c r="S544" s="591"/>
      <c r="T544" s="587">
        <f>IFERROR(VLOOKUP($B544,اسماء,12,0),0)</f>
        <v>0</v>
      </c>
      <c r="U544" s="591"/>
      <c r="V544" s="263">
        <f t="shared" ref="V544:V546" si="1647">SUM(F544:U544)</f>
        <v>0</v>
      </c>
      <c r="W544" s="373">
        <f>IFERROR(VLOOKUP($B544,اسماء,14,0),0)</f>
        <v>0</v>
      </c>
      <c r="X544" s="373">
        <f>IFERROR(VLOOKUP($B544,اسماء,15,0),0)</f>
        <v>0</v>
      </c>
      <c r="Y544" s="595" t="str">
        <f t="shared" ref="Y544" si="1648">IF(AC544="غائب","راسب",IF(AND(F547&gt;=$G$8,H547&gt;=$I$8,J547&gt;=$K$8,L547&gt;=$M$8,N547&gt;=$O$8,P547&gt;=$Q$8,R547&gt;=$S$8,T547&gt;=$U$8),"ناجح","له دور ثان"))</f>
        <v>له دور ثان</v>
      </c>
      <c r="Z544" s="21" t="str">
        <f t="shared" ref="Z544:Z545" si="1649">LOOKUP(V544,$AF$6:$AG$10)</f>
        <v>ضعيف</v>
      </c>
      <c r="AA544" s="656">
        <f t="shared" ref="AA544" si="1650">V547/$AF$3</f>
        <v>0</v>
      </c>
      <c r="AB544" s="72"/>
      <c r="AC544" s="653" t="str">
        <f>IFERROR(VLOOKUP($B544,اسماء,54,0),"")</f>
        <v/>
      </c>
      <c r="AN544" s="607" t="str">
        <f t="shared" ref="AN544" si="1651">IF(V547=0,"",V547/1+ROW()*0.00001)</f>
        <v/>
      </c>
      <c r="AO544" s="607">
        <f>B544</f>
        <v>0</v>
      </c>
      <c r="AP544" s="613"/>
      <c r="AQ544" s="612">
        <v>118</v>
      </c>
      <c r="AR544" s="611" t="str">
        <f>IFERROR(LARGE($AN$10:$AN$1006,AQ544),"")</f>
        <v/>
      </c>
      <c r="AS544" s="612" t="str">
        <f>VLOOKUP(AR544,$AN$10:$AO$1116,2,0)</f>
        <v>أحمد نورالدين أحمد الذيب</v>
      </c>
    </row>
    <row r="545" spans="1:45" ht="15" customHeight="1" thickBot="1" x14ac:dyDescent="0.3">
      <c r="A545" s="633"/>
      <c r="B545" s="630"/>
      <c r="C545" s="622"/>
      <c r="D545" s="625"/>
      <c r="E545" s="133" t="s">
        <v>31</v>
      </c>
      <c r="F545" s="589">
        <f>IFERROR(VLOOKUP($B544,اسماء,18,0),0)</f>
        <v>0</v>
      </c>
      <c r="G545" s="592"/>
      <c r="H545" s="608">
        <f>IFERROR(VLOOKUP($B544,اسماء,19,0),0)</f>
        <v>0</v>
      </c>
      <c r="I545" s="609"/>
      <c r="J545" s="589">
        <f>IFERROR(VLOOKUP($B544,اسماء,20,0),0)</f>
        <v>0</v>
      </c>
      <c r="K545" s="592"/>
      <c r="L545" s="589">
        <f>IFERROR(VLOOKUP($B544,اسماء,21,0),0)</f>
        <v>0</v>
      </c>
      <c r="M545" s="590"/>
      <c r="N545" s="589">
        <f>IFERROR(VLOOKUP($B544,اسماء,22,0),0)</f>
        <v>0</v>
      </c>
      <c r="O545" s="590"/>
      <c r="P545" s="589">
        <f>IFERROR(VLOOKUP($B544,اسماء,23,0),0)</f>
        <v>0</v>
      </c>
      <c r="Q545" s="609"/>
      <c r="R545" s="603">
        <f>IFERROR(VLOOKUP($B544,اسماء,24,0),0)</f>
        <v>0</v>
      </c>
      <c r="S545" s="592"/>
      <c r="T545" s="589">
        <f>IFERROR(VLOOKUP($B544,اسماء,25,0),0)</f>
        <v>0</v>
      </c>
      <c r="U545" s="592"/>
      <c r="V545" s="263">
        <f t="shared" si="1647"/>
        <v>0</v>
      </c>
      <c r="W545" s="373">
        <f>IFERROR(VLOOKUP($B544,اسماء,27,0),0)</f>
        <v>0</v>
      </c>
      <c r="X545" s="373">
        <f>IFERROR(VLOOKUP($B544,اسماء,28,0),0)</f>
        <v>0</v>
      </c>
      <c r="Y545" s="596"/>
      <c r="Z545" s="22" t="str">
        <f t="shared" si="1649"/>
        <v>ضعيف</v>
      </c>
      <c r="AA545" s="657"/>
      <c r="AB545" s="10"/>
      <c r="AC545" s="654"/>
      <c r="AN545" s="607"/>
      <c r="AO545" s="607"/>
      <c r="AP545" s="613"/>
      <c r="AQ545" s="612"/>
      <c r="AR545" s="611"/>
      <c r="AS545" s="612"/>
    </row>
    <row r="546" spans="1:45" ht="15" customHeight="1" x14ac:dyDescent="0.25">
      <c r="A546" s="633"/>
      <c r="B546" s="630"/>
      <c r="C546" s="622"/>
      <c r="D546" s="625"/>
      <c r="E546" s="133" t="s">
        <v>32</v>
      </c>
      <c r="F546" s="589">
        <f>IFERROR(VLOOKUP($B544,اسماء,31,0),0)</f>
        <v>0</v>
      </c>
      <c r="G546" s="592"/>
      <c r="H546" s="608">
        <f>IFERROR(VLOOKUP($B544,اسماء,32,0),0)</f>
        <v>0</v>
      </c>
      <c r="I546" s="609"/>
      <c r="J546" s="589">
        <f>IFERROR(VLOOKUP($B544,اسماء,33,0),0)</f>
        <v>0</v>
      </c>
      <c r="K546" s="592"/>
      <c r="L546" s="589">
        <f>IFERROR(VLOOKUP($B544,اسماء,34,0),0)</f>
        <v>0</v>
      </c>
      <c r="M546" s="590"/>
      <c r="N546" s="589">
        <f>IFERROR(VLOOKUP($B544,اسماء,35,0),0)</f>
        <v>0</v>
      </c>
      <c r="O546" s="590"/>
      <c r="P546" s="589">
        <f>IFERROR(VLOOKUP($B544,اسماء,36,0),0)</f>
        <v>0</v>
      </c>
      <c r="Q546" s="609"/>
      <c r="R546" s="603">
        <f>IFERROR(VLOOKUP($B544,اسماء,37,0),0)</f>
        <v>0</v>
      </c>
      <c r="S546" s="592"/>
      <c r="T546" s="589">
        <f>IFERROR(VLOOKUP($B544,اسماء,38,0),0)</f>
        <v>0</v>
      </c>
      <c r="U546" s="592"/>
      <c r="V546" s="263">
        <f t="shared" si="1647"/>
        <v>0</v>
      </c>
      <c r="W546" s="373">
        <f>IFERROR(VLOOKUP($B544,اسماء,40,0),0)</f>
        <v>0</v>
      </c>
      <c r="X546" s="373">
        <f>IFERROR(VLOOKUP($B544,اسماء,41,0),0)</f>
        <v>0</v>
      </c>
      <c r="Y546" s="596"/>
      <c r="Z546" s="22" t="str">
        <f t="shared" ref="Z546" si="1652">LOOKUP(V546,$AI$6:$AJ$10)</f>
        <v>ضعيف</v>
      </c>
      <c r="AA546" s="657"/>
      <c r="AB546" s="72"/>
      <c r="AC546" s="654"/>
      <c r="AN546" s="607"/>
      <c r="AO546" s="607"/>
      <c r="AP546" s="613"/>
      <c r="AQ546" s="612"/>
      <c r="AR546" s="611"/>
      <c r="AS546" s="612"/>
    </row>
    <row r="547" spans="1:45" ht="15" customHeight="1" thickBot="1" x14ac:dyDescent="0.3">
      <c r="A547" s="634"/>
      <c r="B547" s="631"/>
      <c r="C547" s="623"/>
      <c r="D547" s="626"/>
      <c r="E547" s="127" t="s">
        <v>33</v>
      </c>
      <c r="F547" s="585">
        <f t="shared" ref="F547" si="1653">SUM(F544:G546)</f>
        <v>0</v>
      </c>
      <c r="G547" s="593"/>
      <c r="H547" s="604">
        <f t="shared" ref="H547" si="1654">SUM(H544:I546)</f>
        <v>0</v>
      </c>
      <c r="I547" s="601"/>
      <c r="J547" s="585">
        <f t="shared" ref="J547" si="1655">SUM(J544:K546)</f>
        <v>0</v>
      </c>
      <c r="K547" s="593"/>
      <c r="L547" s="585">
        <f t="shared" ref="L547" si="1656">SUM(L544:M546)</f>
        <v>0</v>
      </c>
      <c r="M547" s="586"/>
      <c r="N547" s="585">
        <f t="shared" ref="N547" si="1657">SUM(N544:O546)</f>
        <v>0</v>
      </c>
      <c r="O547" s="586"/>
      <c r="P547" s="585">
        <f t="shared" ref="P547" si="1658">SUM(P544:Q546)</f>
        <v>0</v>
      </c>
      <c r="Q547" s="601"/>
      <c r="R547" s="602">
        <f t="shared" ref="R547" si="1659">SUM(R544:S546)</f>
        <v>0</v>
      </c>
      <c r="S547" s="593"/>
      <c r="T547" s="585">
        <f t="shared" ref="T547" si="1660">SUM(T544:U546)</f>
        <v>0</v>
      </c>
      <c r="U547" s="593"/>
      <c r="V547" s="210">
        <f t="shared" ref="V547" si="1661">IF(AND(F547&gt;=$G$8,H547&gt;=$I$8,L547&gt;=$M$8,P547&gt;=$Q$8,R547&gt;=$S$8,T547&gt;=$U$8),SUM(F547:U547),0)</f>
        <v>0</v>
      </c>
      <c r="W547" s="264"/>
      <c r="X547" s="97"/>
      <c r="Y547" s="597"/>
      <c r="Z547" s="91" t="str">
        <f t="shared" ref="Z547" si="1662">LOOKUP(V547,$AL$6:$AM$10)</f>
        <v>ضعيف</v>
      </c>
      <c r="AA547" s="658"/>
      <c r="AB547" s="72"/>
      <c r="AC547" s="655"/>
      <c r="AN547" s="607"/>
      <c r="AO547" s="607"/>
      <c r="AP547" s="613"/>
      <c r="AQ547" s="612"/>
      <c r="AR547" s="611"/>
      <c r="AS547" s="612"/>
    </row>
    <row r="548" spans="1:45" ht="15" customHeight="1" thickBot="1" x14ac:dyDescent="0.3">
      <c r="A548" s="632">
        <v>119</v>
      </c>
      <c r="B548" s="629">
        <f>VLOOKUP(A548,مسلسل,2,0)</f>
        <v>0</v>
      </c>
      <c r="C548" s="621" t="str">
        <f>IFERROR(VLOOKUP(B548,اسماء,2,0),"")</f>
        <v/>
      </c>
      <c r="D548" s="624" t="str">
        <f>IFERROR(VLOOKUP($B548,اسماء,3,0),"")</f>
        <v/>
      </c>
      <c r="E548" s="132" t="s">
        <v>30</v>
      </c>
      <c r="F548" s="627">
        <f>IFERROR(VLOOKUP($B548,اسماء,5,0),0)</f>
        <v>0</v>
      </c>
      <c r="G548" s="606"/>
      <c r="H548" s="628">
        <f>IFERROR(VLOOKUP($B548,اسماء,6,0),0)</f>
        <v>0</v>
      </c>
      <c r="I548" s="605"/>
      <c r="J548" s="587">
        <f>IFERROR(VLOOKUP($B548,اسماء,7,0),0)</f>
        <v>0</v>
      </c>
      <c r="K548" s="591"/>
      <c r="L548" s="587">
        <f>IFERROR(VLOOKUP($B548,اسماء,8,0),0)</f>
        <v>0</v>
      </c>
      <c r="M548" s="588"/>
      <c r="N548" s="587">
        <f>IFERROR(VLOOKUP($B548,اسماء,9,0),0)</f>
        <v>0</v>
      </c>
      <c r="O548" s="605"/>
      <c r="P548" s="587">
        <f>IFERROR(VLOOKUP($B548,اسماء,10,0),0)</f>
        <v>0</v>
      </c>
      <c r="Q548" s="605"/>
      <c r="R548" s="606">
        <f>IFERROR(VLOOKUP($B548,اسماء,11,0),0)</f>
        <v>0</v>
      </c>
      <c r="S548" s="591"/>
      <c r="T548" s="587">
        <f>IFERROR(VLOOKUP($B548,اسماء,12,0),0)</f>
        <v>0</v>
      </c>
      <c r="U548" s="591"/>
      <c r="V548" s="263">
        <f t="shared" ref="V548:V550" si="1663">SUM(F548:U548)</f>
        <v>0</v>
      </c>
      <c r="W548" s="373">
        <f>IFERROR(VLOOKUP($B548,اسماء,14,0),0)</f>
        <v>0</v>
      </c>
      <c r="X548" s="373">
        <f>IFERROR(VLOOKUP($B548,اسماء,15,0),0)</f>
        <v>0</v>
      </c>
      <c r="Y548" s="595" t="str">
        <f t="shared" ref="Y548" si="1664">IF(AC548="غائب","راسب",IF(AND(F551&gt;=$G$8,H551&gt;=$I$8,J551&gt;=$K$8,L551&gt;=$M$8,N551&gt;=$O$8,P551&gt;=$Q$8,R551&gt;=$S$8,T551&gt;=$U$8),"ناجح","له دور ثان"))</f>
        <v>له دور ثان</v>
      </c>
      <c r="Z548" s="21" t="str">
        <f t="shared" ref="Z548:Z549" si="1665">LOOKUP(V548,$AF$6:$AG$10)</f>
        <v>ضعيف</v>
      </c>
      <c r="AA548" s="656">
        <f t="shared" ref="AA548" si="1666">V551/$AF$3</f>
        <v>0</v>
      </c>
      <c r="AB548" s="10"/>
      <c r="AC548" s="653" t="str">
        <f>IFERROR(VLOOKUP($B548,اسماء,54,0),"")</f>
        <v/>
      </c>
      <c r="AN548" s="607" t="str">
        <f t="shared" ref="AN548" si="1667">IF(V551=0,"",V551/1+ROW()*0.00001)</f>
        <v/>
      </c>
      <c r="AO548" s="607">
        <f>B548</f>
        <v>0</v>
      </c>
      <c r="AP548" s="613"/>
      <c r="AQ548" s="612">
        <v>119</v>
      </c>
      <c r="AR548" s="611" t="str">
        <f>IFERROR(LARGE($AN$10:$AN$1006,AQ548),"")</f>
        <v/>
      </c>
      <c r="AS548" s="612" t="str">
        <f>VLOOKUP(AR548,$AN$10:$AO$1116,2,0)</f>
        <v>أحمد نورالدين أحمد الذيب</v>
      </c>
    </row>
    <row r="549" spans="1:45" ht="15" customHeight="1" thickBot="1" x14ac:dyDescent="0.3">
      <c r="A549" s="633"/>
      <c r="B549" s="630"/>
      <c r="C549" s="622"/>
      <c r="D549" s="625"/>
      <c r="E549" s="133" t="s">
        <v>31</v>
      </c>
      <c r="F549" s="589">
        <f>IFERROR(VLOOKUP($B548,اسماء,18,0),0)</f>
        <v>0</v>
      </c>
      <c r="G549" s="592"/>
      <c r="H549" s="608">
        <f>IFERROR(VLOOKUP($B548,اسماء,19,0),0)</f>
        <v>0</v>
      </c>
      <c r="I549" s="609"/>
      <c r="J549" s="589">
        <f>IFERROR(VLOOKUP($B548,اسماء,20,0),0)</f>
        <v>0</v>
      </c>
      <c r="K549" s="592"/>
      <c r="L549" s="589">
        <f>IFERROR(VLOOKUP($B548,اسماء,21,0),0)</f>
        <v>0</v>
      </c>
      <c r="M549" s="590"/>
      <c r="N549" s="589">
        <f>IFERROR(VLOOKUP($B548,اسماء,22,0),0)</f>
        <v>0</v>
      </c>
      <c r="O549" s="590"/>
      <c r="P549" s="589">
        <f>IFERROR(VLOOKUP($B548,اسماء,23,0),0)</f>
        <v>0</v>
      </c>
      <c r="Q549" s="609"/>
      <c r="R549" s="603">
        <f>IFERROR(VLOOKUP($B548,اسماء,24,0),0)</f>
        <v>0</v>
      </c>
      <c r="S549" s="592"/>
      <c r="T549" s="589">
        <f>IFERROR(VLOOKUP($B548,اسماء,25,0),0)</f>
        <v>0</v>
      </c>
      <c r="U549" s="592"/>
      <c r="V549" s="263">
        <f t="shared" si="1663"/>
        <v>0</v>
      </c>
      <c r="W549" s="373">
        <f>IFERROR(VLOOKUP($B548,اسماء,27,0),0)</f>
        <v>0</v>
      </c>
      <c r="X549" s="373">
        <f>IFERROR(VLOOKUP($B548,اسماء,28,0),0)</f>
        <v>0</v>
      </c>
      <c r="Y549" s="596"/>
      <c r="Z549" s="22" t="str">
        <f t="shared" si="1665"/>
        <v>ضعيف</v>
      </c>
      <c r="AA549" s="657"/>
      <c r="AB549" s="72"/>
      <c r="AC549" s="654"/>
      <c r="AN549" s="607"/>
      <c r="AO549" s="607"/>
      <c r="AP549" s="613"/>
      <c r="AQ549" s="612"/>
      <c r="AR549" s="611"/>
      <c r="AS549" s="612"/>
    </row>
    <row r="550" spans="1:45" ht="15" customHeight="1" x14ac:dyDescent="0.25">
      <c r="A550" s="633"/>
      <c r="B550" s="630"/>
      <c r="C550" s="622"/>
      <c r="D550" s="625"/>
      <c r="E550" s="133" t="s">
        <v>32</v>
      </c>
      <c r="F550" s="589">
        <f>IFERROR(VLOOKUP($B548,اسماء,31,0),0)</f>
        <v>0</v>
      </c>
      <c r="G550" s="592"/>
      <c r="H550" s="608">
        <f>IFERROR(VLOOKUP($B548,اسماء,32,0),0)</f>
        <v>0</v>
      </c>
      <c r="I550" s="609"/>
      <c r="J550" s="589">
        <f>IFERROR(VLOOKUP($B548,اسماء,33,0),0)</f>
        <v>0</v>
      </c>
      <c r="K550" s="592"/>
      <c r="L550" s="589">
        <f>IFERROR(VLOOKUP($B548,اسماء,34,0),0)</f>
        <v>0</v>
      </c>
      <c r="M550" s="590"/>
      <c r="N550" s="589">
        <f>IFERROR(VLOOKUP($B548,اسماء,35,0),0)</f>
        <v>0</v>
      </c>
      <c r="O550" s="590"/>
      <c r="P550" s="589">
        <f>IFERROR(VLOOKUP($B548,اسماء,36,0),0)</f>
        <v>0</v>
      </c>
      <c r="Q550" s="609"/>
      <c r="R550" s="603">
        <f>IFERROR(VLOOKUP($B548,اسماء,37,0),0)</f>
        <v>0</v>
      </c>
      <c r="S550" s="592"/>
      <c r="T550" s="589">
        <f>IFERROR(VLOOKUP($B548,اسماء,38,0),0)</f>
        <v>0</v>
      </c>
      <c r="U550" s="592"/>
      <c r="V550" s="263">
        <f t="shared" si="1663"/>
        <v>0</v>
      </c>
      <c r="W550" s="373">
        <f>IFERROR(VLOOKUP($B548,اسماء,40,0),0)</f>
        <v>0</v>
      </c>
      <c r="X550" s="373">
        <f>IFERROR(VLOOKUP($B548,اسماء,41,0),0)</f>
        <v>0</v>
      </c>
      <c r="Y550" s="596"/>
      <c r="Z550" s="22" t="str">
        <f t="shared" ref="Z550" si="1668">LOOKUP(V550,$AI$6:$AJ$10)</f>
        <v>ضعيف</v>
      </c>
      <c r="AA550" s="657"/>
      <c r="AB550" s="72"/>
      <c r="AC550" s="654"/>
      <c r="AN550" s="607"/>
      <c r="AO550" s="607"/>
      <c r="AP550" s="613"/>
      <c r="AQ550" s="612"/>
      <c r="AR550" s="611"/>
      <c r="AS550" s="612"/>
    </row>
    <row r="551" spans="1:45" ht="15" customHeight="1" thickBot="1" x14ac:dyDescent="0.3">
      <c r="A551" s="634"/>
      <c r="B551" s="631"/>
      <c r="C551" s="623"/>
      <c r="D551" s="626"/>
      <c r="E551" s="127" t="s">
        <v>33</v>
      </c>
      <c r="F551" s="585">
        <f t="shared" ref="F551" si="1669">SUM(F548:G550)</f>
        <v>0</v>
      </c>
      <c r="G551" s="593"/>
      <c r="H551" s="604">
        <f t="shared" ref="H551" si="1670">SUM(H548:I550)</f>
        <v>0</v>
      </c>
      <c r="I551" s="601"/>
      <c r="J551" s="585">
        <f t="shared" ref="J551" si="1671">SUM(J548:K550)</f>
        <v>0</v>
      </c>
      <c r="K551" s="593"/>
      <c r="L551" s="585">
        <f t="shared" ref="L551" si="1672">SUM(L548:M550)</f>
        <v>0</v>
      </c>
      <c r="M551" s="586"/>
      <c r="N551" s="585">
        <f t="shared" ref="N551" si="1673">SUM(N548:O550)</f>
        <v>0</v>
      </c>
      <c r="O551" s="586"/>
      <c r="P551" s="585">
        <f t="shared" ref="P551" si="1674">SUM(P548:Q550)</f>
        <v>0</v>
      </c>
      <c r="Q551" s="601"/>
      <c r="R551" s="602">
        <f t="shared" ref="R551" si="1675">SUM(R548:S550)</f>
        <v>0</v>
      </c>
      <c r="S551" s="593"/>
      <c r="T551" s="585">
        <f t="shared" ref="T551" si="1676">SUM(T548:U550)</f>
        <v>0</v>
      </c>
      <c r="U551" s="593"/>
      <c r="V551" s="210">
        <f t="shared" ref="V551" si="1677">IF(AND(F551&gt;=$G$8,H551&gt;=$I$8,L551&gt;=$M$8,P551&gt;=$Q$8,R551&gt;=$S$8,T551&gt;=$U$8),SUM(F551:U551),0)</f>
        <v>0</v>
      </c>
      <c r="W551" s="264"/>
      <c r="X551" s="97"/>
      <c r="Y551" s="597"/>
      <c r="Z551" s="91" t="str">
        <f t="shared" ref="Z551" si="1678">LOOKUP(V551,$AL$6:$AM$10)</f>
        <v>ضعيف</v>
      </c>
      <c r="AA551" s="658"/>
      <c r="AB551" s="10"/>
      <c r="AC551" s="655"/>
      <c r="AN551" s="607"/>
      <c r="AO551" s="607"/>
      <c r="AP551" s="613"/>
      <c r="AQ551" s="612"/>
      <c r="AR551" s="611"/>
      <c r="AS551" s="612"/>
    </row>
    <row r="552" spans="1:45" ht="15" customHeight="1" thickBot="1" x14ac:dyDescent="0.3">
      <c r="A552" s="632">
        <v>120</v>
      </c>
      <c r="B552" s="629">
        <f>VLOOKUP(A552,مسلسل,2,0)</f>
        <v>0</v>
      </c>
      <c r="C552" s="621" t="str">
        <f>IFERROR(VLOOKUP(B552,اسماء,2,0),"")</f>
        <v/>
      </c>
      <c r="D552" s="624" t="str">
        <f>IFERROR(VLOOKUP($B552,اسماء,3,0),"")</f>
        <v/>
      </c>
      <c r="E552" s="132" t="s">
        <v>30</v>
      </c>
      <c r="F552" s="627">
        <f>IFERROR(VLOOKUP($B552,اسماء,5,0),0)</f>
        <v>0</v>
      </c>
      <c r="G552" s="606"/>
      <c r="H552" s="628">
        <f>IFERROR(VLOOKUP($B552,اسماء,6,0),0)</f>
        <v>0</v>
      </c>
      <c r="I552" s="605"/>
      <c r="J552" s="587">
        <f>IFERROR(VLOOKUP($B552,اسماء,7,0),0)</f>
        <v>0</v>
      </c>
      <c r="K552" s="591"/>
      <c r="L552" s="587">
        <f>IFERROR(VLOOKUP($B552,اسماء,8,0),0)</f>
        <v>0</v>
      </c>
      <c r="M552" s="588"/>
      <c r="N552" s="587">
        <f>IFERROR(VLOOKUP($B552,اسماء,9,0),0)</f>
        <v>0</v>
      </c>
      <c r="O552" s="605"/>
      <c r="P552" s="587">
        <f>IFERROR(VLOOKUP($B552,اسماء,10,0),0)</f>
        <v>0</v>
      </c>
      <c r="Q552" s="605"/>
      <c r="R552" s="606">
        <f>IFERROR(VLOOKUP($B552,اسماء,11,0),0)</f>
        <v>0</v>
      </c>
      <c r="S552" s="591"/>
      <c r="T552" s="587">
        <f>IFERROR(VLOOKUP($B552,اسماء,12,0),0)</f>
        <v>0</v>
      </c>
      <c r="U552" s="591"/>
      <c r="V552" s="263">
        <f t="shared" ref="V552:V554" si="1679">SUM(F552:U552)</f>
        <v>0</v>
      </c>
      <c r="W552" s="373">
        <f>IFERROR(VLOOKUP($B552,اسماء,14,0),0)</f>
        <v>0</v>
      </c>
      <c r="X552" s="373">
        <f>IFERROR(VLOOKUP($B552,اسماء,15,0),0)</f>
        <v>0</v>
      </c>
      <c r="Y552" s="595" t="str">
        <f t="shared" ref="Y552" si="1680">IF(AC552="غائب","راسب",IF(AND(F555&gt;=$G$8,H555&gt;=$I$8,J555&gt;=$K$8,L555&gt;=$M$8,N555&gt;=$O$8,P555&gt;=$Q$8,R555&gt;=$S$8,T555&gt;=$U$8),"ناجح","له دور ثان"))</f>
        <v>له دور ثان</v>
      </c>
      <c r="Z552" s="21" t="str">
        <f t="shared" ref="Z552:Z553" si="1681">LOOKUP(V552,$AF$6:$AG$10)</f>
        <v>ضعيف</v>
      </c>
      <c r="AA552" s="656">
        <f t="shared" ref="AA552" si="1682">V555/$AF$3</f>
        <v>0</v>
      </c>
      <c r="AB552" s="72"/>
      <c r="AC552" s="653" t="str">
        <f>IFERROR(VLOOKUP($B552,اسماء,54,0),"")</f>
        <v/>
      </c>
      <c r="AN552" s="607" t="str">
        <f t="shared" ref="AN552" si="1683">IF(V555=0,"",V555/1+ROW()*0.00001)</f>
        <v/>
      </c>
      <c r="AO552" s="607">
        <f>B552</f>
        <v>0</v>
      </c>
      <c r="AP552" s="613"/>
      <c r="AQ552" s="612">
        <v>120</v>
      </c>
      <c r="AR552" s="611" t="str">
        <f>IFERROR(LARGE($AN$10:$AN$1006,AQ552),"")</f>
        <v/>
      </c>
      <c r="AS552" s="612" t="str">
        <f>VLOOKUP(AR552,$AN$10:$AO$1116,2,0)</f>
        <v>أحمد نورالدين أحمد الذيب</v>
      </c>
    </row>
    <row r="553" spans="1:45" ht="15" customHeight="1" thickBot="1" x14ac:dyDescent="0.3">
      <c r="A553" s="633"/>
      <c r="B553" s="630"/>
      <c r="C553" s="622"/>
      <c r="D553" s="625"/>
      <c r="E553" s="133" t="s">
        <v>31</v>
      </c>
      <c r="F553" s="589">
        <f>IFERROR(VLOOKUP($B552,اسماء,18,0),0)</f>
        <v>0</v>
      </c>
      <c r="G553" s="592"/>
      <c r="H553" s="608">
        <f>IFERROR(VLOOKUP($B552,اسماء,19,0),0)</f>
        <v>0</v>
      </c>
      <c r="I553" s="609"/>
      <c r="J553" s="589">
        <f>IFERROR(VLOOKUP($B552,اسماء,20,0),0)</f>
        <v>0</v>
      </c>
      <c r="K553" s="592"/>
      <c r="L553" s="589">
        <f>IFERROR(VLOOKUP($B552,اسماء,21,0),0)</f>
        <v>0</v>
      </c>
      <c r="M553" s="590"/>
      <c r="N553" s="589">
        <f>IFERROR(VLOOKUP($B552,اسماء,22,0),0)</f>
        <v>0</v>
      </c>
      <c r="O553" s="590"/>
      <c r="P553" s="589">
        <f>IFERROR(VLOOKUP($B552,اسماء,23,0),0)</f>
        <v>0</v>
      </c>
      <c r="Q553" s="609"/>
      <c r="R553" s="603">
        <f>IFERROR(VLOOKUP($B552,اسماء,24,0),0)</f>
        <v>0</v>
      </c>
      <c r="S553" s="592"/>
      <c r="T553" s="589">
        <f>IFERROR(VLOOKUP($B552,اسماء,25,0),0)</f>
        <v>0</v>
      </c>
      <c r="U553" s="592"/>
      <c r="V553" s="263">
        <f t="shared" si="1679"/>
        <v>0</v>
      </c>
      <c r="W553" s="373">
        <f>IFERROR(VLOOKUP($B552,اسماء,27,0),0)</f>
        <v>0</v>
      </c>
      <c r="X553" s="373">
        <f>IFERROR(VLOOKUP($B552,اسماء,28,0),0)</f>
        <v>0</v>
      </c>
      <c r="Y553" s="596"/>
      <c r="Z553" s="22" t="str">
        <f t="shared" si="1681"/>
        <v>ضعيف</v>
      </c>
      <c r="AA553" s="657"/>
      <c r="AB553" s="72"/>
      <c r="AC553" s="654"/>
      <c r="AN553" s="607"/>
      <c r="AO553" s="607"/>
      <c r="AP553" s="613"/>
      <c r="AQ553" s="612"/>
      <c r="AR553" s="611"/>
      <c r="AS553" s="612"/>
    </row>
    <row r="554" spans="1:45" ht="15" customHeight="1" x14ac:dyDescent="0.25">
      <c r="A554" s="633"/>
      <c r="B554" s="630"/>
      <c r="C554" s="622"/>
      <c r="D554" s="625"/>
      <c r="E554" s="133" t="s">
        <v>32</v>
      </c>
      <c r="F554" s="589">
        <f>IFERROR(VLOOKUP($B552,اسماء,31,0),0)</f>
        <v>0</v>
      </c>
      <c r="G554" s="592"/>
      <c r="H554" s="608">
        <f>IFERROR(VLOOKUP($B552,اسماء,32,0),0)</f>
        <v>0</v>
      </c>
      <c r="I554" s="609"/>
      <c r="J554" s="589">
        <f>IFERROR(VLOOKUP($B552,اسماء,33,0),0)</f>
        <v>0</v>
      </c>
      <c r="K554" s="592"/>
      <c r="L554" s="589">
        <f>IFERROR(VLOOKUP($B552,اسماء,34,0),0)</f>
        <v>0</v>
      </c>
      <c r="M554" s="590"/>
      <c r="N554" s="589">
        <f>IFERROR(VLOOKUP($B552,اسماء,35,0),0)</f>
        <v>0</v>
      </c>
      <c r="O554" s="590"/>
      <c r="P554" s="589">
        <f>IFERROR(VLOOKUP($B552,اسماء,36,0),0)</f>
        <v>0</v>
      </c>
      <c r="Q554" s="609"/>
      <c r="R554" s="603">
        <f>IFERROR(VLOOKUP($B552,اسماء,37,0),0)</f>
        <v>0</v>
      </c>
      <c r="S554" s="592"/>
      <c r="T554" s="589">
        <f>IFERROR(VLOOKUP($B552,اسماء,38,0),0)</f>
        <v>0</v>
      </c>
      <c r="U554" s="592"/>
      <c r="V554" s="263">
        <f t="shared" si="1679"/>
        <v>0</v>
      </c>
      <c r="W554" s="373">
        <f>IFERROR(VLOOKUP($B552,اسماء,40,0),0)</f>
        <v>0</v>
      </c>
      <c r="X554" s="373">
        <f>IFERROR(VLOOKUP($B552,اسماء,41,0),0)</f>
        <v>0</v>
      </c>
      <c r="Y554" s="596"/>
      <c r="Z554" s="22" t="str">
        <f t="shared" ref="Z554" si="1684">LOOKUP(V554,$AI$6:$AJ$10)</f>
        <v>ضعيف</v>
      </c>
      <c r="AA554" s="657"/>
      <c r="AB554" s="10"/>
      <c r="AC554" s="654"/>
      <c r="AN554" s="607"/>
      <c r="AO554" s="607"/>
      <c r="AP554" s="613"/>
      <c r="AQ554" s="612"/>
      <c r="AR554" s="611"/>
      <c r="AS554" s="612"/>
    </row>
    <row r="555" spans="1:45" ht="15" customHeight="1" thickBot="1" x14ac:dyDescent="0.3">
      <c r="A555" s="634"/>
      <c r="B555" s="631"/>
      <c r="C555" s="623"/>
      <c r="D555" s="626"/>
      <c r="E555" s="127" t="s">
        <v>33</v>
      </c>
      <c r="F555" s="585">
        <f t="shared" ref="F555" si="1685">SUM(F552:G554)</f>
        <v>0</v>
      </c>
      <c r="G555" s="593"/>
      <c r="H555" s="604">
        <f t="shared" ref="H555" si="1686">SUM(H552:I554)</f>
        <v>0</v>
      </c>
      <c r="I555" s="601"/>
      <c r="J555" s="585">
        <f t="shared" ref="J555" si="1687">SUM(J552:K554)</f>
        <v>0</v>
      </c>
      <c r="K555" s="593"/>
      <c r="L555" s="585">
        <f t="shared" ref="L555" si="1688">SUM(L552:M554)</f>
        <v>0</v>
      </c>
      <c r="M555" s="586"/>
      <c r="N555" s="585">
        <f t="shared" ref="N555" si="1689">SUM(N552:O554)</f>
        <v>0</v>
      </c>
      <c r="O555" s="586"/>
      <c r="P555" s="585">
        <f t="shared" ref="P555" si="1690">SUM(P552:Q554)</f>
        <v>0</v>
      </c>
      <c r="Q555" s="601"/>
      <c r="R555" s="602">
        <f t="shared" ref="R555" si="1691">SUM(R552:S554)</f>
        <v>0</v>
      </c>
      <c r="S555" s="593"/>
      <c r="T555" s="585">
        <f t="shared" ref="T555" si="1692">SUM(T552:U554)</f>
        <v>0</v>
      </c>
      <c r="U555" s="593"/>
      <c r="V555" s="210">
        <f t="shared" ref="V555" si="1693">IF(AND(F555&gt;=$G$8,H555&gt;=$I$8,L555&gt;=$M$8,P555&gt;=$Q$8,R555&gt;=$S$8,T555&gt;=$U$8),SUM(F555:U555),0)</f>
        <v>0</v>
      </c>
      <c r="W555" s="264"/>
      <c r="X555" s="97"/>
      <c r="Y555" s="597"/>
      <c r="Z555" s="91" t="str">
        <f t="shared" ref="Z555" si="1694">LOOKUP(V555,$AL$6:$AM$10)</f>
        <v>ضعيف</v>
      </c>
      <c r="AA555" s="658"/>
      <c r="AB555" s="72"/>
      <c r="AC555" s="655"/>
      <c r="AN555" s="607"/>
      <c r="AO555" s="607"/>
      <c r="AP555" s="613"/>
      <c r="AQ555" s="612"/>
      <c r="AR555" s="611"/>
      <c r="AS555" s="612"/>
    </row>
    <row r="556" spans="1:45" ht="15" customHeight="1" thickBot="1" x14ac:dyDescent="0.3">
      <c r="F556" s="75"/>
      <c r="G556" s="76"/>
      <c r="H556" s="75"/>
      <c r="I556" s="76"/>
      <c r="J556" s="75"/>
      <c r="K556" s="76"/>
      <c r="L556" s="75"/>
      <c r="M556" s="76"/>
      <c r="N556" s="76"/>
      <c r="O556" s="76"/>
      <c r="P556" s="75"/>
      <c r="Q556" s="76"/>
      <c r="R556" s="75"/>
      <c r="S556" s="76"/>
      <c r="T556" s="75"/>
      <c r="U556" s="76"/>
      <c r="V556" s="74"/>
      <c r="W556" s="77"/>
      <c r="X556" s="74"/>
      <c r="Y556" s="362"/>
      <c r="Z556" s="74"/>
      <c r="AA556" s="267"/>
      <c r="AB556" s="72"/>
      <c r="AK556" s="78"/>
    </row>
    <row r="557" spans="1:45" customFormat="1" ht="15" customHeight="1" x14ac:dyDescent="0.3">
      <c r="A557" s="617" t="s">
        <v>9</v>
      </c>
      <c r="B557" s="618"/>
      <c r="C557" s="619"/>
      <c r="D557" s="288" t="s">
        <v>11</v>
      </c>
      <c r="E557" s="600" t="s">
        <v>97</v>
      </c>
      <c r="F557" s="598"/>
      <c r="G557" s="598"/>
      <c r="H557" s="598"/>
      <c r="I557" s="598"/>
      <c r="J557" s="9"/>
      <c r="K557" s="9"/>
      <c r="L557" s="9"/>
      <c r="M557" s="9"/>
      <c r="N557" s="9"/>
      <c r="O557" s="9"/>
      <c r="P557" s="9"/>
      <c r="Q557" s="9"/>
      <c r="R557" s="9"/>
      <c r="S557" s="598" t="s">
        <v>156</v>
      </c>
      <c r="T557" s="598"/>
      <c r="U557" s="598"/>
      <c r="V557" s="598"/>
      <c r="W557" s="598"/>
      <c r="X557" s="598"/>
      <c r="Y557" s="598"/>
      <c r="Z557" s="1"/>
      <c r="AA557" s="268"/>
      <c r="AC557" s="79"/>
      <c r="AD557" s="80"/>
      <c r="AE557" s="80"/>
      <c r="AF557" s="80"/>
      <c r="AG557" s="80"/>
    </row>
    <row r="558" spans="1:45" customFormat="1" ht="15" customHeight="1" x14ac:dyDescent="0.25">
      <c r="A558" s="81" t="s">
        <v>8</v>
      </c>
      <c r="B558" s="610">
        <f>ادخال1!$BP$3</f>
        <v>0</v>
      </c>
      <c r="C558" s="620"/>
      <c r="D558" s="289"/>
      <c r="E558" s="9" t="s">
        <v>9</v>
      </c>
      <c r="F558" s="599" t="str">
        <f>ادخال1!$BP$5</f>
        <v>د.عبدالرحمن خليفة العريبي</v>
      </c>
      <c r="G558" s="599"/>
      <c r="H558" s="599"/>
      <c r="I558" s="599"/>
      <c r="J558" s="599"/>
      <c r="K558" s="599"/>
      <c r="L558" s="599"/>
      <c r="M558" s="599"/>
      <c r="N558" s="599"/>
      <c r="O558" s="599"/>
      <c r="P558" s="599"/>
      <c r="Q558" s="599"/>
      <c r="R558" s="9"/>
      <c r="S558" s="599" t="str">
        <f>ادخال1!$BP$6</f>
        <v>تاجوراء</v>
      </c>
      <c r="T558" s="599"/>
      <c r="U558" s="599"/>
      <c r="V558" s="599"/>
      <c r="W558" s="599"/>
      <c r="X558" s="599"/>
      <c r="Y558" s="599"/>
      <c r="Z558" s="599"/>
      <c r="AA558" s="67"/>
      <c r="AB558" s="67"/>
      <c r="AC558" s="79"/>
      <c r="AD558" s="79"/>
      <c r="AE558" s="79"/>
      <c r="AF558" s="79"/>
    </row>
    <row r="559" spans="1:45" customFormat="1" ht="15" customHeight="1" thickBot="1" x14ac:dyDescent="0.3">
      <c r="A559" s="82" t="s">
        <v>98</v>
      </c>
      <c r="B559" s="615">
        <f>ادخال1!$BP$4</f>
        <v>0</v>
      </c>
      <c r="C559" s="616"/>
      <c r="D559" s="290"/>
      <c r="E559" s="9" t="s">
        <v>11</v>
      </c>
      <c r="F559" s="607"/>
      <c r="G559" s="607"/>
      <c r="H559" s="607"/>
      <c r="I559" s="607"/>
      <c r="J559" s="607"/>
      <c r="K559" s="607"/>
      <c r="L559" s="607"/>
      <c r="M559" s="607"/>
      <c r="N559" s="607"/>
      <c r="O559" s="607"/>
      <c r="P559" s="607"/>
      <c r="Q559" s="607"/>
      <c r="R559" s="9"/>
      <c r="S559" s="9" t="s">
        <v>11</v>
      </c>
      <c r="T559" s="9"/>
      <c r="U559" s="9" t="s">
        <v>11</v>
      </c>
      <c r="V559" s="1"/>
      <c r="W559" s="1"/>
      <c r="X559" s="1"/>
      <c r="Y559" s="363"/>
      <c r="Z559" s="1"/>
      <c r="AA559" s="268"/>
      <c r="AC559" s="79"/>
      <c r="AD559" s="79"/>
      <c r="AE559" s="79"/>
      <c r="AF559" s="79"/>
    </row>
    <row r="560" spans="1:45" customFormat="1" ht="15" customHeight="1" x14ac:dyDescent="0.25">
      <c r="A560" s="598" t="s">
        <v>99</v>
      </c>
      <c r="B560" s="598"/>
      <c r="C560" s="598"/>
      <c r="D560" s="598"/>
      <c r="E560" s="598" t="s">
        <v>100</v>
      </c>
      <c r="F560" s="598"/>
      <c r="G560" s="598"/>
      <c r="H560" s="598"/>
      <c r="I560" s="598"/>
      <c r="J560" s="598"/>
      <c r="K560" s="598"/>
      <c r="L560" s="598"/>
      <c r="M560" s="598"/>
      <c r="N560" s="598"/>
      <c r="O560" s="598"/>
      <c r="P560" s="598"/>
      <c r="Q560" s="598"/>
      <c r="R560" s="598"/>
      <c r="S560" s="598"/>
      <c r="T560" s="9"/>
      <c r="U560" s="9"/>
      <c r="V560" s="9"/>
      <c r="W560" s="594">
        <f ca="1">TODAY()</f>
        <v>46035</v>
      </c>
      <c r="X560" s="594"/>
      <c r="Y560" s="594"/>
      <c r="Z560" s="594"/>
      <c r="AA560" s="268"/>
    </row>
    <row r="561" spans="1:45" customFormat="1" ht="15" customHeight="1" thickBot="1" x14ac:dyDescent="0.3">
      <c r="A561" s="9"/>
      <c r="B561" s="598" t="s">
        <v>101</v>
      </c>
      <c r="C561" s="598"/>
      <c r="D561" s="598"/>
      <c r="E561" s="598" t="s">
        <v>102</v>
      </c>
      <c r="F561" s="598"/>
      <c r="G561" s="598"/>
      <c r="H561" s="598"/>
      <c r="I561" s="598"/>
      <c r="J561" s="598"/>
      <c r="K561" s="598"/>
      <c r="L561" s="598"/>
      <c r="M561" s="598"/>
      <c r="N561" s="598"/>
      <c r="O561" s="598"/>
      <c r="P561" s="598"/>
      <c r="Q561" s="598"/>
      <c r="R561" s="598"/>
      <c r="S561" s="598"/>
      <c r="T561" s="9"/>
      <c r="U561" s="9"/>
      <c r="V561" s="1"/>
      <c r="W561" s="1"/>
      <c r="X561" s="1"/>
      <c r="Y561" s="363"/>
      <c r="Z561" s="1"/>
      <c r="AA561" s="268"/>
    </row>
    <row r="562" spans="1:45" ht="15" customHeight="1" thickBot="1" x14ac:dyDescent="0.3">
      <c r="A562" s="632">
        <v>121</v>
      </c>
      <c r="B562" s="629">
        <f>VLOOKUP(A562,مسلسل,2,0)</f>
        <v>0</v>
      </c>
      <c r="C562" s="621" t="str">
        <f>IFERROR(VLOOKUP(B562,اسماء,2,0),"")</f>
        <v/>
      </c>
      <c r="D562" s="624" t="str">
        <f>IFERROR(VLOOKUP($B562,اسماء,3,0),"")</f>
        <v/>
      </c>
      <c r="E562" s="132" t="s">
        <v>30</v>
      </c>
      <c r="F562" s="627">
        <f>IFERROR(VLOOKUP($B562,اسماء,5,0),0)</f>
        <v>0</v>
      </c>
      <c r="G562" s="606"/>
      <c r="H562" s="628">
        <f>IFERROR(VLOOKUP($B562,اسماء,6,0),0)</f>
        <v>0</v>
      </c>
      <c r="I562" s="605"/>
      <c r="J562" s="587">
        <f>IFERROR(VLOOKUP($B562,اسماء,7,0),0)</f>
        <v>0</v>
      </c>
      <c r="K562" s="591"/>
      <c r="L562" s="587">
        <f>IFERROR(VLOOKUP($B562,اسماء,8,0),0)</f>
        <v>0</v>
      </c>
      <c r="M562" s="588"/>
      <c r="N562" s="587">
        <f>IFERROR(VLOOKUP($B562,اسماء,9,0),0)</f>
        <v>0</v>
      </c>
      <c r="O562" s="605"/>
      <c r="P562" s="587">
        <f>IFERROR(VLOOKUP($B562,اسماء,10,0),0)</f>
        <v>0</v>
      </c>
      <c r="Q562" s="605"/>
      <c r="R562" s="606">
        <f>IFERROR(VLOOKUP($B562,اسماء,11,0),0)</f>
        <v>0</v>
      </c>
      <c r="S562" s="591"/>
      <c r="T562" s="587">
        <f>IFERROR(VLOOKUP($B562,اسماء,12,0),0)</f>
        <v>0</v>
      </c>
      <c r="U562" s="591"/>
      <c r="V562" s="263">
        <f t="shared" ref="V562:V564" si="1695">SUM(F562:U562)</f>
        <v>0</v>
      </c>
      <c r="W562" s="373">
        <f>IFERROR(VLOOKUP($B562,اسماء,14,0),0)</f>
        <v>0</v>
      </c>
      <c r="X562" s="373">
        <f>IFERROR(VLOOKUP($B562,اسماء,15,0),0)</f>
        <v>0</v>
      </c>
      <c r="Y562" s="595" t="str">
        <f>IF(AC562="غائب","راسب",IF(AND(F565&gt;=$G$8,H565&gt;=$I$8,J565&gt;=$K$8,L565&gt;=$M$8,N565&gt;=$O$8,P565&gt;=$Q$8,R565&gt;=$S$8,T565&gt;=$U$8),"ناجح","له دور ثان"))</f>
        <v>له دور ثان</v>
      </c>
      <c r="Z562" s="21" t="str">
        <f>LOOKUP(V562,$AF$6:$AG$10)</f>
        <v>ضعيف</v>
      </c>
      <c r="AA562" s="656">
        <f>V565/$AF$3</f>
        <v>0</v>
      </c>
      <c r="AB562" s="72"/>
      <c r="AC562" s="653" t="str">
        <f>IFERROR(VLOOKUP($B562,اسماء,54,0),"")</f>
        <v/>
      </c>
      <c r="AN562" s="610" t="str">
        <f>IF(V565=0,"",V565/1+ROW()*0.00001)</f>
        <v/>
      </c>
      <c r="AO562" s="610">
        <f>B562</f>
        <v>0</v>
      </c>
      <c r="AP562" s="613"/>
      <c r="AQ562" s="612">
        <v>121</v>
      </c>
      <c r="AR562" s="611" t="str">
        <f>IFERROR(LARGE($AN$10:$AN$1006,AQ562),"")</f>
        <v/>
      </c>
      <c r="AS562" s="612" t="str">
        <f>VLOOKUP(AR562,$AN$10:$AO$1116,2,0)</f>
        <v>أحمد نورالدين أحمد الذيب</v>
      </c>
    </row>
    <row r="563" spans="1:45" ht="15" customHeight="1" thickBot="1" x14ac:dyDescent="0.3">
      <c r="A563" s="633"/>
      <c r="B563" s="630"/>
      <c r="C563" s="622"/>
      <c r="D563" s="625"/>
      <c r="E563" s="133" t="s">
        <v>31</v>
      </c>
      <c r="F563" s="589">
        <f>IFERROR(VLOOKUP($B562,اسماء,18,0),0)</f>
        <v>0</v>
      </c>
      <c r="G563" s="592"/>
      <c r="H563" s="608">
        <f>IFERROR(VLOOKUP($B562,اسماء,19,0),0)</f>
        <v>0</v>
      </c>
      <c r="I563" s="609"/>
      <c r="J563" s="589">
        <f>IFERROR(VLOOKUP($B562,اسماء,20,0),0)</f>
        <v>0</v>
      </c>
      <c r="K563" s="592"/>
      <c r="L563" s="589">
        <f>IFERROR(VLOOKUP($B562,اسماء,21,0),0)</f>
        <v>0</v>
      </c>
      <c r="M563" s="590"/>
      <c r="N563" s="589">
        <f>IFERROR(VLOOKUP($B562,اسماء,22,0),0)</f>
        <v>0</v>
      </c>
      <c r="O563" s="590"/>
      <c r="P563" s="589">
        <f>IFERROR(VLOOKUP($B562,اسماء,23,0),0)</f>
        <v>0</v>
      </c>
      <c r="Q563" s="609"/>
      <c r="R563" s="603">
        <f>IFERROR(VLOOKUP($B562,اسماء,24,0),0)</f>
        <v>0</v>
      </c>
      <c r="S563" s="592"/>
      <c r="T563" s="589">
        <f>IFERROR(VLOOKUP($B562,اسماء,25,0),0)</f>
        <v>0</v>
      </c>
      <c r="U563" s="592"/>
      <c r="V563" s="263">
        <f t="shared" si="1695"/>
        <v>0</v>
      </c>
      <c r="W563" s="373">
        <f>IFERROR(VLOOKUP($B562,اسماء,27,0),0)</f>
        <v>0</v>
      </c>
      <c r="X563" s="373">
        <f>IFERROR(VLOOKUP($B562,اسماء,28,0),0)</f>
        <v>0</v>
      </c>
      <c r="Y563" s="596"/>
      <c r="Z563" s="22" t="str">
        <f>LOOKUP(V563,$AF$6:$AG$10)</f>
        <v>ضعيف</v>
      </c>
      <c r="AA563" s="657"/>
      <c r="AB563" s="10"/>
      <c r="AC563" s="654"/>
      <c r="AN563" s="610"/>
      <c r="AO563" s="610"/>
      <c r="AP563" s="613"/>
      <c r="AQ563" s="612"/>
      <c r="AR563" s="611"/>
      <c r="AS563" s="612"/>
    </row>
    <row r="564" spans="1:45" ht="15" customHeight="1" x14ac:dyDescent="0.25">
      <c r="A564" s="633"/>
      <c r="B564" s="630"/>
      <c r="C564" s="622"/>
      <c r="D564" s="625"/>
      <c r="E564" s="133" t="s">
        <v>32</v>
      </c>
      <c r="F564" s="589">
        <f>IFERROR(VLOOKUP($B562,اسماء,31,0),0)</f>
        <v>0</v>
      </c>
      <c r="G564" s="592"/>
      <c r="H564" s="608">
        <f>IFERROR(VLOOKUP($B562,اسماء,32,0),0)</f>
        <v>0</v>
      </c>
      <c r="I564" s="609"/>
      <c r="J564" s="589">
        <f>IFERROR(VLOOKUP($B562,اسماء,33,0),0)</f>
        <v>0</v>
      </c>
      <c r="K564" s="592"/>
      <c r="L564" s="589">
        <f>IFERROR(VLOOKUP($B562,اسماء,34,0),0)</f>
        <v>0</v>
      </c>
      <c r="M564" s="590"/>
      <c r="N564" s="589">
        <f>IFERROR(VLOOKUP($B562,اسماء,35,0),0)</f>
        <v>0</v>
      </c>
      <c r="O564" s="590"/>
      <c r="P564" s="589">
        <f>IFERROR(VLOOKUP($B562,اسماء,36,0),0)</f>
        <v>0</v>
      </c>
      <c r="Q564" s="609"/>
      <c r="R564" s="603">
        <f>IFERROR(VLOOKUP($B562,اسماء,37,0),0)</f>
        <v>0</v>
      </c>
      <c r="S564" s="592"/>
      <c r="T564" s="589">
        <f>IFERROR(VLOOKUP($B562,اسماء,38,0),0)</f>
        <v>0</v>
      </c>
      <c r="U564" s="592"/>
      <c r="V564" s="263">
        <f t="shared" si="1695"/>
        <v>0</v>
      </c>
      <c r="W564" s="373">
        <f>IFERROR(VLOOKUP($B562,اسماء,40,0),0)</f>
        <v>0</v>
      </c>
      <c r="X564" s="373">
        <f>IFERROR(VLOOKUP($B562,اسماء,41,0),0)</f>
        <v>0</v>
      </c>
      <c r="Y564" s="596"/>
      <c r="Z564" s="22" t="str">
        <f>LOOKUP(V564,$AI$6:$AJ$10)</f>
        <v>ضعيف</v>
      </c>
      <c r="AA564" s="657"/>
      <c r="AB564" s="72"/>
      <c r="AC564" s="654"/>
      <c r="AN564" s="610"/>
      <c r="AO564" s="610"/>
      <c r="AP564" s="613"/>
      <c r="AQ564" s="612"/>
      <c r="AR564" s="611"/>
      <c r="AS564" s="612"/>
    </row>
    <row r="565" spans="1:45" ht="15" customHeight="1" thickBot="1" x14ac:dyDescent="0.3">
      <c r="A565" s="634"/>
      <c r="B565" s="631"/>
      <c r="C565" s="623"/>
      <c r="D565" s="626"/>
      <c r="E565" s="127" t="s">
        <v>33</v>
      </c>
      <c r="F565" s="585">
        <f t="shared" ref="F565" si="1696">SUM(F562:G564)</f>
        <v>0</v>
      </c>
      <c r="G565" s="593"/>
      <c r="H565" s="604">
        <f t="shared" ref="H565" si="1697">SUM(H562:I564)</f>
        <v>0</v>
      </c>
      <c r="I565" s="601"/>
      <c r="J565" s="585">
        <f t="shared" ref="J565" si="1698">SUM(J562:K564)</f>
        <v>0</v>
      </c>
      <c r="K565" s="593"/>
      <c r="L565" s="585">
        <f t="shared" ref="L565" si="1699">SUM(L562:M564)</f>
        <v>0</v>
      </c>
      <c r="M565" s="586"/>
      <c r="N565" s="585">
        <f t="shared" ref="N565" si="1700">SUM(N562:O564)</f>
        <v>0</v>
      </c>
      <c r="O565" s="586"/>
      <c r="P565" s="585">
        <f t="shared" ref="P565" si="1701">SUM(P562:Q564)</f>
        <v>0</v>
      </c>
      <c r="Q565" s="601"/>
      <c r="R565" s="602">
        <f t="shared" ref="R565" si="1702">SUM(R562:S564)</f>
        <v>0</v>
      </c>
      <c r="S565" s="593"/>
      <c r="T565" s="585">
        <f t="shared" ref="T565" si="1703">SUM(T562:U564)</f>
        <v>0</v>
      </c>
      <c r="U565" s="593"/>
      <c r="V565" s="210">
        <f t="shared" ref="V565" si="1704">IF(AND(F565&gt;=$G$8,H565&gt;=$I$8,L565&gt;=$M$8,P565&gt;=$Q$8,R565&gt;=$S$8,T565&gt;=$U$8),SUM(F565:U565),0)</f>
        <v>0</v>
      </c>
      <c r="W565" s="264"/>
      <c r="X565" s="97"/>
      <c r="Y565" s="597"/>
      <c r="Z565" s="91" t="str">
        <f>LOOKUP(V565,$AL$6:$AM$10)</f>
        <v>ضعيف</v>
      </c>
      <c r="AA565" s="658"/>
      <c r="AB565" s="72"/>
      <c r="AC565" s="655"/>
      <c r="AN565" s="610"/>
      <c r="AO565" s="610"/>
      <c r="AP565" s="613"/>
      <c r="AQ565" s="612"/>
      <c r="AR565" s="611"/>
      <c r="AS565" s="612"/>
    </row>
    <row r="566" spans="1:45" ht="15" customHeight="1" thickBot="1" x14ac:dyDescent="0.3">
      <c r="A566" s="632">
        <v>122</v>
      </c>
      <c r="B566" s="629">
        <f>VLOOKUP(A566,مسلسل,2,0)</f>
        <v>0</v>
      </c>
      <c r="C566" s="621" t="str">
        <f>IFERROR(VLOOKUP(B566,اسماء,2,0),"")</f>
        <v/>
      </c>
      <c r="D566" s="624" t="str">
        <f>IFERROR(VLOOKUP($B566,اسماء,3,0),"")</f>
        <v/>
      </c>
      <c r="E566" s="132" t="s">
        <v>30</v>
      </c>
      <c r="F566" s="627">
        <f>IFERROR(VLOOKUP($B566,اسماء,5,0),0)</f>
        <v>0</v>
      </c>
      <c r="G566" s="606"/>
      <c r="H566" s="628">
        <f>IFERROR(VLOOKUP($B566,اسماء,6,0),0)</f>
        <v>0</v>
      </c>
      <c r="I566" s="605"/>
      <c r="J566" s="587">
        <f>IFERROR(VLOOKUP($B566,اسماء,7,0),0)</f>
        <v>0</v>
      </c>
      <c r="K566" s="591"/>
      <c r="L566" s="587">
        <f>IFERROR(VLOOKUP($B566,اسماء,8,0),0)</f>
        <v>0</v>
      </c>
      <c r="M566" s="588"/>
      <c r="N566" s="587">
        <f>IFERROR(VLOOKUP($B566,اسماء,9,0),0)</f>
        <v>0</v>
      </c>
      <c r="O566" s="605"/>
      <c r="P566" s="587">
        <f>IFERROR(VLOOKUP($B566,اسماء,10,0),0)</f>
        <v>0</v>
      </c>
      <c r="Q566" s="605"/>
      <c r="R566" s="606">
        <f>IFERROR(VLOOKUP($B566,اسماء,11,0),0)</f>
        <v>0</v>
      </c>
      <c r="S566" s="591"/>
      <c r="T566" s="587">
        <f>IFERROR(VLOOKUP($B566,اسماء,12,0),0)</f>
        <v>0</v>
      </c>
      <c r="U566" s="591"/>
      <c r="V566" s="263">
        <f t="shared" ref="V566:V568" si="1705">SUM(F566:U566)</f>
        <v>0</v>
      </c>
      <c r="W566" s="373">
        <f>IFERROR(VLOOKUP($B566,اسماء,14,0),0)</f>
        <v>0</v>
      </c>
      <c r="X566" s="373">
        <f>IFERROR(VLOOKUP($B566,اسماء,15,0),0)</f>
        <v>0</v>
      </c>
      <c r="Y566" s="595" t="str">
        <f t="shared" ref="Y566" si="1706">IF(AC566="غائب","راسب",IF(AND(F569&gt;=$G$8,H569&gt;=$I$8,J569&gt;=$K$8,L569&gt;=$M$8,N569&gt;=$O$8,P569&gt;=$Q$8,R569&gt;=$S$8,T569&gt;=$U$8),"ناجح","له دور ثان"))</f>
        <v>له دور ثان</v>
      </c>
      <c r="Z566" s="21" t="str">
        <f>LOOKUP(V566,$AF$6:$AG$10)</f>
        <v>ضعيف</v>
      </c>
      <c r="AA566" s="656">
        <f>V569/$AF$3</f>
        <v>0</v>
      </c>
      <c r="AB566" s="10"/>
      <c r="AC566" s="653" t="str">
        <f>IFERROR(VLOOKUP($B566,اسماء,54,0),"")</f>
        <v/>
      </c>
      <c r="AN566" s="607" t="str">
        <f t="shared" ref="AN566" si="1707">IF(V569=0,"",V569/1+ROW()*0.00001)</f>
        <v/>
      </c>
      <c r="AO566" s="607">
        <f>B566</f>
        <v>0</v>
      </c>
      <c r="AP566" s="613"/>
      <c r="AQ566" s="612">
        <v>122</v>
      </c>
      <c r="AR566" s="611" t="str">
        <f>IFERROR(LARGE($AN$10:$AN$1006,AQ566),"")</f>
        <v/>
      </c>
      <c r="AS566" s="612" t="str">
        <f>VLOOKUP(AR566,$AN$10:$AO$1116,2,0)</f>
        <v>أحمد نورالدين أحمد الذيب</v>
      </c>
    </row>
    <row r="567" spans="1:45" ht="15" customHeight="1" thickBot="1" x14ac:dyDescent="0.3">
      <c r="A567" s="633"/>
      <c r="B567" s="630"/>
      <c r="C567" s="622"/>
      <c r="D567" s="625"/>
      <c r="E567" s="133" t="s">
        <v>31</v>
      </c>
      <c r="F567" s="589">
        <f>IFERROR(VLOOKUP($B566,اسماء,18,0),0)</f>
        <v>0</v>
      </c>
      <c r="G567" s="592"/>
      <c r="H567" s="608">
        <f>IFERROR(VLOOKUP($B566,اسماء,19,0),0)</f>
        <v>0</v>
      </c>
      <c r="I567" s="609"/>
      <c r="J567" s="589">
        <f>IFERROR(VLOOKUP($B566,اسماء,20,0),0)</f>
        <v>0</v>
      </c>
      <c r="K567" s="592"/>
      <c r="L567" s="589">
        <f>IFERROR(VLOOKUP($B566,اسماء,21,0),0)</f>
        <v>0</v>
      </c>
      <c r="M567" s="590"/>
      <c r="N567" s="589">
        <f>IFERROR(VLOOKUP($B566,اسماء,22,0),0)</f>
        <v>0</v>
      </c>
      <c r="O567" s="590"/>
      <c r="P567" s="589">
        <f>IFERROR(VLOOKUP($B566,اسماء,23,0),0)</f>
        <v>0</v>
      </c>
      <c r="Q567" s="609"/>
      <c r="R567" s="603">
        <f>IFERROR(VLOOKUP($B566,اسماء,24,0),0)</f>
        <v>0</v>
      </c>
      <c r="S567" s="592"/>
      <c r="T567" s="589">
        <f>IFERROR(VLOOKUP($B566,اسماء,25,0),0)</f>
        <v>0</v>
      </c>
      <c r="U567" s="592"/>
      <c r="V567" s="263">
        <f t="shared" si="1705"/>
        <v>0</v>
      </c>
      <c r="W567" s="373">
        <f>IFERROR(VLOOKUP($B566,اسماء,27,0),0)</f>
        <v>0</v>
      </c>
      <c r="X567" s="373">
        <f>IFERROR(VLOOKUP($B566,اسماء,28,0),0)</f>
        <v>0</v>
      </c>
      <c r="Y567" s="596"/>
      <c r="Z567" s="22" t="str">
        <f>LOOKUP(V567,$AF$6:$AG$10)</f>
        <v>ضعيف</v>
      </c>
      <c r="AA567" s="657"/>
      <c r="AB567" s="72"/>
      <c r="AC567" s="654"/>
      <c r="AN567" s="607"/>
      <c r="AO567" s="607"/>
      <c r="AP567" s="613"/>
      <c r="AQ567" s="612"/>
      <c r="AR567" s="611"/>
      <c r="AS567" s="612"/>
    </row>
    <row r="568" spans="1:45" ht="15" customHeight="1" x14ac:dyDescent="0.25">
      <c r="A568" s="633"/>
      <c r="B568" s="630"/>
      <c r="C568" s="622"/>
      <c r="D568" s="625"/>
      <c r="E568" s="133" t="s">
        <v>32</v>
      </c>
      <c r="F568" s="589">
        <f>IFERROR(VLOOKUP($B566,اسماء,31,0),0)</f>
        <v>0</v>
      </c>
      <c r="G568" s="592"/>
      <c r="H568" s="608">
        <f>IFERROR(VLOOKUP($B566,اسماء,32,0),0)</f>
        <v>0</v>
      </c>
      <c r="I568" s="609"/>
      <c r="J568" s="589">
        <f>IFERROR(VLOOKUP($B566,اسماء,33,0),0)</f>
        <v>0</v>
      </c>
      <c r="K568" s="592"/>
      <c r="L568" s="589">
        <f>IFERROR(VLOOKUP($B566,اسماء,34,0),0)</f>
        <v>0</v>
      </c>
      <c r="M568" s="590"/>
      <c r="N568" s="589">
        <f>IFERROR(VLOOKUP($B566,اسماء,35,0),0)</f>
        <v>0</v>
      </c>
      <c r="O568" s="590"/>
      <c r="P568" s="589">
        <f>IFERROR(VLOOKUP($B566,اسماء,36,0),0)</f>
        <v>0</v>
      </c>
      <c r="Q568" s="609"/>
      <c r="R568" s="603">
        <f>IFERROR(VLOOKUP($B566,اسماء,37,0),0)</f>
        <v>0</v>
      </c>
      <c r="S568" s="592"/>
      <c r="T568" s="589">
        <f>IFERROR(VLOOKUP($B566,اسماء,38,0),0)</f>
        <v>0</v>
      </c>
      <c r="U568" s="592"/>
      <c r="V568" s="263">
        <f t="shared" si="1705"/>
        <v>0</v>
      </c>
      <c r="W568" s="373">
        <f>IFERROR(VLOOKUP($B566,اسماء,40,0),0)</f>
        <v>0</v>
      </c>
      <c r="X568" s="373">
        <f>IFERROR(VLOOKUP($B566,اسماء,41,0),0)</f>
        <v>0</v>
      </c>
      <c r="Y568" s="596"/>
      <c r="Z568" s="22" t="str">
        <f>LOOKUP(V568,$AI$6:$AJ$10)</f>
        <v>ضعيف</v>
      </c>
      <c r="AA568" s="657"/>
      <c r="AB568" s="72"/>
      <c r="AC568" s="654"/>
      <c r="AN568" s="607"/>
      <c r="AO568" s="607"/>
      <c r="AP568" s="613"/>
      <c r="AQ568" s="612"/>
      <c r="AR568" s="611"/>
      <c r="AS568" s="612"/>
    </row>
    <row r="569" spans="1:45" ht="15" customHeight="1" thickBot="1" x14ac:dyDescent="0.3">
      <c r="A569" s="634"/>
      <c r="B569" s="631"/>
      <c r="C569" s="623"/>
      <c r="D569" s="626"/>
      <c r="E569" s="127" t="s">
        <v>33</v>
      </c>
      <c r="F569" s="585">
        <f t="shared" ref="F569" si="1708">SUM(F566:G568)</f>
        <v>0</v>
      </c>
      <c r="G569" s="593"/>
      <c r="H569" s="604">
        <f t="shared" ref="H569" si="1709">SUM(H566:I568)</f>
        <v>0</v>
      </c>
      <c r="I569" s="601"/>
      <c r="J569" s="585">
        <f t="shared" ref="J569" si="1710">SUM(J566:K568)</f>
        <v>0</v>
      </c>
      <c r="K569" s="593"/>
      <c r="L569" s="585">
        <f t="shared" ref="L569" si="1711">SUM(L566:M568)</f>
        <v>0</v>
      </c>
      <c r="M569" s="586"/>
      <c r="N569" s="585">
        <f t="shared" ref="N569" si="1712">SUM(N566:O568)</f>
        <v>0</v>
      </c>
      <c r="O569" s="586"/>
      <c r="P569" s="585">
        <f t="shared" ref="P569" si="1713">SUM(P566:Q568)</f>
        <v>0</v>
      </c>
      <c r="Q569" s="601"/>
      <c r="R569" s="602">
        <f t="shared" ref="R569" si="1714">SUM(R566:S568)</f>
        <v>0</v>
      </c>
      <c r="S569" s="593"/>
      <c r="T569" s="585">
        <f t="shared" ref="T569" si="1715">SUM(T566:U568)</f>
        <v>0</v>
      </c>
      <c r="U569" s="593"/>
      <c r="V569" s="210">
        <f t="shared" ref="V569" si="1716">IF(AND(F569&gt;=$G$8,H569&gt;=$I$8,L569&gt;=$M$8,P569&gt;=$Q$8,R569&gt;=$S$8,T569&gt;=$U$8),SUM(F569:U569),0)</f>
        <v>0</v>
      </c>
      <c r="W569" s="264"/>
      <c r="X569" s="97"/>
      <c r="Y569" s="597"/>
      <c r="Z569" s="91" t="str">
        <f>LOOKUP(V569,$AL$6:$AM$10)</f>
        <v>ضعيف</v>
      </c>
      <c r="AA569" s="658"/>
      <c r="AB569" s="10"/>
      <c r="AC569" s="655"/>
      <c r="AN569" s="607"/>
      <c r="AO569" s="607"/>
      <c r="AP569" s="613"/>
      <c r="AQ569" s="612"/>
      <c r="AR569" s="611"/>
      <c r="AS569" s="612"/>
    </row>
    <row r="570" spans="1:45" ht="15" customHeight="1" thickBot="1" x14ac:dyDescent="0.3">
      <c r="A570" s="632">
        <v>123</v>
      </c>
      <c r="B570" s="629">
        <f>VLOOKUP(A570,مسلسل,2,0)</f>
        <v>0</v>
      </c>
      <c r="C570" s="621" t="str">
        <f>IFERROR(VLOOKUP(B570,اسماء,2,0),"")</f>
        <v/>
      </c>
      <c r="D570" s="624" t="str">
        <f>IFERROR(VLOOKUP($B570,اسماء,3,0),"")</f>
        <v/>
      </c>
      <c r="E570" s="132" t="s">
        <v>30</v>
      </c>
      <c r="F570" s="627">
        <f>IFERROR(VLOOKUP($B570,اسماء,5,0),0)</f>
        <v>0</v>
      </c>
      <c r="G570" s="606"/>
      <c r="H570" s="628">
        <f>IFERROR(VLOOKUP($B570,اسماء,6,0),0)</f>
        <v>0</v>
      </c>
      <c r="I570" s="605"/>
      <c r="J570" s="587">
        <f>IFERROR(VLOOKUP($B570,اسماء,7,0),0)</f>
        <v>0</v>
      </c>
      <c r="K570" s="591"/>
      <c r="L570" s="587">
        <f>IFERROR(VLOOKUP($B570,اسماء,8,0),0)</f>
        <v>0</v>
      </c>
      <c r="M570" s="588"/>
      <c r="N570" s="587">
        <f>IFERROR(VLOOKUP($B570,اسماء,9,0),0)</f>
        <v>0</v>
      </c>
      <c r="O570" s="605"/>
      <c r="P570" s="587">
        <f>IFERROR(VLOOKUP($B570,اسماء,10,0),0)</f>
        <v>0</v>
      </c>
      <c r="Q570" s="605"/>
      <c r="R570" s="606">
        <f>IFERROR(VLOOKUP($B570,اسماء,11,0),0)</f>
        <v>0</v>
      </c>
      <c r="S570" s="591"/>
      <c r="T570" s="587">
        <f>IFERROR(VLOOKUP($B570,اسماء,12,0),0)</f>
        <v>0</v>
      </c>
      <c r="U570" s="591"/>
      <c r="V570" s="263">
        <f t="shared" ref="V570:V572" si="1717">SUM(F570:U570)</f>
        <v>0</v>
      </c>
      <c r="W570" s="373">
        <f>IFERROR(VLOOKUP($B570,اسماء,14,0),0)</f>
        <v>0</v>
      </c>
      <c r="X570" s="373">
        <f>IFERROR(VLOOKUP($B570,اسماء,15,0),0)</f>
        <v>0</v>
      </c>
      <c r="Y570" s="595" t="str">
        <f t="shared" ref="Y570" si="1718">IF(AC570="غائب","راسب",IF(AND(F573&gt;=$G$8,H573&gt;=$I$8,J573&gt;=$K$8,L573&gt;=$M$8,N573&gt;=$O$8,P573&gt;=$Q$8,R573&gt;=$S$8,T573&gt;=$U$8),"ناجح","له دور ثان"))</f>
        <v>له دور ثان</v>
      </c>
      <c r="Z570" s="21" t="str">
        <f>LOOKUP(V570,$AF$6:$AG$10)</f>
        <v>ضعيف</v>
      </c>
      <c r="AA570" s="656">
        <f>V573/$AF$3</f>
        <v>0</v>
      </c>
      <c r="AB570" s="72"/>
      <c r="AC570" s="653" t="str">
        <f>IFERROR(VLOOKUP($B570,اسماء,54,0),"")</f>
        <v/>
      </c>
      <c r="AN570" s="607" t="str">
        <f t="shared" ref="AN570" si="1719">IF(V573=0,"",V573/1+ROW()*0.00001)</f>
        <v/>
      </c>
      <c r="AO570" s="607">
        <f>B570</f>
        <v>0</v>
      </c>
      <c r="AP570" s="613"/>
      <c r="AQ570" s="612">
        <v>123</v>
      </c>
      <c r="AR570" s="611" t="str">
        <f>IFERROR(LARGE($AN$10:$AN$1006,AQ570),"")</f>
        <v/>
      </c>
      <c r="AS570" s="612" t="str">
        <f>VLOOKUP(AR570,$AN$10:$AO$1116,2,0)</f>
        <v>أحمد نورالدين أحمد الذيب</v>
      </c>
    </row>
    <row r="571" spans="1:45" ht="15" customHeight="1" thickBot="1" x14ac:dyDescent="0.3">
      <c r="A571" s="633"/>
      <c r="B571" s="630"/>
      <c r="C571" s="622"/>
      <c r="D571" s="625"/>
      <c r="E571" s="133" t="s">
        <v>31</v>
      </c>
      <c r="F571" s="589">
        <f>IFERROR(VLOOKUP($B570,اسماء,18,0),0)</f>
        <v>0</v>
      </c>
      <c r="G571" s="592"/>
      <c r="H571" s="608">
        <f>IFERROR(VLOOKUP($B570,اسماء,19,0),0)</f>
        <v>0</v>
      </c>
      <c r="I571" s="609"/>
      <c r="J571" s="589">
        <f>IFERROR(VLOOKUP($B570,اسماء,20,0),0)</f>
        <v>0</v>
      </c>
      <c r="K571" s="592"/>
      <c r="L571" s="589">
        <f>IFERROR(VLOOKUP($B570,اسماء,21,0),0)</f>
        <v>0</v>
      </c>
      <c r="M571" s="590"/>
      <c r="N571" s="589">
        <f>IFERROR(VLOOKUP($B570,اسماء,22,0),0)</f>
        <v>0</v>
      </c>
      <c r="O571" s="590"/>
      <c r="P571" s="589">
        <f>IFERROR(VLOOKUP($B570,اسماء,23,0),0)</f>
        <v>0</v>
      </c>
      <c r="Q571" s="609"/>
      <c r="R571" s="603">
        <f>IFERROR(VLOOKUP($B570,اسماء,24,0),0)</f>
        <v>0</v>
      </c>
      <c r="S571" s="592"/>
      <c r="T571" s="589">
        <f>IFERROR(VLOOKUP($B570,اسماء,25,0),0)</f>
        <v>0</v>
      </c>
      <c r="U571" s="592"/>
      <c r="V571" s="263">
        <f t="shared" si="1717"/>
        <v>0</v>
      </c>
      <c r="W571" s="373">
        <f>IFERROR(VLOOKUP($B570,اسماء,27,0),0)</f>
        <v>0</v>
      </c>
      <c r="X571" s="373">
        <f>IFERROR(VLOOKUP($B570,اسماء,28,0),0)</f>
        <v>0</v>
      </c>
      <c r="Y571" s="596"/>
      <c r="Z571" s="22" t="str">
        <f>LOOKUP(V571,$AF$6:$AG$10)</f>
        <v>ضعيف</v>
      </c>
      <c r="AA571" s="657"/>
      <c r="AB571" s="72"/>
      <c r="AC571" s="654"/>
      <c r="AN571" s="607"/>
      <c r="AO571" s="607"/>
      <c r="AP571" s="613"/>
      <c r="AQ571" s="612"/>
      <c r="AR571" s="611"/>
      <c r="AS571" s="612"/>
    </row>
    <row r="572" spans="1:45" ht="15" customHeight="1" x14ac:dyDescent="0.25">
      <c r="A572" s="633"/>
      <c r="B572" s="630"/>
      <c r="C572" s="622"/>
      <c r="D572" s="625"/>
      <c r="E572" s="133" t="s">
        <v>32</v>
      </c>
      <c r="F572" s="589">
        <f>IFERROR(VLOOKUP($B570,اسماء,31,0),0)</f>
        <v>0</v>
      </c>
      <c r="G572" s="592"/>
      <c r="H572" s="608">
        <f>IFERROR(VLOOKUP($B570,اسماء,32,0),0)</f>
        <v>0</v>
      </c>
      <c r="I572" s="609"/>
      <c r="J572" s="589">
        <f>IFERROR(VLOOKUP($B570,اسماء,33,0),0)</f>
        <v>0</v>
      </c>
      <c r="K572" s="592"/>
      <c r="L572" s="589">
        <f>IFERROR(VLOOKUP($B570,اسماء,34,0),0)</f>
        <v>0</v>
      </c>
      <c r="M572" s="590"/>
      <c r="N572" s="589">
        <f>IFERROR(VLOOKUP($B570,اسماء,35,0),0)</f>
        <v>0</v>
      </c>
      <c r="O572" s="590"/>
      <c r="P572" s="589">
        <f>IFERROR(VLOOKUP($B570,اسماء,36,0),0)</f>
        <v>0</v>
      </c>
      <c r="Q572" s="609"/>
      <c r="R572" s="603">
        <f>IFERROR(VLOOKUP($B570,اسماء,37,0),0)</f>
        <v>0</v>
      </c>
      <c r="S572" s="592"/>
      <c r="T572" s="589">
        <f>IFERROR(VLOOKUP($B570,اسماء,38,0),0)</f>
        <v>0</v>
      </c>
      <c r="U572" s="592"/>
      <c r="V572" s="263">
        <f t="shared" si="1717"/>
        <v>0</v>
      </c>
      <c r="W572" s="373">
        <f>IFERROR(VLOOKUP($B570,اسماء,40,0),0)</f>
        <v>0</v>
      </c>
      <c r="X572" s="373">
        <f>IFERROR(VLOOKUP($B570,اسماء,41,0),0)</f>
        <v>0</v>
      </c>
      <c r="Y572" s="596"/>
      <c r="Z572" s="22" t="str">
        <f>LOOKUP(V572,$AI$6:$AJ$10)</f>
        <v>ضعيف</v>
      </c>
      <c r="AA572" s="657"/>
      <c r="AB572" s="10"/>
      <c r="AC572" s="654"/>
      <c r="AN572" s="607"/>
      <c r="AO572" s="607"/>
      <c r="AP572" s="613"/>
      <c r="AQ572" s="612"/>
      <c r="AR572" s="611"/>
      <c r="AS572" s="612"/>
    </row>
    <row r="573" spans="1:45" ht="15" customHeight="1" thickBot="1" x14ac:dyDescent="0.3">
      <c r="A573" s="634"/>
      <c r="B573" s="631"/>
      <c r="C573" s="623"/>
      <c r="D573" s="626"/>
      <c r="E573" s="127" t="s">
        <v>33</v>
      </c>
      <c r="F573" s="585">
        <f t="shared" ref="F573" si="1720">SUM(F570:G572)</f>
        <v>0</v>
      </c>
      <c r="G573" s="593"/>
      <c r="H573" s="604">
        <f t="shared" ref="H573" si="1721">SUM(H570:I572)</f>
        <v>0</v>
      </c>
      <c r="I573" s="601"/>
      <c r="J573" s="585">
        <f t="shared" ref="J573" si="1722">SUM(J570:K572)</f>
        <v>0</v>
      </c>
      <c r="K573" s="593"/>
      <c r="L573" s="585">
        <f t="shared" ref="L573" si="1723">SUM(L570:M572)</f>
        <v>0</v>
      </c>
      <c r="M573" s="586"/>
      <c r="N573" s="585">
        <f t="shared" ref="N573" si="1724">SUM(N570:O572)</f>
        <v>0</v>
      </c>
      <c r="O573" s="586"/>
      <c r="P573" s="585">
        <f t="shared" ref="P573" si="1725">SUM(P570:Q572)</f>
        <v>0</v>
      </c>
      <c r="Q573" s="601"/>
      <c r="R573" s="602">
        <f t="shared" ref="R573" si="1726">SUM(R570:S572)</f>
        <v>0</v>
      </c>
      <c r="S573" s="593"/>
      <c r="T573" s="585">
        <f t="shared" ref="T573" si="1727">SUM(T570:U572)</f>
        <v>0</v>
      </c>
      <c r="U573" s="593"/>
      <c r="V573" s="210">
        <f t="shared" ref="V573" si="1728">IF(AND(F573&gt;=$G$8,H573&gt;=$I$8,L573&gt;=$M$8,P573&gt;=$Q$8,R573&gt;=$S$8,T573&gt;=$U$8),SUM(F573:U573),0)</f>
        <v>0</v>
      </c>
      <c r="W573" s="264"/>
      <c r="X573" s="97"/>
      <c r="Y573" s="597"/>
      <c r="Z573" s="91" t="str">
        <f>LOOKUP(V573,$AL$6:$AM$10)</f>
        <v>ضعيف</v>
      </c>
      <c r="AA573" s="658"/>
      <c r="AB573" s="72"/>
      <c r="AC573" s="655"/>
      <c r="AN573" s="607"/>
      <c r="AO573" s="607"/>
      <c r="AP573" s="613"/>
      <c r="AQ573" s="612"/>
      <c r="AR573" s="611"/>
      <c r="AS573" s="612"/>
    </row>
    <row r="574" spans="1:45" ht="15" customHeight="1" thickBot="1" x14ac:dyDescent="0.3">
      <c r="A574" s="632">
        <v>124</v>
      </c>
      <c r="B574" s="629">
        <f>VLOOKUP(A574,مسلسل,2,0)</f>
        <v>0</v>
      </c>
      <c r="C574" s="621" t="str">
        <f>IFERROR(VLOOKUP(B574,اسماء,2,0),"")</f>
        <v/>
      </c>
      <c r="D574" s="624" t="str">
        <f>IFERROR(VLOOKUP($B574,اسماء,3,0),"")</f>
        <v/>
      </c>
      <c r="E574" s="132" t="s">
        <v>30</v>
      </c>
      <c r="F574" s="627">
        <f>IFERROR(VLOOKUP($B574,اسماء,5,0),0)</f>
        <v>0</v>
      </c>
      <c r="G574" s="606"/>
      <c r="H574" s="628">
        <f>IFERROR(VLOOKUP($B574,اسماء,6,0),0)</f>
        <v>0</v>
      </c>
      <c r="I574" s="605"/>
      <c r="J574" s="587">
        <f>IFERROR(VLOOKUP($B574,اسماء,7,0),0)</f>
        <v>0</v>
      </c>
      <c r="K574" s="591"/>
      <c r="L574" s="587">
        <f>IFERROR(VLOOKUP($B574,اسماء,8,0),0)</f>
        <v>0</v>
      </c>
      <c r="M574" s="588"/>
      <c r="N574" s="587">
        <f>IFERROR(VLOOKUP($B574,اسماء,9,0),0)</f>
        <v>0</v>
      </c>
      <c r="O574" s="605"/>
      <c r="P574" s="587">
        <f>IFERROR(VLOOKUP($B574,اسماء,10,0),0)</f>
        <v>0</v>
      </c>
      <c r="Q574" s="605"/>
      <c r="R574" s="606">
        <f>IFERROR(VLOOKUP($B574,اسماء,11,0),0)</f>
        <v>0</v>
      </c>
      <c r="S574" s="591"/>
      <c r="T574" s="587">
        <f>IFERROR(VLOOKUP($B574,اسماء,12,0),0)</f>
        <v>0</v>
      </c>
      <c r="U574" s="591"/>
      <c r="V574" s="263">
        <f t="shared" ref="V574:V576" si="1729">SUM(F574:U574)</f>
        <v>0</v>
      </c>
      <c r="W574" s="373">
        <f>IFERROR(VLOOKUP($B574,اسماء,14,0),0)</f>
        <v>0</v>
      </c>
      <c r="X574" s="373">
        <f>IFERROR(VLOOKUP($B574,اسماء,15,0),0)</f>
        <v>0</v>
      </c>
      <c r="Y574" s="595" t="str">
        <f t="shared" ref="Y574" si="1730">IF(AC574="غائب","راسب",IF(AND(F577&gt;=$G$8,H577&gt;=$I$8,J577&gt;=$K$8,L577&gt;=$M$8,N577&gt;=$O$8,P577&gt;=$Q$8,R577&gt;=$S$8,T577&gt;=$U$8),"ناجح","له دور ثان"))</f>
        <v>له دور ثان</v>
      </c>
      <c r="Z574" s="21" t="str">
        <f>LOOKUP(V574,$AF$6:$AG$10)</f>
        <v>ضعيف</v>
      </c>
      <c r="AA574" s="656">
        <f>V577/$AF$3</f>
        <v>0</v>
      </c>
      <c r="AB574" s="72"/>
      <c r="AC574" s="653" t="str">
        <f>IFERROR(VLOOKUP($B574,اسماء,54,0),"")</f>
        <v/>
      </c>
      <c r="AN574" s="607" t="str">
        <f t="shared" ref="AN574" si="1731">IF(V577=0,"",V577/1+ROW()*0.00001)</f>
        <v/>
      </c>
      <c r="AO574" s="607">
        <f>B574</f>
        <v>0</v>
      </c>
      <c r="AP574" s="613"/>
      <c r="AQ574" s="612">
        <v>124</v>
      </c>
      <c r="AR574" s="611" t="str">
        <f>IFERROR(LARGE($AN$10:$AN$1006,AQ574),"")</f>
        <v/>
      </c>
      <c r="AS574" s="612" t="str">
        <f>VLOOKUP(AR574,$AN$10:$AO$1116,2,0)</f>
        <v>أحمد نورالدين أحمد الذيب</v>
      </c>
    </row>
    <row r="575" spans="1:45" ht="15" customHeight="1" thickBot="1" x14ac:dyDescent="0.3">
      <c r="A575" s="633"/>
      <c r="B575" s="630"/>
      <c r="C575" s="622"/>
      <c r="D575" s="625"/>
      <c r="E575" s="133" t="s">
        <v>31</v>
      </c>
      <c r="F575" s="589">
        <f>IFERROR(VLOOKUP($B574,اسماء,18,0),0)</f>
        <v>0</v>
      </c>
      <c r="G575" s="592"/>
      <c r="H575" s="608">
        <f>IFERROR(VLOOKUP($B574,اسماء,19,0),0)</f>
        <v>0</v>
      </c>
      <c r="I575" s="609"/>
      <c r="J575" s="589">
        <f>IFERROR(VLOOKUP($B574,اسماء,20,0),0)</f>
        <v>0</v>
      </c>
      <c r="K575" s="592"/>
      <c r="L575" s="589">
        <f>IFERROR(VLOOKUP($B574,اسماء,21,0),0)</f>
        <v>0</v>
      </c>
      <c r="M575" s="590"/>
      <c r="N575" s="589">
        <f>IFERROR(VLOOKUP($B574,اسماء,22,0),0)</f>
        <v>0</v>
      </c>
      <c r="O575" s="590"/>
      <c r="P575" s="589">
        <f>IFERROR(VLOOKUP($B574,اسماء,23,0),0)</f>
        <v>0</v>
      </c>
      <c r="Q575" s="609"/>
      <c r="R575" s="603">
        <f>IFERROR(VLOOKUP($B574,اسماء,24,0),0)</f>
        <v>0</v>
      </c>
      <c r="S575" s="592"/>
      <c r="T575" s="589">
        <f>IFERROR(VLOOKUP($B574,اسماء,25,0),0)</f>
        <v>0</v>
      </c>
      <c r="U575" s="592"/>
      <c r="V575" s="263">
        <f t="shared" si="1729"/>
        <v>0</v>
      </c>
      <c r="W575" s="373">
        <f>IFERROR(VLOOKUP($B574,اسماء,27,0),0)</f>
        <v>0</v>
      </c>
      <c r="X575" s="373">
        <f>IFERROR(VLOOKUP($B574,اسماء,28,0),0)</f>
        <v>0</v>
      </c>
      <c r="Y575" s="596"/>
      <c r="Z575" s="22" t="str">
        <f>LOOKUP(V575,$AF$6:$AG$10)</f>
        <v>ضعيف</v>
      </c>
      <c r="AA575" s="657"/>
      <c r="AB575" s="10"/>
      <c r="AC575" s="654"/>
      <c r="AN575" s="607"/>
      <c r="AO575" s="607"/>
      <c r="AP575" s="613"/>
      <c r="AQ575" s="612"/>
      <c r="AR575" s="611"/>
      <c r="AS575" s="612"/>
    </row>
    <row r="576" spans="1:45" ht="15" customHeight="1" x14ac:dyDescent="0.25">
      <c r="A576" s="633"/>
      <c r="B576" s="630"/>
      <c r="C576" s="622"/>
      <c r="D576" s="625"/>
      <c r="E576" s="133" t="s">
        <v>32</v>
      </c>
      <c r="F576" s="589">
        <f>IFERROR(VLOOKUP($B574,اسماء,31,0),0)</f>
        <v>0</v>
      </c>
      <c r="G576" s="592"/>
      <c r="H576" s="608">
        <f>IFERROR(VLOOKUP($B574,اسماء,32,0),0)</f>
        <v>0</v>
      </c>
      <c r="I576" s="609"/>
      <c r="J576" s="589">
        <f>IFERROR(VLOOKUP($B574,اسماء,33,0),0)</f>
        <v>0</v>
      </c>
      <c r="K576" s="592"/>
      <c r="L576" s="589">
        <f>IFERROR(VLOOKUP($B574,اسماء,34,0),0)</f>
        <v>0</v>
      </c>
      <c r="M576" s="590"/>
      <c r="N576" s="589">
        <f>IFERROR(VLOOKUP($B574,اسماء,35,0),0)</f>
        <v>0</v>
      </c>
      <c r="O576" s="590"/>
      <c r="P576" s="589">
        <f>IFERROR(VLOOKUP($B574,اسماء,36,0),0)</f>
        <v>0</v>
      </c>
      <c r="Q576" s="609"/>
      <c r="R576" s="603">
        <f>IFERROR(VLOOKUP($B574,اسماء,37,0),0)</f>
        <v>0</v>
      </c>
      <c r="S576" s="592"/>
      <c r="T576" s="589">
        <f>IFERROR(VLOOKUP($B574,اسماء,38,0),0)</f>
        <v>0</v>
      </c>
      <c r="U576" s="592"/>
      <c r="V576" s="263">
        <f t="shared" si="1729"/>
        <v>0</v>
      </c>
      <c r="W576" s="373">
        <f>IFERROR(VLOOKUP($B574,اسماء,40,0),0)</f>
        <v>0</v>
      </c>
      <c r="X576" s="373">
        <f>IFERROR(VLOOKUP($B574,اسماء,41,0),0)</f>
        <v>0</v>
      </c>
      <c r="Y576" s="596"/>
      <c r="Z576" s="22" t="str">
        <f>LOOKUP(V576,$AI$6:$AJ$10)</f>
        <v>ضعيف</v>
      </c>
      <c r="AA576" s="657"/>
      <c r="AB576" s="72"/>
      <c r="AC576" s="654"/>
      <c r="AN576" s="607"/>
      <c r="AO576" s="607"/>
      <c r="AP576" s="613"/>
      <c r="AQ576" s="612"/>
      <c r="AR576" s="611"/>
      <c r="AS576" s="612"/>
    </row>
    <row r="577" spans="1:45" ht="15" customHeight="1" thickBot="1" x14ac:dyDescent="0.3">
      <c r="A577" s="634"/>
      <c r="B577" s="631"/>
      <c r="C577" s="623"/>
      <c r="D577" s="626"/>
      <c r="E577" s="127" t="s">
        <v>33</v>
      </c>
      <c r="F577" s="585">
        <f t="shared" ref="F577" si="1732">SUM(F574:G576)</f>
        <v>0</v>
      </c>
      <c r="G577" s="593"/>
      <c r="H577" s="604">
        <f t="shared" ref="H577" si="1733">SUM(H574:I576)</f>
        <v>0</v>
      </c>
      <c r="I577" s="601"/>
      <c r="J577" s="585">
        <f t="shared" ref="J577" si="1734">SUM(J574:K576)</f>
        <v>0</v>
      </c>
      <c r="K577" s="593"/>
      <c r="L577" s="585">
        <f t="shared" ref="L577" si="1735">SUM(L574:M576)</f>
        <v>0</v>
      </c>
      <c r="M577" s="586"/>
      <c r="N577" s="585">
        <f t="shared" ref="N577" si="1736">SUM(N574:O576)</f>
        <v>0</v>
      </c>
      <c r="O577" s="586"/>
      <c r="P577" s="585">
        <f t="shared" ref="P577" si="1737">SUM(P574:Q576)</f>
        <v>0</v>
      </c>
      <c r="Q577" s="601"/>
      <c r="R577" s="602">
        <f t="shared" ref="R577" si="1738">SUM(R574:S576)</f>
        <v>0</v>
      </c>
      <c r="S577" s="593"/>
      <c r="T577" s="585">
        <f t="shared" ref="T577" si="1739">SUM(T574:U576)</f>
        <v>0</v>
      </c>
      <c r="U577" s="593"/>
      <c r="V577" s="210">
        <f t="shared" ref="V577" si="1740">IF(AND(F577&gt;=$G$8,H577&gt;=$I$8,L577&gt;=$M$8,P577&gt;=$Q$8,R577&gt;=$S$8,T577&gt;=$U$8),SUM(F577:U577),0)</f>
        <v>0</v>
      </c>
      <c r="W577" s="264"/>
      <c r="X577" s="97"/>
      <c r="Y577" s="597"/>
      <c r="Z577" s="91" t="str">
        <f>LOOKUP(V577,$AL$6:$AM$10)</f>
        <v>ضعيف</v>
      </c>
      <c r="AA577" s="658"/>
      <c r="AB577" s="72"/>
      <c r="AC577" s="655"/>
      <c r="AN577" s="607"/>
      <c r="AO577" s="607"/>
      <c r="AP577" s="613"/>
      <c r="AQ577" s="612"/>
      <c r="AR577" s="611"/>
      <c r="AS577" s="612"/>
    </row>
    <row r="578" spans="1:45" ht="15" customHeight="1" thickBot="1" x14ac:dyDescent="0.3">
      <c r="A578" s="632">
        <v>125</v>
      </c>
      <c r="B578" s="629">
        <f>VLOOKUP(A578,مسلسل,2,0)</f>
        <v>0</v>
      </c>
      <c r="C578" s="621" t="str">
        <f>IFERROR(VLOOKUP(B578,اسماء,2,0),"")</f>
        <v/>
      </c>
      <c r="D578" s="624" t="str">
        <f>IFERROR(VLOOKUP($B578,اسماء,3,0),"")</f>
        <v/>
      </c>
      <c r="E578" s="132" t="s">
        <v>30</v>
      </c>
      <c r="F578" s="627">
        <f>IFERROR(VLOOKUP($B578,اسماء,5,0),0)</f>
        <v>0</v>
      </c>
      <c r="G578" s="606"/>
      <c r="H578" s="628">
        <f>IFERROR(VLOOKUP($B578,اسماء,6,0),0)</f>
        <v>0</v>
      </c>
      <c r="I578" s="605"/>
      <c r="J578" s="587">
        <f>IFERROR(VLOOKUP($B578,اسماء,7,0),0)</f>
        <v>0</v>
      </c>
      <c r="K578" s="591"/>
      <c r="L578" s="587">
        <f>IFERROR(VLOOKUP($B578,اسماء,8,0),0)</f>
        <v>0</v>
      </c>
      <c r="M578" s="588"/>
      <c r="N578" s="587">
        <f>IFERROR(VLOOKUP($B578,اسماء,9,0),0)</f>
        <v>0</v>
      </c>
      <c r="O578" s="605"/>
      <c r="P578" s="587">
        <f>IFERROR(VLOOKUP($B578,اسماء,10,0),0)</f>
        <v>0</v>
      </c>
      <c r="Q578" s="605"/>
      <c r="R578" s="606">
        <f>IFERROR(VLOOKUP($B578,اسماء,11,0),0)</f>
        <v>0</v>
      </c>
      <c r="S578" s="591"/>
      <c r="T578" s="587">
        <f>IFERROR(VLOOKUP($B578,اسماء,12,0),0)</f>
        <v>0</v>
      </c>
      <c r="U578" s="591"/>
      <c r="V578" s="263">
        <f t="shared" ref="V578:V580" si="1741">SUM(F578:U578)</f>
        <v>0</v>
      </c>
      <c r="W578" s="373">
        <f>IFERROR(VLOOKUP($B578,اسماء,14,0),0)</f>
        <v>0</v>
      </c>
      <c r="X578" s="373">
        <f>IFERROR(VLOOKUP($B578,اسماء,15,0),0)</f>
        <v>0</v>
      </c>
      <c r="Y578" s="595" t="str">
        <f t="shared" ref="Y578" si="1742">IF(AC578="غائب","راسب",IF(AND(F581&gt;=$G$8,H581&gt;=$I$8,J581&gt;=$K$8,L581&gt;=$M$8,N581&gt;=$O$8,P581&gt;=$Q$8,R581&gt;=$S$8,T581&gt;=$U$8),"ناجح","له دور ثان"))</f>
        <v>له دور ثان</v>
      </c>
      <c r="Z578" s="21" t="str">
        <f t="shared" ref="Z578:Z579" si="1743">LOOKUP(V578,$AF$6:$AG$10)</f>
        <v>ضعيف</v>
      </c>
      <c r="AA578" s="656">
        <f t="shared" ref="AA578" si="1744">V581/$AF$3</f>
        <v>0</v>
      </c>
      <c r="AB578" s="10"/>
      <c r="AC578" s="653" t="str">
        <f>IFERROR(VLOOKUP($B578,اسماء,54,0),"")</f>
        <v/>
      </c>
      <c r="AN578" s="607" t="str">
        <f t="shared" ref="AN578" si="1745">IF(V581=0,"",V581/1+ROW()*0.00001)</f>
        <v/>
      </c>
      <c r="AO578" s="607">
        <f>B578</f>
        <v>0</v>
      </c>
      <c r="AP578" s="613"/>
      <c r="AQ578" s="612">
        <v>125</v>
      </c>
      <c r="AR578" s="611" t="str">
        <f>IFERROR(LARGE($AN$10:$AN$1006,AQ578),"")</f>
        <v/>
      </c>
      <c r="AS578" s="612" t="str">
        <f>VLOOKUP(AR578,$AN$10:$AO$1116,2,0)</f>
        <v>أحمد نورالدين أحمد الذيب</v>
      </c>
    </row>
    <row r="579" spans="1:45" ht="15" customHeight="1" thickBot="1" x14ac:dyDescent="0.3">
      <c r="A579" s="633"/>
      <c r="B579" s="630"/>
      <c r="C579" s="622"/>
      <c r="D579" s="625"/>
      <c r="E579" s="133" t="s">
        <v>31</v>
      </c>
      <c r="F579" s="589">
        <f>IFERROR(VLOOKUP($B578,اسماء,18,0),0)</f>
        <v>0</v>
      </c>
      <c r="G579" s="592"/>
      <c r="H579" s="608">
        <f>IFERROR(VLOOKUP($B578,اسماء,19,0),0)</f>
        <v>0</v>
      </c>
      <c r="I579" s="609"/>
      <c r="J579" s="589">
        <f>IFERROR(VLOOKUP($B578,اسماء,20,0),0)</f>
        <v>0</v>
      </c>
      <c r="K579" s="592"/>
      <c r="L579" s="589">
        <f>IFERROR(VLOOKUP($B578,اسماء,21,0),0)</f>
        <v>0</v>
      </c>
      <c r="M579" s="590"/>
      <c r="N579" s="589">
        <f>IFERROR(VLOOKUP($B578,اسماء,22,0),0)</f>
        <v>0</v>
      </c>
      <c r="O579" s="590"/>
      <c r="P579" s="589">
        <f>IFERROR(VLOOKUP($B578,اسماء,23,0),0)</f>
        <v>0</v>
      </c>
      <c r="Q579" s="609"/>
      <c r="R579" s="603">
        <f>IFERROR(VLOOKUP($B578,اسماء,24,0),0)</f>
        <v>0</v>
      </c>
      <c r="S579" s="592"/>
      <c r="T579" s="589">
        <f>IFERROR(VLOOKUP($B578,اسماء,25,0),0)</f>
        <v>0</v>
      </c>
      <c r="U579" s="592"/>
      <c r="V579" s="263">
        <f t="shared" si="1741"/>
        <v>0</v>
      </c>
      <c r="W579" s="373">
        <f>IFERROR(VLOOKUP($B578,اسماء,27,0),0)</f>
        <v>0</v>
      </c>
      <c r="X579" s="373">
        <f>IFERROR(VLOOKUP($B578,اسماء,28,0),0)</f>
        <v>0</v>
      </c>
      <c r="Y579" s="596"/>
      <c r="Z579" s="22" t="str">
        <f t="shared" si="1743"/>
        <v>ضعيف</v>
      </c>
      <c r="AA579" s="657"/>
      <c r="AB579" s="72"/>
      <c r="AC579" s="654"/>
      <c r="AN579" s="607"/>
      <c r="AO579" s="607"/>
      <c r="AP579" s="613"/>
      <c r="AQ579" s="612"/>
      <c r="AR579" s="611"/>
      <c r="AS579" s="612"/>
    </row>
    <row r="580" spans="1:45" ht="15" customHeight="1" x14ac:dyDescent="0.25">
      <c r="A580" s="633"/>
      <c r="B580" s="630"/>
      <c r="C580" s="622"/>
      <c r="D580" s="625"/>
      <c r="E580" s="133" t="s">
        <v>32</v>
      </c>
      <c r="F580" s="589">
        <f>IFERROR(VLOOKUP($B578,اسماء,31,0),0)</f>
        <v>0</v>
      </c>
      <c r="G580" s="592"/>
      <c r="H580" s="608">
        <f>IFERROR(VLOOKUP($B578,اسماء,32,0),0)</f>
        <v>0</v>
      </c>
      <c r="I580" s="609"/>
      <c r="J580" s="589">
        <f>IFERROR(VLOOKUP($B578,اسماء,33,0),0)</f>
        <v>0</v>
      </c>
      <c r="K580" s="592"/>
      <c r="L580" s="589">
        <f>IFERROR(VLOOKUP($B578,اسماء,34,0),0)</f>
        <v>0</v>
      </c>
      <c r="M580" s="590"/>
      <c r="N580" s="589">
        <f>IFERROR(VLOOKUP($B578,اسماء,35,0),0)</f>
        <v>0</v>
      </c>
      <c r="O580" s="590"/>
      <c r="P580" s="589">
        <f>IFERROR(VLOOKUP($B578,اسماء,36,0),0)</f>
        <v>0</v>
      </c>
      <c r="Q580" s="609"/>
      <c r="R580" s="603">
        <f>IFERROR(VLOOKUP($B578,اسماء,37,0),0)</f>
        <v>0</v>
      </c>
      <c r="S580" s="592"/>
      <c r="T580" s="589">
        <f>IFERROR(VLOOKUP($B578,اسماء,38,0),0)</f>
        <v>0</v>
      </c>
      <c r="U580" s="592"/>
      <c r="V580" s="263">
        <f t="shared" si="1741"/>
        <v>0</v>
      </c>
      <c r="W580" s="373">
        <f>IFERROR(VLOOKUP($B578,اسماء,40,0),0)</f>
        <v>0</v>
      </c>
      <c r="X580" s="373">
        <f>IFERROR(VLOOKUP($B578,اسماء,41,0),0)</f>
        <v>0</v>
      </c>
      <c r="Y580" s="596"/>
      <c r="Z580" s="22" t="str">
        <f t="shared" ref="Z580" si="1746">LOOKUP(V580,$AI$6:$AJ$10)</f>
        <v>ضعيف</v>
      </c>
      <c r="AA580" s="657"/>
      <c r="AB580" s="72"/>
      <c r="AC580" s="654"/>
      <c r="AN580" s="607"/>
      <c r="AO580" s="607"/>
      <c r="AP580" s="613"/>
      <c r="AQ580" s="612"/>
      <c r="AR580" s="611"/>
      <c r="AS580" s="612"/>
    </row>
    <row r="581" spans="1:45" ht="15" customHeight="1" thickBot="1" x14ac:dyDescent="0.3">
      <c r="A581" s="634"/>
      <c r="B581" s="631"/>
      <c r="C581" s="623"/>
      <c r="D581" s="626"/>
      <c r="E581" s="127" t="s">
        <v>33</v>
      </c>
      <c r="F581" s="585">
        <f t="shared" ref="F581" si="1747">SUM(F578:G580)</f>
        <v>0</v>
      </c>
      <c r="G581" s="593"/>
      <c r="H581" s="604">
        <f t="shared" ref="H581" si="1748">SUM(H578:I580)</f>
        <v>0</v>
      </c>
      <c r="I581" s="601"/>
      <c r="J581" s="585">
        <f t="shared" ref="J581" si="1749">SUM(J578:K580)</f>
        <v>0</v>
      </c>
      <c r="K581" s="593"/>
      <c r="L581" s="585">
        <f t="shared" ref="L581" si="1750">SUM(L578:M580)</f>
        <v>0</v>
      </c>
      <c r="M581" s="586"/>
      <c r="N581" s="585">
        <f t="shared" ref="N581" si="1751">SUM(N578:O580)</f>
        <v>0</v>
      </c>
      <c r="O581" s="586"/>
      <c r="P581" s="585">
        <f t="shared" ref="P581" si="1752">SUM(P578:Q580)</f>
        <v>0</v>
      </c>
      <c r="Q581" s="601"/>
      <c r="R581" s="602">
        <f t="shared" ref="R581" si="1753">SUM(R578:S580)</f>
        <v>0</v>
      </c>
      <c r="S581" s="593"/>
      <c r="T581" s="585">
        <f t="shared" ref="T581" si="1754">SUM(T578:U580)</f>
        <v>0</v>
      </c>
      <c r="U581" s="593"/>
      <c r="V581" s="210">
        <f t="shared" ref="V581" si="1755">IF(AND(F581&gt;=$G$8,H581&gt;=$I$8,L581&gt;=$M$8,P581&gt;=$Q$8,R581&gt;=$S$8,T581&gt;=$U$8),SUM(F581:U581),0)</f>
        <v>0</v>
      </c>
      <c r="W581" s="264"/>
      <c r="X581" s="97"/>
      <c r="Y581" s="597"/>
      <c r="Z581" s="91" t="str">
        <f t="shared" ref="Z581" si="1756">LOOKUP(V581,$AL$6:$AM$10)</f>
        <v>ضعيف</v>
      </c>
      <c r="AA581" s="658"/>
      <c r="AB581" s="10"/>
      <c r="AC581" s="655"/>
      <c r="AN581" s="607"/>
      <c r="AO581" s="607"/>
      <c r="AP581" s="613"/>
      <c r="AQ581" s="612"/>
      <c r="AR581" s="611"/>
      <c r="AS581" s="612"/>
    </row>
    <row r="582" spans="1:45" ht="15" customHeight="1" thickBot="1" x14ac:dyDescent="0.3">
      <c r="A582" s="632">
        <v>126</v>
      </c>
      <c r="B582" s="629">
        <f>VLOOKUP(A582,مسلسل,2,0)</f>
        <v>0</v>
      </c>
      <c r="C582" s="621" t="str">
        <f>IFERROR(VLOOKUP(B582,اسماء,2,0),"")</f>
        <v/>
      </c>
      <c r="D582" s="624" t="str">
        <f>IFERROR(VLOOKUP($B582,اسماء,3,0),"")</f>
        <v/>
      </c>
      <c r="E582" s="132" t="s">
        <v>30</v>
      </c>
      <c r="F582" s="627">
        <f>IFERROR(VLOOKUP($B582,اسماء,5,0),0)</f>
        <v>0</v>
      </c>
      <c r="G582" s="606"/>
      <c r="H582" s="628">
        <f>IFERROR(VLOOKUP($B582,اسماء,6,0),0)</f>
        <v>0</v>
      </c>
      <c r="I582" s="605"/>
      <c r="J582" s="587">
        <f>IFERROR(VLOOKUP($B582,اسماء,7,0),0)</f>
        <v>0</v>
      </c>
      <c r="K582" s="591"/>
      <c r="L582" s="587">
        <f>IFERROR(VLOOKUP($B582,اسماء,8,0),0)</f>
        <v>0</v>
      </c>
      <c r="M582" s="588"/>
      <c r="N582" s="587">
        <f>IFERROR(VLOOKUP($B582,اسماء,9,0),0)</f>
        <v>0</v>
      </c>
      <c r="O582" s="605"/>
      <c r="P582" s="587">
        <f>IFERROR(VLOOKUP($B582,اسماء,10,0),0)</f>
        <v>0</v>
      </c>
      <c r="Q582" s="605"/>
      <c r="R582" s="606">
        <f>IFERROR(VLOOKUP($B582,اسماء,11,0),0)</f>
        <v>0</v>
      </c>
      <c r="S582" s="591"/>
      <c r="T582" s="587">
        <f>IFERROR(VLOOKUP($B582,اسماء,12,0),0)</f>
        <v>0</v>
      </c>
      <c r="U582" s="591"/>
      <c r="V582" s="263">
        <f t="shared" ref="V582:V584" si="1757">SUM(F582:U582)</f>
        <v>0</v>
      </c>
      <c r="W582" s="373">
        <f>IFERROR(VLOOKUP($B582,اسماء,14,0),0)</f>
        <v>0</v>
      </c>
      <c r="X582" s="373">
        <f>IFERROR(VLOOKUP($B582,اسماء,15,0),0)</f>
        <v>0</v>
      </c>
      <c r="Y582" s="595" t="str">
        <f t="shared" ref="Y582" si="1758">IF(AC582="غائب","راسب",IF(AND(F585&gt;=$G$8,H585&gt;=$I$8,J585&gt;=$K$8,L585&gt;=$M$8,N585&gt;=$O$8,P585&gt;=$Q$8,R585&gt;=$S$8,T585&gt;=$U$8),"ناجح","له دور ثان"))</f>
        <v>له دور ثان</v>
      </c>
      <c r="Z582" s="21" t="str">
        <f t="shared" ref="Z582:Z583" si="1759">LOOKUP(V582,$AF$6:$AG$10)</f>
        <v>ضعيف</v>
      </c>
      <c r="AA582" s="656">
        <f t="shared" ref="AA582" si="1760">V585/$AF$3</f>
        <v>0</v>
      </c>
      <c r="AB582" s="72"/>
      <c r="AC582" s="653" t="str">
        <f>IFERROR(VLOOKUP($B582,اسماء,54,0),"")</f>
        <v/>
      </c>
      <c r="AN582" s="607" t="str">
        <f t="shared" ref="AN582" si="1761">IF(V585=0,"",V585/1+ROW()*0.00001)</f>
        <v/>
      </c>
      <c r="AO582" s="607">
        <f>B582</f>
        <v>0</v>
      </c>
      <c r="AP582" s="613"/>
      <c r="AQ582" s="612">
        <v>126</v>
      </c>
      <c r="AR582" s="611" t="str">
        <f>IFERROR(LARGE($AN$10:$AN$1006,AQ582),"")</f>
        <v/>
      </c>
      <c r="AS582" s="612" t="str">
        <f>VLOOKUP(AR582,$AN$10:$AO$1116,2,0)</f>
        <v>أحمد نورالدين أحمد الذيب</v>
      </c>
    </row>
    <row r="583" spans="1:45" ht="15" customHeight="1" thickBot="1" x14ac:dyDescent="0.3">
      <c r="A583" s="633"/>
      <c r="B583" s="630"/>
      <c r="C583" s="622"/>
      <c r="D583" s="625"/>
      <c r="E583" s="133" t="s">
        <v>31</v>
      </c>
      <c r="F583" s="589">
        <f>IFERROR(VLOOKUP($B582,اسماء,18,0),0)</f>
        <v>0</v>
      </c>
      <c r="G583" s="592"/>
      <c r="H583" s="608">
        <f>IFERROR(VLOOKUP($B582,اسماء,19,0),0)</f>
        <v>0</v>
      </c>
      <c r="I583" s="609"/>
      <c r="J583" s="589">
        <f>IFERROR(VLOOKUP($B582,اسماء,20,0),0)</f>
        <v>0</v>
      </c>
      <c r="K583" s="592"/>
      <c r="L583" s="589">
        <f>IFERROR(VLOOKUP($B582,اسماء,21,0),0)</f>
        <v>0</v>
      </c>
      <c r="M583" s="590"/>
      <c r="N583" s="589">
        <f>IFERROR(VLOOKUP($B582,اسماء,22,0),0)</f>
        <v>0</v>
      </c>
      <c r="O583" s="590"/>
      <c r="P583" s="589">
        <f>IFERROR(VLOOKUP($B582,اسماء,23,0),0)</f>
        <v>0</v>
      </c>
      <c r="Q583" s="609"/>
      <c r="R583" s="603">
        <f>IFERROR(VLOOKUP($B582,اسماء,24,0),0)</f>
        <v>0</v>
      </c>
      <c r="S583" s="592"/>
      <c r="T583" s="589">
        <f>IFERROR(VLOOKUP($B582,اسماء,25,0),0)</f>
        <v>0</v>
      </c>
      <c r="U583" s="592"/>
      <c r="V583" s="263">
        <f t="shared" si="1757"/>
        <v>0</v>
      </c>
      <c r="W583" s="373">
        <f>IFERROR(VLOOKUP($B582,اسماء,27,0),0)</f>
        <v>0</v>
      </c>
      <c r="X583" s="373">
        <f>IFERROR(VLOOKUP($B582,اسماء,28,0),0)</f>
        <v>0</v>
      </c>
      <c r="Y583" s="596"/>
      <c r="Z583" s="22" t="str">
        <f t="shared" si="1759"/>
        <v>ضعيف</v>
      </c>
      <c r="AA583" s="657"/>
      <c r="AB583" s="72"/>
      <c r="AC583" s="654"/>
      <c r="AN583" s="607"/>
      <c r="AO583" s="607"/>
      <c r="AP583" s="613"/>
      <c r="AQ583" s="612"/>
      <c r="AR583" s="611"/>
      <c r="AS583" s="612"/>
    </row>
    <row r="584" spans="1:45" ht="15" customHeight="1" x14ac:dyDescent="0.25">
      <c r="A584" s="633"/>
      <c r="B584" s="630"/>
      <c r="C584" s="622"/>
      <c r="D584" s="625"/>
      <c r="E584" s="133" t="s">
        <v>32</v>
      </c>
      <c r="F584" s="589">
        <f>IFERROR(VLOOKUP($B582,اسماء,31,0),0)</f>
        <v>0</v>
      </c>
      <c r="G584" s="592"/>
      <c r="H584" s="608">
        <f>IFERROR(VLOOKUP($B582,اسماء,32,0),0)</f>
        <v>0</v>
      </c>
      <c r="I584" s="609"/>
      <c r="J584" s="589">
        <f>IFERROR(VLOOKUP($B582,اسماء,33,0),0)</f>
        <v>0</v>
      </c>
      <c r="K584" s="592"/>
      <c r="L584" s="589">
        <f>IFERROR(VLOOKUP($B582,اسماء,34,0),0)</f>
        <v>0</v>
      </c>
      <c r="M584" s="590"/>
      <c r="N584" s="589">
        <f>IFERROR(VLOOKUP($B582,اسماء,35,0),0)</f>
        <v>0</v>
      </c>
      <c r="O584" s="590"/>
      <c r="P584" s="589">
        <f>IFERROR(VLOOKUP($B582,اسماء,36,0),0)</f>
        <v>0</v>
      </c>
      <c r="Q584" s="609"/>
      <c r="R584" s="603">
        <f>IFERROR(VLOOKUP($B582,اسماء,37,0),0)</f>
        <v>0</v>
      </c>
      <c r="S584" s="592"/>
      <c r="T584" s="589">
        <f>IFERROR(VLOOKUP($B582,اسماء,38,0),0)</f>
        <v>0</v>
      </c>
      <c r="U584" s="592"/>
      <c r="V584" s="263">
        <f t="shared" si="1757"/>
        <v>0</v>
      </c>
      <c r="W584" s="373">
        <f>IFERROR(VLOOKUP($B582,اسماء,40,0),0)</f>
        <v>0</v>
      </c>
      <c r="X584" s="373">
        <f>IFERROR(VLOOKUP($B582,اسماء,41,0),0)</f>
        <v>0</v>
      </c>
      <c r="Y584" s="596"/>
      <c r="Z584" s="22" t="str">
        <f t="shared" ref="Z584" si="1762">LOOKUP(V584,$AI$6:$AJ$10)</f>
        <v>ضعيف</v>
      </c>
      <c r="AA584" s="657"/>
      <c r="AB584" s="10"/>
      <c r="AC584" s="654"/>
      <c r="AN584" s="607"/>
      <c r="AO584" s="607"/>
      <c r="AP584" s="613"/>
      <c r="AQ584" s="612"/>
      <c r="AR584" s="611"/>
      <c r="AS584" s="612"/>
    </row>
    <row r="585" spans="1:45" ht="15" customHeight="1" thickBot="1" x14ac:dyDescent="0.3">
      <c r="A585" s="634"/>
      <c r="B585" s="631"/>
      <c r="C585" s="623"/>
      <c r="D585" s="626"/>
      <c r="E585" s="127" t="s">
        <v>33</v>
      </c>
      <c r="F585" s="585">
        <f t="shared" ref="F585" si="1763">SUM(F582:G584)</f>
        <v>0</v>
      </c>
      <c r="G585" s="593"/>
      <c r="H585" s="604">
        <f t="shared" ref="H585" si="1764">SUM(H582:I584)</f>
        <v>0</v>
      </c>
      <c r="I585" s="601"/>
      <c r="J585" s="585">
        <f t="shared" ref="J585" si="1765">SUM(J582:K584)</f>
        <v>0</v>
      </c>
      <c r="K585" s="593"/>
      <c r="L585" s="585">
        <f t="shared" ref="L585" si="1766">SUM(L582:M584)</f>
        <v>0</v>
      </c>
      <c r="M585" s="586"/>
      <c r="N585" s="585">
        <f t="shared" ref="N585" si="1767">SUM(N582:O584)</f>
        <v>0</v>
      </c>
      <c r="O585" s="586"/>
      <c r="P585" s="585">
        <f t="shared" ref="P585" si="1768">SUM(P582:Q584)</f>
        <v>0</v>
      </c>
      <c r="Q585" s="601"/>
      <c r="R585" s="602">
        <f t="shared" ref="R585" si="1769">SUM(R582:S584)</f>
        <v>0</v>
      </c>
      <c r="S585" s="593"/>
      <c r="T585" s="585">
        <f t="shared" ref="T585" si="1770">SUM(T582:U584)</f>
        <v>0</v>
      </c>
      <c r="U585" s="593"/>
      <c r="V585" s="210">
        <f t="shared" ref="V585" si="1771">IF(AND(F585&gt;=$G$8,H585&gt;=$I$8,L585&gt;=$M$8,P585&gt;=$Q$8,R585&gt;=$S$8,T585&gt;=$U$8),SUM(F585:U585),0)</f>
        <v>0</v>
      </c>
      <c r="W585" s="264"/>
      <c r="X585" s="97"/>
      <c r="Y585" s="597"/>
      <c r="Z585" s="91" t="str">
        <f t="shared" ref="Z585" si="1772">LOOKUP(V585,$AL$6:$AM$10)</f>
        <v>ضعيف</v>
      </c>
      <c r="AA585" s="658"/>
      <c r="AB585" s="72"/>
      <c r="AC585" s="655"/>
      <c r="AN585" s="607"/>
      <c r="AO585" s="607"/>
      <c r="AP585" s="613"/>
      <c r="AQ585" s="612"/>
      <c r="AR585" s="611"/>
      <c r="AS585" s="612"/>
    </row>
    <row r="586" spans="1:45" ht="15" customHeight="1" thickBot="1" x14ac:dyDescent="0.3">
      <c r="A586" s="632">
        <v>127</v>
      </c>
      <c r="B586" s="629">
        <f>VLOOKUP(A586,مسلسل,2,0)</f>
        <v>0</v>
      </c>
      <c r="C586" s="621" t="str">
        <f>IFERROR(VLOOKUP(B586,اسماء,2,0),"")</f>
        <v/>
      </c>
      <c r="D586" s="624" t="str">
        <f>IFERROR(VLOOKUP($B586,اسماء,3,0),"")</f>
        <v/>
      </c>
      <c r="E586" s="132" t="s">
        <v>30</v>
      </c>
      <c r="F586" s="627">
        <f>IFERROR(VLOOKUP($B586,اسماء,5,0),0)</f>
        <v>0</v>
      </c>
      <c r="G586" s="606"/>
      <c r="H586" s="628">
        <f>IFERROR(VLOOKUP($B586,اسماء,6,0),0)</f>
        <v>0</v>
      </c>
      <c r="I586" s="605"/>
      <c r="J586" s="587">
        <f>IFERROR(VLOOKUP($B586,اسماء,7,0),0)</f>
        <v>0</v>
      </c>
      <c r="K586" s="591"/>
      <c r="L586" s="587">
        <f>IFERROR(VLOOKUP($B586,اسماء,8,0),0)</f>
        <v>0</v>
      </c>
      <c r="M586" s="588"/>
      <c r="N586" s="587">
        <f>IFERROR(VLOOKUP($B586,اسماء,9,0),0)</f>
        <v>0</v>
      </c>
      <c r="O586" s="605"/>
      <c r="P586" s="587">
        <f>IFERROR(VLOOKUP($B586,اسماء,10,0),0)</f>
        <v>0</v>
      </c>
      <c r="Q586" s="605"/>
      <c r="R586" s="606">
        <f>IFERROR(VLOOKUP($B586,اسماء,11,0),0)</f>
        <v>0</v>
      </c>
      <c r="S586" s="591"/>
      <c r="T586" s="587">
        <f>IFERROR(VLOOKUP($B586,اسماء,12,0),0)</f>
        <v>0</v>
      </c>
      <c r="U586" s="591"/>
      <c r="V586" s="263">
        <f t="shared" ref="V586:V588" si="1773">SUM(F586:U586)</f>
        <v>0</v>
      </c>
      <c r="W586" s="373">
        <f>IFERROR(VLOOKUP($B586,اسماء,14,0),0)</f>
        <v>0</v>
      </c>
      <c r="X586" s="373">
        <f>IFERROR(VLOOKUP($B586,اسماء,15,0),0)</f>
        <v>0</v>
      </c>
      <c r="Y586" s="595" t="str">
        <f t="shared" ref="Y586" si="1774">IF(AC586="غائب","راسب",IF(AND(F589&gt;=$G$8,H589&gt;=$I$8,J589&gt;=$K$8,L589&gt;=$M$8,N589&gt;=$O$8,P589&gt;=$Q$8,R589&gt;=$S$8,T589&gt;=$U$8),"ناجح","له دور ثان"))</f>
        <v>له دور ثان</v>
      </c>
      <c r="Z586" s="21" t="str">
        <f t="shared" ref="Z586:Z587" si="1775">LOOKUP(V586,$AF$6:$AG$10)</f>
        <v>ضعيف</v>
      </c>
      <c r="AA586" s="656">
        <f t="shared" ref="AA586" si="1776">V589/$AF$3</f>
        <v>0</v>
      </c>
      <c r="AB586" s="72"/>
      <c r="AC586" s="653" t="str">
        <f>IFERROR(VLOOKUP($B586,اسماء,54,0),"")</f>
        <v/>
      </c>
      <c r="AN586" s="607" t="str">
        <f t="shared" ref="AN586" si="1777">IF(V589=0,"",V589/1+ROW()*0.00001)</f>
        <v/>
      </c>
      <c r="AO586" s="607">
        <f>B586</f>
        <v>0</v>
      </c>
      <c r="AP586" s="613"/>
      <c r="AQ586" s="612">
        <v>127</v>
      </c>
      <c r="AR586" s="611" t="str">
        <f>IFERROR(LARGE($AN$10:$AN$1006,AQ586),"")</f>
        <v/>
      </c>
      <c r="AS586" s="612" t="str">
        <f>VLOOKUP(AR586,$AN$10:$AO$1116,2,0)</f>
        <v>أحمد نورالدين أحمد الذيب</v>
      </c>
    </row>
    <row r="587" spans="1:45" ht="15" customHeight="1" thickBot="1" x14ac:dyDescent="0.3">
      <c r="A587" s="633"/>
      <c r="B587" s="630"/>
      <c r="C587" s="622"/>
      <c r="D587" s="625"/>
      <c r="E587" s="133" t="s">
        <v>31</v>
      </c>
      <c r="F587" s="589">
        <f>IFERROR(VLOOKUP($B586,اسماء,18,0),0)</f>
        <v>0</v>
      </c>
      <c r="G587" s="592"/>
      <c r="H587" s="608">
        <f>IFERROR(VLOOKUP($B586,اسماء,19,0),0)</f>
        <v>0</v>
      </c>
      <c r="I587" s="609"/>
      <c r="J587" s="589">
        <f>IFERROR(VLOOKUP($B586,اسماء,20,0),0)</f>
        <v>0</v>
      </c>
      <c r="K587" s="592"/>
      <c r="L587" s="589">
        <f>IFERROR(VLOOKUP($B586,اسماء,21,0),0)</f>
        <v>0</v>
      </c>
      <c r="M587" s="590"/>
      <c r="N587" s="589">
        <f>IFERROR(VLOOKUP($B586,اسماء,22,0),0)</f>
        <v>0</v>
      </c>
      <c r="O587" s="590"/>
      <c r="P587" s="589">
        <f>IFERROR(VLOOKUP($B586,اسماء,23,0),0)</f>
        <v>0</v>
      </c>
      <c r="Q587" s="609"/>
      <c r="R587" s="603">
        <f>IFERROR(VLOOKUP($B586,اسماء,24,0),0)</f>
        <v>0</v>
      </c>
      <c r="S587" s="592"/>
      <c r="T587" s="589">
        <f>IFERROR(VLOOKUP($B586,اسماء,25,0),0)</f>
        <v>0</v>
      </c>
      <c r="U587" s="592"/>
      <c r="V587" s="263">
        <f t="shared" si="1773"/>
        <v>0</v>
      </c>
      <c r="W587" s="373">
        <f>IFERROR(VLOOKUP($B586,اسماء,27,0),0)</f>
        <v>0</v>
      </c>
      <c r="X587" s="373">
        <f>IFERROR(VLOOKUP($B586,اسماء,28,0),0)</f>
        <v>0</v>
      </c>
      <c r="Y587" s="596"/>
      <c r="Z587" s="22" t="str">
        <f t="shared" si="1775"/>
        <v>ضعيف</v>
      </c>
      <c r="AA587" s="657"/>
      <c r="AB587" s="10"/>
      <c r="AC587" s="654"/>
      <c r="AN587" s="607"/>
      <c r="AO587" s="607"/>
      <c r="AP587" s="613"/>
      <c r="AQ587" s="612"/>
      <c r="AR587" s="611"/>
      <c r="AS587" s="612"/>
    </row>
    <row r="588" spans="1:45" ht="15" customHeight="1" x14ac:dyDescent="0.25">
      <c r="A588" s="633"/>
      <c r="B588" s="630"/>
      <c r="C588" s="622"/>
      <c r="D588" s="625"/>
      <c r="E588" s="133" t="s">
        <v>32</v>
      </c>
      <c r="F588" s="589">
        <f>IFERROR(VLOOKUP($B586,اسماء,31,0),0)</f>
        <v>0</v>
      </c>
      <c r="G588" s="592"/>
      <c r="H588" s="608">
        <f>IFERROR(VLOOKUP($B586,اسماء,32,0),0)</f>
        <v>0</v>
      </c>
      <c r="I588" s="609"/>
      <c r="J588" s="589">
        <f>IFERROR(VLOOKUP($B586,اسماء,33,0),0)</f>
        <v>0</v>
      </c>
      <c r="K588" s="592"/>
      <c r="L588" s="589">
        <f>IFERROR(VLOOKUP($B586,اسماء,34,0),0)</f>
        <v>0</v>
      </c>
      <c r="M588" s="590"/>
      <c r="N588" s="589">
        <f>IFERROR(VLOOKUP($B586,اسماء,35,0),0)</f>
        <v>0</v>
      </c>
      <c r="O588" s="590"/>
      <c r="P588" s="589">
        <f>IFERROR(VLOOKUP($B586,اسماء,36,0),0)</f>
        <v>0</v>
      </c>
      <c r="Q588" s="609"/>
      <c r="R588" s="603">
        <f>IFERROR(VLOOKUP($B586,اسماء,37,0),0)</f>
        <v>0</v>
      </c>
      <c r="S588" s="592"/>
      <c r="T588" s="589">
        <f>IFERROR(VLOOKUP($B586,اسماء,38,0),0)</f>
        <v>0</v>
      </c>
      <c r="U588" s="592"/>
      <c r="V588" s="263">
        <f t="shared" si="1773"/>
        <v>0</v>
      </c>
      <c r="W588" s="373">
        <f>IFERROR(VLOOKUP($B586,اسماء,40,0),0)</f>
        <v>0</v>
      </c>
      <c r="X588" s="373">
        <f>IFERROR(VLOOKUP($B586,اسماء,41,0),0)</f>
        <v>0</v>
      </c>
      <c r="Y588" s="596"/>
      <c r="Z588" s="22" t="str">
        <f t="shared" ref="Z588" si="1778">LOOKUP(V588,$AI$6:$AJ$10)</f>
        <v>ضعيف</v>
      </c>
      <c r="AA588" s="657"/>
      <c r="AB588" s="72"/>
      <c r="AC588" s="654"/>
      <c r="AN588" s="607"/>
      <c r="AO588" s="607"/>
      <c r="AP588" s="613"/>
      <c r="AQ588" s="612"/>
      <c r="AR588" s="611"/>
      <c r="AS588" s="612"/>
    </row>
    <row r="589" spans="1:45" ht="15" customHeight="1" thickBot="1" x14ac:dyDescent="0.3">
      <c r="A589" s="634"/>
      <c r="B589" s="631"/>
      <c r="C589" s="623"/>
      <c r="D589" s="626"/>
      <c r="E589" s="127" t="s">
        <v>33</v>
      </c>
      <c r="F589" s="585">
        <f t="shared" ref="F589" si="1779">SUM(F586:G588)</f>
        <v>0</v>
      </c>
      <c r="G589" s="593"/>
      <c r="H589" s="604">
        <f t="shared" ref="H589" si="1780">SUM(H586:I588)</f>
        <v>0</v>
      </c>
      <c r="I589" s="601"/>
      <c r="J589" s="585">
        <f t="shared" ref="J589" si="1781">SUM(J586:K588)</f>
        <v>0</v>
      </c>
      <c r="K589" s="593"/>
      <c r="L589" s="585">
        <f t="shared" ref="L589" si="1782">SUM(L586:M588)</f>
        <v>0</v>
      </c>
      <c r="M589" s="586"/>
      <c r="N589" s="585">
        <f t="shared" ref="N589" si="1783">SUM(N586:O588)</f>
        <v>0</v>
      </c>
      <c r="O589" s="586"/>
      <c r="P589" s="585">
        <f t="shared" ref="P589" si="1784">SUM(P586:Q588)</f>
        <v>0</v>
      </c>
      <c r="Q589" s="601"/>
      <c r="R589" s="602">
        <f t="shared" ref="R589" si="1785">SUM(R586:S588)</f>
        <v>0</v>
      </c>
      <c r="S589" s="593"/>
      <c r="T589" s="585">
        <f t="shared" ref="T589" si="1786">SUM(T586:U588)</f>
        <v>0</v>
      </c>
      <c r="U589" s="593"/>
      <c r="V589" s="210">
        <f t="shared" ref="V589" si="1787">IF(AND(F589&gt;=$G$8,H589&gt;=$I$8,L589&gt;=$M$8,P589&gt;=$Q$8,R589&gt;=$S$8,T589&gt;=$U$8),SUM(F589:U589),0)</f>
        <v>0</v>
      </c>
      <c r="W589" s="264"/>
      <c r="X589" s="97"/>
      <c r="Y589" s="597"/>
      <c r="Z589" s="91" t="str">
        <f t="shared" ref="Z589" si="1788">LOOKUP(V589,$AL$6:$AM$10)</f>
        <v>ضعيف</v>
      </c>
      <c r="AA589" s="658"/>
      <c r="AB589" s="72"/>
      <c r="AC589" s="655"/>
      <c r="AN589" s="607"/>
      <c r="AO589" s="607"/>
      <c r="AP589" s="613"/>
      <c r="AQ589" s="612"/>
      <c r="AR589" s="611"/>
      <c r="AS589" s="612"/>
    </row>
    <row r="590" spans="1:45" ht="15" customHeight="1" thickBot="1" x14ac:dyDescent="0.3">
      <c r="A590" s="632">
        <v>128</v>
      </c>
      <c r="B590" s="629">
        <f>VLOOKUP(A590,مسلسل,2,0)</f>
        <v>0</v>
      </c>
      <c r="C590" s="621" t="str">
        <f>IFERROR(VLOOKUP(B590,اسماء,2,0),"")</f>
        <v/>
      </c>
      <c r="D590" s="624" t="str">
        <f>IFERROR(VLOOKUP($B590,اسماء,3,0),"")</f>
        <v/>
      </c>
      <c r="E590" s="132" t="s">
        <v>30</v>
      </c>
      <c r="F590" s="627">
        <f>IFERROR(VLOOKUP($B590,اسماء,5,0),0)</f>
        <v>0</v>
      </c>
      <c r="G590" s="606"/>
      <c r="H590" s="628">
        <f>IFERROR(VLOOKUP($B590,اسماء,6,0),0)</f>
        <v>0</v>
      </c>
      <c r="I590" s="605"/>
      <c r="J590" s="587">
        <f>IFERROR(VLOOKUP($B590,اسماء,7,0),0)</f>
        <v>0</v>
      </c>
      <c r="K590" s="591"/>
      <c r="L590" s="587">
        <f>IFERROR(VLOOKUP($B590,اسماء,8,0),0)</f>
        <v>0</v>
      </c>
      <c r="M590" s="588"/>
      <c r="N590" s="587">
        <f>IFERROR(VLOOKUP($B590,اسماء,9,0),0)</f>
        <v>0</v>
      </c>
      <c r="O590" s="605"/>
      <c r="P590" s="587">
        <f>IFERROR(VLOOKUP($B590,اسماء,10,0),0)</f>
        <v>0</v>
      </c>
      <c r="Q590" s="605"/>
      <c r="R590" s="606">
        <f>IFERROR(VLOOKUP($B590,اسماء,11,0),0)</f>
        <v>0</v>
      </c>
      <c r="S590" s="591"/>
      <c r="T590" s="587">
        <f>IFERROR(VLOOKUP($B590,اسماء,12,0),0)</f>
        <v>0</v>
      </c>
      <c r="U590" s="591"/>
      <c r="V590" s="263">
        <f t="shared" ref="V590:V592" si="1789">SUM(F590:U590)</f>
        <v>0</v>
      </c>
      <c r="W590" s="373">
        <f>IFERROR(VLOOKUP($B590,اسماء,14,0),0)</f>
        <v>0</v>
      </c>
      <c r="X590" s="373">
        <f>IFERROR(VLOOKUP($B590,اسماء,15,0),0)</f>
        <v>0</v>
      </c>
      <c r="Y590" s="595" t="str">
        <f t="shared" ref="Y590" si="1790">IF(AC590="غائب","راسب",IF(AND(F593&gt;=$G$8,H593&gt;=$I$8,J593&gt;=$K$8,L593&gt;=$M$8,N593&gt;=$O$8,P593&gt;=$Q$8,R593&gt;=$S$8,T593&gt;=$U$8),"ناجح","له دور ثان"))</f>
        <v>له دور ثان</v>
      </c>
      <c r="Z590" s="21" t="str">
        <f t="shared" ref="Z590:Z591" si="1791">LOOKUP(V590,$AF$6:$AG$10)</f>
        <v>ضعيف</v>
      </c>
      <c r="AA590" s="656">
        <f t="shared" ref="AA590" si="1792">V593/$AF$3</f>
        <v>0</v>
      </c>
      <c r="AB590" s="10"/>
      <c r="AC590" s="653" t="str">
        <f>IFERROR(VLOOKUP($B590,اسماء,54,0),"")</f>
        <v/>
      </c>
      <c r="AN590" s="607" t="str">
        <f t="shared" ref="AN590" si="1793">IF(V593=0,"",V593/1+ROW()*0.00001)</f>
        <v/>
      </c>
      <c r="AO590" s="607">
        <f>B590</f>
        <v>0</v>
      </c>
      <c r="AP590" s="613"/>
      <c r="AQ590" s="612">
        <v>128</v>
      </c>
      <c r="AR590" s="611" t="str">
        <f>IFERROR(LARGE($AN$10:$AN$1006,AQ590),"")</f>
        <v/>
      </c>
      <c r="AS590" s="612" t="str">
        <f>VLOOKUP(AR590,$AN$10:$AO$1116,2,0)</f>
        <v>أحمد نورالدين أحمد الذيب</v>
      </c>
    </row>
    <row r="591" spans="1:45" ht="15" customHeight="1" thickBot="1" x14ac:dyDescent="0.3">
      <c r="A591" s="633"/>
      <c r="B591" s="630"/>
      <c r="C591" s="622"/>
      <c r="D591" s="625"/>
      <c r="E591" s="133" t="s">
        <v>31</v>
      </c>
      <c r="F591" s="589">
        <f>IFERROR(VLOOKUP($B590,اسماء,18,0),0)</f>
        <v>0</v>
      </c>
      <c r="G591" s="592"/>
      <c r="H591" s="608">
        <f>IFERROR(VLOOKUP($B590,اسماء,19,0),0)</f>
        <v>0</v>
      </c>
      <c r="I591" s="609"/>
      <c r="J591" s="589">
        <f>IFERROR(VLOOKUP($B590,اسماء,20,0),0)</f>
        <v>0</v>
      </c>
      <c r="K591" s="592"/>
      <c r="L591" s="589">
        <f>IFERROR(VLOOKUP($B590,اسماء,21,0),0)</f>
        <v>0</v>
      </c>
      <c r="M591" s="590"/>
      <c r="N591" s="589">
        <f>IFERROR(VLOOKUP($B590,اسماء,22,0),0)</f>
        <v>0</v>
      </c>
      <c r="O591" s="590"/>
      <c r="P591" s="589">
        <f>IFERROR(VLOOKUP($B590,اسماء,23,0),0)</f>
        <v>0</v>
      </c>
      <c r="Q591" s="609"/>
      <c r="R591" s="603">
        <f>IFERROR(VLOOKUP($B590,اسماء,24,0),0)</f>
        <v>0</v>
      </c>
      <c r="S591" s="592"/>
      <c r="T591" s="589">
        <f>IFERROR(VLOOKUP($B590,اسماء,25,0),0)</f>
        <v>0</v>
      </c>
      <c r="U591" s="592"/>
      <c r="V591" s="263">
        <f t="shared" si="1789"/>
        <v>0</v>
      </c>
      <c r="W591" s="373">
        <f>IFERROR(VLOOKUP($B590,اسماء,27,0),0)</f>
        <v>0</v>
      </c>
      <c r="X591" s="373">
        <f>IFERROR(VLOOKUP($B590,اسماء,28,0),0)</f>
        <v>0</v>
      </c>
      <c r="Y591" s="596"/>
      <c r="Z591" s="22" t="str">
        <f t="shared" si="1791"/>
        <v>ضعيف</v>
      </c>
      <c r="AA591" s="657"/>
      <c r="AB591" s="72"/>
      <c r="AC591" s="654"/>
      <c r="AN591" s="607"/>
      <c r="AO591" s="607"/>
      <c r="AP591" s="613"/>
      <c r="AQ591" s="612"/>
      <c r="AR591" s="611"/>
      <c r="AS591" s="612"/>
    </row>
    <row r="592" spans="1:45" ht="15" customHeight="1" x14ac:dyDescent="0.25">
      <c r="A592" s="633"/>
      <c r="B592" s="630"/>
      <c r="C592" s="622"/>
      <c r="D592" s="625"/>
      <c r="E592" s="133" t="s">
        <v>32</v>
      </c>
      <c r="F592" s="589">
        <f>IFERROR(VLOOKUP($B590,اسماء,31,0),0)</f>
        <v>0</v>
      </c>
      <c r="G592" s="592"/>
      <c r="H592" s="608">
        <f>IFERROR(VLOOKUP($B590,اسماء,32,0),0)</f>
        <v>0</v>
      </c>
      <c r="I592" s="609"/>
      <c r="J592" s="589">
        <f>IFERROR(VLOOKUP($B590,اسماء,33,0),0)</f>
        <v>0</v>
      </c>
      <c r="K592" s="592"/>
      <c r="L592" s="589">
        <f>IFERROR(VLOOKUP($B590,اسماء,34,0),0)</f>
        <v>0</v>
      </c>
      <c r="M592" s="590"/>
      <c r="N592" s="589">
        <f>IFERROR(VLOOKUP($B590,اسماء,35,0),0)</f>
        <v>0</v>
      </c>
      <c r="O592" s="590"/>
      <c r="P592" s="589">
        <f>IFERROR(VLOOKUP($B590,اسماء,36,0),0)</f>
        <v>0</v>
      </c>
      <c r="Q592" s="609"/>
      <c r="R592" s="603">
        <f>IFERROR(VLOOKUP($B590,اسماء,37,0),0)</f>
        <v>0</v>
      </c>
      <c r="S592" s="592"/>
      <c r="T592" s="589">
        <f>IFERROR(VLOOKUP($B590,اسماء,38,0),0)</f>
        <v>0</v>
      </c>
      <c r="U592" s="592"/>
      <c r="V592" s="263">
        <f t="shared" si="1789"/>
        <v>0</v>
      </c>
      <c r="W592" s="373">
        <f>IFERROR(VLOOKUP($B590,اسماء,40,0),0)</f>
        <v>0</v>
      </c>
      <c r="X592" s="373">
        <f>IFERROR(VLOOKUP($B590,اسماء,41,0),0)</f>
        <v>0</v>
      </c>
      <c r="Y592" s="596"/>
      <c r="Z592" s="22" t="str">
        <f t="shared" ref="Z592" si="1794">LOOKUP(V592,$AI$6:$AJ$10)</f>
        <v>ضعيف</v>
      </c>
      <c r="AA592" s="657"/>
      <c r="AB592" s="72"/>
      <c r="AC592" s="654"/>
      <c r="AN592" s="607"/>
      <c r="AO592" s="607"/>
      <c r="AP592" s="613"/>
      <c r="AQ592" s="612"/>
      <c r="AR592" s="611"/>
      <c r="AS592" s="612"/>
    </row>
    <row r="593" spans="1:45" ht="15" customHeight="1" thickBot="1" x14ac:dyDescent="0.3">
      <c r="A593" s="634"/>
      <c r="B593" s="631"/>
      <c r="C593" s="623"/>
      <c r="D593" s="626"/>
      <c r="E593" s="127" t="s">
        <v>33</v>
      </c>
      <c r="F593" s="585">
        <f t="shared" ref="F593" si="1795">SUM(F590:G592)</f>
        <v>0</v>
      </c>
      <c r="G593" s="593"/>
      <c r="H593" s="604">
        <f t="shared" ref="H593" si="1796">SUM(H590:I592)</f>
        <v>0</v>
      </c>
      <c r="I593" s="601"/>
      <c r="J593" s="585">
        <f t="shared" ref="J593" si="1797">SUM(J590:K592)</f>
        <v>0</v>
      </c>
      <c r="K593" s="593"/>
      <c r="L593" s="585">
        <f t="shared" ref="L593" si="1798">SUM(L590:M592)</f>
        <v>0</v>
      </c>
      <c r="M593" s="586"/>
      <c r="N593" s="585">
        <f t="shared" ref="N593" si="1799">SUM(N590:O592)</f>
        <v>0</v>
      </c>
      <c r="O593" s="586"/>
      <c r="P593" s="585">
        <f t="shared" ref="P593" si="1800">SUM(P590:Q592)</f>
        <v>0</v>
      </c>
      <c r="Q593" s="601"/>
      <c r="R593" s="602">
        <f t="shared" ref="R593" si="1801">SUM(R590:S592)</f>
        <v>0</v>
      </c>
      <c r="S593" s="593"/>
      <c r="T593" s="585">
        <f t="shared" ref="T593" si="1802">SUM(T590:U592)</f>
        <v>0</v>
      </c>
      <c r="U593" s="593"/>
      <c r="V593" s="210">
        <f t="shared" ref="V593" si="1803">IF(AND(F593&gt;=$G$8,H593&gt;=$I$8,L593&gt;=$M$8,P593&gt;=$Q$8,R593&gt;=$S$8,T593&gt;=$U$8),SUM(F593:U593),0)</f>
        <v>0</v>
      </c>
      <c r="W593" s="264"/>
      <c r="X593" s="97"/>
      <c r="Y593" s="597"/>
      <c r="Z593" s="91" t="str">
        <f t="shared" ref="Z593" si="1804">LOOKUP(V593,$AL$6:$AM$10)</f>
        <v>ضعيف</v>
      </c>
      <c r="AA593" s="658"/>
      <c r="AB593" s="10"/>
      <c r="AC593" s="655"/>
      <c r="AN593" s="607"/>
      <c r="AO593" s="607"/>
      <c r="AP593" s="613"/>
      <c r="AQ593" s="612"/>
      <c r="AR593" s="611"/>
      <c r="AS593" s="612"/>
    </row>
    <row r="594" spans="1:45" ht="15" customHeight="1" thickBot="1" x14ac:dyDescent="0.3">
      <c r="A594" s="632">
        <v>129</v>
      </c>
      <c r="B594" s="629">
        <f>VLOOKUP(A594,مسلسل,2,0)</f>
        <v>0</v>
      </c>
      <c r="C594" s="621" t="str">
        <f>IFERROR(VLOOKUP(B594,اسماء,2,0),"")</f>
        <v/>
      </c>
      <c r="D594" s="624" t="str">
        <f>IFERROR(VLOOKUP($B594,اسماء,3,0),"")</f>
        <v/>
      </c>
      <c r="E594" s="132" t="s">
        <v>30</v>
      </c>
      <c r="F594" s="627">
        <f>IFERROR(VLOOKUP($B594,اسماء,5,0),0)</f>
        <v>0</v>
      </c>
      <c r="G594" s="606"/>
      <c r="H594" s="628">
        <f>IFERROR(VLOOKUP($B594,اسماء,6,0),0)</f>
        <v>0</v>
      </c>
      <c r="I594" s="605"/>
      <c r="J594" s="587">
        <f>IFERROR(VLOOKUP($B594,اسماء,7,0),0)</f>
        <v>0</v>
      </c>
      <c r="K594" s="591"/>
      <c r="L594" s="587">
        <f>IFERROR(VLOOKUP($B594,اسماء,8,0),0)</f>
        <v>0</v>
      </c>
      <c r="M594" s="588"/>
      <c r="N594" s="587">
        <f>IFERROR(VLOOKUP($B594,اسماء,9,0),0)</f>
        <v>0</v>
      </c>
      <c r="O594" s="605"/>
      <c r="P594" s="587">
        <f>IFERROR(VLOOKUP($B594,اسماء,10,0),0)</f>
        <v>0</v>
      </c>
      <c r="Q594" s="605"/>
      <c r="R594" s="606">
        <f>IFERROR(VLOOKUP($B594,اسماء,11,0),0)</f>
        <v>0</v>
      </c>
      <c r="S594" s="591"/>
      <c r="T594" s="587">
        <f>IFERROR(VLOOKUP($B594,اسماء,12,0),0)</f>
        <v>0</v>
      </c>
      <c r="U594" s="591"/>
      <c r="V594" s="263">
        <f t="shared" ref="V594:V596" si="1805">SUM(F594:U594)</f>
        <v>0</v>
      </c>
      <c r="W594" s="373">
        <f>IFERROR(VLOOKUP($B594,اسماء,14,0),0)</f>
        <v>0</v>
      </c>
      <c r="X594" s="373">
        <f>IFERROR(VLOOKUP($B594,اسماء,15,0),0)</f>
        <v>0</v>
      </c>
      <c r="Y594" s="595" t="str">
        <f t="shared" ref="Y594" si="1806">IF(AC594="غائب","راسب",IF(AND(F597&gt;=$G$8,H597&gt;=$I$8,J597&gt;=$K$8,L597&gt;=$M$8,N597&gt;=$O$8,P597&gt;=$Q$8,R597&gt;=$S$8,T597&gt;=$U$8),"ناجح","له دور ثان"))</f>
        <v>له دور ثان</v>
      </c>
      <c r="Z594" s="21" t="str">
        <f t="shared" ref="Z594:Z595" si="1807">LOOKUP(V594,$AF$6:$AG$10)</f>
        <v>ضعيف</v>
      </c>
      <c r="AA594" s="656">
        <f t="shared" ref="AA594" si="1808">V597/$AF$3</f>
        <v>0</v>
      </c>
      <c r="AB594" s="72"/>
      <c r="AC594" s="653" t="str">
        <f>IFERROR(VLOOKUP($B594,اسماء,54,0),"")</f>
        <v/>
      </c>
      <c r="AN594" s="607" t="str">
        <f t="shared" ref="AN594" si="1809">IF(V597=0,"",V597/1+ROW()*0.00001)</f>
        <v/>
      </c>
      <c r="AO594" s="607">
        <f>B594</f>
        <v>0</v>
      </c>
      <c r="AP594" s="613"/>
      <c r="AQ594" s="612">
        <v>129</v>
      </c>
      <c r="AR594" s="611" t="str">
        <f>IFERROR(LARGE($AN$10:$AN$1006,AQ594),"")</f>
        <v/>
      </c>
      <c r="AS594" s="612" t="str">
        <f>VLOOKUP(AR594,$AN$10:$AO$1116,2,0)</f>
        <v>أحمد نورالدين أحمد الذيب</v>
      </c>
    </row>
    <row r="595" spans="1:45" ht="15" customHeight="1" thickBot="1" x14ac:dyDescent="0.3">
      <c r="A595" s="633"/>
      <c r="B595" s="630"/>
      <c r="C595" s="622"/>
      <c r="D595" s="625"/>
      <c r="E595" s="133" t="s">
        <v>31</v>
      </c>
      <c r="F595" s="589">
        <f>IFERROR(VLOOKUP($B594,اسماء,18,0),0)</f>
        <v>0</v>
      </c>
      <c r="G595" s="592"/>
      <c r="H595" s="608">
        <f>IFERROR(VLOOKUP($B594,اسماء,19,0),0)</f>
        <v>0</v>
      </c>
      <c r="I595" s="609"/>
      <c r="J595" s="589">
        <f>IFERROR(VLOOKUP($B594,اسماء,20,0),0)</f>
        <v>0</v>
      </c>
      <c r="K595" s="592"/>
      <c r="L595" s="589">
        <f>IFERROR(VLOOKUP($B594,اسماء,21,0),0)</f>
        <v>0</v>
      </c>
      <c r="M595" s="590"/>
      <c r="N595" s="589">
        <f>IFERROR(VLOOKUP($B594,اسماء,22,0),0)</f>
        <v>0</v>
      </c>
      <c r="O595" s="590"/>
      <c r="P595" s="589">
        <f>IFERROR(VLOOKUP($B594,اسماء,23,0),0)</f>
        <v>0</v>
      </c>
      <c r="Q595" s="609"/>
      <c r="R595" s="603">
        <f>IFERROR(VLOOKUP($B594,اسماء,24,0),0)</f>
        <v>0</v>
      </c>
      <c r="S595" s="592"/>
      <c r="T595" s="589">
        <f>IFERROR(VLOOKUP($B594,اسماء,25,0),0)</f>
        <v>0</v>
      </c>
      <c r="U595" s="592"/>
      <c r="V595" s="263">
        <f t="shared" si="1805"/>
        <v>0</v>
      </c>
      <c r="W595" s="373">
        <f>IFERROR(VLOOKUP($B594,اسماء,27,0),0)</f>
        <v>0</v>
      </c>
      <c r="X595" s="373">
        <f>IFERROR(VLOOKUP($B594,اسماء,28,0),0)</f>
        <v>0</v>
      </c>
      <c r="Y595" s="596"/>
      <c r="Z595" s="22" t="str">
        <f t="shared" si="1807"/>
        <v>ضعيف</v>
      </c>
      <c r="AA595" s="657"/>
      <c r="AB595" s="72"/>
      <c r="AC595" s="654"/>
      <c r="AN595" s="607"/>
      <c r="AO595" s="607"/>
      <c r="AP595" s="613"/>
      <c r="AQ595" s="612"/>
      <c r="AR595" s="611"/>
      <c r="AS595" s="612"/>
    </row>
    <row r="596" spans="1:45" ht="15" customHeight="1" x14ac:dyDescent="0.25">
      <c r="A596" s="633"/>
      <c r="B596" s="630"/>
      <c r="C596" s="622"/>
      <c r="D596" s="625"/>
      <c r="E596" s="133" t="s">
        <v>32</v>
      </c>
      <c r="F596" s="589">
        <f>IFERROR(VLOOKUP($B594,اسماء,31,0),0)</f>
        <v>0</v>
      </c>
      <c r="G596" s="592"/>
      <c r="H596" s="608">
        <f>IFERROR(VLOOKUP($B594,اسماء,32,0),0)</f>
        <v>0</v>
      </c>
      <c r="I596" s="609"/>
      <c r="J596" s="589">
        <f>IFERROR(VLOOKUP($B594,اسماء,33,0),0)</f>
        <v>0</v>
      </c>
      <c r="K596" s="592"/>
      <c r="L596" s="589">
        <f>IFERROR(VLOOKUP($B594,اسماء,34,0),0)</f>
        <v>0</v>
      </c>
      <c r="M596" s="590"/>
      <c r="N596" s="589">
        <f>IFERROR(VLOOKUP($B594,اسماء,35,0),0)</f>
        <v>0</v>
      </c>
      <c r="O596" s="590"/>
      <c r="P596" s="589">
        <f>IFERROR(VLOOKUP($B594,اسماء,36,0),0)</f>
        <v>0</v>
      </c>
      <c r="Q596" s="609"/>
      <c r="R596" s="603">
        <f>IFERROR(VLOOKUP($B594,اسماء,37,0),0)</f>
        <v>0</v>
      </c>
      <c r="S596" s="592"/>
      <c r="T596" s="589">
        <f>IFERROR(VLOOKUP($B594,اسماء,38,0),0)</f>
        <v>0</v>
      </c>
      <c r="U596" s="592"/>
      <c r="V596" s="263">
        <f t="shared" si="1805"/>
        <v>0</v>
      </c>
      <c r="W596" s="373">
        <f>IFERROR(VLOOKUP($B594,اسماء,40,0),0)</f>
        <v>0</v>
      </c>
      <c r="X596" s="373">
        <f>IFERROR(VLOOKUP($B594,اسماء,41,0),0)</f>
        <v>0</v>
      </c>
      <c r="Y596" s="596"/>
      <c r="Z596" s="22" t="str">
        <f t="shared" ref="Z596" si="1810">LOOKUP(V596,$AI$6:$AJ$10)</f>
        <v>ضعيف</v>
      </c>
      <c r="AA596" s="657"/>
      <c r="AB596" s="10"/>
      <c r="AC596" s="654"/>
      <c r="AN596" s="607"/>
      <c r="AO596" s="607"/>
      <c r="AP596" s="613"/>
      <c r="AQ596" s="612"/>
      <c r="AR596" s="611"/>
      <c r="AS596" s="612"/>
    </row>
    <row r="597" spans="1:45" ht="15" customHeight="1" thickBot="1" x14ac:dyDescent="0.3">
      <c r="A597" s="634"/>
      <c r="B597" s="631"/>
      <c r="C597" s="623"/>
      <c r="D597" s="626"/>
      <c r="E597" s="127" t="s">
        <v>33</v>
      </c>
      <c r="F597" s="585">
        <f t="shared" ref="F597" si="1811">SUM(F594:G596)</f>
        <v>0</v>
      </c>
      <c r="G597" s="593"/>
      <c r="H597" s="604">
        <f t="shared" ref="H597" si="1812">SUM(H594:I596)</f>
        <v>0</v>
      </c>
      <c r="I597" s="601"/>
      <c r="J597" s="585">
        <f t="shared" ref="J597" si="1813">SUM(J594:K596)</f>
        <v>0</v>
      </c>
      <c r="K597" s="593"/>
      <c r="L597" s="585">
        <f t="shared" ref="L597" si="1814">SUM(L594:M596)</f>
        <v>0</v>
      </c>
      <c r="M597" s="586"/>
      <c r="N597" s="585">
        <f t="shared" ref="N597" si="1815">SUM(N594:O596)</f>
        <v>0</v>
      </c>
      <c r="O597" s="586"/>
      <c r="P597" s="585">
        <f t="shared" ref="P597" si="1816">SUM(P594:Q596)</f>
        <v>0</v>
      </c>
      <c r="Q597" s="601"/>
      <c r="R597" s="602">
        <f t="shared" ref="R597" si="1817">SUM(R594:S596)</f>
        <v>0</v>
      </c>
      <c r="S597" s="593"/>
      <c r="T597" s="585">
        <f t="shared" ref="T597" si="1818">SUM(T594:U596)</f>
        <v>0</v>
      </c>
      <c r="U597" s="593"/>
      <c r="V597" s="210">
        <f t="shared" ref="V597" si="1819">IF(AND(F597&gt;=$G$8,H597&gt;=$I$8,L597&gt;=$M$8,P597&gt;=$Q$8,R597&gt;=$S$8,T597&gt;=$U$8),SUM(F597:U597),0)</f>
        <v>0</v>
      </c>
      <c r="W597" s="264"/>
      <c r="X597" s="97"/>
      <c r="Y597" s="597"/>
      <c r="Z597" s="91" t="str">
        <f t="shared" ref="Z597" si="1820">LOOKUP(V597,$AL$6:$AM$10)</f>
        <v>ضعيف</v>
      </c>
      <c r="AA597" s="658"/>
      <c r="AB597" s="72"/>
      <c r="AC597" s="655"/>
      <c r="AN597" s="607"/>
      <c r="AO597" s="607"/>
      <c r="AP597" s="613"/>
      <c r="AQ597" s="612"/>
      <c r="AR597" s="611"/>
      <c r="AS597" s="612"/>
    </row>
    <row r="598" spans="1:45" ht="15" customHeight="1" thickBot="1" x14ac:dyDescent="0.3">
      <c r="A598" s="632">
        <v>130</v>
      </c>
      <c r="B598" s="629">
        <f>VLOOKUP(A598,مسلسل,2,0)</f>
        <v>0</v>
      </c>
      <c r="C598" s="621" t="str">
        <f>IFERROR(VLOOKUP(B598,اسماء,2,0),"")</f>
        <v/>
      </c>
      <c r="D598" s="624" t="str">
        <f>IFERROR(VLOOKUP($B598,اسماء,3,0),"")</f>
        <v/>
      </c>
      <c r="E598" s="132" t="s">
        <v>30</v>
      </c>
      <c r="F598" s="627">
        <f>IFERROR(VLOOKUP($B598,اسماء,5,0),0)</f>
        <v>0</v>
      </c>
      <c r="G598" s="606"/>
      <c r="H598" s="628">
        <f>IFERROR(VLOOKUP($B598,اسماء,6,0),0)</f>
        <v>0</v>
      </c>
      <c r="I598" s="605"/>
      <c r="J598" s="587">
        <f>IFERROR(VLOOKUP($B598,اسماء,7,0),0)</f>
        <v>0</v>
      </c>
      <c r="K598" s="591"/>
      <c r="L598" s="587">
        <f>IFERROR(VLOOKUP($B598,اسماء,8,0),0)</f>
        <v>0</v>
      </c>
      <c r="M598" s="588"/>
      <c r="N598" s="587">
        <f>IFERROR(VLOOKUP($B598,اسماء,9,0),0)</f>
        <v>0</v>
      </c>
      <c r="O598" s="605"/>
      <c r="P598" s="587">
        <f>IFERROR(VLOOKUP($B598,اسماء,10,0),0)</f>
        <v>0</v>
      </c>
      <c r="Q598" s="605"/>
      <c r="R598" s="606">
        <f>IFERROR(VLOOKUP($B598,اسماء,11,0),0)</f>
        <v>0</v>
      </c>
      <c r="S598" s="591"/>
      <c r="T598" s="587">
        <f>IFERROR(VLOOKUP($B598,اسماء,12,0),0)</f>
        <v>0</v>
      </c>
      <c r="U598" s="591"/>
      <c r="V598" s="263">
        <f t="shared" ref="V598:V600" si="1821">SUM(F598:U598)</f>
        <v>0</v>
      </c>
      <c r="W598" s="373">
        <f>IFERROR(VLOOKUP($B598,اسماء,14,0),0)</f>
        <v>0</v>
      </c>
      <c r="X598" s="373">
        <f>IFERROR(VLOOKUP($B598,اسماء,15,0),0)</f>
        <v>0</v>
      </c>
      <c r="Y598" s="595" t="str">
        <f t="shared" ref="Y598" si="1822">IF(AC598="غائب","راسب",IF(AND(F601&gt;=$G$8,H601&gt;=$I$8,J601&gt;=$K$8,L601&gt;=$M$8,N601&gt;=$O$8,P601&gt;=$Q$8,R601&gt;=$S$8,T601&gt;=$U$8),"ناجح","له دور ثان"))</f>
        <v>له دور ثان</v>
      </c>
      <c r="Z598" s="21" t="str">
        <f t="shared" ref="Z598:Z599" si="1823">LOOKUP(V598,$AF$6:$AG$10)</f>
        <v>ضعيف</v>
      </c>
      <c r="AA598" s="656">
        <f t="shared" ref="AA598" si="1824">V601/$AF$3</f>
        <v>0</v>
      </c>
      <c r="AB598" s="72"/>
      <c r="AC598" s="653" t="str">
        <f>IFERROR(VLOOKUP($B598,اسماء,54,0),"")</f>
        <v/>
      </c>
      <c r="AN598" s="607" t="str">
        <f t="shared" ref="AN598" si="1825">IF(V601=0,"",V601/1+ROW()*0.00001)</f>
        <v/>
      </c>
      <c r="AO598" s="607">
        <f>B598</f>
        <v>0</v>
      </c>
      <c r="AP598" s="613"/>
      <c r="AQ598" s="612">
        <v>130</v>
      </c>
      <c r="AR598" s="611" t="str">
        <f>IFERROR(LARGE($AN$10:$AN$1006,AQ598),"")</f>
        <v/>
      </c>
      <c r="AS598" s="612" t="str">
        <f>VLOOKUP(AR598,$AN$10:$AO$1116,2,0)</f>
        <v>أحمد نورالدين أحمد الذيب</v>
      </c>
    </row>
    <row r="599" spans="1:45" ht="15" customHeight="1" thickBot="1" x14ac:dyDescent="0.3">
      <c r="A599" s="633"/>
      <c r="B599" s="630"/>
      <c r="C599" s="622"/>
      <c r="D599" s="625"/>
      <c r="E599" s="133" t="s">
        <v>31</v>
      </c>
      <c r="F599" s="589">
        <f>IFERROR(VLOOKUP($B598,اسماء,18,0),0)</f>
        <v>0</v>
      </c>
      <c r="G599" s="592"/>
      <c r="H599" s="608">
        <f>IFERROR(VLOOKUP($B598,اسماء,19,0),0)</f>
        <v>0</v>
      </c>
      <c r="I599" s="609"/>
      <c r="J599" s="589">
        <f>IFERROR(VLOOKUP($B598,اسماء,20,0),0)</f>
        <v>0</v>
      </c>
      <c r="K599" s="592"/>
      <c r="L599" s="589">
        <f>IFERROR(VLOOKUP($B598,اسماء,21,0),0)</f>
        <v>0</v>
      </c>
      <c r="M599" s="590"/>
      <c r="N599" s="589">
        <f>IFERROR(VLOOKUP($B598,اسماء,22,0),0)</f>
        <v>0</v>
      </c>
      <c r="O599" s="590"/>
      <c r="P599" s="589">
        <f>IFERROR(VLOOKUP($B598,اسماء,23,0),0)</f>
        <v>0</v>
      </c>
      <c r="Q599" s="609"/>
      <c r="R599" s="603">
        <f>IFERROR(VLOOKUP($B598,اسماء,24,0),0)</f>
        <v>0</v>
      </c>
      <c r="S599" s="592"/>
      <c r="T599" s="589">
        <f>IFERROR(VLOOKUP($B598,اسماء,25,0),0)</f>
        <v>0</v>
      </c>
      <c r="U599" s="592"/>
      <c r="V599" s="263">
        <f t="shared" si="1821"/>
        <v>0</v>
      </c>
      <c r="W599" s="373">
        <f>IFERROR(VLOOKUP($B598,اسماء,27,0),0)</f>
        <v>0</v>
      </c>
      <c r="X599" s="373">
        <f>IFERROR(VLOOKUP($B598,اسماء,28,0),0)</f>
        <v>0</v>
      </c>
      <c r="Y599" s="596"/>
      <c r="Z599" s="22" t="str">
        <f t="shared" si="1823"/>
        <v>ضعيف</v>
      </c>
      <c r="AA599" s="657"/>
      <c r="AB599" s="10"/>
      <c r="AC599" s="654"/>
      <c r="AN599" s="607"/>
      <c r="AO599" s="607"/>
      <c r="AP599" s="613"/>
      <c r="AQ599" s="612"/>
      <c r="AR599" s="611"/>
      <c r="AS599" s="612"/>
    </row>
    <row r="600" spans="1:45" ht="15" customHeight="1" x14ac:dyDescent="0.25">
      <c r="A600" s="633"/>
      <c r="B600" s="630"/>
      <c r="C600" s="622"/>
      <c r="D600" s="625"/>
      <c r="E600" s="133" t="s">
        <v>32</v>
      </c>
      <c r="F600" s="589">
        <f>IFERROR(VLOOKUP($B598,اسماء,31,0),0)</f>
        <v>0</v>
      </c>
      <c r="G600" s="592"/>
      <c r="H600" s="608">
        <f>IFERROR(VLOOKUP($B598,اسماء,32,0),0)</f>
        <v>0</v>
      </c>
      <c r="I600" s="609"/>
      <c r="J600" s="589">
        <f>IFERROR(VLOOKUP($B598,اسماء,33,0),0)</f>
        <v>0</v>
      </c>
      <c r="K600" s="592"/>
      <c r="L600" s="589">
        <f>IFERROR(VLOOKUP($B598,اسماء,34,0),0)</f>
        <v>0</v>
      </c>
      <c r="M600" s="590"/>
      <c r="N600" s="589">
        <f>IFERROR(VLOOKUP($B598,اسماء,35,0),0)</f>
        <v>0</v>
      </c>
      <c r="O600" s="590"/>
      <c r="P600" s="589">
        <f>IFERROR(VLOOKUP($B598,اسماء,36,0),0)</f>
        <v>0</v>
      </c>
      <c r="Q600" s="609"/>
      <c r="R600" s="603">
        <f>IFERROR(VLOOKUP($B598,اسماء,37,0),0)</f>
        <v>0</v>
      </c>
      <c r="S600" s="592"/>
      <c r="T600" s="589">
        <f>IFERROR(VLOOKUP($B598,اسماء,38,0),0)</f>
        <v>0</v>
      </c>
      <c r="U600" s="592"/>
      <c r="V600" s="263">
        <f t="shared" si="1821"/>
        <v>0</v>
      </c>
      <c r="W600" s="373">
        <f>IFERROR(VLOOKUP($B598,اسماء,40,0),0)</f>
        <v>0</v>
      </c>
      <c r="X600" s="373">
        <f>IFERROR(VLOOKUP($B598,اسماء,41,0),0)</f>
        <v>0</v>
      </c>
      <c r="Y600" s="596"/>
      <c r="Z600" s="22" t="str">
        <f t="shared" ref="Z600" si="1826">LOOKUP(V600,$AI$6:$AJ$10)</f>
        <v>ضعيف</v>
      </c>
      <c r="AA600" s="657"/>
      <c r="AB600" s="72"/>
      <c r="AC600" s="654"/>
      <c r="AN600" s="607"/>
      <c r="AO600" s="607"/>
      <c r="AP600" s="613"/>
      <c r="AQ600" s="612"/>
      <c r="AR600" s="611"/>
      <c r="AS600" s="612"/>
    </row>
    <row r="601" spans="1:45" ht="15.75" customHeight="1" thickBot="1" x14ac:dyDescent="0.3">
      <c r="A601" s="634"/>
      <c r="B601" s="631"/>
      <c r="C601" s="623"/>
      <c r="D601" s="626"/>
      <c r="E601" s="127" t="s">
        <v>33</v>
      </c>
      <c r="F601" s="585">
        <f t="shared" ref="F601" si="1827">SUM(F598:G600)</f>
        <v>0</v>
      </c>
      <c r="G601" s="593"/>
      <c r="H601" s="604">
        <f t="shared" ref="H601" si="1828">SUM(H598:I600)</f>
        <v>0</v>
      </c>
      <c r="I601" s="601"/>
      <c r="J601" s="585">
        <f t="shared" ref="J601" si="1829">SUM(J598:K600)</f>
        <v>0</v>
      </c>
      <c r="K601" s="593"/>
      <c r="L601" s="585">
        <f t="shared" ref="L601" si="1830">SUM(L598:M600)</f>
        <v>0</v>
      </c>
      <c r="M601" s="586"/>
      <c r="N601" s="585">
        <f t="shared" ref="N601" si="1831">SUM(N598:O600)</f>
        <v>0</v>
      </c>
      <c r="O601" s="586"/>
      <c r="P601" s="585">
        <f t="shared" ref="P601" si="1832">SUM(P598:Q600)</f>
        <v>0</v>
      </c>
      <c r="Q601" s="601"/>
      <c r="R601" s="602">
        <f t="shared" ref="R601" si="1833">SUM(R598:S600)</f>
        <v>0</v>
      </c>
      <c r="S601" s="593"/>
      <c r="T601" s="585">
        <f t="shared" ref="T601" si="1834">SUM(T598:U600)</f>
        <v>0</v>
      </c>
      <c r="U601" s="593"/>
      <c r="V601" s="210">
        <f t="shared" ref="V601" si="1835">IF(AND(F601&gt;=$G$8,H601&gt;=$I$8,L601&gt;=$M$8,P601&gt;=$Q$8,R601&gt;=$S$8,T601&gt;=$U$8),SUM(F601:U601),0)</f>
        <v>0</v>
      </c>
      <c r="W601" s="264"/>
      <c r="X601" s="97"/>
      <c r="Y601" s="597"/>
      <c r="Z601" s="91" t="str">
        <f t="shared" ref="Z601" si="1836">LOOKUP(V601,$AL$6:$AM$10)</f>
        <v>ضعيف</v>
      </c>
      <c r="AA601" s="658"/>
      <c r="AB601" s="72"/>
      <c r="AC601" s="655"/>
      <c r="AN601" s="607"/>
      <c r="AO601" s="607"/>
      <c r="AP601" s="613"/>
      <c r="AQ601" s="612"/>
      <c r="AR601" s="611"/>
      <c r="AS601" s="612"/>
    </row>
    <row r="602" spans="1:45" ht="15" customHeight="1" thickBot="1" x14ac:dyDescent="0.3">
      <c r="F602" s="75"/>
      <c r="G602" s="76"/>
      <c r="H602" s="75"/>
      <c r="I602" s="76"/>
      <c r="J602" s="75"/>
      <c r="K602" s="76"/>
      <c r="L602" s="75"/>
      <c r="M602" s="76"/>
      <c r="N602" s="76"/>
      <c r="O602" s="76"/>
      <c r="P602" s="75"/>
      <c r="Q602" s="76"/>
      <c r="R602" s="75"/>
      <c r="S602" s="76"/>
      <c r="T602" s="75"/>
      <c r="U602" s="76"/>
      <c r="V602" s="74"/>
      <c r="W602" s="77"/>
      <c r="X602" s="74"/>
      <c r="Y602" s="362"/>
      <c r="Z602" s="74"/>
      <c r="AA602" s="267"/>
      <c r="AB602" s="72"/>
      <c r="AK602" s="78"/>
    </row>
    <row r="603" spans="1:45" customFormat="1" ht="15" customHeight="1" x14ac:dyDescent="0.3">
      <c r="A603" s="617" t="s">
        <v>9</v>
      </c>
      <c r="B603" s="618"/>
      <c r="C603" s="619"/>
      <c r="D603" s="288" t="s">
        <v>11</v>
      </c>
      <c r="E603" s="600" t="s">
        <v>97</v>
      </c>
      <c r="F603" s="598"/>
      <c r="G603" s="598"/>
      <c r="H603" s="598"/>
      <c r="I603" s="598"/>
      <c r="J603" s="9"/>
      <c r="K603" s="9"/>
      <c r="L603" s="9"/>
      <c r="M603" s="9"/>
      <c r="N603" s="9"/>
      <c r="O603" s="9"/>
      <c r="P603" s="9"/>
      <c r="Q603" s="9"/>
      <c r="R603" s="9"/>
      <c r="S603" s="598" t="s">
        <v>156</v>
      </c>
      <c r="T603" s="598"/>
      <c r="U603" s="598"/>
      <c r="V603" s="598"/>
      <c r="W603" s="598"/>
      <c r="X603" s="598"/>
      <c r="Y603" s="598"/>
      <c r="Z603" s="1"/>
      <c r="AA603" s="268"/>
      <c r="AC603" s="79"/>
      <c r="AD603" s="80"/>
      <c r="AE603" s="80"/>
      <c r="AF603" s="80"/>
      <c r="AG603" s="80"/>
    </row>
    <row r="604" spans="1:45" customFormat="1" ht="15" customHeight="1" x14ac:dyDescent="0.25">
      <c r="A604" s="81" t="s">
        <v>8</v>
      </c>
      <c r="B604" s="610">
        <f>ادخال1!$BP$3</f>
        <v>0</v>
      </c>
      <c r="C604" s="620"/>
      <c r="D604" s="289"/>
      <c r="E604" s="9" t="s">
        <v>9</v>
      </c>
      <c r="F604" s="599" t="str">
        <f>ادخال1!$BP$5</f>
        <v>د.عبدالرحمن خليفة العريبي</v>
      </c>
      <c r="G604" s="599"/>
      <c r="H604" s="599"/>
      <c r="I604" s="599"/>
      <c r="J604" s="599"/>
      <c r="K604" s="599"/>
      <c r="L604" s="599"/>
      <c r="M604" s="599"/>
      <c r="N604" s="599"/>
      <c r="O604" s="599"/>
      <c r="P604" s="599"/>
      <c r="Q604" s="599"/>
      <c r="R604" s="9"/>
      <c r="S604" s="599" t="str">
        <f>ادخال1!$BP$6</f>
        <v>تاجوراء</v>
      </c>
      <c r="T604" s="599"/>
      <c r="U604" s="599"/>
      <c r="V604" s="599"/>
      <c r="W604" s="599"/>
      <c r="X604" s="599"/>
      <c r="Y604" s="599"/>
      <c r="Z604" s="599"/>
      <c r="AA604" s="67"/>
      <c r="AB604" s="67"/>
      <c r="AC604" s="79"/>
      <c r="AD604" s="79"/>
      <c r="AE604" s="79"/>
      <c r="AF604" s="79"/>
    </row>
    <row r="605" spans="1:45" customFormat="1" ht="15" customHeight="1" thickBot="1" x14ac:dyDescent="0.3">
      <c r="A605" s="82" t="s">
        <v>98</v>
      </c>
      <c r="B605" s="615">
        <f>ادخال1!$BP$4</f>
        <v>0</v>
      </c>
      <c r="C605" s="616"/>
      <c r="D605" s="290"/>
      <c r="E605" s="9" t="s">
        <v>11</v>
      </c>
      <c r="F605" s="607"/>
      <c r="G605" s="607"/>
      <c r="H605" s="607"/>
      <c r="I605" s="607"/>
      <c r="J605" s="607"/>
      <c r="K605" s="607"/>
      <c r="L605" s="607"/>
      <c r="M605" s="607"/>
      <c r="N605" s="607"/>
      <c r="O605" s="607"/>
      <c r="P605" s="607"/>
      <c r="Q605" s="607"/>
      <c r="R605" s="9"/>
      <c r="S605" s="9" t="s">
        <v>11</v>
      </c>
      <c r="T605" s="9"/>
      <c r="U605" s="9" t="s">
        <v>11</v>
      </c>
      <c r="V605" s="1"/>
      <c r="W605" s="1"/>
      <c r="X605" s="1"/>
      <c r="Y605" s="363"/>
      <c r="Z605" s="1"/>
      <c r="AA605" s="268"/>
      <c r="AC605" s="79"/>
      <c r="AD605" s="79"/>
      <c r="AE605" s="79"/>
      <c r="AF605" s="79"/>
    </row>
    <row r="606" spans="1:45" customFormat="1" ht="15" customHeight="1" x14ac:dyDescent="0.25">
      <c r="A606" s="598" t="s">
        <v>99</v>
      </c>
      <c r="B606" s="598"/>
      <c r="C606" s="598"/>
      <c r="D606" s="598"/>
      <c r="E606" s="598" t="s">
        <v>100</v>
      </c>
      <c r="F606" s="598"/>
      <c r="G606" s="598"/>
      <c r="H606" s="598"/>
      <c r="I606" s="598"/>
      <c r="J606" s="598"/>
      <c r="K606" s="598"/>
      <c r="L606" s="598"/>
      <c r="M606" s="598"/>
      <c r="N606" s="598"/>
      <c r="O606" s="598"/>
      <c r="P606" s="598"/>
      <c r="Q606" s="598"/>
      <c r="R606" s="598"/>
      <c r="S606" s="598"/>
      <c r="T606" s="9"/>
      <c r="U606" s="9"/>
      <c r="V606" s="9"/>
      <c r="W606" s="594">
        <f ca="1">TODAY()</f>
        <v>46035</v>
      </c>
      <c r="X606" s="594"/>
      <c r="Y606" s="594"/>
      <c r="Z606" s="594"/>
      <c r="AA606" s="268"/>
    </row>
    <row r="607" spans="1:45" customFormat="1" ht="15" customHeight="1" thickBot="1" x14ac:dyDescent="0.3">
      <c r="A607" s="9"/>
      <c r="B607" s="598" t="s">
        <v>101</v>
      </c>
      <c r="C607" s="598"/>
      <c r="D607" s="598"/>
      <c r="E607" s="598" t="s">
        <v>102</v>
      </c>
      <c r="F607" s="598"/>
      <c r="G607" s="598"/>
      <c r="H607" s="598"/>
      <c r="I607" s="598"/>
      <c r="J607" s="598"/>
      <c r="K607" s="598"/>
      <c r="L607" s="598"/>
      <c r="M607" s="598"/>
      <c r="N607" s="598"/>
      <c r="O607" s="598"/>
      <c r="P607" s="598"/>
      <c r="Q607" s="598"/>
      <c r="R607" s="598"/>
      <c r="S607" s="598"/>
      <c r="T607" s="9"/>
      <c r="U607" s="9"/>
      <c r="V607" s="1"/>
      <c r="W607" s="1"/>
      <c r="X607" s="1"/>
      <c r="Y607" s="363"/>
      <c r="Z607" s="1"/>
      <c r="AA607" s="268"/>
    </row>
    <row r="608" spans="1:45" ht="15" customHeight="1" thickBot="1" x14ac:dyDescent="0.3">
      <c r="A608" s="632">
        <v>131</v>
      </c>
      <c r="B608" s="629">
        <f>VLOOKUP(A608,مسلسل,2,0)</f>
        <v>0</v>
      </c>
      <c r="C608" s="621" t="str">
        <f>IFERROR(VLOOKUP(B608,اسماء,2,0),"")</f>
        <v/>
      </c>
      <c r="D608" s="624" t="str">
        <f>IFERROR(VLOOKUP($B608,اسماء,3,0),"")</f>
        <v/>
      </c>
      <c r="E608" s="132" t="s">
        <v>30</v>
      </c>
      <c r="F608" s="627">
        <f>IFERROR(VLOOKUP($B608,اسماء,5,0),0)</f>
        <v>0</v>
      </c>
      <c r="G608" s="606"/>
      <c r="H608" s="628">
        <f>IFERROR(VLOOKUP($B608,اسماء,6,0),0)</f>
        <v>0</v>
      </c>
      <c r="I608" s="605"/>
      <c r="J608" s="587">
        <f>IFERROR(VLOOKUP($B608,اسماء,7,0),0)</f>
        <v>0</v>
      </c>
      <c r="K608" s="591"/>
      <c r="L608" s="587">
        <f>IFERROR(VLOOKUP($B608,اسماء,8,0),0)</f>
        <v>0</v>
      </c>
      <c r="M608" s="588"/>
      <c r="N608" s="587">
        <f>IFERROR(VLOOKUP($B608,اسماء,9,0),0)</f>
        <v>0</v>
      </c>
      <c r="O608" s="605"/>
      <c r="P608" s="587">
        <f>IFERROR(VLOOKUP($B608,اسماء,10,0),0)</f>
        <v>0</v>
      </c>
      <c r="Q608" s="605"/>
      <c r="R608" s="606">
        <f>IFERROR(VLOOKUP($B608,اسماء,11,0),0)</f>
        <v>0</v>
      </c>
      <c r="S608" s="591"/>
      <c r="T608" s="587">
        <f>IFERROR(VLOOKUP($B608,اسماء,12,0),0)</f>
        <v>0</v>
      </c>
      <c r="U608" s="591"/>
      <c r="V608" s="263">
        <f t="shared" ref="V608:V610" si="1837">SUM(F608:U608)</f>
        <v>0</v>
      </c>
      <c r="W608" s="373">
        <f>IFERROR(VLOOKUP($B608,اسماء,14,0),0)</f>
        <v>0</v>
      </c>
      <c r="X608" s="373">
        <f>IFERROR(VLOOKUP($B608,اسماء,15,0),0)</f>
        <v>0</v>
      </c>
      <c r="Y608" s="595" t="str">
        <f>IF(AC608="غائب","راسب",IF(AND(F611&gt;=$G$8,H611&gt;=$I$8,J611&gt;=$K$8,L611&gt;=$M$8,N611&gt;=$O$8,P611&gt;=$Q$8,R611&gt;=$S$8,T611&gt;=$U$8),"ناجح","له دور ثان"))</f>
        <v>له دور ثان</v>
      </c>
      <c r="Z608" s="21" t="str">
        <f>LOOKUP(V608,$AF$6:$AG$10)</f>
        <v>ضعيف</v>
      </c>
      <c r="AA608" s="656">
        <f>V611/$AF$3</f>
        <v>0</v>
      </c>
      <c r="AB608" s="10"/>
      <c r="AC608" s="653" t="str">
        <f>IFERROR(VLOOKUP($B608,اسماء,54,0),"")</f>
        <v/>
      </c>
      <c r="AN608" s="610" t="str">
        <f>IF(V611=0,"",V611/1+ROW()*0.00001)</f>
        <v/>
      </c>
      <c r="AO608" s="610">
        <f>B608</f>
        <v>0</v>
      </c>
      <c r="AP608" s="613"/>
      <c r="AQ608" s="612">
        <v>131</v>
      </c>
      <c r="AR608" s="611" t="str">
        <f>IFERROR(LARGE($AN$10:$AN$1006,AQ608),"")</f>
        <v/>
      </c>
      <c r="AS608" s="612" t="str">
        <f>VLOOKUP(AR608,$AN$10:$AO$1116,2,0)</f>
        <v>أحمد نورالدين أحمد الذيب</v>
      </c>
    </row>
    <row r="609" spans="1:45" ht="15" customHeight="1" thickBot="1" x14ac:dyDescent="0.3">
      <c r="A609" s="633"/>
      <c r="B609" s="630"/>
      <c r="C609" s="622"/>
      <c r="D609" s="625"/>
      <c r="E609" s="133" t="s">
        <v>31</v>
      </c>
      <c r="F609" s="589">
        <f>IFERROR(VLOOKUP($B608,اسماء,18,0),0)</f>
        <v>0</v>
      </c>
      <c r="G609" s="592"/>
      <c r="H609" s="608">
        <f>IFERROR(VLOOKUP($B608,اسماء,19,0),0)</f>
        <v>0</v>
      </c>
      <c r="I609" s="609"/>
      <c r="J609" s="589">
        <f>IFERROR(VLOOKUP($B608,اسماء,20,0),0)</f>
        <v>0</v>
      </c>
      <c r="K609" s="592"/>
      <c r="L609" s="589">
        <f>IFERROR(VLOOKUP($B608,اسماء,21,0),0)</f>
        <v>0</v>
      </c>
      <c r="M609" s="590"/>
      <c r="N609" s="589">
        <f>IFERROR(VLOOKUP($B608,اسماء,22,0),0)</f>
        <v>0</v>
      </c>
      <c r="O609" s="590"/>
      <c r="P609" s="589">
        <f>IFERROR(VLOOKUP($B608,اسماء,23,0),0)</f>
        <v>0</v>
      </c>
      <c r="Q609" s="609"/>
      <c r="R609" s="603">
        <f>IFERROR(VLOOKUP($B608,اسماء,24,0),0)</f>
        <v>0</v>
      </c>
      <c r="S609" s="592"/>
      <c r="T609" s="589">
        <f>IFERROR(VLOOKUP($B608,اسماء,25,0),0)</f>
        <v>0</v>
      </c>
      <c r="U609" s="592"/>
      <c r="V609" s="263">
        <f t="shared" si="1837"/>
        <v>0</v>
      </c>
      <c r="W609" s="373">
        <f>IFERROR(VLOOKUP($B608,اسماء,27,0),0)</f>
        <v>0</v>
      </c>
      <c r="X609" s="373">
        <f>IFERROR(VLOOKUP($B608,اسماء,28,0),0)</f>
        <v>0</v>
      </c>
      <c r="Y609" s="596"/>
      <c r="Z609" s="22" t="str">
        <f>LOOKUP(V609,$AF$6:$AG$10)</f>
        <v>ضعيف</v>
      </c>
      <c r="AA609" s="657"/>
      <c r="AB609" s="72"/>
      <c r="AC609" s="654"/>
      <c r="AN609" s="610"/>
      <c r="AO609" s="610"/>
      <c r="AP609" s="613"/>
      <c r="AQ609" s="612"/>
      <c r="AR609" s="611"/>
      <c r="AS609" s="612"/>
    </row>
    <row r="610" spans="1:45" ht="15" customHeight="1" x14ac:dyDescent="0.25">
      <c r="A610" s="633"/>
      <c r="B610" s="630"/>
      <c r="C610" s="622"/>
      <c r="D610" s="625"/>
      <c r="E610" s="133" t="s">
        <v>32</v>
      </c>
      <c r="F610" s="589">
        <f>IFERROR(VLOOKUP($B608,اسماء,31,0),0)</f>
        <v>0</v>
      </c>
      <c r="G610" s="592"/>
      <c r="H610" s="608">
        <f>IFERROR(VLOOKUP($B608,اسماء,32,0),0)</f>
        <v>0</v>
      </c>
      <c r="I610" s="609"/>
      <c r="J610" s="589">
        <f>IFERROR(VLOOKUP($B608,اسماء,33,0),0)</f>
        <v>0</v>
      </c>
      <c r="K610" s="592"/>
      <c r="L610" s="589">
        <f>IFERROR(VLOOKUP($B608,اسماء,34,0),0)</f>
        <v>0</v>
      </c>
      <c r="M610" s="590"/>
      <c r="N610" s="589">
        <f>IFERROR(VLOOKUP($B608,اسماء,35,0),0)</f>
        <v>0</v>
      </c>
      <c r="O610" s="590"/>
      <c r="P610" s="589">
        <f>IFERROR(VLOOKUP($B608,اسماء,36,0),0)</f>
        <v>0</v>
      </c>
      <c r="Q610" s="609"/>
      <c r="R610" s="603">
        <f>IFERROR(VLOOKUP($B608,اسماء,37,0),0)</f>
        <v>0</v>
      </c>
      <c r="S610" s="592"/>
      <c r="T610" s="589">
        <f>IFERROR(VLOOKUP($B608,اسماء,38,0),0)</f>
        <v>0</v>
      </c>
      <c r="U610" s="592"/>
      <c r="V610" s="263">
        <f t="shared" si="1837"/>
        <v>0</v>
      </c>
      <c r="W610" s="373">
        <f>IFERROR(VLOOKUP($B608,اسماء,40,0),0)</f>
        <v>0</v>
      </c>
      <c r="X610" s="373">
        <f>IFERROR(VLOOKUP($B608,اسماء,41,0),0)</f>
        <v>0</v>
      </c>
      <c r="Y610" s="596"/>
      <c r="Z610" s="22" t="str">
        <f>LOOKUP(V610,$AI$6:$AJ$10)</f>
        <v>ضعيف</v>
      </c>
      <c r="AA610" s="657"/>
      <c r="AB610" s="72"/>
      <c r="AC610" s="654"/>
      <c r="AN610" s="610"/>
      <c r="AO610" s="610"/>
      <c r="AP610" s="613"/>
      <c r="AQ610" s="612"/>
      <c r="AR610" s="611"/>
      <c r="AS610" s="612"/>
    </row>
    <row r="611" spans="1:45" ht="15" customHeight="1" thickBot="1" x14ac:dyDescent="0.3">
      <c r="A611" s="634"/>
      <c r="B611" s="631"/>
      <c r="C611" s="623"/>
      <c r="D611" s="626"/>
      <c r="E611" s="127" t="s">
        <v>33</v>
      </c>
      <c r="F611" s="585">
        <f t="shared" ref="F611" si="1838">SUM(F608:G610)</f>
        <v>0</v>
      </c>
      <c r="G611" s="593"/>
      <c r="H611" s="604">
        <f t="shared" ref="H611" si="1839">SUM(H608:I610)</f>
        <v>0</v>
      </c>
      <c r="I611" s="601"/>
      <c r="J611" s="585">
        <f t="shared" ref="J611" si="1840">SUM(J608:K610)</f>
        <v>0</v>
      </c>
      <c r="K611" s="593"/>
      <c r="L611" s="585">
        <f t="shared" ref="L611" si="1841">SUM(L608:M610)</f>
        <v>0</v>
      </c>
      <c r="M611" s="586"/>
      <c r="N611" s="585">
        <f t="shared" ref="N611" si="1842">SUM(N608:O610)</f>
        <v>0</v>
      </c>
      <c r="O611" s="586"/>
      <c r="P611" s="585">
        <f t="shared" ref="P611" si="1843">SUM(P608:Q610)</f>
        <v>0</v>
      </c>
      <c r="Q611" s="601"/>
      <c r="R611" s="602">
        <f t="shared" ref="R611" si="1844">SUM(R608:S610)</f>
        <v>0</v>
      </c>
      <c r="S611" s="593"/>
      <c r="T611" s="585">
        <f t="shared" ref="T611" si="1845">SUM(T608:U610)</f>
        <v>0</v>
      </c>
      <c r="U611" s="593"/>
      <c r="V611" s="210">
        <f t="shared" ref="V611" si="1846">IF(AND(F611&gt;=$G$8,H611&gt;=$I$8,L611&gt;=$M$8,P611&gt;=$Q$8,R611&gt;=$S$8,T611&gt;=$U$8),SUM(F611:U611),0)</f>
        <v>0</v>
      </c>
      <c r="W611" s="264"/>
      <c r="X611" s="97"/>
      <c r="Y611" s="597"/>
      <c r="Z611" s="91" t="str">
        <f>LOOKUP(V611,$AL$6:$AM$10)</f>
        <v>ضعيف</v>
      </c>
      <c r="AA611" s="658"/>
      <c r="AB611" s="10"/>
      <c r="AC611" s="655"/>
      <c r="AN611" s="610"/>
      <c r="AO611" s="610"/>
      <c r="AP611" s="613"/>
      <c r="AQ611" s="612"/>
      <c r="AR611" s="611"/>
      <c r="AS611" s="612"/>
    </row>
    <row r="612" spans="1:45" ht="15" customHeight="1" thickBot="1" x14ac:dyDescent="0.3">
      <c r="A612" s="632">
        <v>132</v>
      </c>
      <c r="B612" s="629">
        <f>VLOOKUP(A612,مسلسل,2,0)</f>
        <v>0</v>
      </c>
      <c r="C612" s="621" t="str">
        <f>IFERROR(VLOOKUP(B612,اسماء,2,0),"")</f>
        <v/>
      </c>
      <c r="D612" s="624" t="str">
        <f>IFERROR(VLOOKUP($B612,اسماء,3,0),"")</f>
        <v/>
      </c>
      <c r="E612" s="132" t="s">
        <v>30</v>
      </c>
      <c r="F612" s="627">
        <f>IFERROR(VLOOKUP($B612,اسماء,5,0),0)</f>
        <v>0</v>
      </c>
      <c r="G612" s="606"/>
      <c r="H612" s="628">
        <f>IFERROR(VLOOKUP($B612,اسماء,6,0),0)</f>
        <v>0</v>
      </c>
      <c r="I612" s="605"/>
      <c r="J612" s="587">
        <f>IFERROR(VLOOKUP($B612,اسماء,7,0),0)</f>
        <v>0</v>
      </c>
      <c r="K612" s="591"/>
      <c r="L612" s="587">
        <f>IFERROR(VLOOKUP($B612,اسماء,8,0),0)</f>
        <v>0</v>
      </c>
      <c r="M612" s="588"/>
      <c r="N612" s="587">
        <f>IFERROR(VLOOKUP($B612,اسماء,9,0),0)</f>
        <v>0</v>
      </c>
      <c r="O612" s="605"/>
      <c r="P612" s="587">
        <f>IFERROR(VLOOKUP($B612,اسماء,10,0),0)</f>
        <v>0</v>
      </c>
      <c r="Q612" s="605"/>
      <c r="R612" s="606">
        <f>IFERROR(VLOOKUP($B612,اسماء,11,0),0)</f>
        <v>0</v>
      </c>
      <c r="S612" s="591"/>
      <c r="T612" s="587">
        <f>IFERROR(VLOOKUP($B612,اسماء,12,0),0)</f>
        <v>0</v>
      </c>
      <c r="U612" s="591"/>
      <c r="V612" s="263">
        <f t="shared" ref="V612:V614" si="1847">SUM(F612:U612)</f>
        <v>0</v>
      </c>
      <c r="W612" s="373">
        <f>IFERROR(VLOOKUP($B612,اسماء,14,0),0)</f>
        <v>0</v>
      </c>
      <c r="X612" s="373">
        <f>IFERROR(VLOOKUP($B612,اسماء,15,0),0)</f>
        <v>0</v>
      </c>
      <c r="Y612" s="595" t="str">
        <f t="shared" ref="Y612" si="1848">IF(AC612="غائب","راسب",IF(AND(F615&gt;=$G$8,H615&gt;=$I$8,J615&gt;=$K$8,L615&gt;=$M$8,N615&gt;=$O$8,P615&gt;=$Q$8,R615&gt;=$S$8,T615&gt;=$U$8),"ناجح","له دور ثان"))</f>
        <v>له دور ثان</v>
      </c>
      <c r="Z612" s="21" t="str">
        <f>LOOKUP(V612,$AF$6:$AG$10)</f>
        <v>ضعيف</v>
      </c>
      <c r="AA612" s="656">
        <f>V615/$AF$3</f>
        <v>0</v>
      </c>
      <c r="AB612" s="72"/>
      <c r="AC612" s="653" t="str">
        <f>IFERROR(VLOOKUP($B612,اسماء,54,0),"")</f>
        <v/>
      </c>
      <c r="AN612" s="607" t="str">
        <f t="shared" ref="AN612" si="1849">IF(V615=0,"",V615/1+ROW()*0.00001)</f>
        <v/>
      </c>
      <c r="AO612" s="607">
        <f>B612</f>
        <v>0</v>
      </c>
      <c r="AP612" s="613"/>
      <c r="AQ612" s="612">
        <v>132</v>
      </c>
      <c r="AR612" s="611" t="str">
        <f>IFERROR(LARGE($AN$10:$AN$1006,AQ612),"")</f>
        <v/>
      </c>
      <c r="AS612" s="612" t="str">
        <f>VLOOKUP(AR612,$AN$10:$AO$1116,2,0)</f>
        <v>أحمد نورالدين أحمد الذيب</v>
      </c>
    </row>
    <row r="613" spans="1:45" ht="15" customHeight="1" thickBot="1" x14ac:dyDescent="0.3">
      <c r="A613" s="633"/>
      <c r="B613" s="630"/>
      <c r="C613" s="622"/>
      <c r="D613" s="625"/>
      <c r="E613" s="133" t="s">
        <v>31</v>
      </c>
      <c r="F613" s="589">
        <f>IFERROR(VLOOKUP($B612,اسماء,18,0),0)</f>
        <v>0</v>
      </c>
      <c r="G613" s="592"/>
      <c r="H613" s="608">
        <f>IFERROR(VLOOKUP($B612,اسماء,19,0),0)</f>
        <v>0</v>
      </c>
      <c r="I613" s="609"/>
      <c r="J613" s="589">
        <f>IFERROR(VLOOKUP($B612,اسماء,20,0),0)</f>
        <v>0</v>
      </c>
      <c r="K613" s="592"/>
      <c r="L613" s="589">
        <f>IFERROR(VLOOKUP($B612,اسماء,21,0),0)</f>
        <v>0</v>
      </c>
      <c r="M613" s="590"/>
      <c r="N613" s="589">
        <f>IFERROR(VLOOKUP($B612,اسماء,22,0),0)</f>
        <v>0</v>
      </c>
      <c r="O613" s="590"/>
      <c r="P613" s="589">
        <f>IFERROR(VLOOKUP($B612,اسماء,23,0),0)</f>
        <v>0</v>
      </c>
      <c r="Q613" s="609"/>
      <c r="R613" s="603">
        <f>IFERROR(VLOOKUP($B612,اسماء,24,0),0)</f>
        <v>0</v>
      </c>
      <c r="S613" s="592"/>
      <c r="T613" s="589">
        <f>IFERROR(VLOOKUP($B612,اسماء,25,0),0)</f>
        <v>0</v>
      </c>
      <c r="U613" s="592"/>
      <c r="V613" s="263">
        <f t="shared" si="1847"/>
        <v>0</v>
      </c>
      <c r="W613" s="373">
        <f>IFERROR(VLOOKUP($B612,اسماء,27,0),0)</f>
        <v>0</v>
      </c>
      <c r="X613" s="373">
        <f>IFERROR(VLOOKUP($B612,اسماء,28,0),0)</f>
        <v>0</v>
      </c>
      <c r="Y613" s="596"/>
      <c r="Z613" s="22" t="str">
        <f>LOOKUP(V613,$AF$6:$AG$10)</f>
        <v>ضعيف</v>
      </c>
      <c r="AA613" s="657"/>
      <c r="AB613" s="72"/>
      <c r="AC613" s="654"/>
      <c r="AN613" s="607"/>
      <c r="AO613" s="607"/>
      <c r="AP613" s="613"/>
      <c r="AQ613" s="612"/>
      <c r="AR613" s="611"/>
      <c r="AS613" s="612"/>
    </row>
    <row r="614" spans="1:45" ht="15" customHeight="1" x14ac:dyDescent="0.25">
      <c r="A614" s="633"/>
      <c r="B614" s="630"/>
      <c r="C614" s="622"/>
      <c r="D614" s="625"/>
      <c r="E614" s="133" t="s">
        <v>32</v>
      </c>
      <c r="F614" s="589">
        <f>IFERROR(VLOOKUP($B612,اسماء,31,0),0)</f>
        <v>0</v>
      </c>
      <c r="G614" s="592"/>
      <c r="H614" s="608">
        <f>IFERROR(VLOOKUP($B612,اسماء,32,0),0)</f>
        <v>0</v>
      </c>
      <c r="I614" s="609"/>
      <c r="J614" s="589">
        <f>IFERROR(VLOOKUP($B612,اسماء,33,0),0)</f>
        <v>0</v>
      </c>
      <c r="K614" s="592"/>
      <c r="L614" s="589">
        <f>IFERROR(VLOOKUP($B612,اسماء,34,0),0)</f>
        <v>0</v>
      </c>
      <c r="M614" s="590"/>
      <c r="N614" s="589">
        <f>IFERROR(VLOOKUP($B612,اسماء,35,0),0)</f>
        <v>0</v>
      </c>
      <c r="O614" s="590"/>
      <c r="P614" s="589">
        <f>IFERROR(VLOOKUP($B612,اسماء,36,0),0)</f>
        <v>0</v>
      </c>
      <c r="Q614" s="609"/>
      <c r="R614" s="603">
        <f>IFERROR(VLOOKUP($B612,اسماء,37,0),0)</f>
        <v>0</v>
      </c>
      <c r="S614" s="592"/>
      <c r="T614" s="589">
        <f>IFERROR(VLOOKUP($B612,اسماء,38,0),0)</f>
        <v>0</v>
      </c>
      <c r="U614" s="592"/>
      <c r="V614" s="263">
        <f t="shared" si="1847"/>
        <v>0</v>
      </c>
      <c r="W614" s="373">
        <f>IFERROR(VLOOKUP($B612,اسماء,40,0),0)</f>
        <v>0</v>
      </c>
      <c r="X614" s="373">
        <f>IFERROR(VLOOKUP($B612,اسماء,41,0),0)</f>
        <v>0</v>
      </c>
      <c r="Y614" s="596"/>
      <c r="Z614" s="22" t="str">
        <f>LOOKUP(V614,$AI$6:$AJ$10)</f>
        <v>ضعيف</v>
      </c>
      <c r="AA614" s="657"/>
      <c r="AB614" s="10"/>
      <c r="AC614" s="654"/>
      <c r="AN614" s="607"/>
      <c r="AO614" s="607"/>
      <c r="AP614" s="613"/>
      <c r="AQ614" s="612"/>
      <c r="AR614" s="611"/>
      <c r="AS614" s="612"/>
    </row>
    <row r="615" spans="1:45" ht="15" customHeight="1" thickBot="1" x14ac:dyDescent="0.3">
      <c r="A615" s="634"/>
      <c r="B615" s="631"/>
      <c r="C615" s="623"/>
      <c r="D615" s="626"/>
      <c r="E615" s="127" t="s">
        <v>33</v>
      </c>
      <c r="F615" s="585">
        <f t="shared" ref="F615" si="1850">SUM(F612:G614)</f>
        <v>0</v>
      </c>
      <c r="G615" s="593"/>
      <c r="H615" s="604">
        <f t="shared" ref="H615" si="1851">SUM(H612:I614)</f>
        <v>0</v>
      </c>
      <c r="I615" s="601"/>
      <c r="J615" s="585">
        <f t="shared" ref="J615" si="1852">SUM(J612:K614)</f>
        <v>0</v>
      </c>
      <c r="K615" s="593"/>
      <c r="L615" s="585">
        <f t="shared" ref="L615" si="1853">SUM(L612:M614)</f>
        <v>0</v>
      </c>
      <c r="M615" s="586"/>
      <c r="N615" s="585">
        <f t="shared" ref="N615" si="1854">SUM(N612:O614)</f>
        <v>0</v>
      </c>
      <c r="O615" s="586"/>
      <c r="P615" s="585">
        <f t="shared" ref="P615" si="1855">SUM(P612:Q614)</f>
        <v>0</v>
      </c>
      <c r="Q615" s="601"/>
      <c r="R615" s="602">
        <f t="shared" ref="R615" si="1856">SUM(R612:S614)</f>
        <v>0</v>
      </c>
      <c r="S615" s="593"/>
      <c r="T615" s="585">
        <f t="shared" ref="T615" si="1857">SUM(T612:U614)</f>
        <v>0</v>
      </c>
      <c r="U615" s="593"/>
      <c r="V615" s="210">
        <f t="shared" ref="V615" si="1858">IF(AND(F615&gt;=$G$8,H615&gt;=$I$8,L615&gt;=$M$8,P615&gt;=$Q$8,R615&gt;=$S$8,T615&gt;=$U$8),SUM(F615:U615),0)</f>
        <v>0</v>
      </c>
      <c r="W615" s="264"/>
      <c r="X615" s="97"/>
      <c r="Y615" s="597"/>
      <c r="Z615" s="91" t="str">
        <f>LOOKUP(V615,$AL$6:$AM$10)</f>
        <v>ضعيف</v>
      </c>
      <c r="AA615" s="658"/>
      <c r="AB615" s="72"/>
      <c r="AC615" s="655"/>
      <c r="AN615" s="607"/>
      <c r="AO615" s="607"/>
      <c r="AP615" s="613"/>
      <c r="AQ615" s="612"/>
      <c r="AR615" s="611"/>
      <c r="AS615" s="612"/>
    </row>
    <row r="616" spans="1:45" ht="15" customHeight="1" thickBot="1" x14ac:dyDescent="0.3">
      <c r="A616" s="632">
        <v>133</v>
      </c>
      <c r="B616" s="629">
        <f>VLOOKUP(A616,مسلسل,2,0)</f>
        <v>0</v>
      </c>
      <c r="C616" s="621" t="str">
        <f>IFERROR(VLOOKUP(B616,اسماء,2,0),"")</f>
        <v/>
      </c>
      <c r="D616" s="624" t="str">
        <f>IFERROR(VLOOKUP($B616,اسماء,3,0),"")</f>
        <v/>
      </c>
      <c r="E616" s="132" t="s">
        <v>30</v>
      </c>
      <c r="F616" s="627">
        <f>IFERROR(VLOOKUP($B616,اسماء,5,0),0)</f>
        <v>0</v>
      </c>
      <c r="G616" s="606"/>
      <c r="H616" s="628">
        <f>IFERROR(VLOOKUP($B616,اسماء,6,0),0)</f>
        <v>0</v>
      </c>
      <c r="I616" s="605"/>
      <c r="J616" s="587">
        <f>IFERROR(VLOOKUP($B616,اسماء,7,0),0)</f>
        <v>0</v>
      </c>
      <c r="K616" s="591"/>
      <c r="L616" s="587">
        <f>IFERROR(VLOOKUP($B616,اسماء,8,0),0)</f>
        <v>0</v>
      </c>
      <c r="M616" s="588"/>
      <c r="N616" s="587">
        <f>IFERROR(VLOOKUP($B616,اسماء,9,0),0)</f>
        <v>0</v>
      </c>
      <c r="O616" s="605"/>
      <c r="P616" s="587">
        <f>IFERROR(VLOOKUP($B616,اسماء,10,0),0)</f>
        <v>0</v>
      </c>
      <c r="Q616" s="605"/>
      <c r="R616" s="606">
        <f>IFERROR(VLOOKUP($B616,اسماء,11,0),0)</f>
        <v>0</v>
      </c>
      <c r="S616" s="591"/>
      <c r="T616" s="587">
        <f>IFERROR(VLOOKUP($B616,اسماء,12,0),0)</f>
        <v>0</v>
      </c>
      <c r="U616" s="591"/>
      <c r="V616" s="263">
        <f t="shared" ref="V616:V618" si="1859">SUM(F616:U616)</f>
        <v>0</v>
      </c>
      <c r="W616" s="373">
        <f>IFERROR(VLOOKUP($B616,اسماء,14,0),0)</f>
        <v>0</v>
      </c>
      <c r="X616" s="373">
        <f>IFERROR(VLOOKUP($B616,اسماء,15,0),0)</f>
        <v>0</v>
      </c>
      <c r="Y616" s="595" t="str">
        <f t="shared" ref="Y616" si="1860">IF(AC616="غائب","راسب",IF(AND(F619&gt;=$G$8,H619&gt;=$I$8,J619&gt;=$K$8,L619&gt;=$M$8,N619&gt;=$O$8,P619&gt;=$Q$8,R619&gt;=$S$8,T619&gt;=$U$8),"ناجح","له دور ثان"))</f>
        <v>له دور ثان</v>
      </c>
      <c r="Z616" s="21" t="str">
        <f>LOOKUP(V616,$AF$6:$AG$10)</f>
        <v>ضعيف</v>
      </c>
      <c r="AA616" s="656">
        <f>V619/$AF$3</f>
        <v>0</v>
      </c>
      <c r="AB616" s="72"/>
      <c r="AC616" s="653" t="str">
        <f>IFERROR(VLOOKUP($B616,اسماء,54,0),"")</f>
        <v/>
      </c>
      <c r="AN616" s="607" t="str">
        <f t="shared" ref="AN616" si="1861">IF(V619=0,"",V619/1+ROW()*0.00001)</f>
        <v/>
      </c>
      <c r="AO616" s="607">
        <f>B616</f>
        <v>0</v>
      </c>
      <c r="AP616" s="613"/>
      <c r="AQ616" s="612">
        <v>133</v>
      </c>
      <c r="AR616" s="611" t="str">
        <f>IFERROR(LARGE($AN$10:$AN$1006,AQ616),"")</f>
        <v/>
      </c>
      <c r="AS616" s="612" t="str">
        <f>VLOOKUP(AR616,$AN$10:$AO$1116,2,0)</f>
        <v>أحمد نورالدين أحمد الذيب</v>
      </c>
    </row>
    <row r="617" spans="1:45" ht="15" customHeight="1" thickBot="1" x14ac:dyDescent="0.3">
      <c r="A617" s="633"/>
      <c r="B617" s="630"/>
      <c r="C617" s="622"/>
      <c r="D617" s="625"/>
      <c r="E617" s="133" t="s">
        <v>31</v>
      </c>
      <c r="F617" s="589">
        <f>IFERROR(VLOOKUP($B616,اسماء,18,0),0)</f>
        <v>0</v>
      </c>
      <c r="G617" s="592"/>
      <c r="H617" s="608">
        <f>IFERROR(VLOOKUP($B616,اسماء,19,0),0)</f>
        <v>0</v>
      </c>
      <c r="I617" s="609"/>
      <c r="J617" s="589">
        <f>IFERROR(VLOOKUP($B616,اسماء,20,0),0)</f>
        <v>0</v>
      </c>
      <c r="K617" s="592"/>
      <c r="L617" s="589">
        <f>IFERROR(VLOOKUP($B616,اسماء,21,0),0)</f>
        <v>0</v>
      </c>
      <c r="M617" s="590"/>
      <c r="N617" s="589">
        <f>IFERROR(VLOOKUP($B616,اسماء,22,0),0)</f>
        <v>0</v>
      </c>
      <c r="O617" s="590"/>
      <c r="P617" s="589">
        <f>IFERROR(VLOOKUP($B616,اسماء,23,0),0)</f>
        <v>0</v>
      </c>
      <c r="Q617" s="609"/>
      <c r="R617" s="603">
        <f>IFERROR(VLOOKUP($B616,اسماء,24,0),0)</f>
        <v>0</v>
      </c>
      <c r="S617" s="592"/>
      <c r="T617" s="589">
        <f>IFERROR(VLOOKUP($B616,اسماء,25,0),0)</f>
        <v>0</v>
      </c>
      <c r="U617" s="592"/>
      <c r="V617" s="263">
        <f t="shared" si="1859"/>
        <v>0</v>
      </c>
      <c r="W617" s="373">
        <f>IFERROR(VLOOKUP($B616,اسماء,27,0),0)</f>
        <v>0</v>
      </c>
      <c r="X617" s="373">
        <f>IFERROR(VLOOKUP($B616,اسماء,28,0),0)</f>
        <v>0</v>
      </c>
      <c r="Y617" s="596"/>
      <c r="Z617" s="22" t="str">
        <f>LOOKUP(V617,$AF$6:$AG$10)</f>
        <v>ضعيف</v>
      </c>
      <c r="AA617" s="657"/>
      <c r="AB617" s="10"/>
      <c r="AC617" s="654"/>
      <c r="AN617" s="607"/>
      <c r="AO617" s="607"/>
      <c r="AP617" s="613"/>
      <c r="AQ617" s="612"/>
      <c r="AR617" s="611"/>
      <c r="AS617" s="612"/>
    </row>
    <row r="618" spans="1:45" ht="15" customHeight="1" x14ac:dyDescent="0.25">
      <c r="A618" s="633"/>
      <c r="B618" s="630"/>
      <c r="C618" s="622"/>
      <c r="D618" s="625"/>
      <c r="E618" s="133" t="s">
        <v>32</v>
      </c>
      <c r="F618" s="589">
        <f>IFERROR(VLOOKUP($B616,اسماء,31,0),0)</f>
        <v>0</v>
      </c>
      <c r="G618" s="592"/>
      <c r="H618" s="608">
        <f>IFERROR(VLOOKUP($B616,اسماء,32,0),0)</f>
        <v>0</v>
      </c>
      <c r="I618" s="609"/>
      <c r="J618" s="589">
        <f>IFERROR(VLOOKUP($B616,اسماء,33,0),0)</f>
        <v>0</v>
      </c>
      <c r="K618" s="592"/>
      <c r="L618" s="589">
        <f>IFERROR(VLOOKUP($B616,اسماء,34,0),0)</f>
        <v>0</v>
      </c>
      <c r="M618" s="590"/>
      <c r="N618" s="589">
        <f>IFERROR(VLOOKUP($B616,اسماء,35,0),0)</f>
        <v>0</v>
      </c>
      <c r="O618" s="590"/>
      <c r="P618" s="589">
        <f>IFERROR(VLOOKUP($B616,اسماء,36,0),0)</f>
        <v>0</v>
      </c>
      <c r="Q618" s="609"/>
      <c r="R618" s="603">
        <f>IFERROR(VLOOKUP($B616,اسماء,37,0),0)</f>
        <v>0</v>
      </c>
      <c r="S618" s="592"/>
      <c r="T618" s="589">
        <f>IFERROR(VLOOKUP($B616,اسماء,38,0),0)</f>
        <v>0</v>
      </c>
      <c r="U618" s="592"/>
      <c r="V618" s="263">
        <f t="shared" si="1859"/>
        <v>0</v>
      </c>
      <c r="W618" s="373">
        <f>IFERROR(VLOOKUP($B616,اسماء,40,0),0)</f>
        <v>0</v>
      </c>
      <c r="X618" s="373">
        <f>IFERROR(VLOOKUP($B616,اسماء,41,0),0)</f>
        <v>0</v>
      </c>
      <c r="Y618" s="596"/>
      <c r="Z618" s="22" t="str">
        <f>LOOKUP(V618,$AI$6:$AJ$10)</f>
        <v>ضعيف</v>
      </c>
      <c r="AA618" s="657"/>
      <c r="AB618" s="72"/>
      <c r="AC618" s="654"/>
      <c r="AN618" s="607"/>
      <c r="AO618" s="607"/>
      <c r="AP618" s="613"/>
      <c r="AQ618" s="612"/>
      <c r="AR618" s="611"/>
      <c r="AS618" s="612"/>
    </row>
    <row r="619" spans="1:45" ht="15" customHeight="1" thickBot="1" x14ac:dyDescent="0.3">
      <c r="A619" s="634"/>
      <c r="B619" s="631"/>
      <c r="C619" s="623"/>
      <c r="D619" s="626"/>
      <c r="E619" s="127" t="s">
        <v>33</v>
      </c>
      <c r="F619" s="585">
        <f t="shared" ref="F619" si="1862">SUM(F616:G618)</f>
        <v>0</v>
      </c>
      <c r="G619" s="593"/>
      <c r="H619" s="604">
        <f t="shared" ref="H619" si="1863">SUM(H616:I618)</f>
        <v>0</v>
      </c>
      <c r="I619" s="601"/>
      <c r="J619" s="585">
        <f t="shared" ref="J619" si="1864">SUM(J616:K618)</f>
        <v>0</v>
      </c>
      <c r="K619" s="593"/>
      <c r="L619" s="585">
        <f t="shared" ref="L619" si="1865">SUM(L616:M618)</f>
        <v>0</v>
      </c>
      <c r="M619" s="586"/>
      <c r="N619" s="585">
        <f t="shared" ref="N619" si="1866">SUM(N616:O618)</f>
        <v>0</v>
      </c>
      <c r="O619" s="586"/>
      <c r="P619" s="585">
        <f t="shared" ref="P619" si="1867">SUM(P616:Q618)</f>
        <v>0</v>
      </c>
      <c r="Q619" s="601"/>
      <c r="R619" s="602">
        <f t="shared" ref="R619" si="1868">SUM(R616:S618)</f>
        <v>0</v>
      </c>
      <c r="S619" s="593"/>
      <c r="T619" s="585">
        <f t="shared" ref="T619" si="1869">SUM(T616:U618)</f>
        <v>0</v>
      </c>
      <c r="U619" s="593"/>
      <c r="V619" s="210">
        <f t="shared" ref="V619" si="1870">IF(AND(F619&gt;=$G$8,H619&gt;=$I$8,L619&gt;=$M$8,P619&gt;=$Q$8,R619&gt;=$S$8,T619&gt;=$U$8),SUM(F619:U619),0)</f>
        <v>0</v>
      </c>
      <c r="W619" s="264"/>
      <c r="X619" s="97"/>
      <c r="Y619" s="597"/>
      <c r="Z619" s="91" t="str">
        <f>LOOKUP(V619,$AL$6:$AM$10)</f>
        <v>ضعيف</v>
      </c>
      <c r="AA619" s="658"/>
      <c r="AB619" s="72"/>
      <c r="AC619" s="655"/>
      <c r="AN619" s="607"/>
      <c r="AO619" s="607"/>
      <c r="AP619" s="613"/>
      <c r="AQ619" s="612"/>
      <c r="AR619" s="611"/>
      <c r="AS619" s="612"/>
    </row>
    <row r="620" spans="1:45" ht="15" customHeight="1" thickBot="1" x14ac:dyDescent="0.3">
      <c r="A620" s="632">
        <v>134</v>
      </c>
      <c r="B620" s="629">
        <f>VLOOKUP(A620,مسلسل,2,0)</f>
        <v>0</v>
      </c>
      <c r="C620" s="621" t="str">
        <f>IFERROR(VLOOKUP(B620,اسماء,2,0),"")</f>
        <v/>
      </c>
      <c r="D620" s="624" t="str">
        <f>IFERROR(VLOOKUP($B620,اسماء,3,0),"")</f>
        <v/>
      </c>
      <c r="E620" s="132" t="s">
        <v>30</v>
      </c>
      <c r="F620" s="627">
        <f>IFERROR(VLOOKUP($B620,اسماء,5,0),0)</f>
        <v>0</v>
      </c>
      <c r="G620" s="606"/>
      <c r="H620" s="628">
        <f>IFERROR(VLOOKUP($B620,اسماء,6,0),0)</f>
        <v>0</v>
      </c>
      <c r="I620" s="605"/>
      <c r="J620" s="587">
        <f>IFERROR(VLOOKUP($B620,اسماء,7,0),0)</f>
        <v>0</v>
      </c>
      <c r="K620" s="591"/>
      <c r="L620" s="587">
        <f>IFERROR(VLOOKUP($B620,اسماء,8,0),0)</f>
        <v>0</v>
      </c>
      <c r="M620" s="588"/>
      <c r="N620" s="587">
        <f>IFERROR(VLOOKUP($B620,اسماء,9,0),0)</f>
        <v>0</v>
      </c>
      <c r="O620" s="605"/>
      <c r="P620" s="587">
        <f>IFERROR(VLOOKUP($B620,اسماء,10,0),0)</f>
        <v>0</v>
      </c>
      <c r="Q620" s="605"/>
      <c r="R620" s="606">
        <f>IFERROR(VLOOKUP($B620,اسماء,11,0),0)</f>
        <v>0</v>
      </c>
      <c r="S620" s="591"/>
      <c r="T620" s="587">
        <f>IFERROR(VLOOKUP($B620,اسماء,12,0),0)</f>
        <v>0</v>
      </c>
      <c r="U620" s="591"/>
      <c r="V620" s="263">
        <f t="shared" ref="V620:V622" si="1871">SUM(F620:U620)</f>
        <v>0</v>
      </c>
      <c r="W620" s="373">
        <f>IFERROR(VLOOKUP($B620,اسماء,14,0),0)</f>
        <v>0</v>
      </c>
      <c r="X620" s="373">
        <f>IFERROR(VLOOKUP($B620,اسماء,15,0),0)</f>
        <v>0</v>
      </c>
      <c r="Y620" s="595" t="str">
        <f t="shared" ref="Y620" si="1872">IF(AC620="غائب","راسب",IF(AND(F623&gt;=$G$8,H623&gt;=$I$8,J623&gt;=$K$8,L623&gt;=$M$8,N623&gt;=$O$8,P623&gt;=$Q$8,R623&gt;=$S$8,T623&gt;=$U$8),"ناجح","له دور ثان"))</f>
        <v>له دور ثان</v>
      </c>
      <c r="Z620" s="21" t="str">
        <f>LOOKUP(V620,$AF$6:$AG$10)</f>
        <v>ضعيف</v>
      </c>
      <c r="AA620" s="656">
        <f>V623/$AF$3</f>
        <v>0</v>
      </c>
      <c r="AB620" s="10"/>
      <c r="AC620" s="653" t="str">
        <f>IFERROR(VLOOKUP($B620,اسماء,54,0),"")</f>
        <v/>
      </c>
      <c r="AN620" s="607" t="str">
        <f t="shared" ref="AN620" si="1873">IF(V623=0,"",V623/1+ROW()*0.00001)</f>
        <v/>
      </c>
      <c r="AO620" s="607">
        <f>B620</f>
        <v>0</v>
      </c>
      <c r="AP620" s="613"/>
      <c r="AQ620" s="612">
        <v>134</v>
      </c>
      <c r="AR620" s="611" t="str">
        <f>IFERROR(LARGE($AN$10:$AN$1006,AQ620),"")</f>
        <v/>
      </c>
      <c r="AS620" s="612" t="str">
        <f>VLOOKUP(AR620,$AN$10:$AO$1116,2,0)</f>
        <v>أحمد نورالدين أحمد الذيب</v>
      </c>
    </row>
    <row r="621" spans="1:45" ht="15" customHeight="1" thickBot="1" x14ac:dyDescent="0.3">
      <c r="A621" s="633"/>
      <c r="B621" s="630"/>
      <c r="C621" s="622"/>
      <c r="D621" s="625"/>
      <c r="E621" s="133" t="s">
        <v>31</v>
      </c>
      <c r="F621" s="589">
        <f>IFERROR(VLOOKUP($B620,اسماء,18,0),0)</f>
        <v>0</v>
      </c>
      <c r="G621" s="592"/>
      <c r="H621" s="608">
        <f>IFERROR(VLOOKUP($B620,اسماء,19,0),0)</f>
        <v>0</v>
      </c>
      <c r="I621" s="609"/>
      <c r="J621" s="589">
        <f>IFERROR(VLOOKUP($B620,اسماء,20,0),0)</f>
        <v>0</v>
      </c>
      <c r="K621" s="592"/>
      <c r="L621" s="589">
        <f>IFERROR(VLOOKUP($B620,اسماء,21,0),0)</f>
        <v>0</v>
      </c>
      <c r="M621" s="590"/>
      <c r="N621" s="589">
        <f>IFERROR(VLOOKUP($B620,اسماء,22,0),0)</f>
        <v>0</v>
      </c>
      <c r="O621" s="590"/>
      <c r="P621" s="589">
        <f>IFERROR(VLOOKUP($B620,اسماء,23,0),0)</f>
        <v>0</v>
      </c>
      <c r="Q621" s="609"/>
      <c r="R621" s="603">
        <f>IFERROR(VLOOKUP($B620,اسماء,24,0),0)</f>
        <v>0</v>
      </c>
      <c r="S621" s="592"/>
      <c r="T621" s="589">
        <f>IFERROR(VLOOKUP($B620,اسماء,25,0),0)</f>
        <v>0</v>
      </c>
      <c r="U621" s="592"/>
      <c r="V621" s="263">
        <f t="shared" si="1871"/>
        <v>0</v>
      </c>
      <c r="W621" s="373">
        <f>IFERROR(VLOOKUP($B620,اسماء,27,0),0)</f>
        <v>0</v>
      </c>
      <c r="X621" s="373">
        <f>IFERROR(VLOOKUP($B620,اسماء,28,0),0)</f>
        <v>0</v>
      </c>
      <c r="Y621" s="596"/>
      <c r="Z621" s="22" t="str">
        <f>LOOKUP(V621,$AF$6:$AG$10)</f>
        <v>ضعيف</v>
      </c>
      <c r="AA621" s="657"/>
      <c r="AB621" s="72"/>
      <c r="AC621" s="654"/>
      <c r="AN621" s="607"/>
      <c r="AO621" s="607"/>
      <c r="AP621" s="613"/>
      <c r="AQ621" s="612"/>
      <c r="AR621" s="611"/>
      <c r="AS621" s="612"/>
    </row>
    <row r="622" spans="1:45" ht="15" customHeight="1" x14ac:dyDescent="0.25">
      <c r="A622" s="633"/>
      <c r="B622" s="630"/>
      <c r="C622" s="622"/>
      <c r="D622" s="625"/>
      <c r="E622" s="133" t="s">
        <v>32</v>
      </c>
      <c r="F622" s="589">
        <f>IFERROR(VLOOKUP($B620,اسماء,31,0),0)</f>
        <v>0</v>
      </c>
      <c r="G622" s="592"/>
      <c r="H622" s="608">
        <f>IFERROR(VLOOKUP($B620,اسماء,32,0),0)</f>
        <v>0</v>
      </c>
      <c r="I622" s="609"/>
      <c r="J622" s="589">
        <f>IFERROR(VLOOKUP($B620,اسماء,33,0),0)</f>
        <v>0</v>
      </c>
      <c r="K622" s="592"/>
      <c r="L622" s="589">
        <f>IFERROR(VLOOKUP($B620,اسماء,34,0),0)</f>
        <v>0</v>
      </c>
      <c r="M622" s="590"/>
      <c r="N622" s="589">
        <f>IFERROR(VLOOKUP($B620,اسماء,35,0),0)</f>
        <v>0</v>
      </c>
      <c r="O622" s="590"/>
      <c r="P622" s="589">
        <f>IFERROR(VLOOKUP($B620,اسماء,36,0),0)</f>
        <v>0</v>
      </c>
      <c r="Q622" s="609"/>
      <c r="R622" s="603">
        <f>IFERROR(VLOOKUP($B620,اسماء,37,0),0)</f>
        <v>0</v>
      </c>
      <c r="S622" s="592"/>
      <c r="T622" s="589">
        <f>IFERROR(VLOOKUP($B620,اسماء,38,0),0)</f>
        <v>0</v>
      </c>
      <c r="U622" s="592"/>
      <c r="V622" s="263">
        <f t="shared" si="1871"/>
        <v>0</v>
      </c>
      <c r="W622" s="373">
        <f>IFERROR(VLOOKUP($B620,اسماء,40,0),0)</f>
        <v>0</v>
      </c>
      <c r="X622" s="373">
        <f>IFERROR(VLOOKUP($B620,اسماء,41,0),0)</f>
        <v>0</v>
      </c>
      <c r="Y622" s="596"/>
      <c r="Z622" s="22" t="str">
        <f>LOOKUP(V622,$AI$6:$AJ$10)</f>
        <v>ضعيف</v>
      </c>
      <c r="AA622" s="657"/>
      <c r="AB622" s="72"/>
      <c r="AC622" s="654"/>
      <c r="AN622" s="607"/>
      <c r="AO622" s="607"/>
      <c r="AP622" s="613"/>
      <c r="AQ622" s="612"/>
      <c r="AR622" s="611"/>
      <c r="AS622" s="612"/>
    </row>
    <row r="623" spans="1:45" ht="15" customHeight="1" thickBot="1" x14ac:dyDescent="0.3">
      <c r="A623" s="634"/>
      <c r="B623" s="631"/>
      <c r="C623" s="623"/>
      <c r="D623" s="626"/>
      <c r="E623" s="127" t="s">
        <v>33</v>
      </c>
      <c r="F623" s="585">
        <f t="shared" ref="F623" si="1874">SUM(F620:G622)</f>
        <v>0</v>
      </c>
      <c r="G623" s="593"/>
      <c r="H623" s="604">
        <f t="shared" ref="H623" si="1875">SUM(H620:I622)</f>
        <v>0</v>
      </c>
      <c r="I623" s="601"/>
      <c r="J623" s="585">
        <f t="shared" ref="J623" si="1876">SUM(J620:K622)</f>
        <v>0</v>
      </c>
      <c r="K623" s="593"/>
      <c r="L623" s="585">
        <f t="shared" ref="L623" si="1877">SUM(L620:M622)</f>
        <v>0</v>
      </c>
      <c r="M623" s="586"/>
      <c r="N623" s="585">
        <f t="shared" ref="N623" si="1878">SUM(N620:O622)</f>
        <v>0</v>
      </c>
      <c r="O623" s="586"/>
      <c r="P623" s="585">
        <f t="shared" ref="P623" si="1879">SUM(P620:Q622)</f>
        <v>0</v>
      </c>
      <c r="Q623" s="601"/>
      <c r="R623" s="602">
        <f t="shared" ref="R623" si="1880">SUM(R620:S622)</f>
        <v>0</v>
      </c>
      <c r="S623" s="593"/>
      <c r="T623" s="585">
        <f t="shared" ref="T623" si="1881">SUM(T620:U622)</f>
        <v>0</v>
      </c>
      <c r="U623" s="593"/>
      <c r="V623" s="210">
        <f t="shared" ref="V623" si="1882">IF(AND(F623&gt;=$G$8,H623&gt;=$I$8,L623&gt;=$M$8,P623&gt;=$Q$8,R623&gt;=$S$8,T623&gt;=$U$8),SUM(F623:U623),0)</f>
        <v>0</v>
      </c>
      <c r="W623" s="264"/>
      <c r="X623" s="97"/>
      <c r="Y623" s="597"/>
      <c r="Z623" s="91" t="str">
        <f>LOOKUP(V623,$AL$6:$AM$10)</f>
        <v>ضعيف</v>
      </c>
      <c r="AA623" s="658"/>
      <c r="AB623" s="10"/>
      <c r="AC623" s="655"/>
      <c r="AN623" s="607"/>
      <c r="AO623" s="607"/>
      <c r="AP623" s="613"/>
      <c r="AQ623" s="612"/>
      <c r="AR623" s="611"/>
      <c r="AS623" s="612"/>
    </row>
    <row r="624" spans="1:45" ht="15" customHeight="1" thickBot="1" x14ac:dyDescent="0.3">
      <c r="A624" s="632">
        <v>135</v>
      </c>
      <c r="B624" s="629">
        <f>VLOOKUP(A624,مسلسل,2,0)</f>
        <v>0</v>
      </c>
      <c r="C624" s="621" t="str">
        <f>IFERROR(VLOOKUP(B624,اسماء,2,0),"")</f>
        <v/>
      </c>
      <c r="D624" s="624" t="str">
        <f>IFERROR(VLOOKUP($B624,اسماء,3,0),"")</f>
        <v/>
      </c>
      <c r="E624" s="132" t="s">
        <v>30</v>
      </c>
      <c r="F624" s="627">
        <f>IFERROR(VLOOKUP($B624,اسماء,5,0),0)</f>
        <v>0</v>
      </c>
      <c r="G624" s="606"/>
      <c r="H624" s="628">
        <f>IFERROR(VLOOKUP($B624,اسماء,6,0),0)</f>
        <v>0</v>
      </c>
      <c r="I624" s="605"/>
      <c r="J624" s="587">
        <f>IFERROR(VLOOKUP($B624,اسماء,7,0),0)</f>
        <v>0</v>
      </c>
      <c r="K624" s="591"/>
      <c r="L624" s="587">
        <f>IFERROR(VLOOKUP($B624,اسماء,8,0),0)</f>
        <v>0</v>
      </c>
      <c r="M624" s="588"/>
      <c r="N624" s="587">
        <f>IFERROR(VLOOKUP($B624,اسماء,9,0),0)</f>
        <v>0</v>
      </c>
      <c r="O624" s="605"/>
      <c r="P624" s="587">
        <f>IFERROR(VLOOKUP($B624,اسماء,10,0),0)</f>
        <v>0</v>
      </c>
      <c r="Q624" s="605"/>
      <c r="R624" s="606">
        <f>IFERROR(VLOOKUP($B624,اسماء,11,0),0)</f>
        <v>0</v>
      </c>
      <c r="S624" s="591"/>
      <c r="T624" s="587">
        <f>IFERROR(VLOOKUP($B624,اسماء,12,0),0)</f>
        <v>0</v>
      </c>
      <c r="U624" s="591"/>
      <c r="V624" s="263">
        <f t="shared" ref="V624:V626" si="1883">SUM(F624:U624)</f>
        <v>0</v>
      </c>
      <c r="W624" s="373">
        <f>IFERROR(VLOOKUP($B624,اسماء,14,0),0)</f>
        <v>0</v>
      </c>
      <c r="X624" s="373">
        <f>IFERROR(VLOOKUP($B624,اسماء,15,0),0)</f>
        <v>0</v>
      </c>
      <c r="Y624" s="595" t="str">
        <f t="shared" ref="Y624" si="1884">IF(AC624="غائب","راسب",IF(AND(F627&gt;=$G$8,H627&gt;=$I$8,J627&gt;=$K$8,L627&gt;=$M$8,N627&gt;=$O$8,P627&gt;=$Q$8,R627&gt;=$S$8,T627&gt;=$U$8),"ناجح","له دور ثان"))</f>
        <v>له دور ثان</v>
      </c>
      <c r="Z624" s="21" t="str">
        <f t="shared" ref="Z624:Z625" si="1885">LOOKUP(V624,$AF$6:$AG$10)</f>
        <v>ضعيف</v>
      </c>
      <c r="AA624" s="656">
        <f t="shared" ref="AA624" si="1886">V627/$AF$3</f>
        <v>0</v>
      </c>
      <c r="AB624" s="72"/>
      <c r="AC624" s="653" t="str">
        <f>IFERROR(VLOOKUP($B624,اسماء,54,0),"")</f>
        <v/>
      </c>
      <c r="AN624" s="607" t="str">
        <f t="shared" ref="AN624" si="1887">IF(V627=0,"",V627/1+ROW()*0.00001)</f>
        <v/>
      </c>
      <c r="AO624" s="607">
        <f>B624</f>
        <v>0</v>
      </c>
      <c r="AP624" s="613"/>
      <c r="AQ624" s="612">
        <v>135</v>
      </c>
      <c r="AR624" s="611" t="str">
        <f>IFERROR(LARGE($AN$10:$AN$1006,AQ624),"")</f>
        <v/>
      </c>
      <c r="AS624" s="612" t="str">
        <f>VLOOKUP(AR624,$AN$10:$AO$1116,2,0)</f>
        <v>أحمد نورالدين أحمد الذيب</v>
      </c>
    </row>
    <row r="625" spans="1:45" ht="15" customHeight="1" thickBot="1" x14ac:dyDescent="0.3">
      <c r="A625" s="633"/>
      <c r="B625" s="630"/>
      <c r="C625" s="622"/>
      <c r="D625" s="625"/>
      <c r="E625" s="133" t="s">
        <v>31</v>
      </c>
      <c r="F625" s="589">
        <f>IFERROR(VLOOKUP($B624,اسماء,18,0),0)</f>
        <v>0</v>
      </c>
      <c r="G625" s="592"/>
      <c r="H625" s="608">
        <f>IFERROR(VLOOKUP($B624,اسماء,19,0),0)</f>
        <v>0</v>
      </c>
      <c r="I625" s="609"/>
      <c r="J625" s="589">
        <f>IFERROR(VLOOKUP($B624,اسماء,20,0),0)</f>
        <v>0</v>
      </c>
      <c r="K625" s="592"/>
      <c r="L625" s="589">
        <f>IFERROR(VLOOKUP($B624,اسماء,21,0),0)</f>
        <v>0</v>
      </c>
      <c r="M625" s="590"/>
      <c r="N625" s="589">
        <f>IFERROR(VLOOKUP($B624,اسماء,22,0),0)</f>
        <v>0</v>
      </c>
      <c r="O625" s="590"/>
      <c r="P625" s="589">
        <f>IFERROR(VLOOKUP($B624,اسماء,23,0),0)</f>
        <v>0</v>
      </c>
      <c r="Q625" s="609"/>
      <c r="R625" s="603">
        <f>IFERROR(VLOOKUP($B624,اسماء,24,0),0)</f>
        <v>0</v>
      </c>
      <c r="S625" s="592"/>
      <c r="T625" s="589">
        <f>IFERROR(VLOOKUP($B624,اسماء,25,0),0)</f>
        <v>0</v>
      </c>
      <c r="U625" s="592"/>
      <c r="V625" s="263">
        <f t="shared" si="1883"/>
        <v>0</v>
      </c>
      <c r="W625" s="373">
        <f>IFERROR(VLOOKUP($B624,اسماء,27,0),0)</f>
        <v>0</v>
      </c>
      <c r="X625" s="373">
        <f>IFERROR(VLOOKUP($B624,اسماء,28,0),0)</f>
        <v>0</v>
      </c>
      <c r="Y625" s="596"/>
      <c r="Z625" s="22" t="str">
        <f t="shared" si="1885"/>
        <v>ضعيف</v>
      </c>
      <c r="AA625" s="657"/>
      <c r="AB625" s="72"/>
      <c r="AC625" s="654"/>
      <c r="AN625" s="607"/>
      <c r="AO625" s="607"/>
      <c r="AP625" s="613"/>
      <c r="AQ625" s="612"/>
      <c r="AR625" s="611"/>
      <c r="AS625" s="612"/>
    </row>
    <row r="626" spans="1:45" ht="15" customHeight="1" x14ac:dyDescent="0.25">
      <c r="A626" s="633"/>
      <c r="B626" s="630"/>
      <c r="C626" s="622"/>
      <c r="D626" s="625"/>
      <c r="E626" s="133" t="s">
        <v>32</v>
      </c>
      <c r="F626" s="589">
        <f>IFERROR(VLOOKUP($B624,اسماء,31,0),0)</f>
        <v>0</v>
      </c>
      <c r="G626" s="592"/>
      <c r="H626" s="608">
        <f>IFERROR(VLOOKUP($B624,اسماء,32,0),0)</f>
        <v>0</v>
      </c>
      <c r="I626" s="609"/>
      <c r="J626" s="589">
        <f>IFERROR(VLOOKUP($B624,اسماء,33,0),0)</f>
        <v>0</v>
      </c>
      <c r="K626" s="592"/>
      <c r="L626" s="589">
        <f>IFERROR(VLOOKUP($B624,اسماء,34,0),0)</f>
        <v>0</v>
      </c>
      <c r="M626" s="590"/>
      <c r="N626" s="589">
        <f>IFERROR(VLOOKUP($B624,اسماء,35,0),0)</f>
        <v>0</v>
      </c>
      <c r="O626" s="590"/>
      <c r="P626" s="589">
        <f>IFERROR(VLOOKUP($B624,اسماء,36,0),0)</f>
        <v>0</v>
      </c>
      <c r="Q626" s="609"/>
      <c r="R626" s="603">
        <f>IFERROR(VLOOKUP($B624,اسماء,37,0),0)</f>
        <v>0</v>
      </c>
      <c r="S626" s="592"/>
      <c r="T626" s="589">
        <f>IFERROR(VLOOKUP($B624,اسماء,38,0),0)</f>
        <v>0</v>
      </c>
      <c r="U626" s="592"/>
      <c r="V626" s="263">
        <f t="shared" si="1883"/>
        <v>0</v>
      </c>
      <c r="W626" s="373">
        <f>IFERROR(VLOOKUP($B624,اسماء,40,0),0)</f>
        <v>0</v>
      </c>
      <c r="X626" s="373">
        <f>IFERROR(VLOOKUP($B624,اسماء,41,0),0)</f>
        <v>0</v>
      </c>
      <c r="Y626" s="596"/>
      <c r="Z626" s="22" t="str">
        <f t="shared" ref="Z626" si="1888">LOOKUP(V626,$AI$6:$AJ$10)</f>
        <v>ضعيف</v>
      </c>
      <c r="AA626" s="657"/>
      <c r="AB626" s="10"/>
      <c r="AC626" s="654"/>
      <c r="AN626" s="607"/>
      <c r="AO626" s="607"/>
      <c r="AP626" s="613"/>
      <c r="AQ626" s="612"/>
      <c r="AR626" s="611"/>
      <c r="AS626" s="612"/>
    </row>
    <row r="627" spans="1:45" ht="15" customHeight="1" thickBot="1" x14ac:dyDescent="0.3">
      <c r="A627" s="634"/>
      <c r="B627" s="631"/>
      <c r="C627" s="623"/>
      <c r="D627" s="626"/>
      <c r="E627" s="127" t="s">
        <v>33</v>
      </c>
      <c r="F627" s="585">
        <f t="shared" ref="F627" si="1889">SUM(F624:G626)</f>
        <v>0</v>
      </c>
      <c r="G627" s="593"/>
      <c r="H627" s="604">
        <f t="shared" ref="H627" si="1890">SUM(H624:I626)</f>
        <v>0</v>
      </c>
      <c r="I627" s="601"/>
      <c r="J627" s="585">
        <f t="shared" ref="J627" si="1891">SUM(J624:K626)</f>
        <v>0</v>
      </c>
      <c r="K627" s="593"/>
      <c r="L627" s="585">
        <f t="shared" ref="L627" si="1892">SUM(L624:M626)</f>
        <v>0</v>
      </c>
      <c r="M627" s="586"/>
      <c r="N627" s="585">
        <f t="shared" ref="N627" si="1893">SUM(N624:O626)</f>
        <v>0</v>
      </c>
      <c r="O627" s="586"/>
      <c r="P627" s="585">
        <f t="shared" ref="P627" si="1894">SUM(P624:Q626)</f>
        <v>0</v>
      </c>
      <c r="Q627" s="601"/>
      <c r="R627" s="602">
        <f t="shared" ref="R627" si="1895">SUM(R624:S626)</f>
        <v>0</v>
      </c>
      <c r="S627" s="593"/>
      <c r="T627" s="585">
        <f t="shared" ref="T627" si="1896">SUM(T624:U626)</f>
        <v>0</v>
      </c>
      <c r="U627" s="593"/>
      <c r="V627" s="210">
        <f t="shared" ref="V627" si="1897">IF(AND(F627&gt;=$G$8,H627&gt;=$I$8,L627&gt;=$M$8,P627&gt;=$Q$8,R627&gt;=$S$8,T627&gt;=$U$8),SUM(F627:U627),0)</f>
        <v>0</v>
      </c>
      <c r="W627" s="264"/>
      <c r="X627" s="97"/>
      <c r="Y627" s="597"/>
      <c r="Z627" s="91" t="str">
        <f t="shared" ref="Z627" si="1898">LOOKUP(V627,$AL$6:$AM$10)</f>
        <v>ضعيف</v>
      </c>
      <c r="AA627" s="658"/>
      <c r="AB627" s="72"/>
      <c r="AC627" s="655"/>
      <c r="AN627" s="607"/>
      <c r="AO627" s="607"/>
      <c r="AP627" s="613"/>
      <c r="AQ627" s="612"/>
      <c r="AR627" s="611"/>
      <c r="AS627" s="612"/>
    </row>
    <row r="628" spans="1:45" ht="15" customHeight="1" thickBot="1" x14ac:dyDescent="0.3">
      <c r="A628" s="632">
        <v>136</v>
      </c>
      <c r="B628" s="629">
        <f>VLOOKUP(A628,مسلسل,2,0)</f>
        <v>0</v>
      </c>
      <c r="C628" s="621" t="str">
        <f>IFERROR(VLOOKUP(B628,اسماء,2,0),"")</f>
        <v/>
      </c>
      <c r="D628" s="624" t="str">
        <f>IFERROR(VLOOKUP($B628,اسماء,3,0),"")</f>
        <v/>
      </c>
      <c r="E628" s="132" t="s">
        <v>30</v>
      </c>
      <c r="F628" s="627">
        <f>IFERROR(VLOOKUP($B628,اسماء,5,0),0)</f>
        <v>0</v>
      </c>
      <c r="G628" s="606"/>
      <c r="H628" s="628">
        <f>IFERROR(VLOOKUP($B628,اسماء,6,0),0)</f>
        <v>0</v>
      </c>
      <c r="I628" s="605"/>
      <c r="J628" s="587">
        <f>IFERROR(VLOOKUP($B628,اسماء,7,0),0)</f>
        <v>0</v>
      </c>
      <c r="K628" s="591"/>
      <c r="L628" s="587">
        <f>IFERROR(VLOOKUP($B628,اسماء,8,0),0)</f>
        <v>0</v>
      </c>
      <c r="M628" s="588"/>
      <c r="N628" s="587">
        <f>IFERROR(VLOOKUP($B628,اسماء,9,0),0)</f>
        <v>0</v>
      </c>
      <c r="O628" s="605"/>
      <c r="P628" s="587">
        <f>IFERROR(VLOOKUP($B628,اسماء,10,0),0)</f>
        <v>0</v>
      </c>
      <c r="Q628" s="605"/>
      <c r="R628" s="606">
        <f>IFERROR(VLOOKUP($B628,اسماء,11,0),0)</f>
        <v>0</v>
      </c>
      <c r="S628" s="591"/>
      <c r="T628" s="587">
        <f>IFERROR(VLOOKUP($B628,اسماء,12,0),0)</f>
        <v>0</v>
      </c>
      <c r="U628" s="591"/>
      <c r="V628" s="263">
        <f t="shared" ref="V628:V630" si="1899">SUM(F628:U628)</f>
        <v>0</v>
      </c>
      <c r="W628" s="373">
        <f>IFERROR(VLOOKUP($B628,اسماء,14,0),0)</f>
        <v>0</v>
      </c>
      <c r="X628" s="373">
        <f>IFERROR(VLOOKUP($B628,اسماء,15,0),0)</f>
        <v>0</v>
      </c>
      <c r="Y628" s="595" t="str">
        <f t="shared" ref="Y628" si="1900">IF(AC628="غائب","راسب",IF(AND(F631&gt;=$G$8,H631&gt;=$I$8,J631&gt;=$K$8,L631&gt;=$M$8,N631&gt;=$O$8,P631&gt;=$Q$8,R631&gt;=$S$8,T631&gt;=$U$8),"ناجح","له دور ثان"))</f>
        <v>له دور ثان</v>
      </c>
      <c r="Z628" s="21" t="str">
        <f t="shared" ref="Z628:Z629" si="1901">LOOKUP(V628,$AF$6:$AG$10)</f>
        <v>ضعيف</v>
      </c>
      <c r="AA628" s="656">
        <f t="shared" ref="AA628" si="1902">V631/$AF$3</f>
        <v>0</v>
      </c>
      <c r="AB628" s="72"/>
      <c r="AC628" s="653" t="str">
        <f>IFERROR(VLOOKUP($B628,اسماء,54,0),"")</f>
        <v/>
      </c>
      <c r="AN628" s="607" t="str">
        <f t="shared" ref="AN628" si="1903">IF(V631=0,"",V631/1+ROW()*0.00001)</f>
        <v/>
      </c>
      <c r="AO628" s="607">
        <f>B628</f>
        <v>0</v>
      </c>
      <c r="AP628" s="613"/>
      <c r="AQ628" s="612">
        <v>136</v>
      </c>
      <c r="AR628" s="611" t="str">
        <f>IFERROR(LARGE($AN$10:$AN$1006,AQ628),"")</f>
        <v/>
      </c>
      <c r="AS628" s="612" t="str">
        <f>VLOOKUP(AR628,$AN$10:$AO$1116,2,0)</f>
        <v>أحمد نورالدين أحمد الذيب</v>
      </c>
    </row>
    <row r="629" spans="1:45" ht="15" customHeight="1" thickBot="1" x14ac:dyDescent="0.3">
      <c r="A629" s="633"/>
      <c r="B629" s="630"/>
      <c r="C629" s="622"/>
      <c r="D629" s="625"/>
      <c r="E629" s="133" t="s">
        <v>31</v>
      </c>
      <c r="F629" s="589">
        <f>IFERROR(VLOOKUP($B628,اسماء,18,0),0)</f>
        <v>0</v>
      </c>
      <c r="G629" s="592"/>
      <c r="H629" s="608">
        <f>IFERROR(VLOOKUP($B628,اسماء,19,0),0)</f>
        <v>0</v>
      </c>
      <c r="I629" s="609"/>
      <c r="J629" s="589">
        <f>IFERROR(VLOOKUP($B628,اسماء,20,0),0)</f>
        <v>0</v>
      </c>
      <c r="K629" s="592"/>
      <c r="L629" s="589">
        <f>IFERROR(VLOOKUP($B628,اسماء,21,0),0)</f>
        <v>0</v>
      </c>
      <c r="M629" s="590"/>
      <c r="N629" s="589">
        <f>IFERROR(VLOOKUP($B628,اسماء,22,0),0)</f>
        <v>0</v>
      </c>
      <c r="O629" s="590"/>
      <c r="P629" s="589">
        <f>IFERROR(VLOOKUP($B628,اسماء,23,0),0)</f>
        <v>0</v>
      </c>
      <c r="Q629" s="609"/>
      <c r="R629" s="603">
        <f>IFERROR(VLOOKUP($B628,اسماء,24,0),0)</f>
        <v>0</v>
      </c>
      <c r="S629" s="592"/>
      <c r="T629" s="589">
        <f>IFERROR(VLOOKUP($B628,اسماء,25,0),0)</f>
        <v>0</v>
      </c>
      <c r="U629" s="592"/>
      <c r="V629" s="263">
        <f t="shared" si="1899"/>
        <v>0</v>
      </c>
      <c r="W629" s="373">
        <f>IFERROR(VLOOKUP($B628,اسماء,27,0),0)</f>
        <v>0</v>
      </c>
      <c r="X629" s="373">
        <f>IFERROR(VLOOKUP($B628,اسماء,28,0),0)</f>
        <v>0</v>
      </c>
      <c r="Y629" s="596"/>
      <c r="Z629" s="22" t="str">
        <f t="shared" si="1901"/>
        <v>ضعيف</v>
      </c>
      <c r="AA629" s="657"/>
      <c r="AB629" s="10"/>
      <c r="AC629" s="654"/>
      <c r="AN629" s="607"/>
      <c r="AO629" s="607"/>
      <c r="AP629" s="613"/>
      <c r="AQ629" s="612"/>
      <c r="AR629" s="611"/>
      <c r="AS629" s="612"/>
    </row>
    <row r="630" spans="1:45" ht="15" customHeight="1" x14ac:dyDescent="0.25">
      <c r="A630" s="633"/>
      <c r="B630" s="630"/>
      <c r="C630" s="622"/>
      <c r="D630" s="625"/>
      <c r="E630" s="133" t="s">
        <v>32</v>
      </c>
      <c r="F630" s="589">
        <f>IFERROR(VLOOKUP($B628,اسماء,31,0),0)</f>
        <v>0</v>
      </c>
      <c r="G630" s="592"/>
      <c r="H630" s="608">
        <f>IFERROR(VLOOKUP($B628,اسماء,32,0),0)</f>
        <v>0</v>
      </c>
      <c r="I630" s="609"/>
      <c r="J630" s="589">
        <f>IFERROR(VLOOKUP($B628,اسماء,33,0),0)</f>
        <v>0</v>
      </c>
      <c r="K630" s="592"/>
      <c r="L630" s="589">
        <f>IFERROR(VLOOKUP($B628,اسماء,34,0),0)</f>
        <v>0</v>
      </c>
      <c r="M630" s="590"/>
      <c r="N630" s="589">
        <f>IFERROR(VLOOKUP($B628,اسماء,35,0),0)</f>
        <v>0</v>
      </c>
      <c r="O630" s="590"/>
      <c r="P630" s="589">
        <f>IFERROR(VLOOKUP($B628,اسماء,36,0),0)</f>
        <v>0</v>
      </c>
      <c r="Q630" s="609"/>
      <c r="R630" s="603">
        <f>IFERROR(VLOOKUP($B628,اسماء,37,0),0)</f>
        <v>0</v>
      </c>
      <c r="S630" s="592"/>
      <c r="T630" s="589">
        <f>IFERROR(VLOOKUP($B628,اسماء,38,0),0)</f>
        <v>0</v>
      </c>
      <c r="U630" s="592"/>
      <c r="V630" s="263">
        <f t="shared" si="1899"/>
        <v>0</v>
      </c>
      <c r="W630" s="373">
        <f>IFERROR(VLOOKUP($B628,اسماء,40,0),0)</f>
        <v>0</v>
      </c>
      <c r="X630" s="373">
        <f>IFERROR(VLOOKUP($B628,اسماء,41,0),0)</f>
        <v>0</v>
      </c>
      <c r="Y630" s="596"/>
      <c r="Z630" s="22" t="str">
        <f t="shared" ref="Z630" si="1904">LOOKUP(V630,$AI$6:$AJ$10)</f>
        <v>ضعيف</v>
      </c>
      <c r="AA630" s="657"/>
      <c r="AB630" s="72"/>
      <c r="AC630" s="654"/>
      <c r="AN630" s="607"/>
      <c r="AO630" s="607"/>
      <c r="AP630" s="613"/>
      <c r="AQ630" s="612"/>
      <c r="AR630" s="611"/>
      <c r="AS630" s="612"/>
    </row>
    <row r="631" spans="1:45" ht="15" customHeight="1" thickBot="1" x14ac:dyDescent="0.3">
      <c r="A631" s="634"/>
      <c r="B631" s="631"/>
      <c r="C631" s="623"/>
      <c r="D631" s="626"/>
      <c r="E631" s="127" t="s">
        <v>33</v>
      </c>
      <c r="F631" s="585">
        <f t="shared" ref="F631" si="1905">SUM(F628:G630)</f>
        <v>0</v>
      </c>
      <c r="G631" s="593"/>
      <c r="H631" s="604">
        <f t="shared" ref="H631" si="1906">SUM(H628:I630)</f>
        <v>0</v>
      </c>
      <c r="I631" s="601"/>
      <c r="J631" s="585">
        <f t="shared" ref="J631" si="1907">SUM(J628:K630)</f>
        <v>0</v>
      </c>
      <c r="K631" s="593"/>
      <c r="L631" s="585">
        <f t="shared" ref="L631" si="1908">SUM(L628:M630)</f>
        <v>0</v>
      </c>
      <c r="M631" s="586"/>
      <c r="N631" s="585">
        <f t="shared" ref="N631" si="1909">SUM(N628:O630)</f>
        <v>0</v>
      </c>
      <c r="O631" s="586"/>
      <c r="P631" s="585">
        <f t="shared" ref="P631" si="1910">SUM(P628:Q630)</f>
        <v>0</v>
      </c>
      <c r="Q631" s="601"/>
      <c r="R631" s="602">
        <f t="shared" ref="R631" si="1911">SUM(R628:S630)</f>
        <v>0</v>
      </c>
      <c r="S631" s="593"/>
      <c r="T631" s="585">
        <f t="shared" ref="T631" si="1912">SUM(T628:U630)</f>
        <v>0</v>
      </c>
      <c r="U631" s="593"/>
      <c r="V631" s="210">
        <f t="shared" ref="V631" si="1913">IF(AND(F631&gt;=$G$8,H631&gt;=$I$8,L631&gt;=$M$8,P631&gt;=$Q$8,R631&gt;=$S$8,T631&gt;=$U$8),SUM(F631:U631),0)</f>
        <v>0</v>
      </c>
      <c r="W631" s="264"/>
      <c r="X631" s="97"/>
      <c r="Y631" s="597"/>
      <c r="Z631" s="91" t="str">
        <f t="shared" ref="Z631" si="1914">LOOKUP(V631,$AL$6:$AM$10)</f>
        <v>ضعيف</v>
      </c>
      <c r="AA631" s="658"/>
      <c r="AB631" s="72"/>
      <c r="AC631" s="655"/>
      <c r="AN631" s="607"/>
      <c r="AO631" s="607"/>
      <c r="AP631" s="613"/>
      <c r="AQ631" s="612"/>
      <c r="AR631" s="611"/>
      <c r="AS631" s="612"/>
    </row>
    <row r="632" spans="1:45" ht="15" customHeight="1" thickBot="1" x14ac:dyDescent="0.3">
      <c r="A632" s="632">
        <v>137</v>
      </c>
      <c r="B632" s="629">
        <f>VLOOKUP(A632,مسلسل,2,0)</f>
        <v>0</v>
      </c>
      <c r="C632" s="621" t="str">
        <f>IFERROR(VLOOKUP(B632,اسماء,2,0),"")</f>
        <v/>
      </c>
      <c r="D632" s="624" t="str">
        <f>IFERROR(VLOOKUP($B632,اسماء,3,0),"")</f>
        <v/>
      </c>
      <c r="E632" s="132" t="s">
        <v>30</v>
      </c>
      <c r="F632" s="627">
        <f>IFERROR(VLOOKUP($B632,اسماء,5,0),0)</f>
        <v>0</v>
      </c>
      <c r="G632" s="606"/>
      <c r="H632" s="628">
        <f>IFERROR(VLOOKUP($B632,اسماء,6,0),0)</f>
        <v>0</v>
      </c>
      <c r="I632" s="605"/>
      <c r="J632" s="587">
        <f>IFERROR(VLOOKUP($B632,اسماء,7,0),0)</f>
        <v>0</v>
      </c>
      <c r="K632" s="591"/>
      <c r="L632" s="587">
        <f>IFERROR(VLOOKUP($B632,اسماء,8,0),0)</f>
        <v>0</v>
      </c>
      <c r="M632" s="588"/>
      <c r="N632" s="587">
        <f>IFERROR(VLOOKUP($B632,اسماء,9,0),0)</f>
        <v>0</v>
      </c>
      <c r="O632" s="605"/>
      <c r="P632" s="587">
        <f>IFERROR(VLOOKUP($B632,اسماء,10,0),0)</f>
        <v>0</v>
      </c>
      <c r="Q632" s="605"/>
      <c r="R632" s="606">
        <f>IFERROR(VLOOKUP($B632,اسماء,11,0),0)</f>
        <v>0</v>
      </c>
      <c r="S632" s="591"/>
      <c r="T632" s="587">
        <f>IFERROR(VLOOKUP($B632,اسماء,12,0),0)</f>
        <v>0</v>
      </c>
      <c r="U632" s="591"/>
      <c r="V632" s="263">
        <f t="shared" ref="V632:V634" si="1915">SUM(F632:U632)</f>
        <v>0</v>
      </c>
      <c r="W632" s="373">
        <f>IFERROR(VLOOKUP($B632,اسماء,14,0),0)</f>
        <v>0</v>
      </c>
      <c r="X632" s="373">
        <f>IFERROR(VLOOKUP($B632,اسماء,15,0),0)</f>
        <v>0</v>
      </c>
      <c r="Y632" s="595" t="str">
        <f t="shared" ref="Y632" si="1916">IF(AC632="غائب","راسب",IF(AND(F635&gt;=$G$8,H635&gt;=$I$8,J635&gt;=$K$8,L635&gt;=$M$8,N635&gt;=$O$8,P635&gt;=$Q$8,R635&gt;=$S$8,T635&gt;=$U$8),"ناجح","له دور ثان"))</f>
        <v>له دور ثان</v>
      </c>
      <c r="Z632" s="21" t="str">
        <f t="shared" ref="Z632:Z633" si="1917">LOOKUP(V632,$AF$6:$AG$10)</f>
        <v>ضعيف</v>
      </c>
      <c r="AA632" s="656">
        <f t="shared" ref="AA632" si="1918">V635/$AF$3</f>
        <v>0</v>
      </c>
      <c r="AB632" s="10"/>
      <c r="AC632" s="653" t="str">
        <f>IFERROR(VLOOKUP($B632,اسماء,54,0),"")</f>
        <v/>
      </c>
      <c r="AN632" s="607" t="str">
        <f t="shared" ref="AN632" si="1919">IF(V635=0,"",V635/1+ROW()*0.00001)</f>
        <v/>
      </c>
      <c r="AO632" s="607">
        <f>B632</f>
        <v>0</v>
      </c>
      <c r="AP632" s="613"/>
      <c r="AQ632" s="612">
        <v>137</v>
      </c>
      <c r="AR632" s="611" t="str">
        <f>IFERROR(LARGE($AN$10:$AN$1006,AQ632),"")</f>
        <v/>
      </c>
      <c r="AS632" s="612" t="str">
        <f>VLOOKUP(AR632,$AN$10:$AO$1116,2,0)</f>
        <v>أحمد نورالدين أحمد الذيب</v>
      </c>
    </row>
    <row r="633" spans="1:45" ht="15" customHeight="1" thickBot="1" x14ac:dyDescent="0.3">
      <c r="A633" s="633"/>
      <c r="B633" s="630"/>
      <c r="C633" s="622"/>
      <c r="D633" s="625"/>
      <c r="E633" s="133" t="s">
        <v>31</v>
      </c>
      <c r="F633" s="589">
        <f>IFERROR(VLOOKUP($B632,اسماء,18,0),0)</f>
        <v>0</v>
      </c>
      <c r="G633" s="592"/>
      <c r="H633" s="608">
        <f>IFERROR(VLOOKUP($B632,اسماء,19,0),0)</f>
        <v>0</v>
      </c>
      <c r="I633" s="609"/>
      <c r="J633" s="589">
        <f>IFERROR(VLOOKUP($B632,اسماء,20,0),0)</f>
        <v>0</v>
      </c>
      <c r="K633" s="592"/>
      <c r="L633" s="589">
        <f>IFERROR(VLOOKUP($B632,اسماء,21,0),0)</f>
        <v>0</v>
      </c>
      <c r="M633" s="590"/>
      <c r="N633" s="589">
        <f>IFERROR(VLOOKUP($B632,اسماء,22,0),0)</f>
        <v>0</v>
      </c>
      <c r="O633" s="590"/>
      <c r="P633" s="589">
        <f>IFERROR(VLOOKUP($B632,اسماء,23,0),0)</f>
        <v>0</v>
      </c>
      <c r="Q633" s="609"/>
      <c r="R633" s="603">
        <f>IFERROR(VLOOKUP($B632,اسماء,24,0),0)</f>
        <v>0</v>
      </c>
      <c r="S633" s="592"/>
      <c r="T633" s="589">
        <f>IFERROR(VLOOKUP($B632,اسماء,25,0),0)</f>
        <v>0</v>
      </c>
      <c r="U633" s="592"/>
      <c r="V633" s="263">
        <f t="shared" si="1915"/>
        <v>0</v>
      </c>
      <c r="W633" s="373">
        <f>IFERROR(VLOOKUP($B632,اسماء,27,0),0)</f>
        <v>0</v>
      </c>
      <c r="X633" s="373">
        <f>IFERROR(VLOOKUP($B632,اسماء,28,0),0)</f>
        <v>0</v>
      </c>
      <c r="Y633" s="596"/>
      <c r="Z633" s="22" t="str">
        <f t="shared" si="1917"/>
        <v>ضعيف</v>
      </c>
      <c r="AA633" s="657"/>
      <c r="AB633" s="72"/>
      <c r="AC633" s="654"/>
      <c r="AN633" s="607"/>
      <c r="AO633" s="607"/>
      <c r="AP633" s="613"/>
      <c r="AQ633" s="612"/>
      <c r="AR633" s="611"/>
      <c r="AS633" s="612"/>
    </row>
    <row r="634" spans="1:45" ht="15" customHeight="1" x14ac:dyDescent="0.25">
      <c r="A634" s="633"/>
      <c r="B634" s="630"/>
      <c r="C634" s="622"/>
      <c r="D634" s="625"/>
      <c r="E634" s="133" t="s">
        <v>32</v>
      </c>
      <c r="F634" s="589">
        <f>IFERROR(VLOOKUP($B632,اسماء,31,0),0)</f>
        <v>0</v>
      </c>
      <c r="G634" s="592"/>
      <c r="H634" s="608">
        <f>IFERROR(VLOOKUP($B632,اسماء,32,0),0)</f>
        <v>0</v>
      </c>
      <c r="I634" s="609"/>
      <c r="J634" s="589">
        <f>IFERROR(VLOOKUP($B632,اسماء,33,0),0)</f>
        <v>0</v>
      </c>
      <c r="K634" s="592"/>
      <c r="L634" s="589">
        <f>IFERROR(VLOOKUP($B632,اسماء,34,0),0)</f>
        <v>0</v>
      </c>
      <c r="M634" s="590"/>
      <c r="N634" s="589">
        <f>IFERROR(VLOOKUP($B632,اسماء,35,0),0)</f>
        <v>0</v>
      </c>
      <c r="O634" s="590"/>
      <c r="P634" s="589">
        <f>IFERROR(VLOOKUP($B632,اسماء,36,0),0)</f>
        <v>0</v>
      </c>
      <c r="Q634" s="609"/>
      <c r="R634" s="603">
        <f>IFERROR(VLOOKUP($B632,اسماء,37,0),0)</f>
        <v>0</v>
      </c>
      <c r="S634" s="592"/>
      <c r="T634" s="589">
        <f>IFERROR(VLOOKUP($B632,اسماء,38,0),0)</f>
        <v>0</v>
      </c>
      <c r="U634" s="592"/>
      <c r="V634" s="263">
        <f t="shared" si="1915"/>
        <v>0</v>
      </c>
      <c r="W634" s="373">
        <f>IFERROR(VLOOKUP($B632,اسماء,40,0),0)</f>
        <v>0</v>
      </c>
      <c r="X634" s="373">
        <f>IFERROR(VLOOKUP($B632,اسماء,41,0),0)</f>
        <v>0</v>
      </c>
      <c r="Y634" s="596"/>
      <c r="Z634" s="22" t="str">
        <f t="shared" ref="Z634" si="1920">LOOKUP(V634,$AI$6:$AJ$10)</f>
        <v>ضعيف</v>
      </c>
      <c r="AA634" s="657"/>
      <c r="AB634" s="72"/>
      <c r="AC634" s="654"/>
      <c r="AN634" s="607"/>
      <c r="AO634" s="607"/>
      <c r="AP634" s="613"/>
      <c r="AQ634" s="612"/>
      <c r="AR634" s="611"/>
      <c r="AS634" s="612"/>
    </row>
    <row r="635" spans="1:45" ht="15" customHeight="1" thickBot="1" x14ac:dyDescent="0.3">
      <c r="A635" s="634"/>
      <c r="B635" s="631"/>
      <c r="C635" s="623"/>
      <c r="D635" s="626"/>
      <c r="E635" s="127" t="s">
        <v>33</v>
      </c>
      <c r="F635" s="585">
        <f t="shared" ref="F635" si="1921">SUM(F632:G634)</f>
        <v>0</v>
      </c>
      <c r="G635" s="593"/>
      <c r="H635" s="604">
        <f t="shared" ref="H635" si="1922">SUM(H632:I634)</f>
        <v>0</v>
      </c>
      <c r="I635" s="601"/>
      <c r="J635" s="585">
        <f t="shared" ref="J635" si="1923">SUM(J632:K634)</f>
        <v>0</v>
      </c>
      <c r="K635" s="593"/>
      <c r="L635" s="585">
        <f t="shared" ref="L635" si="1924">SUM(L632:M634)</f>
        <v>0</v>
      </c>
      <c r="M635" s="586"/>
      <c r="N635" s="585">
        <f t="shared" ref="N635" si="1925">SUM(N632:O634)</f>
        <v>0</v>
      </c>
      <c r="O635" s="586"/>
      <c r="P635" s="585">
        <f t="shared" ref="P635" si="1926">SUM(P632:Q634)</f>
        <v>0</v>
      </c>
      <c r="Q635" s="601"/>
      <c r="R635" s="602">
        <f t="shared" ref="R635" si="1927">SUM(R632:S634)</f>
        <v>0</v>
      </c>
      <c r="S635" s="593"/>
      <c r="T635" s="585">
        <f t="shared" ref="T635" si="1928">SUM(T632:U634)</f>
        <v>0</v>
      </c>
      <c r="U635" s="593"/>
      <c r="V635" s="210">
        <f t="shared" ref="V635" si="1929">IF(AND(F635&gt;=$G$8,H635&gt;=$I$8,L635&gt;=$M$8,P635&gt;=$Q$8,R635&gt;=$S$8,T635&gt;=$U$8),SUM(F635:U635),0)</f>
        <v>0</v>
      </c>
      <c r="W635" s="264"/>
      <c r="X635" s="97"/>
      <c r="Y635" s="597"/>
      <c r="Z635" s="91" t="str">
        <f t="shared" ref="Z635" si="1930">LOOKUP(V635,$AL$6:$AM$10)</f>
        <v>ضعيف</v>
      </c>
      <c r="AA635" s="658"/>
      <c r="AB635" s="10"/>
      <c r="AC635" s="655"/>
      <c r="AN635" s="607"/>
      <c r="AO635" s="607"/>
      <c r="AP635" s="613"/>
      <c r="AQ635" s="612"/>
      <c r="AR635" s="611"/>
      <c r="AS635" s="612"/>
    </row>
    <row r="636" spans="1:45" ht="15" customHeight="1" thickBot="1" x14ac:dyDescent="0.3">
      <c r="A636" s="632">
        <v>138</v>
      </c>
      <c r="B636" s="629">
        <f>VLOOKUP(A636,مسلسل,2,0)</f>
        <v>0</v>
      </c>
      <c r="C636" s="621" t="str">
        <f>IFERROR(VLOOKUP(B636,اسماء,2,0),"")</f>
        <v/>
      </c>
      <c r="D636" s="624" t="str">
        <f>IFERROR(VLOOKUP($B636,اسماء,3,0),"")</f>
        <v/>
      </c>
      <c r="E636" s="132" t="s">
        <v>30</v>
      </c>
      <c r="F636" s="627">
        <f>IFERROR(VLOOKUP($B636,اسماء,5,0),0)</f>
        <v>0</v>
      </c>
      <c r="G636" s="606"/>
      <c r="H636" s="628">
        <f>IFERROR(VLOOKUP($B636,اسماء,6,0),0)</f>
        <v>0</v>
      </c>
      <c r="I636" s="605"/>
      <c r="J636" s="587">
        <f>IFERROR(VLOOKUP($B636,اسماء,7,0),0)</f>
        <v>0</v>
      </c>
      <c r="K636" s="591"/>
      <c r="L636" s="587">
        <f>IFERROR(VLOOKUP($B636,اسماء,8,0),0)</f>
        <v>0</v>
      </c>
      <c r="M636" s="588"/>
      <c r="N636" s="587">
        <f>IFERROR(VLOOKUP($B636,اسماء,9,0),0)</f>
        <v>0</v>
      </c>
      <c r="O636" s="605"/>
      <c r="P636" s="587">
        <f>IFERROR(VLOOKUP($B636,اسماء,10,0),0)</f>
        <v>0</v>
      </c>
      <c r="Q636" s="605"/>
      <c r="R636" s="606">
        <f>IFERROR(VLOOKUP($B636,اسماء,11,0),0)</f>
        <v>0</v>
      </c>
      <c r="S636" s="591"/>
      <c r="T636" s="587">
        <f>IFERROR(VLOOKUP($B636,اسماء,12,0),0)</f>
        <v>0</v>
      </c>
      <c r="U636" s="591"/>
      <c r="V636" s="263">
        <f t="shared" ref="V636:V638" si="1931">SUM(F636:U636)</f>
        <v>0</v>
      </c>
      <c r="W636" s="373">
        <f>IFERROR(VLOOKUP($B636,اسماء,14,0),0)</f>
        <v>0</v>
      </c>
      <c r="X636" s="373">
        <f>IFERROR(VLOOKUP($B636,اسماء,15,0),0)</f>
        <v>0</v>
      </c>
      <c r="Y636" s="595" t="str">
        <f t="shared" ref="Y636" si="1932">IF(AC636="غائب","راسب",IF(AND(F639&gt;=$G$8,H639&gt;=$I$8,J639&gt;=$K$8,L639&gt;=$M$8,N639&gt;=$O$8,P639&gt;=$Q$8,R639&gt;=$S$8,T639&gt;=$U$8),"ناجح","له دور ثان"))</f>
        <v>له دور ثان</v>
      </c>
      <c r="Z636" s="21" t="str">
        <f t="shared" ref="Z636:Z637" si="1933">LOOKUP(V636,$AF$6:$AG$10)</f>
        <v>ضعيف</v>
      </c>
      <c r="AA636" s="656">
        <f t="shared" ref="AA636" si="1934">V639/$AF$3</f>
        <v>0</v>
      </c>
      <c r="AB636" s="72"/>
      <c r="AC636" s="653" t="str">
        <f>IFERROR(VLOOKUP($B636,اسماء,54,0),"")</f>
        <v/>
      </c>
      <c r="AN636" s="607" t="str">
        <f t="shared" ref="AN636" si="1935">IF(V639=0,"",V639/1+ROW()*0.00001)</f>
        <v/>
      </c>
      <c r="AO636" s="607">
        <f>B636</f>
        <v>0</v>
      </c>
      <c r="AP636" s="613"/>
      <c r="AQ636" s="612">
        <v>138</v>
      </c>
      <c r="AR636" s="611" t="str">
        <f>IFERROR(LARGE($AN$10:$AN$1006,AQ636),"")</f>
        <v/>
      </c>
      <c r="AS636" s="612" t="str">
        <f>VLOOKUP(AR636,$AN$10:$AO$1116,2,0)</f>
        <v>أحمد نورالدين أحمد الذيب</v>
      </c>
    </row>
    <row r="637" spans="1:45" ht="15" customHeight="1" thickBot="1" x14ac:dyDescent="0.3">
      <c r="A637" s="633"/>
      <c r="B637" s="630"/>
      <c r="C637" s="622"/>
      <c r="D637" s="625"/>
      <c r="E637" s="133" t="s">
        <v>31</v>
      </c>
      <c r="F637" s="589">
        <f>IFERROR(VLOOKUP($B636,اسماء,18,0),0)</f>
        <v>0</v>
      </c>
      <c r="G637" s="592"/>
      <c r="H637" s="608">
        <f>IFERROR(VLOOKUP($B636,اسماء,19,0),0)</f>
        <v>0</v>
      </c>
      <c r="I637" s="609"/>
      <c r="J637" s="589">
        <f>IFERROR(VLOOKUP($B636,اسماء,20,0),0)</f>
        <v>0</v>
      </c>
      <c r="K637" s="592"/>
      <c r="L637" s="589">
        <f>IFERROR(VLOOKUP($B636,اسماء,21,0),0)</f>
        <v>0</v>
      </c>
      <c r="M637" s="590"/>
      <c r="N637" s="589">
        <f>IFERROR(VLOOKUP($B636,اسماء,22,0),0)</f>
        <v>0</v>
      </c>
      <c r="O637" s="590"/>
      <c r="P637" s="589">
        <f>IFERROR(VLOOKUP($B636,اسماء,23,0),0)</f>
        <v>0</v>
      </c>
      <c r="Q637" s="609"/>
      <c r="R637" s="603">
        <f>IFERROR(VLOOKUP($B636,اسماء,24,0),0)</f>
        <v>0</v>
      </c>
      <c r="S637" s="592"/>
      <c r="T637" s="589">
        <f>IFERROR(VLOOKUP($B636,اسماء,25,0),0)</f>
        <v>0</v>
      </c>
      <c r="U637" s="592"/>
      <c r="V637" s="263">
        <f t="shared" si="1931"/>
        <v>0</v>
      </c>
      <c r="W637" s="373">
        <f>IFERROR(VLOOKUP($B636,اسماء,27,0),0)</f>
        <v>0</v>
      </c>
      <c r="X637" s="373">
        <f>IFERROR(VLOOKUP($B636,اسماء,28,0),0)</f>
        <v>0</v>
      </c>
      <c r="Y637" s="596"/>
      <c r="Z637" s="22" t="str">
        <f t="shared" si="1933"/>
        <v>ضعيف</v>
      </c>
      <c r="AA637" s="657"/>
      <c r="AB637" s="72"/>
      <c r="AC637" s="654"/>
      <c r="AN637" s="607"/>
      <c r="AO637" s="607"/>
      <c r="AP637" s="613"/>
      <c r="AQ637" s="612"/>
      <c r="AR637" s="611"/>
      <c r="AS637" s="612"/>
    </row>
    <row r="638" spans="1:45" ht="15" customHeight="1" x14ac:dyDescent="0.25">
      <c r="A638" s="633"/>
      <c r="B638" s="630"/>
      <c r="C638" s="622"/>
      <c r="D638" s="625"/>
      <c r="E638" s="133" t="s">
        <v>32</v>
      </c>
      <c r="F638" s="589">
        <f>IFERROR(VLOOKUP($B636,اسماء,31,0),0)</f>
        <v>0</v>
      </c>
      <c r="G638" s="592"/>
      <c r="H638" s="608">
        <f>IFERROR(VLOOKUP($B636,اسماء,32,0),0)</f>
        <v>0</v>
      </c>
      <c r="I638" s="609"/>
      <c r="J638" s="589">
        <f>IFERROR(VLOOKUP($B636,اسماء,33,0),0)</f>
        <v>0</v>
      </c>
      <c r="K638" s="592"/>
      <c r="L638" s="589">
        <f>IFERROR(VLOOKUP($B636,اسماء,34,0),0)</f>
        <v>0</v>
      </c>
      <c r="M638" s="590"/>
      <c r="N638" s="589">
        <f>IFERROR(VLOOKUP($B636,اسماء,35,0),0)</f>
        <v>0</v>
      </c>
      <c r="O638" s="590"/>
      <c r="P638" s="589">
        <f>IFERROR(VLOOKUP($B636,اسماء,36,0),0)</f>
        <v>0</v>
      </c>
      <c r="Q638" s="609"/>
      <c r="R638" s="603">
        <f>IFERROR(VLOOKUP($B636,اسماء,37,0),0)</f>
        <v>0</v>
      </c>
      <c r="S638" s="592"/>
      <c r="T638" s="589">
        <f>IFERROR(VLOOKUP($B636,اسماء,38,0),0)</f>
        <v>0</v>
      </c>
      <c r="U638" s="592"/>
      <c r="V638" s="263">
        <f t="shared" si="1931"/>
        <v>0</v>
      </c>
      <c r="W638" s="373">
        <f>IFERROR(VLOOKUP($B636,اسماء,40,0),0)</f>
        <v>0</v>
      </c>
      <c r="X638" s="373">
        <f>IFERROR(VLOOKUP($B636,اسماء,41,0),0)</f>
        <v>0</v>
      </c>
      <c r="Y638" s="596"/>
      <c r="Z638" s="22" t="str">
        <f t="shared" ref="Z638" si="1936">LOOKUP(V638,$AI$6:$AJ$10)</f>
        <v>ضعيف</v>
      </c>
      <c r="AA638" s="657"/>
      <c r="AB638" s="10"/>
      <c r="AC638" s="654"/>
      <c r="AN638" s="607"/>
      <c r="AO638" s="607"/>
      <c r="AP638" s="613"/>
      <c r="AQ638" s="612"/>
      <c r="AR638" s="611"/>
      <c r="AS638" s="612"/>
    </row>
    <row r="639" spans="1:45" ht="15" customHeight="1" thickBot="1" x14ac:dyDescent="0.3">
      <c r="A639" s="634"/>
      <c r="B639" s="631"/>
      <c r="C639" s="623"/>
      <c r="D639" s="626"/>
      <c r="E639" s="127" t="s">
        <v>33</v>
      </c>
      <c r="F639" s="585">
        <f t="shared" ref="F639" si="1937">SUM(F636:G638)</f>
        <v>0</v>
      </c>
      <c r="G639" s="593"/>
      <c r="H639" s="604">
        <f t="shared" ref="H639" si="1938">SUM(H636:I638)</f>
        <v>0</v>
      </c>
      <c r="I639" s="601"/>
      <c r="J639" s="585">
        <f t="shared" ref="J639" si="1939">SUM(J636:K638)</f>
        <v>0</v>
      </c>
      <c r="K639" s="593"/>
      <c r="L639" s="585">
        <f t="shared" ref="L639" si="1940">SUM(L636:M638)</f>
        <v>0</v>
      </c>
      <c r="M639" s="586"/>
      <c r="N639" s="585">
        <f t="shared" ref="N639" si="1941">SUM(N636:O638)</f>
        <v>0</v>
      </c>
      <c r="O639" s="586"/>
      <c r="P639" s="585">
        <f t="shared" ref="P639" si="1942">SUM(P636:Q638)</f>
        <v>0</v>
      </c>
      <c r="Q639" s="601"/>
      <c r="R639" s="602">
        <f t="shared" ref="R639" si="1943">SUM(R636:S638)</f>
        <v>0</v>
      </c>
      <c r="S639" s="593"/>
      <c r="T639" s="585">
        <f t="shared" ref="T639" si="1944">SUM(T636:U638)</f>
        <v>0</v>
      </c>
      <c r="U639" s="593"/>
      <c r="V639" s="210">
        <f t="shared" ref="V639" si="1945">IF(AND(F639&gt;=$G$8,H639&gt;=$I$8,L639&gt;=$M$8,P639&gt;=$Q$8,R639&gt;=$S$8,T639&gt;=$U$8),SUM(F639:U639),0)</f>
        <v>0</v>
      </c>
      <c r="W639" s="264"/>
      <c r="X639" s="97"/>
      <c r="Y639" s="597"/>
      <c r="Z639" s="91" t="str">
        <f t="shared" ref="Z639" si="1946">LOOKUP(V639,$AL$6:$AM$10)</f>
        <v>ضعيف</v>
      </c>
      <c r="AA639" s="658"/>
      <c r="AB639" s="72"/>
      <c r="AC639" s="655"/>
      <c r="AN639" s="607"/>
      <c r="AO639" s="607"/>
      <c r="AP639" s="613"/>
      <c r="AQ639" s="612"/>
      <c r="AR639" s="611"/>
      <c r="AS639" s="612"/>
    </row>
    <row r="640" spans="1:45" ht="15" customHeight="1" thickBot="1" x14ac:dyDescent="0.3">
      <c r="A640" s="632">
        <v>139</v>
      </c>
      <c r="B640" s="629">
        <f>VLOOKUP(A640,مسلسل,2,0)</f>
        <v>0</v>
      </c>
      <c r="C640" s="621" t="str">
        <f>IFERROR(VLOOKUP(B640,اسماء,2,0),"")</f>
        <v/>
      </c>
      <c r="D640" s="624" t="str">
        <f>IFERROR(VLOOKUP($B640,اسماء,3,0),"")</f>
        <v/>
      </c>
      <c r="E640" s="132" t="s">
        <v>30</v>
      </c>
      <c r="F640" s="627">
        <f>IFERROR(VLOOKUP($B640,اسماء,5,0),0)</f>
        <v>0</v>
      </c>
      <c r="G640" s="606"/>
      <c r="H640" s="628">
        <f>IFERROR(VLOOKUP($B640,اسماء,6,0),0)</f>
        <v>0</v>
      </c>
      <c r="I640" s="605"/>
      <c r="J640" s="587">
        <f>IFERROR(VLOOKUP($B640,اسماء,7,0),0)</f>
        <v>0</v>
      </c>
      <c r="K640" s="591"/>
      <c r="L640" s="587">
        <f>IFERROR(VLOOKUP($B640,اسماء,8,0),0)</f>
        <v>0</v>
      </c>
      <c r="M640" s="588"/>
      <c r="N640" s="587">
        <f>IFERROR(VLOOKUP($B640,اسماء,9,0),0)</f>
        <v>0</v>
      </c>
      <c r="O640" s="605"/>
      <c r="P640" s="587">
        <f>IFERROR(VLOOKUP($B640,اسماء,10,0),0)</f>
        <v>0</v>
      </c>
      <c r="Q640" s="605"/>
      <c r="R640" s="606">
        <f>IFERROR(VLOOKUP($B640,اسماء,11,0),0)</f>
        <v>0</v>
      </c>
      <c r="S640" s="591"/>
      <c r="T640" s="587">
        <f>IFERROR(VLOOKUP($B640,اسماء,12,0),0)</f>
        <v>0</v>
      </c>
      <c r="U640" s="591"/>
      <c r="V640" s="263">
        <f t="shared" ref="V640:V642" si="1947">SUM(F640:U640)</f>
        <v>0</v>
      </c>
      <c r="W640" s="373">
        <f>IFERROR(VLOOKUP($B640,اسماء,14,0),0)</f>
        <v>0</v>
      </c>
      <c r="X640" s="373">
        <f>IFERROR(VLOOKUP($B640,اسماء,15,0),0)</f>
        <v>0</v>
      </c>
      <c r="Y640" s="595" t="str">
        <f t="shared" ref="Y640" si="1948">IF(AC640="غائب","راسب",IF(AND(F643&gt;=$G$8,H643&gt;=$I$8,J643&gt;=$K$8,L643&gt;=$M$8,N643&gt;=$O$8,P643&gt;=$Q$8,R643&gt;=$S$8,T643&gt;=$U$8),"ناجح","له دور ثان"))</f>
        <v>له دور ثان</v>
      </c>
      <c r="Z640" s="21" t="str">
        <f t="shared" ref="Z640:Z641" si="1949">LOOKUP(V640,$AF$6:$AG$10)</f>
        <v>ضعيف</v>
      </c>
      <c r="AA640" s="656">
        <f t="shared" ref="AA640" si="1950">V643/$AF$3</f>
        <v>0</v>
      </c>
      <c r="AB640" s="72"/>
      <c r="AC640" s="653" t="str">
        <f>IFERROR(VLOOKUP($B640,اسماء,54,0),"")</f>
        <v/>
      </c>
      <c r="AN640" s="607" t="str">
        <f t="shared" ref="AN640" si="1951">IF(V643=0,"",V643/1+ROW()*0.00001)</f>
        <v/>
      </c>
      <c r="AO640" s="607">
        <f>B640</f>
        <v>0</v>
      </c>
      <c r="AP640" s="613"/>
      <c r="AQ640" s="612">
        <v>139</v>
      </c>
      <c r="AR640" s="611" t="str">
        <f>IFERROR(LARGE($AN$10:$AN$1006,AQ640),"")</f>
        <v/>
      </c>
      <c r="AS640" s="612" t="str">
        <f>VLOOKUP(AR640,$AN$10:$AO$1116,2,0)</f>
        <v>أحمد نورالدين أحمد الذيب</v>
      </c>
    </row>
    <row r="641" spans="1:45" ht="15" customHeight="1" thickBot="1" x14ac:dyDescent="0.3">
      <c r="A641" s="633"/>
      <c r="B641" s="630"/>
      <c r="C641" s="622"/>
      <c r="D641" s="625"/>
      <c r="E641" s="133" t="s">
        <v>31</v>
      </c>
      <c r="F641" s="589">
        <f>IFERROR(VLOOKUP($B640,اسماء,18,0),0)</f>
        <v>0</v>
      </c>
      <c r="G641" s="592"/>
      <c r="H641" s="608">
        <f>IFERROR(VLOOKUP($B640,اسماء,19,0),0)</f>
        <v>0</v>
      </c>
      <c r="I641" s="609"/>
      <c r="J641" s="589">
        <f>IFERROR(VLOOKUP($B640,اسماء,20,0),0)</f>
        <v>0</v>
      </c>
      <c r="K641" s="592"/>
      <c r="L641" s="589">
        <f>IFERROR(VLOOKUP($B640,اسماء,21,0),0)</f>
        <v>0</v>
      </c>
      <c r="M641" s="590"/>
      <c r="N641" s="589">
        <f>IFERROR(VLOOKUP($B640,اسماء,22,0),0)</f>
        <v>0</v>
      </c>
      <c r="O641" s="590"/>
      <c r="P641" s="589">
        <f>IFERROR(VLOOKUP($B640,اسماء,23,0),0)</f>
        <v>0</v>
      </c>
      <c r="Q641" s="609"/>
      <c r="R641" s="603">
        <f>IFERROR(VLOOKUP($B640,اسماء,24,0),0)</f>
        <v>0</v>
      </c>
      <c r="S641" s="592"/>
      <c r="T641" s="589">
        <f>IFERROR(VLOOKUP($B640,اسماء,25,0),0)</f>
        <v>0</v>
      </c>
      <c r="U641" s="592"/>
      <c r="V641" s="263">
        <f t="shared" si="1947"/>
        <v>0</v>
      </c>
      <c r="W641" s="373">
        <f>IFERROR(VLOOKUP($B640,اسماء,27,0),0)</f>
        <v>0</v>
      </c>
      <c r="X641" s="373">
        <f>IFERROR(VLOOKUP($B640,اسماء,28,0),0)</f>
        <v>0</v>
      </c>
      <c r="Y641" s="596"/>
      <c r="Z641" s="22" t="str">
        <f t="shared" si="1949"/>
        <v>ضعيف</v>
      </c>
      <c r="AA641" s="657"/>
      <c r="AB641" s="10"/>
      <c r="AC641" s="654"/>
      <c r="AN641" s="607"/>
      <c r="AO641" s="607"/>
      <c r="AP641" s="613"/>
      <c r="AQ641" s="612"/>
      <c r="AR641" s="611"/>
      <c r="AS641" s="612"/>
    </row>
    <row r="642" spans="1:45" ht="15" customHeight="1" x14ac:dyDescent="0.25">
      <c r="A642" s="633"/>
      <c r="B642" s="630"/>
      <c r="C642" s="622"/>
      <c r="D642" s="625"/>
      <c r="E642" s="133" t="s">
        <v>32</v>
      </c>
      <c r="F642" s="589">
        <f>IFERROR(VLOOKUP($B640,اسماء,31,0),0)</f>
        <v>0</v>
      </c>
      <c r="G642" s="592"/>
      <c r="H642" s="608">
        <f>IFERROR(VLOOKUP($B640,اسماء,32,0),0)</f>
        <v>0</v>
      </c>
      <c r="I642" s="609"/>
      <c r="J642" s="589">
        <f>IFERROR(VLOOKUP($B640,اسماء,33,0),0)</f>
        <v>0</v>
      </c>
      <c r="K642" s="592"/>
      <c r="L642" s="589">
        <f>IFERROR(VLOOKUP($B640,اسماء,34,0),0)</f>
        <v>0</v>
      </c>
      <c r="M642" s="590"/>
      <c r="N642" s="589">
        <f>IFERROR(VLOOKUP($B640,اسماء,35,0),0)</f>
        <v>0</v>
      </c>
      <c r="O642" s="590"/>
      <c r="P642" s="589">
        <f>IFERROR(VLOOKUP($B640,اسماء,36,0),0)</f>
        <v>0</v>
      </c>
      <c r="Q642" s="609"/>
      <c r="R642" s="603">
        <f>IFERROR(VLOOKUP($B640,اسماء,37,0),0)</f>
        <v>0</v>
      </c>
      <c r="S642" s="592"/>
      <c r="T642" s="589">
        <f>IFERROR(VLOOKUP($B640,اسماء,38,0),0)</f>
        <v>0</v>
      </c>
      <c r="U642" s="592"/>
      <c r="V642" s="263">
        <f t="shared" si="1947"/>
        <v>0</v>
      </c>
      <c r="W642" s="373">
        <f>IFERROR(VLOOKUP($B640,اسماء,40,0),0)</f>
        <v>0</v>
      </c>
      <c r="X642" s="373">
        <f>IFERROR(VLOOKUP($B640,اسماء,41,0),0)</f>
        <v>0</v>
      </c>
      <c r="Y642" s="596"/>
      <c r="Z642" s="22" t="str">
        <f t="shared" ref="Z642" si="1952">LOOKUP(V642,$AI$6:$AJ$10)</f>
        <v>ضعيف</v>
      </c>
      <c r="AA642" s="657"/>
      <c r="AB642" s="72"/>
      <c r="AC642" s="654"/>
      <c r="AN642" s="607"/>
      <c r="AO642" s="607"/>
      <c r="AP642" s="613"/>
      <c r="AQ642" s="612"/>
      <c r="AR642" s="611"/>
      <c r="AS642" s="612"/>
    </row>
    <row r="643" spans="1:45" ht="15" customHeight="1" thickBot="1" x14ac:dyDescent="0.3">
      <c r="A643" s="634"/>
      <c r="B643" s="631"/>
      <c r="C643" s="623"/>
      <c r="D643" s="626"/>
      <c r="E643" s="127" t="s">
        <v>33</v>
      </c>
      <c r="F643" s="585">
        <f t="shared" ref="F643" si="1953">SUM(F640:G642)</f>
        <v>0</v>
      </c>
      <c r="G643" s="593"/>
      <c r="H643" s="604">
        <f t="shared" ref="H643" si="1954">SUM(H640:I642)</f>
        <v>0</v>
      </c>
      <c r="I643" s="601"/>
      <c r="J643" s="585">
        <f t="shared" ref="J643" si="1955">SUM(J640:K642)</f>
        <v>0</v>
      </c>
      <c r="K643" s="593"/>
      <c r="L643" s="585">
        <f t="shared" ref="L643" si="1956">SUM(L640:M642)</f>
        <v>0</v>
      </c>
      <c r="M643" s="586"/>
      <c r="N643" s="585">
        <f t="shared" ref="N643" si="1957">SUM(N640:O642)</f>
        <v>0</v>
      </c>
      <c r="O643" s="586"/>
      <c r="P643" s="585">
        <f t="shared" ref="P643" si="1958">SUM(P640:Q642)</f>
        <v>0</v>
      </c>
      <c r="Q643" s="601"/>
      <c r="R643" s="602">
        <f t="shared" ref="R643" si="1959">SUM(R640:S642)</f>
        <v>0</v>
      </c>
      <c r="S643" s="593"/>
      <c r="T643" s="585">
        <f t="shared" ref="T643" si="1960">SUM(T640:U642)</f>
        <v>0</v>
      </c>
      <c r="U643" s="593"/>
      <c r="V643" s="210">
        <f t="shared" ref="V643" si="1961">IF(AND(F643&gt;=$G$8,H643&gt;=$I$8,L643&gt;=$M$8,P643&gt;=$Q$8,R643&gt;=$S$8,T643&gt;=$U$8),SUM(F643:U643),0)</f>
        <v>0</v>
      </c>
      <c r="W643" s="264"/>
      <c r="X643" s="97"/>
      <c r="Y643" s="597"/>
      <c r="Z643" s="91" t="str">
        <f t="shared" ref="Z643" si="1962">LOOKUP(V643,$AL$6:$AM$10)</f>
        <v>ضعيف</v>
      </c>
      <c r="AA643" s="658"/>
      <c r="AB643" s="72"/>
      <c r="AC643" s="655"/>
      <c r="AN643" s="607"/>
      <c r="AO643" s="607"/>
      <c r="AP643" s="613"/>
      <c r="AQ643" s="612"/>
      <c r="AR643" s="611"/>
      <c r="AS643" s="612"/>
    </row>
    <row r="644" spans="1:45" ht="15" customHeight="1" thickBot="1" x14ac:dyDescent="0.3">
      <c r="A644" s="632">
        <v>140</v>
      </c>
      <c r="B644" s="629">
        <f>VLOOKUP(A644,مسلسل,2,0)</f>
        <v>0</v>
      </c>
      <c r="C644" s="621" t="str">
        <f>IFERROR(VLOOKUP(B644,اسماء,2,0),"")</f>
        <v/>
      </c>
      <c r="D644" s="624" t="str">
        <f>IFERROR(VLOOKUP($B644,اسماء,3,0),"")</f>
        <v/>
      </c>
      <c r="E644" s="132" t="s">
        <v>30</v>
      </c>
      <c r="F644" s="627">
        <f>IFERROR(VLOOKUP($B644,اسماء,5,0),0)</f>
        <v>0</v>
      </c>
      <c r="G644" s="606"/>
      <c r="H644" s="628">
        <f>IFERROR(VLOOKUP($B644,اسماء,6,0),0)</f>
        <v>0</v>
      </c>
      <c r="I644" s="605"/>
      <c r="J644" s="587">
        <f>IFERROR(VLOOKUP($B644,اسماء,7,0),0)</f>
        <v>0</v>
      </c>
      <c r="K644" s="591"/>
      <c r="L644" s="587">
        <f>IFERROR(VLOOKUP($B644,اسماء,8,0),0)</f>
        <v>0</v>
      </c>
      <c r="M644" s="588"/>
      <c r="N644" s="587">
        <f>IFERROR(VLOOKUP($B644,اسماء,9,0),0)</f>
        <v>0</v>
      </c>
      <c r="O644" s="605"/>
      <c r="P644" s="587">
        <f>IFERROR(VLOOKUP($B644,اسماء,10,0),0)</f>
        <v>0</v>
      </c>
      <c r="Q644" s="605"/>
      <c r="R644" s="606">
        <f>IFERROR(VLOOKUP($B644,اسماء,11,0),0)</f>
        <v>0</v>
      </c>
      <c r="S644" s="591"/>
      <c r="T644" s="587">
        <f>IFERROR(VLOOKUP($B644,اسماء,12,0),0)</f>
        <v>0</v>
      </c>
      <c r="U644" s="591"/>
      <c r="V644" s="263">
        <f t="shared" ref="V644:V646" si="1963">SUM(F644:U644)</f>
        <v>0</v>
      </c>
      <c r="W644" s="373">
        <f>IFERROR(VLOOKUP($B644,اسماء,14,0),0)</f>
        <v>0</v>
      </c>
      <c r="X644" s="373">
        <f>IFERROR(VLOOKUP($B644,اسماء,15,0),0)</f>
        <v>0</v>
      </c>
      <c r="Y644" s="595" t="str">
        <f t="shared" ref="Y644" si="1964">IF(AC644="غائب","راسب",IF(AND(F647&gt;=$G$8,H647&gt;=$I$8,J647&gt;=$K$8,L647&gt;=$M$8,N647&gt;=$O$8,P647&gt;=$Q$8,R647&gt;=$S$8,T647&gt;=$U$8),"ناجح","له دور ثان"))</f>
        <v>له دور ثان</v>
      </c>
      <c r="Z644" s="21" t="str">
        <f t="shared" ref="Z644:Z645" si="1965">LOOKUP(V644,$AF$6:$AG$10)</f>
        <v>ضعيف</v>
      </c>
      <c r="AA644" s="656">
        <f t="shared" ref="AA644" si="1966">V647/$AF$3</f>
        <v>0</v>
      </c>
      <c r="AB644" s="10"/>
      <c r="AC644" s="653" t="str">
        <f>IFERROR(VLOOKUP($B644,اسماء,54,0),"")</f>
        <v/>
      </c>
      <c r="AN644" s="607" t="str">
        <f t="shared" ref="AN644" si="1967">IF(V647=0,"",V647/1+ROW()*0.00001)</f>
        <v/>
      </c>
      <c r="AO644" s="607">
        <f>B644</f>
        <v>0</v>
      </c>
      <c r="AP644" s="613"/>
      <c r="AQ644" s="612">
        <v>140</v>
      </c>
      <c r="AR644" s="611" t="str">
        <f>IFERROR(LARGE($AN$10:$AN$1006,AQ644),"")</f>
        <v/>
      </c>
      <c r="AS644" s="612" t="str">
        <f>VLOOKUP(AR644,$AN$10:$AO$1116,2,0)</f>
        <v>أحمد نورالدين أحمد الذيب</v>
      </c>
    </row>
    <row r="645" spans="1:45" ht="15" customHeight="1" thickBot="1" x14ac:dyDescent="0.3">
      <c r="A645" s="633"/>
      <c r="B645" s="630"/>
      <c r="C645" s="622"/>
      <c r="D645" s="625"/>
      <c r="E645" s="133" t="s">
        <v>31</v>
      </c>
      <c r="F645" s="589">
        <f>IFERROR(VLOOKUP($B644,اسماء,18,0),0)</f>
        <v>0</v>
      </c>
      <c r="G645" s="592"/>
      <c r="H645" s="608">
        <f>IFERROR(VLOOKUP($B644,اسماء,19,0),0)</f>
        <v>0</v>
      </c>
      <c r="I645" s="609"/>
      <c r="J645" s="589">
        <f>IFERROR(VLOOKUP($B644,اسماء,20,0),0)</f>
        <v>0</v>
      </c>
      <c r="K645" s="592"/>
      <c r="L645" s="589">
        <f>IFERROR(VLOOKUP($B644,اسماء,21,0),0)</f>
        <v>0</v>
      </c>
      <c r="M645" s="590"/>
      <c r="N645" s="589">
        <f>IFERROR(VLOOKUP($B644,اسماء,22,0),0)</f>
        <v>0</v>
      </c>
      <c r="O645" s="590"/>
      <c r="P645" s="589">
        <f>IFERROR(VLOOKUP($B644,اسماء,23,0),0)</f>
        <v>0</v>
      </c>
      <c r="Q645" s="609"/>
      <c r="R645" s="603">
        <f>IFERROR(VLOOKUP($B644,اسماء,24,0),0)</f>
        <v>0</v>
      </c>
      <c r="S645" s="592"/>
      <c r="T645" s="589">
        <f>IFERROR(VLOOKUP($B644,اسماء,25,0),0)</f>
        <v>0</v>
      </c>
      <c r="U645" s="592"/>
      <c r="V645" s="263">
        <f t="shared" si="1963"/>
        <v>0</v>
      </c>
      <c r="W645" s="373">
        <f>IFERROR(VLOOKUP($B644,اسماء,27,0),0)</f>
        <v>0</v>
      </c>
      <c r="X645" s="373">
        <f>IFERROR(VLOOKUP($B644,اسماء,28,0),0)</f>
        <v>0</v>
      </c>
      <c r="Y645" s="596"/>
      <c r="Z645" s="22" t="str">
        <f t="shared" si="1965"/>
        <v>ضعيف</v>
      </c>
      <c r="AA645" s="657"/>
      <c r="AB645" s="72"/>
      <c r="AC645" s="654"/>
      <c r="AN645" s="607"/>
      <c r="AO645" s="607"/>
      <c r="AP645" s="613"/>
      <c r="AQ645" s="612"/>
      <c r="AR645" s="611"/>
      <c r="AS645" s="612"/>
    </row>
    <row r="646" spans="1:45" ht="15" customHeight="1" x14ac:dyDescent="0.25">
      <c r="A646" s="633"/>
      <c r="B646" s="630"/>
      <c r="C646" s="622"/>
      <c r="D646" s="625"/>
      <c r="E646" s="133" t="s">
        <v>32</v>
      </c>
      <c r="F646" s="589">
        <f>IFERROR(VLOOKUP($B644,اسماء,31,0),0)</f>
        <v>0</v>
      </c>
      <c r="G646" s="592"/>
      <c r="H646" s="608">
        <f>IFERROR(VLOOKUP($B644,اسماء,32,0),0)</f>
        <v>0</v>
      </c>
      <c r="I646" s="609"/>
      <c r="J646" s="589">
        <f>IFERROR(VLOOKUP($B644,اسماء,33,0),0)</f>
        <v>0</v>
      </c>
      <c r="K646" s="592"/>
      <c r="L646" s="589">
        <f>IFERROR(VLOOKUP($B644,اسماء,34,0),0)</f>
        <v>0</v>
      </c>
      <c r="M646" s="590"/>
      <c r="N646" s="589">
        <f>IFERROR(VLOOKUP($B644,اسماء,35,0),0)</f>
        <v>0</v>
      </c>
      <c r="O646" s="590"/>
      <c r="P646" s="589">
        <f>IFERROR(VLOOKUP($B644,اسماء,36,0),0)</f>
        <v>0</v>
      </c>
      <c r="Q646" s="609"/>
      <c r="R646" s="603">
        <f>IFERROR(VLOOKUP($B644,اسماء,37,0),0)</f>
        <v>0</v>
      </c>
      <c r="S646" s="592"/>
      <c r="T646" s="589">
        <f>IFERROR(VLOOKUP($B644,اسماء,38,0),0)</f>
        <v>0</v>
      </c>
      <c r="U646" s="592"/>
      <c r="V646" s="263">
        <f t="shared" si="1963"/>
        <v>0</v>
      </c>
      <c r="W646" s="373">
        <f>IFERROR(VLOOKUP($B644,اسماء,40,0),0)</f>
        <v>0</v>
      </c>
      <c r="X646" s="373">
        <f>IFERROR(VLOOKUP($B644,اسماء,41,0),0)</f>
        <v>0</v>
      </c>
      <c r="Y646" s="596"/>
      <c r="Z646" s="22" t="str">
        <f t="shared" ref="Z646" si="1968">LOOKUP(V646,$AI$6:$AJ$10)</f>
        <v>ضعيف</v>
      </c>
      <c r="AA646" s="657"/>
      <c r="AB646" s="72"/>
      <c r="AC646" s="654"/>
      <c r="AN646" s="607"/>
      <c r="AO646" s="607"/>
      <c r="AP646" s="613"/>
      <c r="AQ646" s="612"/>
      <c r="AR646" s="611"/>
      <c r="AS646" s="612"/>
    </row>
    <row r="647" spans="1:45" ht="15" customHeight="1" thickBot="1" x14ac:dyDescent="0.3">
      <c r="A647" s="634"/>
      <c r="B647" s="631"/>
      <c r="C647" s="623"/>
      <c r="D647" s="626"/>
      <c r="E647" s="127" t="s">
        <v>33</v>
      </c>
      <c r="F647" s="585">
        <f t="shared" ref="F647" si="1969">SUM(F644:G646)</f>
        <v>0</v>
      </c>
      <c r="G647" s="593"/>
      <c r="H647" s="604">
        <f t="shared" ref="H647" si="1970">SUM(H644:I646)</f>
        <v>0</v>
      </c>
      <c r="I647" s="601"/>
      <c r="J647" s="585">
        <f t="shared" ref="J647" si="1971">SUM(J644:K646)</f>
        <v>0</v>
      </c>
      <c r="K647" s="593"/>
      <c r="L647" s="585">
        <f t="shared" ref="L647" si="1972">SUM(L644:M646)</f>
        <v>0</v>
      </c>
      <c r="M647" s="586"/>
      <c r="N647" s="585">
        <f t="shared" ref="N647" si="1973">SUM(N644:O646)</f>
        <v>0</v>
      </c>
      <c r="O647" s="586"/>
      <c r="P647" s="585">
        <f t="shared" ref="P647" si="1974">SUM(P644:Q646)</f>
        <v>0</v>
      </c>
      <c r="Q647" s="601"/>
      <c r="R647" s="602">
        <f t="shared" ref="R647" si="1975">SUM(R644:S646)</f>
        <v>0</v>
      </c>
      <c r="S647" s="593"/>
      <c r="T647" s="585">
        <f t="shared" ref="T647" si="1976">SUM(T644:U646)</f>
        <v>0</v>
      </c>
      <c r="U647" s="593"/>
      <c r="V647" s="210">
        <f t="shared" ref="V647" si="1977">IF(AND(F647&gt;=$G$8,H647&gt;=$I$8,L647&gt;=$M$8,P647&gt;=$Q$8,R647&gt;=$S$8,T647&gt;=$U$8),SUM(F647:U647),0)</f>
        <v>0</v>
      </c>
      <c r="W647" s="264"/>
      <c r="X647" s="97"/>
      <c r="Y647" s="597"/>
      <c r="Z647" s="91" t="str">
        <f t="shared" ref="Z647" si="1978">LOOKUP(V647,$AL$6:$AM$10)</f>
        <v>ضعيف</v>
      </c>
      <c r="AA647" s="658"/>
      <c r="AB647" s="10"/>
      <c r="AC647" s="655"/>
      <c r="AN647" s="607"/>
      <c r="AO647" s="607"/>
      <c r="AP647" s="613"/>
      <c r="AQ647" s="612"/>
      <c r="AR647" s="611"/>
      <c r="AS647" s="612"/>
    </row>
    <row r="648" spans="1:45" ht="15" customHeight="1" thickBot="1" x14ac:dyDescent="0.3">
      <c r="F648" s="75"/>
      <c r="G648" s="76"/>
      <c r="H648" s="75"/>
      <c r="I648" s="76"/>
      <c r="J648" s="75"/>
      <c r="K648" s="76"/>
      <c r="L648" s="75"/>
      <c r="M648" s="76"/>
      <c r="N648" s="76"/>
      <c r="O648" s="76"/>
      <c r="P648" s="75"/>
      <c r="Q648" s="76"/>
      <c r="R648" s="75"/>
      <c r="S648" s="76"/>
      <c r="T648" s="75"/>
      <c r="U648" s="76"/>
      <c r="V648" s="74"/>
      <c r="W648" s="77"/>
      <c r="X648" s="74"/>
      <c r="Y648" s="362"/>
      <c r="Z648" s="74"/>
      <c r="AA648" s="267"/>
      <c r="AB648" s="72"/>
      <c r="AK648" s="78"/>
    </row>
    <row r="649" spans="1:45" customFormat="1" ht="15" customHeight="1" x14ac:dyDescent="0.3">
      <c r="A649" s="617" t="s">
        <v>9</v>
      </c>
      <c r="B649" s="618"/>
      <c r="C649" s="619"/>
      <c r="D649" s="288" t="s">
        <v>11</v>
      </c>
      <c r="E649" s="600" t="s">
        <v>97</v>
      </c>
      <c r="F649" s="598"/>
      <c r="G649" s="598"/>
      <c r="H649" s="598"/>
      <c r="I649" s="598"/>
      <c r="J649" s="9"/>
      <c r="K649" s="9"/>
      <c r="L649" s="9"/>
      <c r="M649" s="9"/>
      <c r="N649" s="9"/>
      <c r="O649" s="9"/>
      <c r="P649" s="9"/>
      <c r="Q649" s="9"/>
      <c r="R649" s="9"/>
      <c r="S649" s="598" t="s">
        <v>156</v>
      </c>
      <c r="T649" s="598"/>
      <c r="U649" s="598"/>
      <c r="V649" s="598"/>
      <c r="W649" s="598"/>
      <c r="X649" s="598"/>
      <c r="Y649" s="598"/>
      <c r="Z649" s="1"/>
      <c r="AA649" s="268"/>
      <c r="AC649" s="79"/>
      <c r="AD649" s="80"/>
      <c r="AE649" s="80"/>
      <c r="AF649" s="80"/>
      <c r="AG649" s="80"/>
    </row>
    <row r="650" spans="1:45" customFormat="1" ht="15" customHeight="1" x14ac:dyDescent="0.25">
      <c r="A650" s="81" t="s">
        <v>8</v>
      </c>
      <c r="B650" s="610">
        <f>ادخال1!$BP$3</f>
        <v>0</v>
      </c>
      <c r="C650" s="620"/>
      <c r="D650" s="289"/>
      <c r="E650" s="9" t="s">
        <v>9</v>
      </c>
      <c r="F650" s="599" t="str">
        <f>ادخال1!$BP$5</f>
        <v>د.عبدالرحمن خليفة العريبي</v>
      </c>
      <c r="G650" s="599"/>
      <c r="H650" s="599"/>
      <c r="I650" s="599"/>
      <c r="J650" s="599"/>
      <c r="K650" s="599"/>
      <c r="L650" s="599"/>
      <c r="M650" s="599"/>
      <c r="N650" s="599"/>
      <c r="O650" s="599"/>
      <c r="P650" s="599"/>
      <c r="Q650" s="599"/>
      <c r="R650" s="9"/>
      <c r="S650" s="599" t="str">
        <f>ادخال1!$BP$6</f>
        <v>تاجوراء</v>
      </c>
      <c r="T650" s="599"/>
      <c r="U650" s="599"/>
      <c r="V650" s="599"/>
      <c r="W650" s="599"/>
      <c r="X650" s="599"/>
      <c r="Y650" s="599"/>
      <c r="Z650" s="599"/>
      <c r="AA650" s="67"/>
      <c r="AB650" s="67"/>
      <c r="AC650" s="79"/>
      <c r="AD650" s="79"/>
      <c r="AE650" s="79"/>
      <c r="AF650" s="79"/>
    </row>
    <row r="651" spans="1:45" customFormat="1" ht="15" customHeight="1" thickBot="1" x14ac:dyDescent="0.3">
      <c r="A651" s="82" t="s">
        <v>98</v>
      </c>
      <c r="B651" s="615">
        <f>ادخال1!$BP$4</f>
        <v>0</v>
      </c>
      <c r="C651" s="616"/>
      <c r="D651" s="290"/>
      <c r="E651" s="9" t="s">
        <v>11</v>
      </c>
      <c r="F651" s="607"/>
      <c r="G651" s="607"/>
      <c r="H651" s="607"/>
      <c r="I651" s="607"/>
      <c r="J651" s="607"/>
      <c r="K651" s="607"/>
      <c r="L651" s="607"/>
      <c r="M651" s="607"/>
      <c r="N651" s="607"/>
      <c r="O651" s="607"/>
      <c r="P651" s="607"/>
      <c r="Q651" s="607"/>
      <c r="R651" s="9"/>
      <c r="S651" s="9" t="s">
        <v>11</v>
      </c>
      <c r="T651" s="9"/>
      <c r="U651" s="9" t="s">
        <v>11</v>
      </c>
      <c r="V651" s="1"/>
      <c r="W651" s="1"/>
      <c r="X651" s="1"/>
      <c r="Y651" s="363"/>
      <c r="Z651" s="1"/>
      <c r="AA651" s="268"/>
      <c r="AC651" s="79"/>
      <c r="AD651" s="79"/>
      <c r="AE651" s="79"/>
      <c r="AF651" s="79"/>
    </row>
    <row r="652" spans="1:45" customFormat="1" ht="15" customHeight="1" x14ac:dyDescent="0.25">
      <c r="A652" s="598" t="s">
        <v>99</v>
      </c>
      <c r="B652" s="598"/>
      <c r="C652" s="598"/>
      <c r="D652" s="598"/>
      <c r="E652" s="598" t="s">
        <v>100</v>
      </c>
      <c r="F652" s="598"/>
      <c r="G652" s="598"/>
      <c r="H652" s="598"/>
      <c r="I652" s="598"/>
      <c r="J652" s="598"/>
      <c r="K652" s="598"/>
      <c r="L652" s="598"/>
      <c r="M652" s="598"/>
      <c r="N652" s="598"/>
      <c r="O652" s="598"/>
      <c r="P652" s="598"/>
      <c r="Q652" s="598"/>
      <c r="R652" s="598"/>
      <c r="S652" s="598"/>
      <c r="T652" s="9"/>
      <c r="U652" s="9"/>
      <c r="V652" s="9"/>
      <c r="W652" s="594">
        <f ca="1">TODAY()</f>
        <v>46035</v>
      </c>
      <c r="X652" s="594"/>
      <c r="Y652" s="594"/>
      <c r="Z652" s="594"/>
      <c r="AA652" s="268"/>
    </row>
    <row r="653" spans="1:45" customFormat="1" ht="15" customHeight="1" thickBot="1" x14ac:dyDescent="0.3">
      <c r="A653" s="9"/>
      <c r="B653" s="598" t="s">
        <v>101</v>
      </c>
      <c r="C653" s="598"/>
      <c r="D653" s="598"/>
      <c r="E653" s="598" t="s">
        <v>102</v>
      </c>
      <c r="F653" s="598"/>
      <c r="G653" s="598"/>
      <c r="H653" s="598"/>
      <c r="I653" s="598"/>
      <c r="J653" s="598"/>
      <c r="K653" s="598"/>
      <c r="L653" s="598"/>
      <c r="M653" s="598"/>
      <c r="N653" s="598"/>
      <c r="O653" s="598"/>
      <c r="P653" s="598"/>
      <c r="Q653" s="598"/>
      <c r="R653" s="598"/>
      <c r="S653" s="598"/>
      <c r="T653" s="9"/>
      <c r="U653" s="9"/>
      <c r="V653" s="1"/>
      <c r="W653" s="1"/>
      <c r="X653" s="1"/>
      <c r="Y653" s="363"/>
      <c r="Z653" s="1"/>
      <c r="AA653" s="268"/>
    </row>
    <row r="654" spans="1:45" ht="15" customHeight="1" thickBot="1" x14ac:dyDescent="0.3">
      <c r="A654" s="632">
        <v>141</v>
      </c>
      <c r="B654" s="629">
        <f>VLOOKUP(A654,مسلسل,2,0)</f>
        <v>0</v>
      </c>
      <c r="C654" s="621" t="str">
        <f>IFERROR(VLOOKUP(B654,اسماء,2,0),"")</f>
        <v/>
      </c>
      <c r="D654" s="624" t="str">
        <f>IFERROR(VLOOKUP($B654,اسماء,3,0),"")</f>
        <v/>
      </c>
      <c r="E654" s="132" t="s">
        <v>30</v>
      </c>
      <c r="F654" s="627">
        <f>IFERROR(VLOOKUP($B654,اسماء,5,0),0)</f>
        <v>0</v>
      </c>
      <c r="G654" s="606"/>
      <c r="H654" s="628">
        <f>IFERROR(VLOOKUP($B654,اسماء,6,0),0)</f>
        <v>0</v>
      </c>
      <c r="I654" s="605"/>
      <c r="J654" s="587">
        <f>IFERROR(VLOOKUP($B654,اسماء,7,0),0)</f>
        <v>0</v>
      </c>
      <c r="K654" s="591"/>
      <c r="L654" s="587">
        <f>IFERROR(VLOOKUP($B654,اسماء,8,0),0)</f>
        <v>0</v>
      </c>
      <c r="M654" s="588"/>
      <c r="N654" s="587">
        <f>IFERROR(VLOOKUP($B654,اسماء,9,0),0)</f>
        <v>0</v>
      </c>
      <c r="O654" s="605"/>
      <c r="P654" s="587">
        <f>IFERROR(VLOOKUP($B654,اسماء,10,0),0)</f>
        <v>0</v>
      </c>
      <c r="Q654" s="605"/>
      <c r="R654" s="606">
        <f>IFERROR(VLOOKUP($B654,اسماء,11,0),0)</f>
        <v>0</v>
      </c>
      <c r="S654" s="591"/>
      <c r="T654" s="587">
        <f>IFERROR(VLOOKUP($B654,اسماء,12,0),0)</f>
        <v>0</v>
      </c>
      <c r="U654" s="591"/>
      <c r="V654" s="263">
        <f t="shared" ref="V654:V656" si="1979">SUM(F654:U654)</f>
        <v>0</v>
      </c>
      <c r="W654" s="373">
        <f>IFERROR(VLOOKUP($B654,اسماء,14,0),0)</f>
        <v>0</v>
      </c>
      <c r="X654" s="373">
        <f>IFERROR(VLOOKUP($B654,اسماء,15,0),0)</f>
        <v>0</v>
      </c>
      <c r="Y654" s="595" t="str">
        <f>IF(AC654="غائب","راسب",IF(AND(F657&gt;=$G$8,H657&gt;=$I$8,J657&gt;=$K$8,L657&gt;=$M$8,N657&gt;=$O$8,P657&gt;=$Q$8,R657&gt;=$S$8,T657&gt;=$U$8),"ناجح","له دور ثان"))</f>
        <v>له دور ثان</v>
      </c>
      <c r="Z654" s="21" t="str">
        <f>LOOKUP(V654,$AF$6:$AG$10)</f>
        <v>ضعيف</v>
      </c>
      <c r="AA654" s="656">
        <f>V657/$AF$3</f>
        <v>0</v>
      </c>
      <c r="AB654" s="72"/>
      <c r="AC654" s="653" t="str">
        <f>IFERROR(VLOOKUP($B654,اسماء,54,0),"")</f>
        <v/>
      </c>
      <c r="AN654" s="610" t="str">
        <f>IF(V657=0,"",V657/1+ROW()*0.00001)</f>
        <v/>
      </c>
      <c r="AO654" s="610">
        <f>B654</f>
        <v>0</v>
      </c>
      <c r="AP654" s="613"/>
      <c r="AQ654" s="612">
        <v>141</v>
      </c>
      <c r="AR654" s="611" t="str">
        <f>IFERROR(LARGE($AN$10:$AN$1006,AQ654),"")</f>
        <v/>
      </c>
      <c r="AS654" s="612" t="str">
        <f>VLOOKUP(AR654,$AN$10:$AO$1116,2,0)</f>
        <v>أحمد نورالدين أحمد الذيب</v>
      </c>
    </row>
    <row r="655" spans="1:45" ht="15" customHeight="1" thickBot="1" x14ac:dyDescent="0.3">
      <c r="A655" s="633"/>
      <c r="B655" s="630"/>
      <c r="C655" s="622"/>
      <c r="D655" s="625"/>
      <c r="E655" s="133" t="s">
        <v>31</v>
      </c>
      <c r="F655" s="589">
        <f>IFERROR(VLOOKUP($B654,اسماء,18,0),0)</f>
        <v>0</v>
      </c>
      <c r="G655" s="592"/>
      <c r="H655" s="608">
        <f>IFERROR(VLOOKUP($B654,اسماء,19,0),0)</f>
        <v>0</v>
      </c>
      <c r="I655" s="609"/>
      <c r="J655" s="589">
        <f>IFERROR(VLOOKUP($B654,اسماء,20,0),0)</f>
        <v>0</v>
      </c>
      <c r="K655" s="592"/>
      <c r="L655" s="589">
        <f>IFERROR(VLOOKUP($B654,اسماء,21,0),0)</f>
        <v>0</v>
      </c>
      <c r="M655" s="590"/>
      <c r="N655" s="589">
        <f>IFERROR(VLOOKUP($B654,اسماء,22,0),0)</f>
        <v>0</v>
      </c>
      <c r="O655" s="590"/>
      <c r="P655" s="589">
        <f>IFERROR(VLOOKUP($B654,اسماء,23,0),0)</f>
        <v>0</v>
      </c>
      <c r="Q655" s="609"/>
      <c r="R655" s="603">
        <f>IFERROR(VLOOKUP($B654,اسماء,24,0),0)</f>
        <v>0</v>
      </c>
      <c r="S655" s="592"/>
      <c r="T655" s="589">
        <f>IFERROR(VLOOKUP($B654,اسماء,25,0),0)</f>
        <v>0</v>
      </c>
      <c r="U655" s="592"/>
      <c r="V655" s="263">
        <f t="shared" si="1979"/>
        <v>0</v>
      </c>
      <c r="W655" s="373">
        <f>IFERROR(VLOOKUP($B654,اسماء,27,0),0)</f>
        <v>0</v>
      </c>
      <c r="X655" s="373">
        <f>IFERROR(VLOOKUP($B654,اسماء,28,0),0)</f>
        <v>0</v>
      </c>
      <c r="Y655" s="596"/>
      <c r="Z655" s="22" t="str">
        <f>LOOKUP(V655,$AF$6:$AG$10)</f>
        <v>ضعيف</v>
      </c>
      <c r="AA655" s="657"/>
      <c r="AB655" s="72"/>
      <c r="AC655" s="654"/>
      <c r="AN655" s="610"/>
      <c r="AO655" s="610"/>
      <c r="AP655" s="613"/>
      <c r="AQ655" s="612"/>
      <c r="AR655" s="611"/>
      <c r="AS655" s="612"/>
    </row>
    <row r="656" spans="1:45" ht="15" customHeight="1" x14ac:dyDescent="0.25">
      <c r="A656" s="633"/>
      <c r="B656" s="630"/>
      <c r="C656" s="622"/>
      <c r="D656" s="625"/>
      <c r="E656" s="133" t="s">
        <v>32</v>
      </c>
      <c r="F656" s="589">
        <f>IFERROR(VLOOKUP($B654,اسماء,31,0),0)</f>
        <v>0</v>
      </c>
      <c r="G656" s="592"/>
      <c r="H656" s="608">
        <f>IFERROR(VLOOKUP($B654,اسماء,32,0),0)</f>
        <v>0</v>
      </c>
      <c r="I656" s="609"/>
      <c r="J656" s="589">
        <f>IFERROR(VLOOKUP($B654,اسماء,33,0),0)</f>
        <v>0</v>
      </c>
      <c r="K656" s="592"/>
      <c r="L656" s="589">
        <f>IFERROR(VLOOKUP($B654,اسماء,34,0),0)</f>
        <v>0</v>
      </c>
      <c r="M656" s="590"/>
      <c r="N656" s="589">
        <f>IFERROR(VLOOKUP($B654,اسماء,35,0),0)</f>
        <v>0</v>
      </c>
      <c r="O656" s="590"/>
      <c r="P656" s="589">
        <f>IFERROR(VLOOKUP($B654,اسماء,36,0),0)</f>
        <v>0</v>
      </c>
      <c r="Q656" s="609"/>
      <c r="R656" s="603">
        <f>IFERROR(VLOOKUP($B654,اسماء,37,0),0)</f>
        <v>0</v>
      </c>
      <c r="S656" s="592"/>
      <c r="T656" s="589">
        <f>IFERROR(VLOOKUP($B654,اسماء,38,0),0)</f>
        <v>0</v>
      </c>
      <c r="U656" s="592"/>
      <c r="V656" s="263">
        <f t="shared" si="1979"/>
        <v>0</v>
      </c>
      <c r="W656" s="373">
        <f>IFERROR(VLOOKUP($B654,اسماء,40,0),0)</f>
        <v>0</v>
      </c>
      <c r="X656" s="373">
        <f>IFERROR(VLOOKUP($B654,اسماء,41,0),0)</f>
        <v>0</v>
      </c>
      <c r="Y656" s="596"/>
      <c r="Z656" s="22" t="str">
        <f>LOOKUP(V656,$AI$6:$AJ$10)</f>
        <v>ضعيف</v>
      </c>
      <c r="AA656" s="657"/>
      <c r="AB656" s="10"/>
      <c r="AC656" s="654"/>
      <c r="AN656" s="610"/>
      <c r="AO656" s="610"/>
      <c r="AP656" s="613"/>
      <c r="AQ656" s="612"/>
      <c r="AR656" s="611"/>
      <c r="AS656" s="612"/>
    </row>
    <row r="657" spans="1:45" ht="15" customHeight="1" thickBot="1" x14ac:dyDescent="0.3">
      <c r="A657" s="634"/>
      <c r="B657" s="631"/>
      <c r="C657" s="623"/>
      <c r="D657" s="626"/>
      <c r="E657" s="127" t="s">
        <v>33</v>
      </c>
      <c r="F657" s="585">
        <f t="shared" ref="F657" si="1980">SUM(F654:G656)</f>
        <v>0</v>
      </c>
      <c r="G657" s="593"/>
      <c r="H657" s="604">
        <f t="shared" ref="H657" si="1981">SUM(H654:I656)</f>
        <v>0</v>
      </c>
      <c r="I657" s="601"/>
      <c r="J657" s="585">
        <f t="shared" ref="J657" si="1982">SUM(J654:K656)</f>
        <v>0</v>
      </c>
      <c r="K657" s="593"/>
      <c r="L657" s="585">
        <f t="shared" ref="L657" si="1983">SUM(L654:M656)</f>
        <v>0</v>
      </c>
      <c r="M657" s="586"/>
      <c r="N657" s="585">
        <f t="shared" ref="N657" si="1984">SUM(N654:O656)</f>
        <v>0</v>
      </c>
      <c r="O657" s="586"/>
      <c r="P657" s="585">
        <f t="shared" ref="P657" si="1985">SUM(P654:Q656)</f>
        <v>0</v>
      </c>
      <c r="Q657" s="601"/>
      <c r="R657" s="602">
        <f t="shared" ref="R657" si="1986">SUM(R654:S656)</f>
        <v>0</v>
      </c>
      <c r="S657" s="593"/>
      <c r="T657" s="585">
        <f t="shared" ref="T657" si="1987">SUM(T654:U656)</f>
        <v>0</v>
      </c>
      <c r="U657" s="593"/>
      <c r="V657" s="210">
        <f t="shared" ref="V657" si="1988">IF(AND(F657&gt;=$G$8,H657&gt;=$I$8,L657&gt;=$M$8,P657&gt;=$Q$8,R657&gt;=$S$8,T657&gt;=$U$8),SUM(F657:U657),0)</f>
        <v>0</v>
      </c>
      <c r="W657" s="264"/>
      <c r="X657" s="97"/>
      <c r="Y657" s="597"/>
      <c r="Z657" s="91" t="str">
        <f>LOOKUP(V657,$AL$6:$AM$10)</f>
        <v>ضعيف</v>
      </c>
      <c r="AA657" s="658"/>
      <c r="AB657" s="72"/>
      <c r="AC657" s="655"/>
      <c r="AN657" s="610"/>
      <c r="AO657" s="610"/>
      <c r="AP657" s="613"/>
      <c r="AQ657" s="612"/>
      <c r="AR657" s="611"/>
      <c r="AS657" s="612"/>
    </row>
    <row r="658" spans="1:45" ht="15" customHeight="1" thickBot="1" x14ac:dyDescent="0.3">
      <c r="A658" s="632">
        <v>142</v>
      </c>
      <c r="B658" s="629">
        <f>VLOOKUP(A658,مسلسل,2,0)</f>
        <v>0</v>
      </c>
      <c r="C658" s="621" t="str">
        <f>IFERROR(VLOOKUP(B658,اسماء,2,0),"")</f>
        <v/>
      </c>
      <c r="D658" s="624" t="str">
        <f>IFERROR(VLOOKUP($B658,اسماء,3,0),"")</f>
        <v/>
      </c>
      <c r="E658" s="132" t="s">
        <v>30</v>
      </c>
      <c r="F658" s="627">
        <f>IFERROR(VLOOKUP($B658,اسماء,5,0),0)</f>
        <v>0</v>
      </c>
      <c r="G658" s="606"/>
      <c r="H658" s="628">
        <f>IFERROR(VLOOKUP($B658,اسماء,6,0),0)</f>
        <v>0</v>
      </c>
      <c r="I658" s="605"/>
      <c r="J658" s="587">
        <f>IFERROR(VLOOKUP($B658,اسماء,7,0),0)</f>
        <v>0</v>
      </c>
      <c r="K658" s="591"/>
      <c r="L658" s="587">
        <f>IFERROR(VLOOKUP($B658,اسماء,8,0),0)</f>
        <v>0</v>
      </c>
      <c r="M658" s="588"/>
      <c r="N658" s="587">
        <f>IFERROR(VLOOKUP($B658,اسماء,9,0),0)</f>
        <v>0</v>
      </c>
      <c r="O658" s="605"/>
      <c r="P658" s="587">
        <f>IFERROR(VLOOKUP($B658,اسماء,10,0),0)</f>
        <v>0</v>
      </c>
      <c r="Q658" s="605"/>
      <c r="R658" s="606">
        <f>IFERROR(VLOOKUP($B658,اسماء,11,0),0)</f>
        <v>0</v>
      </c>
      <c r="S658" s="591"/>
      <c r="T658" s="587">
        <f>IFERROR(VLOOKUP($B658,اسماء,12,0),0)</f>
        <v>0</v>
      </c>
      <c r="U658" s="591"/>
      <c r="V658" s="263">
        <f t="shared" ref="V658:V660" si="1989">SUM(F658:U658)</f>
        <v>0</v>
      </c>
      <c r="W658" s="373">
        <f>IFERROR(VLOOKUP($B658,اسماء,14,0),0)</f>
        <v>0</v>
      </c>
      <c r="X658" s="373">
        <f>IFERROR(VLOOKUP($B658,اسماء,15,0),0)</f>
        <v>0</v>
      </c>
      <c r="Y658" s="595" t="str">
        <f t="shared" ref="Y658" si="1990">IF(AC658="غائب","راسب",IF(AND(F661&gt;=$G$8,H661&gt;=$I$8,J661&gt;=$K$8,L661&gt;=$M$8,N661&gt;=$O$8,P661&gt;=$Q$8,R661&gt;=$S$8,T661&gt;=$U$8),"ناجح","له دور ثان"))</f>
        <v>له دور ثان</v>
      </c>
      <c r="Z658" s="21" t="str">
        <f>LOOKUP(V658,$AF$6:$AG$10)</f>
        <v>ضعيف</v>
      </c>
      <c r="AA658" s="656">
        <f>V661/$AF$3</f>
        <v>0</v>
      </c>
      <c r="AB658" s="72"/>
      <c r="AC658" s="653" t="str">
        <f>IFERROR(VLOOKUP($B658,اسماء,54,0),"")</f>
        <v/>
      </c>
      <c r="AN658" s="607" t="str">
        <f t="shared" ref="AN658" si="1991">IF(V661=0,"",V661/1+ROW()*0.00001)</f>
        <v/>
      </c>
      <c r="AO658" s="607">
        <f>B658</f>
        <v>0</v>
      </c>
      <c r="AP658" s="613"/>
      <c r="AQ658" s="612">
        <v>142</v>
      </c>
      <c r="AR658" s="611" t="str">
        <f>IFERROR(LARGE($AN$10:$AN$1006,AQ658),"")</f>
        <v/>
      </c>
      <c r="AS658" s="612" t="str">
        <f>VLOOKUP(AR658,$AN$10:$AO$1116,2,0)</f>
        <v>أحمد نورالدين أحمد الذيب</v>
      </c>
    </row>
    <row r="659" spans="1:45" ht="15" customHeight="1" thickBot="1" x14ac:dyDescent="0.3">
      <c r="A659" s="633"/>
      <c r="B659" s="630"/>
      <c r="C659" s="622"/>
      <c r="D659" s="625"/>
      <c r="E659" s="133" t="s">
        <v>31</v>
      </c>
      <c r="F659" s="589">
        <f>IFERROR(VLOOKUP($B658,اسماء,18,0),0)</f>
        <v>0</v>
      </c>
      <c r="G659" s="592"/>
      <c r="H659" s="608">
        <f>IFERROR(VLOOKUP($B658,اسماء,19,0),0)</f>
        <v>0</v>
      </c>
      <c r="I659" s="609"/>
      <c r="J659" s="589">
        <f>IFERROR(VLOOKUP($B658,اسماء,20,0),0)</f>
        <v>0</v>
      </c>
      <c r="K659" s="592"/>
      <c r="L659" s="589">
        <f>IFERROR(VLOOKUP($B658,اسماء,21,0),0)</f>
        <v>0</v>
      </c>
      <c r="M659" s="590"/>
      <c r="N659" s="589">
        <f>IFERROR(VLOOKUP($B658,اسماء,22,0),0)</f>
        <v>0</v>
      </c>
      <c r="O659" s="590"/>
      <c r="P659" s="589">
        <f>IFERROR(VLOOKUP($B658,اسماء,23,0),0)</f>
        <v>0</v>
      </c>
      <c r="Q659" s="609"/>
      <c r="R659" s="603">
        <f>IFERROR(VLOOKUP($B658,اسماء,24,0),0)</f>
        <v>0</v>
      </c>
      <c r="S659" s="592"/>
      <c r="T659" s="589">
        <f>IFERROR(VLOOKUP($B658,اسماء,25,0),0)</f>
        <v>0</v>
      </c>
      <c r="U659" s="592"/>
      <c r="V659" s="263">
        <f t="shared" si="1989"/>
        <v>0</v>
      </c>
      <c r="W659" s="373">
        <f>IFERROR(VLOOKUP($B658,اسماء,27,0),0)</f>
        <v>0</v>
      </c>
      <c r="X659" s="373">
        <f>IFERROR(VLOOKUP($B658,اسماء,28,0),0)</f>
        <v>0</v>
      </c>
      <c r="Y659" s="596"/>
      <c r="Z659" s="22" t="str">
        <f>LOOKUP(V659,$AF$6:$AG$10)</f>
        <v>ضعيف</v>
      </c>
      <c r="AA659" s="657"/>
      <c r="AB659" s="10"/>
      <c r="AC659" s="654"/>
      <c r="AN659" s="607"/>
      <c r="AO659" s="607"/>
      <c r="AP659" s="613"/>
      <c r="AQ659" s="612"/>
      <c r="AR659" s="611"/>
      <c r="AS659" s="612"/>
    </row>
    <row r="660" spans="1:45" ht="15" customHeight="1" x14ac:dyDescent="0.25">
      <c r="A660" s="633"/>
      <c r="B660" s="630"/>
      <c r="C660" s="622"/>
      <c r="D660" s="625"/>
      <c r="E660" s="133" t="s">
        <v>32</v>
      </c>
      <c r="F660" s="589">
        <f>IFERROR(VLOOKUP($B658,اسماء,31,0),0)</f>
        <v>0</v>
      </c>
      <c r="G660" s="592"/>
      <c r="H660" s="608">
        <f>IFERROR(VLOOKUP($B658,اسماء,32,0),0)</f>
        <v>0</v>
      </c>
      <c r="I660" s="609"/>
      <c r="J660" s="589">
        <f>IFERROR(VLOOKUP($B658,اسماء,33,0),0)</f>
        <v>0</v>
      </c>
      <c r="K660" s="592"/>
      <c r="L660" s="589">
        <f>IFERROR(VLOOKUP($B658,اسماء,34,0),0)</f>
        <v>0</v>
      </c>
      <c r="M660" s="590"/>
      <c r="N660" s="589">
        <f>IFERROR(VLOOKUP($B658,اسماء,35,0),0)</f>
        <v>0</v>
      </c>
      <c r="O660" s="590"/>
      <c r="P660" s="589">
        <f>IFERROR(VLOOKUP($B658,اسماء,36,0),0)</f>
        <v>0</v>
      </c>
      <c r="Q660" s="609"/>
      <c r="R660" s="603">
        <f>IFERROR(VLOOKUP($B658,اسماء,37,0),0)</f>
        <v>0</v>
      </c>
      <c r="S660" s="592"/>
      <c r="T660" s="589">
        <f>IFERROR(VLOOKUP($B658,اسماء,38,0),0)</f>
        <v>0</v>
      </c>
      <c r="U660" s="592"/>
      <c r="V660" s="263">
        <f t="shared" si="1989"/>
        <v>0</v>
      </c>
      <c r="W660" s="373">
        <f>IFERROR(VLOOKUP($B658,اسماء,40,0),0)</f>
        <v>0</v>
      </c>
      <c r="X660" s="373">
        <f>IFERROR(VLOOKUP($B658,اسماء,41,0),0)</f>
        <v>0</v>
      </c>
      <c r="Y660" s="596"/>
      <c r="Z660" s="22" t="str">
        <f>LOOKUP(V660,$AI$6:$AJ$10)</f>
        <v>ضعيف</v>
      </c>
      <c r="AA660" s="657"/>
      <c r="AB660" s="72"/>
      <c r="AC660" s="654"/>
      <c r="AN660" s="607"/>
      <c r="AO660" s="607"/>
      <c r="AP660" s="613"/>
      <c r="AQ660" s="612"/>
      <c r="AR660" s="611"/>
      <c r="AS660" s="612"/>
    </row>
    <row r="661" spans="1:45" ht="15" customHeight="1" thickBot="1" x14ac:dyDescent="0.3">
      <c r="A661" s="634"/>
      <c r="B661" s="631"/>
      <c r="C661" s="623"/>
      <c r="D661" s="626"/>
      <c r="E661" s="127" t="s">
        <v>33</v>
      </c>
      <c r="F661" s="585">
        <f t="shared" ref="F661" si="1992">SUM(F658:G660)</f>
        <v>0</v>
      </c>
      <c r="G661" s="593"/>
      <c r="H661" s="604">
        <f t="shared" ref="H661" si="1993">SUM(H658:I660)</f>
        <v>0</v>
      </c>
      <c r="I661" s="601"/>
      <c r="J661" s="585">
        <f t="shared" ref="J661" si="1994">SUM(J658:K660)</f>
        <v>0</v>
      </c>
      <c r="K661" s="593"/>
      <c r="L661" s="585">
        <f t="shared" ref="L661" si="1995">SUM(L658:M660)</f>
        <v>0</v>
      </c>
      <c r="M661" s="586"/>
      <c r="N661" s="585">
        <f t="shared" ref="N661" si="1996">SUM(N658:O660)</f>
        <v>0</v>
      </c>
      <c r="O661" s="586"/>
      <c r="P661" s="585">
        <f t="shared" ref="P661" si="1997">SUM(P658:Q660)</f>
        <v>0</v>
      </c>
      <c r="Q661" s="601"/>
      <c r="R661" s="602">
        <f t="shared" ref="R661" si="1998">SUM(R658:S660)</f>
        <v>0</v>
      </c>
      <c r="S661" s="593"/>
      <c r="T661" s="585">
        <f t="shared" ref="T661" si="1999">SUM(T658:U660)</f>
        <v>0</v>
      </c>
      <c r="U661" s="593"/>
      <c r="V661" s="210">
        <f t="shared" ref="V661" si="2000">IF(AND(F661&gt;=$G$8,H661&gt;=$I$8,L661&gt;=$M$8,P661&gt;=$Q$8,R661&gt;=$S$8,T661&gt;=$U$8),SUM(F661:U661),0)</f>
        <v>0</v>
      </c>
      <c r="W661" s="264"/>
      <c r="X661" s="97"/>
      <c r="Y661" s="597"/>
      <c r="Z661" s="91" t="str">
        <f>LOOKUP(V661,$AL$6:$AM$10)</f>
        <v>ضعيف</v>
      </c>
      <c r="AA661" s="658"/>
      <c r="AB661" s="72"/>
      <c r="AC661" s="655"/>
      <c r="AN661" s="607"/>
      <c r="AO661" s="607"/>
      <c r="AP661" s="613"/>
      <c r="AQ661" s="612"/>
      <c r="AR661" s="611"/>
      <c r="AS661" s="612"/>
    </row>
    <row r="662" spans="1:45" ht="15" customHeight="1" thickBot="1" x14ac:dyDescent="0.3">
      <c r="A662" s="632">
        <v>143</v>
      </c>
      <c r="B662" s="629">
        <f>VLOOKUP(A662,مسلسل,2,0)</f>
        <v>0</v>
      </c>
      <c r="C662" s="621" t="str">
        <f>IFERROR(VLOOKUP(B662,اسماء,2,0),"")</f>
        <v/>
      </c>
      <c r="D662" s="624" t="str">
        <f>IFERROR(VLOOKUP($B662,اسماء,3,0),"")</f>
        <v/>
      </c>
      <c r="E662" s="132" t="s">
        <v>30</v>
      </c>
      <c r="F662" s="627">
        <f>IFERROR(VLOOKUP($B662,اسماء,5,0),0)</f>
        <v>0</v>
      </c>
      <c r="G662" s="606"/>
      <c r="H662" s="628">
        <f>IFERROR(VLOOKUP($B662,اسماء,6,0),0)</f>
        <v>0</v>
      </c>
      <c r="I662" s="605"/>
      <c r="J662" s="587">
        <f>IFERROR(VLOOKUP($B662,اسماء,7,0),0)</f>
        <v>0</v>
      </c>
      <c r="K662" s="591"/>
      <c r="L662" s="587">
        <f>IFERROR(VLOOKUP($B662,اسماء,8,0),0)</f>
        <v>0</v>
      </c>
      <c r="M662" s="588"/>
      <c r="N662" s="587">
        <f>IFERROR(VLOOKUP($B662,اسماء,9,0),0)</f>
        <v>0</v>
      </c>
      <c r="O662" s="605"/>
      <c r="P662" s="587">
        <f>IFERROR(VLOOKUP($B662,اسماء,10,0),0)</f>
        <v>0</v>
      </c>
      <c r="Q662" s="605"/>
      <c r="R662" s="606">
        <f>IFERROR(VLOOKUP($B662,اسماء,11,0),0)</f>
        <v>0</v>
      </c>
      <c r="S662" s="591"/>
      <c r="T662" s="587">
        <f>IFERROR(VLOOKUP($B662,اسماء,12,0),0)</f>
        <v>0</v>
      </c>
      <c r="U662" s="591"/>
      <c r="V662" s="263">
        <f t="shared" ref="V662:V664" si="2001">SUM(F662:U662)</f>
        <v>0</v>
      </c>
      <c r="W662" s="373">
        <f>IFERROR(VLOOKUP($B662,اسماء,14,0),0)</f>
        <v>0</v>
      </c>
      <c r="X662" s="373">
        <f>IFERROR(VLOOKUP($B662,اسماء,15,0),0)</f>
        <v>0</v>
      </c>
      <c r="Y662" s="595" t="str">
        <f t="shared" ref="Y662" si="2002">IF(AC662="غائب","راسب",IF(AND(F665&gt;=$G$8,H665&gt;=$I$8,J665&gt;=$K$8,L665&gt;=$M$8,N665&gt;=$O$8,P665&gt;=$Q$8,R665&gt;=$S$8,T665&gt;=$U$8),"ناجح","له دور ثان"))</f>
        <v>له دور ثان</v>
      </c>
      <c r="Z662" s="21" t="str">
        <f>LOOKUP(V662,$AF$6:$AG$10)</f>
        <v>ضعيف</v>
      </c>
      <c r="AA662" s="656">
        <f>V665/$AF$3</f>
        <v>0</v>
      </c>
      <c r="AB662" s="10"/>
      <c r="AC662" s="653" t="str">
        <f>IFERROR(VLOOKUP($B662,اسماء,54,0),"")</f>
        <v/>
      </c>
      <c r="AN662" s="607" t="str">
        <f t="shared" ref="AN662" si="2003">IF(V665=0,"",V665/1+ROW()*0.00001)</f>
        <v/>
      </c>
      <c r="AO662" s="607">
        <f>B662</f>
        <v>0</v>
      </c>
      <c r="AP662" s="613"/>
      <c r="AQ662" s="612">
        <v>143</v>
      </c>
      <c r="AR662" s="611" t="str">
        <f>IFERROR(LARGE($AN$10:$AN$1006,AQ662),"")</f>
        <v/>
      </c>
      <c r="AS662" s="612" t="str">
        <f>VLOOKUP(AR662,$AN$10:$AO$1116,2,0)</f>
        <v>أحمد نورالدين أحمد الذيب</v>
      </c>
    </row>
    <row r="663" spans="1:45" ht="15" customHeight="1" thickBot="1" x14ac:dyDescent="0.3">
      <c r="A663" s="633"/>
      <c r="B663" s="630"/>
      <c r="C663" s="622"/>
      <c r="D663" s="625"/>
      <c r="E663" s="133" t="s">
        <v>31</v>
      </c>
      <c r="F663" s="589">
        <f>IFERROR(VLOOKUP($B662,اسماء,18,0),0)</f>
        <v>0</v>
      </c>
      <c r="G663" s="592"/>
      <c r="H663" s="608">
        <f>IFERROR(VLOOKUP($B662,اسماء,19,0),0)</f>
        <v>0</v>
      </c>
      <c r="I663" s="609"/>
      <c r="J663" s="589">
        <f>IFERROR(VLOOKUP($B662,اسماء,20,0),0)</f>
        <v>0</v>
      </c>
      <c r="K663" s="592"/>
      <c r="L663" s="589">
        <f>IFERROR(VLOOKUP($B662,اسماء,21,0),0)</f>
        <v>0</v>
      </c>
      <c r="M663" s="590"/>
      <c r="N663" s="589">
        <f>IFERROR(VLOOKUP($B662,اسماء,22,0),0)</f>
        <v>0</v>
      </c>
      <c r="O663" s="590"/>
      <c r="P663" s="589">
        <f>IFERROR(VLOOKUP($B662,اسماء,23,0),0)</f>
        <v>0</v>
      </c>
      <c r="Q663" s="609"/>
      <c r="R663" s="603">
        <f>IFERROR(VLOOKUP($B662,اسماء,24,0),0)</f>
        <v>0</v>
      </c>
      <c r="S663" s="592"/>
      <c r="T663" s="589">
        <f>IFERROR(VLOOKUP($B662,اسماء,25,0),0)</f>
        <v>0</v>
      </c>
      <c r="U663" s="592"/>
      <c r="V663" s="263">
        <f t="shared" si="2001"/>
        <v>0</v>
      </c>
      <c r="W663" s="373">
        <f>IFERROR(VLOOKUP($B662,اسماء,27,0),0)</f>
        <v>0</v>
      </c>
      <c r="X663" s="373">
        <f>IFERROR(VLOOKUP($B662,اسماء,28,0),0)</f>
        <v>0</v>
      </c>
      <c r="Y663" s="596"/>
      <c r="Z663" s="22" t="str">
        <f>LOOKUP(V663,$AF$6:$AG$10)</f>
        <v>ضعيف</v>
      </c>
      <c r="AA663" s="657"/>
      <c r="AB663" s="72"/>
      <c r="AC663" s="654"/>
      <c r="AN663" s="607"/>
      <c r="AO663" s="607"/>
      <c r="AP663" s="613"/>
      <c r="AQ663" s="612"/>
      <c r="AR663" s="611"/>
      <c r="AS663" s="612"/>
    </row>
    <row r="664" spans="1:45" ht="15" customHeight="1" x14ac:dyDescent="0.25">
      <c r="A664" s="633"/>
      <c r="B664" s="630"/>
      <c r="C664" s="622"/>
      <c r="D664" s="625"/>
      <c r="E664" s="133" t="s">
        <v>32</v>
      </c>
      <c r="F664" s="589">
        <f>IFERROR(VLOOKUP($B662,اسماء,31,0),0)</f>
        <v>0</v>
      </c>
      <c r="G664" s="592"/>
      <c r="H664" s="608">
        <f>IFERROR(VLOOKUP($B662,اسماء,32,0),0)</f>
        <v>0</v>
      </c>
      <c r="I664" s="609"/>
      <c r="J664" s="589">
        <f>IFERROR(VLOOKUP($B662,اسماء,33,0),0)</f>
        <v>0</v>
      </c>
      <c r="K664" s="592"/>
      <c r="L664" s="589">
        <f>IFERROR(VLOOKUP($B662,اسماء,34,0),0)</f>
        <v>0</v>
      </c>
      <c r="M664" s="590"/>
      <c r="N664" s="589">
        <f>IFERROR(VLOOKUP($B662,اسماء,35,0),0)</f>
        <v>0</v>
      </c>
      <c r="O664" s="590"/>
      <c r="P664" s="589">
        <f>IFERROR(VLOOKUP($B662,اسماء,36,0),0)</f>
        <v>0</v>
      </c>
      <c r="Q664" s="609"/>
      <c r="R664" s="603">
        <f>IFERROR(VLOOKUP($B662,اسماء,37,0),0)</f>
        <v>0</v>
      </c>
      <c r="S664" s="592"/>
      <c r="T664" s="589">
        <f>IFERROR(VLOOKUP($B662,اسماء,38,0),0)</f>
        <v>0</v>
      </c>
      <c r="U664" s="592"/>
      <c r="V664" s="263">
        <f t="shared" si="2001"/>
        <v>0</v>
      </c>
      <c r="W664" s="373">
        <f>IFERROR(VLOOKUP($B662,اسماء,40,0),0)</f>
        <v>0</v>
      </c>
      <c r="X664" s="373">
        <f>IFERROR(VLOOKUP($B662,اسماء,41,0),0)</f>
        <v>0</v>
      </c>
      <c r="Y664" s="596"/>
      <c r="Z664" s="22" t="str">
        <f>LOOKUP(V664,$AI$6:$AJ$10)</f>
        <v>ضعيف</v>
      </c>
      <c r="AA664" s="657"/>
      <c r="AB664" s="72"/>
      <c r="AC664" s="654"/>
      <c r="AN664" s="607"/>
      <c r="AO664" s="607"/>
      <c r="AP664" s="613"/>
      <c r="AQ664" s="612"/>
      <c r="AR664" s="611"/>
      <c r="AS664" s="612"/>
    </row>
    <row r="665" spans="1:45" ht="15" customHeight="1" thickBot="1" x14ac:dyDescent="0.3">
      <c r="A665" s="634"/>
      <c r="B665" s="631"/>
      <c r="C665" s="623"/>
      <c r="D665" s="626"/>
      <c r="E665" s="127" t="s">
        <v>33</v>
      </c>
      <c r="F665" s="585">
        <f t="shared" ref="F665" si="2004">SUM(F662:G664)</f>
        <v>0</v>
      </c>
      <c r="G665" s="593"/>
      <c r="H665" s="604">
        <f t="shared" ref="H665" si="2005">SUM(H662:I664)</f>
        <v>0</v>
      </c>
      <c r="I665" s="601"/>
      <c r="J665" s="585">
        <f t="shared" ref="J665" si="2006">SUM(J662:K664)</f>
        <v>0</v>
      </c>
      <c r="K665" s="593"/>
      <c r="L665" s="585">
        <f t="shared" ref="L665" si="2007">SUM(L662:M664)</f>
        <v>0</v>
      </c>
      <c r="M665" s="586"/>
      <c r="N665" s="585">
        <f t="shared" ref="N665" si="2008">SUM(N662:O664)</f>
        <v>0</v>
      </c>
      <c r="O665" s="586"/>
      <c r="P665" s="585">
        <f t="shared" ref="P665" si="2009">SUM(P662:Q664)</f>
        <v>0</v>
      </c>
      <c r="Q665" s="601"/>
      <c r="R665" s="602">
        <f t="shared" ref="R665" si="2010">SUM(R662:S664)</f>
        <v>0</v>
      </c>
      <c r="S665" s="593"/>
      <c r="T665" s="585">
        <f t="shared" ref="T665" si="2011">SUM(T662:U664)</f>
        <v>0</v>
      </c>
      <c r="U665" s="593"/>
      <c r="V665" s="210">
        <f t="shared" ref="V665" si="2012">IF(AND(F665&gt;=$G$8,H665&gt;=$I$8,L665&gt;=$M$8,P665&gt;=$Q$8,R665&gt;=$S$8,T665&gt;=$U$8),SUM(F665:U665),0)</f>
        <v>0</v>
      </c>
      <c r="W665" s="264"/>
      <c r="X665" s="97"/>
      <c r="Y665" s="597"/>
      <c r="Z665" s="91" t="str">
        <f>LOOKUP(V665,$AL$6:$AM$10)</f>
        <v>ضعيف</v>
      </c>
      <c r="AA665" s="658"/>
      <c r="AB665" s="10"/>
      <c r="AC665" s="655"/>
      <c r="AN665" s="607"/>
      <c r="AO665" s="607"/>
      <c r="AP665" s="613"/>
      <c r="AQ665" s="612"/>
      <c r="AR665" s="611"/>
      <c r="AS665" s="612"/>
    </row>
    <row r="666" spans="1:45" ht="15" customHeight="1" thickBot="1" x14ac:dyDescent="0.3">
      <c r="A666" s="632">
        <v>144</v>
      </c>
      <c r="B666" s="629">
        <f>VLOOKUP(A666,مسلسل,2,0)</f>
        <v>0</v>
      </c>
      <c r="C666" s="621" t="str">
        <f>IFERROR(VLOOKUP(B666,اسماء,2,0),"")</f>
        <v/>
      </c>
      <c r="D666" s="624" t="str">
        <f>IFERROR(VLOOKUP($B666,اسماء,3,0),"")</f>
        <v/>
      </c>
      <c r="E666" s="132" t="s">
        <v>30</v>
      </c>
      <c r="F666" s="627">
        <f>IFERROR(VLOOKUP($B666,اسماء,5,0),0)</f>
        <v>0</v>
      </c>
      <c r="G666" s="606"/>
      <c r="H666" s="628">
        <f>IFERROR(VLOOKUP($B666,اسماء,6,0),0)</f>
        <v>0</v>
      </c>
      <c r="I666" s="605"/>
      <c r="J666" s="587">
        <f>IFERROR(VLOOKUP($B666,اسماء,7,0),0)</f>
        <v>0</v>
      </c>
      <c r="K666" s="591"/>
      <c r="L666" s="587">
        <f>IFERROR(VLOOKUP($B666,اسماء,8,0),0)</f>
        <v>0</v>
      </c>
      <c r="M666" s="588"/>
      <c r="N666" s="587">
        <f>IFERROR(VLOOKUP($B666,اسماء,9,0),0)</f>
        <v>0</v>
      </c>
      <c r="O666" s="605"/>
      <c r="P666" s="587">
        <f>IFERROR(VLOOKUP($B666,اسماء,10,0),0)</f>
        <v>0</v>
      </c>
      <c r="Q666" s="605"/>
      <c r="R666" s="606">
        <f>IFERROR(VLOOKUP($B666,اسماء,11,0),0)</f>
        <v>0</v>
      </c>
      <c r="S666" s="591"/>
      <c r="T666" s="587">
        <f>IFERROR(VLOOKUP($B666,اسماء,12,0),0)</f>
        <v>0</v>
      </c>
      <c r="U666" s="591"/>
      <c r="V666" s="263">
        <f t="shared" ref="V666:V668" si="2013">SUM(F666:U666)</f>
        <v>0</v>
      </c>
      <c r="W666" s="373">
        <f>IFERROR(VLOOKUP($B666,اسماء,14,0),0)</f>
        <v>0</v>
      </c>
      <c r="X666" s="373">
        <f>IFERROR(VLOOKUP($B666,اسماء,15,0),0)</f>
        <v>0</v>
      </c>
      <c r="Y666" s="595" t="str">
        <f t="shared" ref="Y666" si="2014">IF(AC666="غائب","راسب",IF(AND(F669&gt;=$G$8,H669&gt;=$I$8,J669&gt;=$K$8,L669&gt;=$M$8,N669&gt;=$O$8,P669&gt;=$Q$8,R669&gt;=$S$8,T669&gt;=$U$8),"ناجح","له دور ثان"))</f>
        <v>له دور ثان</v>
      </c>
      <c r="Z666" s="21" t="str">
        <f>LOOKUP(V666,$AF$6:$AG$10)</f>
        <v>ضعيف</v>
      </c>
      <c r="AA666" s="656">
        <f>V669/$AF$3</f>
        <v>0</v>
      </c>
      <c r="AB666" s="72"/>
      <c r="AC666" s="653" t="str">
        <f>IFERROR(VLOOKUP($B666,اسماء,54,0),"")</f>
        <v/>
      </c>
      <c r="AN666" s="607" t="str">
        <f t="shared" ref="AN666" si="2015">IF(V669=0,"",V669/1+ROW()*0.00001)</f>
        <v/>
      </c>
      <c r="AO666" s="607">
        <f>B666</f>
        <v>0</v>
      </c>
      <c r="AP666" s="613"/>
      <c r="AQ666" s="612">
        <v>144</v>
      </c>
      <c r="AR666" s="611" t="str">
        <f>IFERROR(LARGE($AN$10:$AN$1006,AQ666),"")</f>
        <v/>
      </c>
      <c r="AS666" s="612" t="str">
        <f>VLOOKUP(AR666,$AN$10:$AO$1116,2,0)</f>
        <v>أحمد نورالدين أحمد الذيب</v>
      </c>
    </row>
    <row r="667" spans="1:45" ht="15" customHeight="1" thickBot="1" x14ac:dyDescent="0.3">
      <c r="A667" s="633"/>
      <c r="B667" s="630"/>
      <c r="C667" s="622"/>
      <c r="D667" s="625"/>
      <c r="E667" s="133" t="s">
        <v>31</v>
      </c>
      <c r="F667" s="589">
        <f>IFERROR(VLOOKUP($B666,اسماء,18,0),0)</f>
        <v>0</v>
      </c>
      <c r="G667" s="592"/>
      <c r="H667" s="608">
        <f>IFERROR(VLOOKUP($B666,اسماء,19,0),0)</f>
        <v>0</v>
      </c>
      <c r="I667" s="609"/>
      <c r="J667" s="589">
        <f>IFERROR(VLOOKUP($B666,اسماء,20,0),0)</f>
        <v>0</v>
      </c>
      <c r="K667" s="592"/>
      <c r="L667" s="589">
        <f>IFERROR(VLOOKUP($B666,اسماء,21,0),0)</f>
        <v>0</v>
      </c>
      <c r="M667" s="590"/>
      <c r="N667" s="589">
        <f>IFERROR(VLOOKUP($B666,اسماء,22,0),0)</f>
        <v>0</v>
      </c>
      <c r="O667" s="590"/>
      <c r="P667" s="589">
        <f>IFERROR(VLOOKUP($B666,اسماء,23,0),0)</f>
        <v>0</v>
      </c>
      <c r="Q667" s="609"/>
      <c r="R667" s="603">
        <f>IFERROR(VLOOKUP($B666,اسماء,24,0),0)</f>
        <v>0</v>
      </c>
      <c r="S667" s="592"/>
      <c r="T667" s="589">
        <f>IFERROR(VLOOKUP($B666,اسماء,25,0),0)</f>
        <v>0</v>
      </c>
      <c r="U667" s="592"/>
      <c r="V667" s="263">
        <f t="shared" si="2013"/>
        <v>0</v>
      </c>
      <c r="W667" s="373">
        <f>IFERROR(VLOOKUP($B666,اسماء,27,0),0)</f>
        <v>0</v>
      </c>
      <c r="X667" s="373">
        <f>IFERROR(VLOOKUP($B666,اسماء,28,0),0)</f>
        <v>0</v>
      </c>
      <c r="Y667" s="596"/>
      <c r="Z667" s="22" t="str">
        <f>LOOKUP(V667,$AF$6:$AG$10)</f>
        <v>ضعيف</v>
      </c>
      <c r="AA667" s="657"/>
      <c r="AB667" s="72"/>
      <c r="AC667" s="654"/>
      <c r="AN667" s="607"/>
      <c r="AO667" s="607"/>
      <c r="AP667" s="613"/>
      <c r="AQ667" s="612"/>
      <c r="AR667" s="611"/>
      <c r="AS667" s="612"/>
    </row>
    <row r="668" spans="1:45" ht="15" customHeight="1" x14ac:dyDescent="0.25">
      <c r="A668" s="633"/>
      <c r="B668" s="630"/>
      <c r="C668" s="622"/>
      <c r="D668" s="625"/>
      <c r="E668" s="133" t="s">
        <v>32</v>
      </c>
      <c r="F668" s="589">
        <f>IFERROR(VLOOKUP($B666,اسماء,31,0),0)</f>
        <v>0</v>
      </c>
      <c r="G668" s="592"/>
      <c r="H668" s="608">
        <f>IFERROR(VLOOKUP($B666,اسماء,32,0),0)</f>
        <v>0</v>
      </c>
      <c r="I668" s="609"/>
      <c r="J668" s="589">
        <f>IFERROR(VLOOKUP($B666,اسماء,33,0),0)</f>
        <v>0</v>
      </c>
      <c r="K668" s="592"/>
      <c r="L668" s="589">
        <f>IFERROR(VLOOKUP($B666,اسماء,34,0),0)</f>
        <v>0</v>
      </c>
      <c r="M668" s="590"/>
      <c r="N668" s="589">
        <f>IFERROR(VLOOKUP($B666,اسماء,35,0),0)</f>
        <v>0</v>
      </c>
      <c r="O668" s="590"/>
      <c r="P668" s="589">
        <f>IFERROR(VLOOKUP($B666,اسماء,36,0),0)</f>
        <v>0</v>
      </c>
      <c r="Q668" s="609"/>
      <c r="R668" s="603">
        <f>IFERROR(VLOOKUP($B666,اسماء,37,0),0)</f>
        <v>0</v>
      </c>
      <c r="S668" s="592"/>
      <c r="T668" s="589">
        <f>IFERROR(VLOOKUP($B666,اسماء,38,0),0)</f>
        <v>0</v>
      </c>
      <c r="U668" s="592"/>
      <c r="V668" s="263">
        <f t="shared" si="2013"/>
        <v>0</v>
      </c>
      <c r="W668" s="373">
        <f>IFERROR(VLOOKUP($B666,اسماء,40,0),0)</f>
        <v>0</v>
      </c>
      <c r="X668" s="373">
        <f>IFERROR(VLOOKUP($B666,اسماء,41,0),0)</f>
        <v>0</v>
      </c>
      <c r="Y668" s="596"/>
      <c r="Z668" s="22" t="str">
        <f>LOOKUP(V668,$AI$6:$AJ$10)</f>
        <v>ضعيف</v>
      </c>
      <c r="AA668" s="657"/>
      <c r="AB668" s="10"/>
      <c r="AC668" s="654"/>
      <c r="AN668" s="607"/>
      <c r="AO668" s="607"/>
      <c r="AP668" s="613"/>
      <c r="AQ668" s="612"/>
      <c r="AR668" s="611"/>
      <c r="AS668" s="612"/>
    </row>
    <row r="669" spans="1:45" ht="15" customHeight="1" thickBot="1" x14ac:dyDescent="0.3">
      <c r="A669" s="634"/>
      <c r="B669" s="631"/>
      <c r="C669" s="623"/>
      <c r="D669" s="626"/>
      <c r="E669" s="127" t="s">
        <v>33</v>
      </c>
      <c r="F669" s="585">
        <f t="shared" ref="F669" si="2016">SUM(F666:G668)</f>
        <v>0</v>
      </c>
      <c r="G669" s="593"/>
      <c r="H669" s="604">
        <f t="shared" ref="H669" si="2017">SUM(H666:I668)</f>
        <v>0</v>
      </c>
      <c r="I669" s="601"/>
      <c r="J669" s="585">
        <f t="shared" ref="J669" si="2018">SUM(J666:K668)</f>
        <v>0</v>
      </c>
      <c r="K669" s="593"/>
      <c r="L669" s="585">
        <f t="shared" ref="L669" si="2019">SUM(L666:M668)</f>
        <v>0</v>
      </c>
      <c r="M669" s="586"/>
      <c r="N669" s="585">
        <f t="shared" ref="N669" si="2020">SUM(N666:O668)</f>
        <v>0</v>
      </c>
      <c r="O669" s="586"/>
      <c r="P669" s="585">
        <f t="shared" ref="P669" si="2021">SUM(P666:Q668)</f>
        <v>0</v>
      </c>
      <c r="Q669" s="601"/>
      <c r="R669" s="602">
        <f t="shared" ref="R669" si="2022">SUM(R666:S668)</f>
        <v>0</v>
      </c>
      <c r="S669" s="593"/>
      <c r="T669" s="585">
        <f t="shared" ref="T669" si="2023">SUM(T666:U668)</f>
        <v>0</v>
      </c>
      <c r="U669" s="593"/>
      <c r="V669" s="210">
        <f t="shared" ref="V669" si="2024">IF(AND(F669&gt;=$G$8,H669&gt;=$I$8,L669&gt;=$M$8,P669&gt;=$Q$8,R669&gt;=$S$8,T669&gt;=$U$8),SUM(F669:U669),0)</f>
        <v>0</v>
      </c>
      <c r="W669" s="264"/>
      <c r="X669" s="97"/>
      <c r="Y669" s="597"/>
      <c r="Z669" s="91" t="str">
        <f>LOOKUP(V669,$AL$6:$AM$10)</f>
        <v>ضعيف</v>
      </c>
      <c r="AA669" s="658"/>
      <c r="AB669" s="72"/>
      <c r="AC669" s="655"/>
      <c r="AN669" s="607"/>
      <c r="AO669" s="607"/>
      <c r="AP669" s="613"/>
      <c r="AQ669" s="612"/>
      <c r="AR669" s="611"/>
      <c r="AS669" s="612"/>
    </row>
    <row r="670" spans="1:45" ht="15" customHeight="1" thickBot="1" x14ac:dyDescent="0.3">
      <c r="A670" s="632">
        <v>145</v>
      </c>
      <c r="B670" s="629">
        <f>VLOOKUP(A670,مسلسل,2,0)</f>
        <v>0</v>
      </c>
      <c r="C670" s="621" t="str">
        <f>IFERROR(VLOOKUP(B670,اسماء,2,0),"")</f>
        <v/>
      </c>
      <c r="D670" s="624" t="str">
        <f>IFERROR(VLOOKUP($B670,اسماء,3,0),"")</f>
        <v/>
      </c>
      <c r="E670" s="132" t="s">
        <v>30</v>
      </c>
      <c r="F670" s="627">
        <f>IFERROR(VLOOKUP($B670,اسماء,5,0),0)</f>
        <v>0</v>
      </c>
      <c r="G670" s="606"/>
      <c r="H670" s="628">
        <f>IFERROR(VLOOKUP($B670,اسماء,6,0),0)</f>
        <v>0</v>
      </c>
      <c r="I670" s="605"/>
      <c r="J670" s="587">
        <f>IFERROR(VLOOKUP($B670,اسماء,7,0),0)</f>
        <v>0</v>
      </c>
      <c r="K670" s="591"/>
      <c r="L670" s="587">
        <f>IFERROR(VLOOKUP($B670,اسماء,8,0),0)</f>
        <v>0</v>
      </c>
      <c r="M670" s="588"/>
      <c r="N670" s="587">
        <f>IFERROR(VLOOKUP($B670,اسماء,9,0),0)</f>
        <v>0</v>
      </c>
      <c r="O670" s="605"/>
      <c r="P670" s="587">
        <f>IFERROR(VLOOKUP($B670,اسماء,10,0),0)</f>
        <v>0</v>
      </c>
      <c r="Q670" s="605"/>
      <c r="R670" s="606">
        <f>IFERROR(VLOOKUP($B670,اسماء,11,0),0)</f>
        <v>0</v>
      </c>
      <c r="S670" s="591"/>
      <c r="T670" s="587">
        <f>IFERROR(VLOOKUP($B670,اسماء,12,0),0)</f>
        <v>0</v>
      </c>
      <c r="U670" s="591"/>
      <c r="V670" s="263">
        <f t="shared" ref="V670:V672" si="2025">SUM(F670:U670)</f>
        <v>0</v>
      </c>
      <c r="W670" s="373">
        <f>IFERROR(VLOOKUP($B670,اسماء,14,0),0)</f>
        <v>0</v>
      </c>
      <c r="X670" s="373">
        <f>IFERROR(VLOOKUP($B670,اسماء,15,0),0)</f>
        <v>0</v>
      </c>
      <c r="Y670" s="595" t="str">
        <f t="shared" ref="Y670" si="2026">IF(AC670="غائب","راسب",IF(AND(F673&gt;=$G$8,H673&gt;=$I$8,J673&gt;=$K$8,L673&gt;=$M$8,N673&gt;=$O$8,P673&gt;=$Q$8,R673&gt;=$S$8,T673&gt;=$U$8),"ناجح","له دور ثان"))</f>
        <v>له دور ثان</v>
      </c>
      <c r="Z670" s="21" t="str">
        <f t="shared" ref="Z670:Z671" si="2027">LOOKUP(V670,$AF$6:$AG$10)</f>
        <v>ضعيف</v>
      </c>
      <c r="AA670" s="656">
        <f t="shared" ref="AA670" si="2028">V673/$AF$3</f>
        <v>0</v>
      </c>
      <c r="AB670" s="72"/>
      <c r="AC670" s="653" t="str">
        <f>IFERROR(VLOOKUP($B670,اسماء,54,0),"")</f>
        <v/>
      </c>
      <c r="AN670" s="607" t="str">
        <f t="shared" ref="AN670" si="2029">IF(V673=0,"",V673/1+ROW()*0.00001)</f>
        <v/>
      </c>
      <c r="AO670" s="607">
        <f>B670</f>
        <v>0</v>
      </c>
      <c r="AP670" s="613"/>
      <c r="AQ670" s="612">
        <v>145</v>
      </c>
      <c r="AR670" s="611" t="str">
        <f>IFERROR(LARGE($AN$10:$AN$1006,AQ670),"")</f>
        <v/>
      </c>
      <c r="AS670" s="612" t="str">
        <f>VLOOKUP(AR670,$AN$10:$AO$1116,2,0)</f>
        <v>أحمد نورالدين أحمد الذيب</v>
      </c>
    </row>
    <row r="671" spans="1:45" ht="15" customHeight="1" thickBot="1" x14ac:dyDescent="0.3">
      <c r="A671" s="633"/>
      <c r="B671" s="630"/>
      <c r="C671" s="622"/>
      <c r="D671" s="625"/>
      <c r="E671" s="133" t="s">
        <v>31</v>
      </c>
      <c r="F671" s="589">
        <f>IFERROR(VLOOKUP($B670,اسماء,18,0),0)</f>
        <v>0</v>
      </c>
      <c r="G671" s="592"/>
      <c r="H671" s="608">
        <f>IFERROR(VLOOKUP($B670,اسماء,19,0),0)</f>
        <v>0</v>
      </c>
      <c r="I671" s="609"/>
      <c r="J671" s="589">
        <f>IFERROR(VLOOKUP($B670,اسماء,20,0),0)</f>
        <v>0</v>
      </c>
      <c r="K671" s="592"/>
      <c r="L671" s="589">
        <f>IFERROR(VLOOKUP($B670,اسماء,21,0),0)</f>
        <v>0</v>
      </c>
      <c r="M671" s="590"/>
      <c r="N671" s="589">
        <f>IFERROR(VLOOKUP($B670,اسماء,22,0),0)</f>
        <v>0</v>
      </c>
      <c r="O671" s="590"/>
      <c r="P671" s="589">
        <f>IFERROR(VLOOKUP($B670,اسماء,23,0),0)</f>
        <v>0</v>
      </c>
      <c r="Q671" s="609"/>
      <c r="R671" s="603">
        <f>IFERROR(VLOOKUP($B670,اسماء,24,0),0)</f>
        <v>0</v>
      </c>
      <c r="S671" s="592"/>
      <c r="T671" s="589">
        <f>IFERROR(VLOOKUP($B670,اسماء,25,0),0)</f>
        <v>0</v>
      </c>
      <c r="U671" s="592"/>
      <c r="V671" s="263">
        <f t="shared" si="2025"/>
        <v>0</v>
      </c>
      <c r="W671" s="373">
        <f>IFERROR(VLOOKUP($B670,اسماء,27,0),0)</f>
        <v>0</v>
      </c>
      <c r="X671" s="373">
        <f>IFERROR(VLOOKUP($B670,اسماء,28,0),0)</f>
        <v>0</v>
      </c>
      <c r="Y671" s="596"/>
      <c r="Z671" s="22" t="str">
        <f t="shared" si="2027"/>
        <v>ضعيف</v>
      </c>
      <c r="AA671" s="657"/>
      <c r="AB671" s="10"/>
      <c r="AC671" s="654"/>
      <c r="AN671" s="607"/>
      <c r="AO671" s="607"/>
      <c r="AP671" s="613"/>
      <c r="AQ671" s="612"/>
      <c r="AR671" s="611"/>
      <c r="AS671" s="612"/>
    </row>
    <row r="672" spans="1:45" ht="15" customHeight="1" x14ac:dyDescent="0.25">
      <c r="A672" s="633"/>
      <c r="B672" s="630"/>
      <c r="C672" s="622"/>
      <c r="D672" s="625"/>
      <c r="E672" s="133" t="s">
        <v>32</v>
      </c>
      <c r="F672" s="589">
        <f>IFERROR(VLOOKUP($B670,اسماء,31,0),0)</f>
        <v>0</v>
      </c>
      <c r="G672" s="592"/>
      <c r="H672" s="608">
        <f>IFERROR(VLOOKUP($B670,اسماء,32,0),0)</f>
        <v>0</v>
      </c>
      <c r="I672" s="609"/>
      <c r="J672" s="589">
        <f>IFERROR(VLOOKUP($B670,اسماء,33,0),0)</f>
        <v>0</v>
      </c>
      <c r="K672" s="592"/>
      <c r="L672" s="589">
        <f>IFERROR(VLOOKUP($B670,اسماء,34,0),0)</f>
        <v>0</v>
      </c>
      <c r="M672" s="590"/>
      <c r="N672" s="589">
        <f>IFERROR(VLOOKUP($B670,اسماء,35,0),0)</f>
        <v>0</v>
      </c>
      <c r="O672" s="590"/>
      <c r="P672" s="589">
        <f>IFERROR(VLOOKUP($B670,اسماء,36,0),0)</f>
        <v>0</v>
      </c>
      <c r="Q672" s="609"/>
      <c r="R672" s="603">
        <f>IFERROR(VLOOKUP($B670,اسماء,37,0),0)</f>
        <v>0</v>
      </c>
      <c r="S672" s="592"/>
      <c r="T672" s="589">
        <f>IFERROR(VLOOKUP($B670,اسماء,38,0),0)</f>
        <v>0</v>
      </c>
      <c r="U672" s="592"/>
      <c r="V672" s="263">
        <f t="shared" si="2025"/>
        <v>0</v>
      </c>
      <c r="W672" s="373">
        <f>IFERROR(VLOOKUP($B670,اسماء,40,0),0)</f>
        <v>0</v>
      </c>
      <c r="X672" s="373">
        <f>IFERROR(VLOOKUP($B670,اسماء,41,0),0)</f>
        <v>0</v>
      </c>
      <c r="Y672" s="596"/>
      <c r="Z672" s="22" t="str">
        <f t="shared" ref="Z672" si="2030">LOOKUP(V672,$AI$6:$AJ$10)</f>
        <v>ضعيف</v>
      </c>
      <c r="AA672" s="657"/>
      <c r="AB672" s="72"/>
      <c r="AC672" s="654"/>
      <c r="AN672" s="607"/>
      <c r="AO672" s="607"/>
      <c r="AP672" s="613"/>
      <c r="AQ672" s="612"/>
      <c r="AR672" s="611"/>
      <c r="AS672" s="612"/>
    </row>
    <row r="673" spans="1:45" ht="15" customHeight="1" thickBot="1" x14ac:dyDescent="0.3">
      <c r="A673" s="634"/>
      <c r="B673" s="631"/>
      <c r="C673" s="623"/>
      <c r="D673" s="626"/>
      <c r="E673" s="127" t="s">
        <v>33</v>
      </c>
      <c r="F673" s="585">
        <f t="shared" ref="F673" si="2031">SUM(F670:G672)</f>
        <v>0</v>
      </c>
      <c r="G673" s="593"/>
      <c r="H673" s="604">
        <f t="shared" ref="H673" si="2032">SUM(H670:I672)</f>
        <v>0</v>
      </c>
      <c r="I673" s="601"/>
      <c r="J673" s="585">
        <f t="shared" ref="J673" si="2033">SUM(J670:K672)</f>
        <v>0</v>
      </c>
      <c r="K673" s="593"/>
      <c r="L673" s="585">
        <f t="shared" ref="L673" si="2034">SUM(L670:M672)</f>
        <v>0</v>
      </c>
      <c r="M673" s="586"/>
      <c r="N673" s="585">
        <f t="shared" ref="N673" si="2035">SUM(N670:O672)</f>
        <v>0</v>
      </c>
      <c r="O673" s="586"/>
      <c r="P673" s="585">
        <f t="shared" ref="P673" si="2036">SUM(P670:Q672)</f>
        <v>0</v>
      </c>
      <c r="Q673" s="601"/>
      <c r="R673" s="602">
        <f t="shared" ref="R673" si="2037">SUM(R670:S672)</f>
        <v>0</v>
      </c>
      <c r="S673" s="593"/>
      <c r="T673" s="585">
        <f t="shared" ref="T673" si="2038">SUM(T670:U672)</f>
        <v>0</v>
      </c>
      <c r="U673" s="593"/>
      <c r="V673" s="210">
        <f t="shared" ref="V673" si="2039">IF(AND(F673&gt;=$G$8,H673&gt;=$I$8,L673&gt;=$M$8,P673&gt;=$Q$8,R673&gt;=$S$8,T673&gt;=$U$8),SUM(F673:U673),0)</f>
        <v>0</v>
      </c>
      <c r="W673" s="264"/>
      <c r="X673" s="97"/>
      <c r="Y673" s="597"/>
      <c r="Z673" s="91" t="str">
        <f t="shared" ref="Z673" si="2040">LOOKUP(V673,$AL$6:$AM$10)</f>
        <v>ضعيف</v>
      </c>
      <c r="AA673" s="658"/>
      <c r="AB673" s="72"/>
      <c r="AC673" s="655"/>
      <c r="AN673" s="607"/>
      <c r="AO673" s="607"/>
      <c r="AP673" s="613"/>
      <c r="AQ673" s="612"/>
      <c r="AR673" s="611"/>
      <c r="AS673" s="612"/>
    </row>
    <row r="674" spans="1:45" ht="15" customHeight="1" thickBot="1" x14ac:dyDescent="0.3">
      <c r="A674" s="632">
        <v>146</v>
      </c>
      <c r="B674" s="629">
        <f>VLOOKUP(A674,مسلسل,2,0)</f>
        <v>0</v>
      </c>
      <c r="C674" s="621" t="str">
        <f>IFERROR(VLOOKUP(B674,اسماء,2,0),"")</f>
        <v/>
      </c>
      <c r="D674" s="624" t="str">
        <f>IFERROR(VLOOKUP($B674,اسماء,3,0),"")</f>
        <v/>
      </c>
      <c r="E674" s="132" t="s">
        <v>30</v>
      </c>
      <c r="F674" s="627">
        <f>IFERROR(VLOOKUP($B674,اسماء,5,0),0)</f>
        <v>0</v>
      </c>
      <c r="G674" s="606"/>
      <c r="H674" s="628">
        <f>IFERROR(VLOOKUP($B674,اسماء,6,0),0)</f>
        <v>0</v>
      </c>
      <c r="I674" s="605"/>
      <c r="J674" s="587">
        <f>IFERROR(VLOOKUP($B674,اسماء,7,0),0)</f>
        <v>0</v>
      </c>
      <c r="K674" s="591"/>
      <c r="L674" s="587">
        <f>IFERROR(VLOOKUP($B674,اسماء,8,0),0)</f>
        <v>0</v>
      </c>
      <c r="M674" s="588"/>
      <c r="N674" s="587">
        <f>IFERROR(VLOOKUP($B674,اسماء,9,0),0)</f>
        <v>0</v>
      </c>
      <c r="O674" s="605"/>
      <c r="P674" s="587">
        <f>IFERROR(VLOOKUP($B674,اسماء,10,0),0)</f>
        <v>0</v>
      </c>
      <c r="Q674" s="605"/>
      <c r="R674" s="606">
        <f>IFERROR(VLOOKUP($B674,اسماء,11,0),0)</f>
        <v>0</v>
      </c>
      <c r="S674" s="591"/>
      <c r="T674" s="587">
        <f>IFERROR(VLOOKUP($B674,اسماء,12,0),0)</f>
        <v>0</v>
      </c>
      <c r="U674" s="591"/>
      <c r="V674" s="263">
        <f t="shared" ref="V674:V676" si="2041">SUM(F674:U674)</f>
        <v>0</v>
      </c>
      <c r="W674" s="373">
        <f>IFERROR(VLOOKUP($B674,اسماء,14,0),0)</f>
        <v>0</v>
      </c>
      <c r="X674" s="373">
        <f>IFERROR(VLOOKUP($B674,اسماء,15,0),0)</f>
        <v>0</v>
      </c>
      <c r="Y674" s="595" t="str">
        <f t="shared" ref="Y674" si="2042">IF(AC674="غائب","راسب",IF(AND(F677&gt;=$G$8,H677&gt;=$I$8,J677&gt;=$K$8,L677&gt;=$M$8,N677&gt;=$O$8,P677&gt;=$Q$8,R677&gt;=$S$8,T677&gt;=$U$8),"ناجح","له دور ثان"))</f>
        <v>له دور ثان</v>
      </c>
      <c r="Z674" s="21" t="str">
        <f t="shared" ref="Z674:Z675" si="2043">LOOKUP(V674,$AF$6:$AG$10)</f>
        <v>ضعيف</v>
      </c>
      <c r="AA674" s="656">
        <f t="shared" ref="AA674" si="2044">V677/$AF$3</f>
        <v>0</v>
      </c>
      <c r="AB674" s="10"/>
      <c r="AC674" s="653" t="str">
        <f>IFERROR(VLOOKUP($B674,اسماء,54,0),"")</f>
        <v/>
      </c>
      <c r="AN674" s="607" t="str">
        <f t="shared" ref="AN674" si="2045">IF(V677=0,"",V677/1+ROW()*0.00001)</f>
        <v/>
      </c>
      <c r="AO674" s="607">
        <f>B674</f>
        <v>0</v>
      </c>
      <c r="AP674" s="613"/>
      <c r="AQ674" s="612">
        <v>146</v>
      </c>
      <c r="AR674" s="611" t="str">
        <f>IFERROR(LARGE($AN$10:$AN$1006,AQ674),"")</f>
        <v/>
      </c>
      <c r="AS674" s="612" t="str">
        <f>VLOOKUP(AR674,$AN$10:$AO$1116,2,0)</f>
        <v>أحمد نورالدين أحمد الذيب</v>
      </c>
    </row>
    <row r="675" spans="1:45" ht="15" customHeight="1" thickBot="1" x14ac:dyDescent="0.3">
      <c r="A675" s="633"/>
      <c r="B675" s="630"/>
      <c r="C675" s="622"/>
      <c r="D675" s="625"/>
      <c r="E675" s="133" t="s">
        <v>31</v>
      </c>
      <c r="F675" s="589">
        <f>IFERROR(VLOOKUP($B674,اسماء,18,0),0)</f>
        <v>0</v>
      </c>
      <c r="G675" s="592"/>
      <c r="H675" s="608">
        <f>IFERROR(VLOOKUP($B674,اسماء,19,0),0)</f>
        <v>0</v>
      </c>
      <c r="I675" s="609"/>
      <c r="J675" s="589">
        <f>IFERROR(VLOOKUP($B674,اسماء,20,0),0)</f>
        <v>0</v>
      </c>
      <c r="K675" s="592"/>
      <c r="L675" s="589">
        <f>IFERROR(VLOOKUP($B674,اسماء,21,0),0)</f>
        <v>0</v>
      </c>
      <c r="M675" s="590"/>
      <c r="N675" s="589">
        <f>IFERROR(VLOOKUP($B674,اسماء,22,0),0)</f>
        <v>0</v>
      </c>
      <c r="O675" s="590"/>
      <c r="P675" s="589">
        <f>IFERROR(VLOOKUP($B674,اسماء,23,0),0)</f>
        <v>0</v>
      </c>
      <c r="Q675" s="609"/>
      <c r="R675" s="603">
        <f>IFERROR(VLOOKUP($B674,اسماء,24,0),0)</f>
        <v>0</v>
      </c>
      <c r="S675" s="592"/>
      <c r="T675" s="589">
        <f>IFERROR(VLOOKUP($B674,اسماء,25,0),0)</f>
        <v>0</v>
      </c>
      <c r="U675" s="592"/>
      <c r="V675" s="263">
        <f t="shared" si="2041"/>
        <v>0</v>
      </c>
      <c r="W675" s="373">
        <f>IFERROR(VLOOKUP($B674,اسماء,27,0),0)</f>
        <v>0</v>
      </c>
      <c r="X675" s="373">
        <f>IFERROR(VLOOKUP($B674,اسماء,28,0),0)</f>
        <v>0</v>
      </c>
      <c r="Y675" s="596"/>
      <c r="Z675" s="22" t="str">
        <f t="shared" si="2043"/>
        <v>ضعيف</v>
      </c>
      <c r="AA675" s="657"/>
      <c r="AB675" s="72"/>
      <c r="AC675" s="654"/>
      <c r="AN675" s="607"/>
      <c r="AO675" s="607"/>
      <c r="AP675" s="613"/>
      <c r="AQ675" s="612"/>
      <c r="AR675" s="611"/>
      <c r="AS675" s="612"/>
    </row>
    <row r="676" spans="1:45" ht="15" customHeight="1" x14ac:dyDescent="0.25">
      <c r="A676" s="633"/>
      <c r="B676" s="630"/>
      <c r="C676" s="622"/>
      <c r="D676" s="625"/>
      <c r="E676" s="133" t="s">
        <v>32</v>
      </c>
      <c r="F676" s="589">
        <f>IFERROR(VLOOKUP($B674,اسماء,31,0),0)</f>
        <v>0</v>
      </c>
      <c r="G676" s="592"/>
      <c r="H676" s="608">
        <f>IFERROR(VLOOKUP($B674,اسماء,32,0),0)</f>
        <v>0</v>
      </c>
      <c r="I676" s="609"/>
      <c r="J676" s="589">
        <f>IFERROR(VLOOKUP($B674,اسماء,33,0),0)</f>
        <v>0</v>
      </c>
      <c r="K676" s="592"/>
      <c r="L676" s="589">
        <f>IFERROR(VLOOKUP($B674,اسماء,34,0),0)</f>
        <v>0</v>
      </c>
      <c r="M676" s="590"/>
      <c r="N676" s="589">
        <f>IFERROR(VLOOKUP($B674,اسماء,35,0),0)</f>
        <v>0</v>
      </c>
      <c r="O676" s="590"/>
      <c r="P676" s="589">
        <f>IFERROR(VLOOKUP($B674,اسماء,36,0),0)</f>
        <v>0</v>
      </c>
      <c r="Q676" s="609"/>
      <c r="R676" s="603">
        <f>IFERROR(VLOOKUP($B674,اسماء,37,0),0)</f>
        <v>0</v>
      </c>
      <c r="S676" s="592"/>
      <c r="T676" s="589">
        <f>IFERROR(VLOOKUP($B674,اسماء,38,0),0)</f>
        <v>0</v>
      </c>
      <c r="U676" s="592"/>
      <c r="V676" s="263">
        <f t="shared" si="2041"/>
        <v>0</v>
      </c>
      <c r="W676" s="373">
        <f>IFERROR(VLOOKUP($B674,اسماء,40,0),0)</f>
        <v>0</v>
      </c>
      <c r="X676" s="373">
        <f>IFERROR(VLOOKUP($B674,اسماء,41,0),0)</f>
        <v>0</v>
      </c>
      <c r="Y676" s="596"/>
      <c r="Z676" s="22" t="str">
        <f t="shared" ref="Z676" si="2046">LOOKUP(V676,$AI$6:$AJ$10)</f>
        <v>ضعيف</v>
      </c>
      <c r="AA676" s="657"/>
      <c r="AB676" s="72"/>
      <c r="AC676" s="654"/>
      <c r="AN676" s="607"/>
      <c r="AO676" s="607"/>
      <c r="AP676" s="613"/>
      <c r="AQ676" s="612"/>
      <c r="AR676" s="611"/>
      <c r="AS676" s="612"/>
    </row>
    <row r="677" spans="1:45" ht="15" customHeight="1" thickBot="1" x14ac:dyDescent="0.3">
      <c r="A677" s="634"/>
      <c r="B677" s="631"/>
      <c r="C677" s="623"/>
      <c r="D677" s="626"/>
      <c r="E677" s="127" t="s">
        <v>33</v>
      </c>
      <c r="F677" s="585">
        <f t="shared" ref="F677" si="2047">SUM(F674:G676)</f>
        <v>0</v>
      </c>
      <c r="G677" s="593"/>
      <c r="H677" s="604">
        <f t="shared" ref="H677" si="2048">SUM(H674:I676)</f>
        <v>0</v>
      </c>
      <c r="I677" s="601"/>
      <c r="J677" s="585">
        <f t="shared" ref="J677" si="2049">SUM(J674:K676)</f>
        <v>0</v>
      </c>
      <c r="K677" s="593"/>
      <c r="L677" s="585">
        <f t="shared" ref="L677" si="2050">SUM(L674:M676)</f>
        <v>0</v>
      </c>
      <c r="M677" s="586"/>
      <c r="N677" s="585">
        <f t="shared" ref="N677" si="2051">SUM(N674:O676)</f>
        <v>0</v>
      </c>
      <c r="O677" s="586"/>
      <c r="P677" s="585">
        <f t="shared" ref="P677" si="2052">SUM(P674:Q676)</f>
        <v>0</v>
      </c>
      <c r="Q677" s="601"/>
      <c r="R677" s="602">
        <f t="shared" ref="R677" si="2053">SUM(R674:S676)</f>
        <v>0</v>
      </c>
      <c r="S677" s="593"/>
      <c r="T677" s="585">
        <f t="shared" ref="T677" si="2054">SUM(T674:U676)</f>
        <v>0</v>
      </c>
      <c r="U677" s="593"/>
      <c r="V677" s="210">
        <f t="shared" ref="V677" si="2055">IF(AND(F677&gt;=$G$8,H677&gt;=$I$8,L677&gt;=$M$8,P677&gt;=$Q$8,R677&gt;=$S$8,T677&gt;=$U$8),SUM(F677:U677),0)</f>
        <v>0</v>
      </c>
      <c r="W677" s="264"/>
      <c r="X677" s="97"/>
      <c r="Y677" s="597"/>
      <c r="Z677" s="91" t="str">
        <f t="shared" ref="Z677" si="2056">LOOKUP(V677,$AL$6:$AM$10)</f>
        <v>ضعيف</v>
      </c>
      <c r="AA677" s="658"/>
      <c r="AB677" s="10"/>
      <c r="AC677" s="655"/>
      <c r="AN677" s="607"/>
      <c r="AO677" s="607"/>
      <c r="AP677" s="613"/>
      <c r="AQ677" s="612"/>
      <c r="AR677" s="611"/>
      <c r="AS677" s="612"/>
    </row>
    <row r="678" spans="1:45" ht="15" customHeight="1" thickBot="1" x14ac:dyDescent="0.3">
      <c r="A678" s="632">
        <v>147</v>
      </c>
      <c r="B678" s="629">
        <f>VLOOKUP(A678,مسلسل,2,0)</f>
        <v>0</v>
      </c>
      <c r="C678" s="621" t="str">
        <f>IFERROR(VLOOKUP(B678,اسماء,2,0),"")</f>
        <v/>
      </c>
      <c r="D678" s="624" t="str">
        <f>IFERROR(VLOOKUP($B678,اسماء,3,0),"")</f>
        <v/>
      </c>
      <c r="E678" s="132" t="s">
        <v>30</v>
      </c>
      <c r="F678" s="627">
        <f>IFERROR(VLOOKUP($B678,اسماء,5,0),0)</f>
        <v>0</v>
      </c>
      <c r="G678" s="606"/>
      <c r="H678" s="628">
        <f>IFERROR(VLOOKUP($B678,اسماء,6,0),0)</f>
        <v>0</v>
      </c>
      <c r="I678" s="605"/>
      <c r="J678" s="587">
        <f>IFERROR(VLOOKUP($B678,اسماء,7,0),0)</f>
        <v>0</v>
      </c>
      <c r="K678" s="591"/>
      <c r="L678" s="587">
        <f>IFERROR(VLOOKUP($B678,اسماء,8,0),0)</f>
        <v>0</v>
      </c>
      <c r="M678" s="588"/>
      <c r="N678" s="587">
        <f>IFERROR(VLOOKUP($B678,اسماء,9,0),0)</f>
        <v>0</v>
      </c>
      <c r="O678" s="605"/>
      <c r="P678" s="587">
        <f>IFERROR(VLOOKUP($B678,اسماء,10,0),0)</f>
        <v>0</v>
      </c>
      <c r="Q678" s="605"/>
      <c r="R678" s="606">
        <f>IFERROR(VLOOKUP($B678,اسماء,11,0),0)</f>
        <v>0</v>
      </c>
      <c r="S678" s="591"/>
      <c r="T678" s="587">
        <f>IFERROR(VLOOKUP($B678,اسماء,12,0),0)</f>
        <v>0</v>
      </c>
      <c r="U678" s="591"/>
      <c r="V678" s="263">
        <f t="shared" ref="V678:V680" si="2057">SUM(F678:U678)</f>
        <v>0</v>
      </c>
      <c r="W678" s="373">
        <f>IFERROR(VLOOKUP($B678,اسماء,14,0),0)</f>
        <v>0</v>
      </c>
      <c r="X678" s="373">
        <f>IFERROR(VLOOKUP($B678,اسماء,15,0),0)</f>
        <v>0</v>
      </c>
      <c r="Y678" s="595" t="str">
        <f t="shared" ref="Y678" si="2058">IF(AC678="غائب","راسب",IF(AND(F681&gt;=$G$8,H681&gt;=$I$8,J681&gt;=$K$8,L681&gt;=$M$8,N681&gt;=$O$8,P681&gt;=$Q$8,R681&gt;=$S$8,T681&gt;=$U$8),"ناجح","له دور ثان"))</f>
        <v>له دور ثان</v>
      </c>
      <c r="Z678" s="21" t="str">
        <f t="shared" ref="Z678:Z679" si="2059">LOOKUP(V678,$AF$6:$AG$10)</f>
        <v>ضعيف</v>
      </c>
      <c r="AA678" s="656">
        <f t="shared" ref="AA678" si="2060">V681/$AF$3</f>
        <v>0</v>
      </c>
      <c r="AB678" s="72"/>
      <c r="AC678" s="653" t="str">
        <f>IFERROR(VLOOKUP($B678,اسماء,54,0),"")</f>
        <v/>
      </c>
      <c r="AN678" s="607" t="str">
        <f t="shared" ref="AN678" si="2061">IF(V681=0,"",V681/1+ROW()*0.00001)</f>
        <v/>
      </c>
      <c r="AO678" s="607">
        <f>B678</f>
        <v>0</v>
      </c>
      <c r="AP678" s="613"/>
      <c r="AQ678" s="612">
        <v>147</v>
      </c>
      <c r="AR678" s="611" t="str">
        <f>IFERROR(LARGE($AN$10:$AN$1006,AQ678),"")</f>
        <v/>
      </c>
      <c r="AS678" s="612" t="str">
        <f>VLOOKUP(AR678,$AN$10:$AO$1116,2,0)</f>
        <v>أحمد نورالدين أحمد الذيب</v>
      </c>
    </row>
    <row r="679" spans="1:45" ht="15" customHeight="1" thickBot="1" x14ac:dyDescent="0.3">
      <c r="A679" s="633"/>
      <c r="B679" s="630"/>
      <c r="C679" s="622"/>
      <c r="D679" s="625"/>
      <c r="E679" s="133" t="s">
        <v>31</v>
      </c>
      <c r="F679" s="589">
        <f>IFERROR(VLOOKUP($B678,اسماء,18,0),0)</f>
        <v>0</v>
      </c>
      <c r="G679" s="592"/>
      <c r="H679" s="608">
        <f>IFERROR(VLOOKUP($B678,اسماء,19,0),0)</f>
        <v>0</v>
      </c>
      <c r="I679" s="609"/>
      <c r="J679" s="589">
        <f>IFERROR(VLOOKUP($B678,اسماء,20,0),0)</f>
        <v>0</v>
      </c>
      <c r="K679" s="592"/>
      <c r="L679" s="589">
        <f>IFERROR(VLOOKUP($B678,اسماء,21,0),0)</f>
        <v>0</v>
      </c>
      <c r="M679" s="590"/>
      <c r="N679" s="589">
        <f>IFERROR(VLOOKUP($B678,اسماء,22,0),0)</f>
        <v>0</v>
      </c>
      <c r="O679" s="590"/>
      <c r="P679" s="589">
        <f>IFERROR(VLOOKUP($B678,اسماء,23,0),0)</f>
        <v>0</v>
      </c>
      <c r="Q679" s="609"/>
      <c r="R679" s="603">
        <f>IFERROR(VLOOKUP($B678,اسماء,24,0),0)</f>
        <v>0</v>
      </c>
      <c r="S679" s="592"/>
      <c r="T679" s="589">
        <f>IFERROR(VLOOKUP($B678,اسماء,25,0),0)</f>
        <v>0</v>
      </c>
      <c r="U679" s="592"/>
      <c r="V679" s="263">
        <f t="shared" si="2057"/>
        <v>0</v>
      </c>
      <c r="W679" s="373">
        <f>IFERROR(VLOOKUP($B678,اسماء,27,0),0)</f>
        <v>0</v>
      </c>
      <c r="X679" s="373">
        <f>IFERROR(VLOOKUP($B678,اسماء,28,0),0)</f>
        <v>0</v>
      </c>
      <c r="Y679" s="596"/>
      <c r="Z679" s="22" t="str">
        <f t="shared" si="2059"/>
        <v>ضعيف</v>
      </c>
      <c r="AA679" s="657"/>
      <c r="AB679" s="72"/>
      <c r="AC679" s="654"/>
      <c r="AN679" s="607"/>
      <c r="AO679" s="607"/>
      <c r="AP679" s="613"/>
      <c r="AQ679" s="612"/>
      <c r="AR679" s="611"/>
      <c r="AS679" s="612"/>
    </row>
    <row r="680" spans="1:45" ht="15" customHeight="1" x14ac:dyDescent="0.25">
      <c r="A680" s="633"/>
      <c r="B680" s="630"/>
      <c r="C680" s="622"/>
      <c r="D680" s="625"/>
      <c r="E680" s="133" t="s">
        <v>32</v>
      </c>
      <c r="F680" s="589">
        <f>IFERROR(VLOOKUP($B678,اسماء,31,0),0)</f>
        <v>0</v>
      </c>
      <c r="G680" s="592"/>
      <c r="H680" s="608">
        <f>IFERROR(VLOOKUP($B678,اسماء,32,0),0)</f>
        <v>0</v>
      </c>
      <c r="I680" s="609"/>
      <c r="J680" s="589">
        <f>IFERROR(VLOOKUP($B678,اسماء,33,0),0)</f>
        <v>0</v>
      </c>
      <c r="K680" s="592"/>
      <c r="L680" s="589">
        <f>IFERROR(VLOOKUP($B678,اسماء,34,0),0)</f>
        <v>0</v>
      </c>
      <c r="M680" s="590"/>
      <c r="N680" s="589">
        <f>IFERROR(VLOOKUP($B678,اسماء,35,0),0)</f>
        <v>0</v>
      </c>
      <c r="O680" s="590"/>
      <c r="P680" s="589">
        <f>IFERROR(VLOOKUP($B678,اسماء,36,0),0)</f>
        <v>0</v>
      </c>
      <c r="Q680" s="609"/>
      <c r="R680" s="603">
        <f>IFERROR(VLOOKUP($B678,اسماء,37,0),0)</f>
        <v>0</v>
      </c>
      <c r="S680" s="592"/>
      <c r="T680" s="589">
        <f>IFERROR(VLOOKUP($B678,اسماء,38,0),0)</f>
        <v>0</v>
      </c>
      <c r="U680" s="592"/>
      <c r="V680" s="263">
        <f t="shared" si="2057"/>
        <v>0</v>
      </c>
      <c r="W680" s="373">
        <f>IFERROR(VLOOKUP($B678,اسماء,40,0),0)</f>
        <v>0</v>
      </c>
      <c r="X680" s="373">
        <f>IFERROR(VLOOKUP($B678,اسماء,41,0),0)</f>
        <v>0</v>
      </c>
      <c r="Y680" s="596"/>
      <c r="Z680" s="22" t="str">
        <f t="shared" ref="Z680" si="2062">LOOKUP(V680,$AI$6:$AJ$10)</f>
        <v>ضعيف</v>
      </c>
      <c r="AA680" s="657"/>
      <c r="AB680" s="10"/>
      <c r="AC680" s="654"/>
      <c r="AN680" s="607"/>
      <c r="AO680" s="607"/>
      <c r="AP680" s="613"/>
      <c r="AQ680" s="612"/>
      <c r="AR680" s="611"/>
      <c r="AS680" s="612"/>
    </row>
    <row r="681" spans="1:45" ht="15" customHeight="1" thickBot="1" x14ac:dyDescent="0.3">
      <c r="A681" s="634"/>
      <c r="B681" s="631"/>
      <c r="C681" s="623"/>
      <c r="D681" s="626"/>
      <c r="E681" s="127" t="s">
        <v>33</v>
      </c>
      <c r="F681" s="585">
        <f t="shared" ref="F681" si="2063">SUM(F678:G680)</f>
        <v>0</v>
      </c>
      <c r="G681" s="593"/>
      <c r="H681" s="604">
        <f t="shared" ref="H681" si="2064">SUM(H678:I680)</f>
        <v>0</v>
      </c>
      <c r="I681" s="601"/>
      <c r="J681" s="585">
        <f t="shared" ref="J681" si="2065">SUM(J678:K680)</f>
        <v>0</v>
      </c>
      <c r="K681" s="593"/>
      <c r="L681" s="585">
        <f t="shared" ref="L681" si="2066">SUM(L678:M680)</f>
        <v>0</v>
      </c>
      <c r="M681" s="586"/>
      <c r="N681" s="585">
        <f t="shared" ref="N681" si="2067">SUM(N678:O680)</f>
        <v>0</v>
      </c>
      <c r="O681" s="586"/>
      <c r="P681" s="585">
        <f t="shared" ref="P681" si="2068">SUM(P678:Q680)</f>
        <v>0</v>
      </c>
      <c r="Q681" s="601"/>
      <c r="R681" s="602">
        <f t="shared" ref="R681" si="2069">SUM(R678:S680)</f>
        <v>0</v>
      </c>
      <c r="S681" s="593"/>
      <c r="T681" s="585">
        <f t="shared" ref="T681" si="2070">SUM(T678:U680)</f>
        <v>0</v>
      </c>
      <c r="U681" s="593"/>
      <c r="V681" s="210">
        <f t="shared" ref="V681" si="2071">IF(AND(F681&gt;=$G$8,H681&gt;=$I$8,L681&gt;=$M$8,P681&gt;=$Q$8,R681&gt;=$S$8,T681&gt;=$U$8),SUM(F681:U681),0)</f>
        <v>0</v>
      </c>
      <c r="W681" s="264"/>
      <c r="X681" s="97"/>
      <c r="Y681" s="597"/>
      <c r="Z681" s="91" t="str">
        <f t="shared" ref="Z681" si="2072">LOOKUP(V681,$AL$6:$AM$10)</f>
        <v>ضعيف</v>
      </c>
      <c r="AA681" s="658"/>
      <c r="AB681" s="72"/>
      <c r="AC681" s="655"/>
      <c r="AN681" s="607"/>
      <c r="AO681" s="607"/>
      <c r="AP681" s="613"/>
      <c r="AQ681" s="612"/>
      <c r="AR681" s="611"/>
      <c r="AS681" s="612"/>
    </row>
    <row r="682" spans="1:45" ht="15" customHeight="1" thickBot="1" x14ac:dyDescent="0.3">
      <c r="A682" s="632">
        <v>148</v>
      </c>
      <c r="B682" s="629">
        <f>VLOOKUP(A682,مسلسل,2,0)</f>
        <v>0</v>
      </c>
      <c r="C682" s="621" t="str">
        <f>IFERROR(VLOOKUP(B682,اسماء,2,0),"")</f>
        <v/>
      </c>
      <c r="D682" s="624" t="str">
        <f>IFERROR(VLOOKUP($B682,اسماء,3,0),"")</f>
        <v/>
      </c>
      <c r="E682" s="132" t="s">
        <v>30</v>
      </c>
      <c r="F682" s="627">
        <f>IFERROR(VLOOKUP($B682,اسماء,5,0),0)</f>
        <v>0</v>
      </c>
      <c r="G682" s="606"/>
      <c r="H682" s="628">
        <f>IFERROR(VLOOKUP($B682,اسماء,6,0),0)</f>
        <v>0</v>
      </c>
      <c r="I682" s="605"/>
      <c r="J682" s="587">
        <f>IFERROR(VLOOKUP($B682,اسماء,7,0),0)</f>
        <v>0</v>
      </c>
      <c r="K682" s="591"/>
      <c r="L682" s="587">
        <f>IFERROR(VLOOKUP($B682,اسماء,8,0),0)</f>
        <v>0</v>
      </c>
      <c r="M682" s="588"/>
      <c r="N682" s="587">
        <f>IFERROR(VLOOKUP($B682,اسماء,9,0),0)</f>
        <v>0</v>
      </c>
      <c r="O682" s="605"/>
      <c r="P682" s="587">
        <f>IFERROR(VLOOKUP($B682,اسماء,10,0),0)</f>
        <v>0</v>
      </c>
      <c r="Q682" s="605"/>
      <c r="R682" s="606">
        <f>IFERROR(VLOOKUP($B682,اسماء,11,0),0)</f>
        <v>0</v>
      </c>
      <c r="S682" s="591"/>
      <c r="T682" s="587">
        <f>IFERROR(VLOOKUP($B682,اسماء,12,0),0)</f>
        <v>0</v>
      </c>
      <c r="U682" s="591"/>
      <c r="V682" s="263">
        <f t="shared" ref="V682:V684" si="2073">SUM(F682:U682)</f>
        <v>0</v>
      </c>
      <c r="W682" s="373">
        <f>IFERROR(VLOOKUP($B682,اسماء,14,0),0)</f>
        <v>0</v>
      </c>
      <c r="X682" s="373">
        <f>IFERROR(VLOOKUP($B682,اسماء,15,0),0)</f>
        <v>0</v>
      </c>
      <c r="Y682" s="595" t="str">
        <f t="shared" ref="Y682" si="2074">IF(AC682="غائب","راسب",IF(AND(F685&gt;=$G$8,H685&gt;=$I$8,J685&gt;=$K$8,L685&gt;=$M$8,N685&gt;=$O$8,P685&gt;=$Q$8,R685&gt;=$S$8,T685&gt;=$U$8),"ناجح","له دور ثان"))</f>
        <v>له دور ثان</v>
      </c>
      <c r="Z682" s="21" t="str">
        <f t="shared" ref="Z682:Z683" si="2075">LOOKUP(V682,$AF$6:$AG$10)</f>
        <v>ضعيف</v>
      </c>
      <c r="AA682" s="656">
        <f t="shared" ref="AA682" si="2076">V685/$AF$3</f>
        <v>0</v>
      </c>
      <c r="AB682" s="72"/>
      <c r="AC682" s="653" t="str">
        <f>IFERROR(VLOOKUP($B682,اسماء,54,0),"")</f>
        <v/>
      </c>
      <c r="AN682" s="607" t="str">
        <f t="shared" ref="AN682" si="2077">IF(V685=0,"",V685/1+ROW()*0.00001)</f>
        <v/>
      </c>
      <c r="AO682" s="607">
        <f>B682</f>
        <v>0</v>
      </c>
      <c r="AP682" s="613"/>
      <c r="AQ682" s="612">
        <v>148</v>
      </c>
      <c r="AR682" s="611" t="str">
        <f>IFERROR(LARGE($AN$10:$AN$1006,AQ682),"")</f>
        <v/>
      </c>
      <c r="AS682" s="612" t="str">
        <f>VLOOKUP(AR682,$AN$10:$AO$1116,2,0)</f>
        <v>أحمد نورالدين أحمد الذيب</v>
      </c>
    </row>
    <row r="683" spans="1:45" ht="15" customHeight="1" thickBot="1" x14ac:dyDescent="0.3">
      <c r="A683" s="633"/>
      <c r="B683" s="630"/>
      <c r="C683" s="622"/>
      <c r="D683" s="625"/>
      <c r="E683" s="133" t="s">
        <v>31</v>
      </c>
      <c r="F683" s="589">
        <f>IFERROR(VLOOKUP($B682,اسماء,18,0),0)</f>
        <v>0</v>
      </c>
      <c r="G683" s="592"/>
      <c r="H683" s="608">
        <f>IFERROR(VLOOKUP($B682,اسماء,19,0),0)</f>
        <v>0</v>
      </c>
      <c r="I683" s="609"/>
      <c r="J683" s="589">
        <f>IFERROR(VLOOKUP($B682,اسماء,20,0),0)</f>
        <v>0</v>
      </c>
      <c r="K683" s="592"/>
      <c r="L683" s="589">
        <f>IFERROR(VLOOKUP($B682,اسماء,21,0),0)</f>
        <v>0</v>
      </c>
      <c r="M683" s="590"/>
      <c r="N683" s="589">
        <f>IFERROR(VLOOKUP($B682,اسماء,22,0),0)</f>
        <v>0</v>
      </c>
      <c r="O683" s="590"/>
      <c r="P683" s="589">
        <f>IFERROR(VLOOKUP($B682,اسماء,23,0),0)</f>
        <v>0</v>
      </c>
      <c r="Q683" s="609"/>
      <c r="R683" s="603">
        <f>IFERROR(VLOOKUP($B682,اسماء,24,0),0)</f>
        <v>0</v>
      </c>
      <c r="S683" s="592"/>
      <c r="T683" s="589">
        <f>IFERROR(VLOOKUP($B682,اسماء,25,0),0)</f>
        <v>0</v>
      </c>
      <c r="U683" s="592"/>
      <c r="V683" s="263">
        <f t="shared" si="2073"/>
        <v>0</v>
      </c>
      <c r="W683" s="373">
        <f>IFERROR(VLOOKUP($B682,اسماء,27,0),0)</f>
        <v>0</v>
      </c>
      <c r="X683" s="373">
        <f>IFERROR(VLOOKUP($B682,اسماء,28,0),0)</f>
        <v>0</v>
      </c>
      <c r="Y683" s="596"/>
      <c r="Z683" s="22" t="str">
        <f t="shared" si="2075"/>
        <v>ضعيف</v>
      </c>
      <c r="AA683" s="657"/>
      <c r="AB683" s="10"/>
      <c r="AC683" s="654"/>
      <c r="AN683" s="607"/>
      <c r="AO683" s="607"/>
      <c r="AP683" s="613"/>
      <c r="AQ683" s="612"/>
      <c r="AR683" s="611"/>
      <c r="AS683" s="612"/>
    </row>
    <row r="684" spans="1:45" ht="15" customHeight="1" x14ac:dyDescent="0.25">
      <c r="A684" s="633"/>
      <c r="B684" s="630"/>
      <c r="C684" s="622"/>
      <c r="D684" s="625"/>
      <c r="E684" s="133" t="s">
        <v>32</v>
      </c>
      <c r="F684" s="589">
        <f>IFERROR(VLOOKUP($B682,اسماء,31,0),0)</f>
        <v>0</v>
      </c>
      <c r="G684" s="592"/>
      <c r="H684" s="608">
        <f>IFERROR(VLOOKUP($B682,اسماء,32,0),0)</f>
        <v>0</v>
      </c>
      <c r="I684" s="609"/>
      <c r="J684" s="589">
        <f>IFERROR(VLOOKUP($B682,اسماء,33,0),0)</f>
        <v>0</v>
      </c>
      <c r="K684" s="592"/>
      <c r="L684" s="589">
        <f>IFERROR(VLOOKUP($B682,اسماء,34,0),0)</f>
        <v>0</v>
      </c>
      <c r="M684" s="590"/>
      <c r="N684" s="589">
        <f>IFERROR(VLOOKUP($B682,اسماء,35,0),0)</f>
        <v>0</v>
      </c>
      <c r="O684" s="590"/>
      <c r="P684" s="589">
        <f>IFERROR(VLOOKUP($B682,اسماء,36,0),0)</f>
        <v>0</v>
      </c>
      <c r="Q684" s="609"/>
      <c r="R684" s="603">
        <f>IFERROR(VLOOKUP($B682,اسماء,37,0),0)</f>
        <v>0</v>
      </c>
      <c r="S684" s="592"/>
      <c r="T684" s="589">
        <f>IFERROR(VLOOKUP($B682,اسماء,38,0),0)</f>
        <v>0</v>
      </c>
      <c r="U684" s="592"/>
      <c r="V684" s="263">
        <f t="shared" si="2073"/>
        <v>0</v>
      </c>
      <c r="W684" s="373">
        <f>IFERROR(VLOOKUP($B682,اسماء,40,0),0)</f>
        <v>0</v>
      </c>
      <c r="X684" s="373">
        <f>IFERROR(VLOOKUP($B682,اسماء,41,0),0)</f>
        <v>0</v>
      </c>
      <c r="Y684" s="596"/>
      <c r="Z684" s="22" t="str">
        <f t="shared" ref="Z684" si="2078">LOOKUP(V684,$AI$6:$AJ$10)</f>
        <v>ضعيف</v>
      </c>
      <c r="AA684" s="657"/>
      <c r="AB684" s="72"/>
      <c r="AC684" s="654"/>
      <c r="AN684" s="607"/>
      <c r="AO684" s="607"/>
      <c r="AP684" s="613"/>
      <c r="AQ684" s="612"/>
      <c r="AR684" s="611"/>
      <c r="AS684" s="612"/>
    </row>
    <row r="685" spans="1:45" ht="15" customHeight="1" thickBot="1" x14ac:dyDescent="0.3">
      <c r="A685" s="634"/>
      <c r="B685" s="631"/>
      <c r="C685" s="623"/>
      <c r="D685" s="626"/>
      <c r="E685" s="127" t="s">
        <v>33</v>
      </c>
      <c r="F685" s="585">
        <f t="shared" ref="F685" si="2079">SUM(F682:G684)</f>
        <v>0</v>
      </c>
      <c r="G685" s="593"/>
      <c r="H685" s="604">
        <f t="shared" ref="H685" si="2080">SUM(H682:I684)</f>
        <v>0</v>
      </c>
      <c r="I685" s="601"/>
      <c r="J685" s="585">
        <f t="shared" ref="J685" si="2081">SUM(J682:K684)</f>
        <v>0</v>
      </c>
      <c r="K685" s="593"/>
      <c r="L685" s="585">
        <f t="shared" ref="L685" si="2082">SUM(L682:M684)</f>
        <v>0</v>
      </c>
      <c r="M685" s="586"/>
      <c r="N685" s="585">
        <f t="shared" ref="N685" si="2083">SUM(N682:O684)</f>
        <v>0</v>
      </c>
      <c r="O685" s="586"/>
      <c r="P685" s="585">
        <f t="shared" ref="P685" si="2084">SUM(P682:Q684)</f>
        <v>0</v>
      </c>
      <c r="Q685" s="601"/>
      <c r="R685" s="602">
        <f t="shared" ref="R685" si="2085">SUM(R682:S684)</f>
        <v>0</v>
      </c>
      <c r="S685" s="593"/>
      <c r="T685" s="585">
        <f t="shared" ref="T685" si="2086">SUM(T682:U684)</f>
        <v>0</v>
      </c>
      <c r="U685" s="593"/>
      <c r="V685" s="210">
        <f t="shared" ref="V685" si="2087">IF(AND(F685&gt;=$G$8,H685&gt;=$I$8,L685&gt;=$M$8,P685&gt;=$Q$8,R685&gt;=$S$8,T685&gt;=$U$8),SUM(F685:U685),0)</f>
        <v>0</v>
      </c>
      <c r="W685" s="264"/>
      <c r="X685" s="97"/>
      <c r="Y685" s="597"/>
      <c r="Z685" s="91" t="str">
        <f t="shared" ref="Z685" si="2088">LOOKUP(V685,$AL$6:$AM$10)</f>
        <v>ضعيف</v>
      </c>
      <c r="AA685" s="658"/>
      <c r="AB685" s="72"/>
      <c r="AC685" s="655"/>
      <c r="AN685" s="607"/>
      <c r="AO685" s="607"/>
      <c r="AP685" s="613"/>
      <c r="AQ685" s="612"/>
      <c r="AR685" s="611"/>
      <c r="AS685" s="612"/>
    </row>
    <row r="686" spans="1:45" ht="15" customHeight="1" thickBot="1" x14ac:dyDescent="0.3">
      <c r="A686" s="632">
        <v>149</v>
      </c>
      <c r="B686" s="629">
        <f>VLOOKUP(A686,مسلسل,2,0)</f>
        <v>0</v>
      </c>
      <c r="C686" s="621" t="str">
        <f>IFERROR(VLOOKUP(B686,اسماء,2,0),"")</f>
        <v/>
      </c>
      <c r="D686" s="624" t="str">
        <f>IFERROR(VLOOKUP($B686,اسماء,3,0),"")</f>
        <v/>
      </c>
      <c r="E686" s="132" t="s">
        <v>30</v>
      </c>
      <c r="F686" s="627">
        <f>IFERROR(VLOOKUP($B686,اسماء,5,0),0)</f>
        <v>0</v>
      </c>
      <c r="G686" s="606"/>
      <c r="H686" s="628">
        <f>IFERROR(VLOOKUP($B686,اسماء,6,0),0)</f>
        <v>0</v>
      </c>
      <c r="I686" s="605"/>
      <c r="J686" s="587">
        <f>IFERROR(VLOOKUP($B686,اسماء,7,0),0)</f>
        <v>0</v>
      </c>
      <c r="K686" s="591"/>
      <c r="L686" s="587">
        <f>IFERROR(VLOOKUP($B686,اسماء,8,0),0)</f>
        <v>0</v>
      </c>
      <c r="M686" s="588"/>
      <c r="N686" s="587">
        <f>IFERROR(VLOOKUP($B686,اسماء,9,0),0)</f>
        <v>0</v>
      </c>
      <c r="O686" s="605"/>
      <c r="P686" s="587">
        <f>IFERROR(VLOOKUP($B686,اسماء,10,0),0)</f>
        <v>0</v>
      </c>
      <c r="Q686" s="605"/>
      <c r="R686" s="606">
        <f>IFERROR(VLOOKUP($B686,اسماء,11,0),0)</f>
        <v>0</v>
      </c>
      <c r="S686" s="591"/>
      <c r="T686" s="587">
        <f>IFERROR(VLOOKUP($B686,اسماء,12,0),0)</f>
        <v>0</v>
      </c>
      <c r="U686" s="591"/>
      <c r="V686" s="263">
        <f t="shared" ref="V686:V688" si="2089">SUM(F686:U686)</f>
        <v>0</v>
      </c>
      <c r="W686" s="373">
        <f>IFERROR(VLOOKUP($B686,اسماء,14,0),0)</f>
        <v>0</v>
      </c>
      <c r="X686" s="373">
        <f>IFERROR(VLOOKUP($B686,اسماء,15,0),0)</f>
        <v>0</v>
      </c>
      <c r="Y686" s="595" t="str">
        <f t="shared" ref="Y686" si="2090">IF(AC686="غائب","راسب",IF(AND(F689&gt;=$G$8,H689&gt;=$I$8,J689&gt;=$K$8,L689&gt;=$M$8,N689&gt;=$O$8,P689&gt;=$Q$8,R689&gt;=$S$8,T689&gt;=$U$8),"ناجح","له دور ثان"))</f>
        <v>له دور ثان</v>
      </c>
      <c r="Z686" s="21" t="str">
        <f t="shared" ref="Z686:Z687" si="2091">LOOKUP(V686,$AF$6:$AG$10)</f>
        <v>ضعيف</v>
      </c>
      <c r="AA686" s="656">
        <f t="shared" ref="AA686" si="2092">V689/$AF$3</f>
        <v>0</v>
      </c>
      <c r="AB686" s="10"/>
      <c r="AC686" s="653" t="str">
        <f>IFERROR(VLOOKUP($B686,اسماء,54,0),"")</f>
        <v/>
      </c>
      <c r="AN686" s="607" t="str">
        <f t="shared" ref="AN686" si="2093">IF(V689=0,"",V689/1+ROW()*0.00001)</f>
        <v/>
      </c>
      <c r="AO686" s="607">
        <f>B686</f>
        <v>0</v>
      </c>
      <c r="AP686" s="613"/>
      <c r="AQ686" s="612">
        <v>149</v>
      </c>
      <c r="AR686" s="611" t="str">
        <f>IFERROR(LARGE($AN$10:$AN$1006,AQ686),"")</f>
        <v/>
      </c>
      <c r="AS686" s="612" t="str">
        <f>VLOOKUP(AR686,$AN$10:$AO$1116,2,0)</f>
        <v>أحمد نورالدين أحمد الذيب</v>
      </c>
    </row>
    <row r="687" spans="1:45" ht="15" customHeight="1" thickBot="1" x14ac:dyDescent="0.3">
      <c r="A687" s="633"/>
      <c r="B687" s="630"/>
      <c r="C687" s="622"/>
      <c r="D687" s="625"/>
      <c r="E687" s="133" t="s">
        <v>31</v>
      </c>
      <c r="F687" s="589">
        <f>IFERROR(VLOOKUP($B686,اسماء,18,0),0)</f>
        <v>0</v>
      </c>
      <c r="G687" s="592"/>
      <c r="H687" s="608">
        <f>IFERROR(VLOOKUP($B686,اسماء,19,0),0)</f>
        <v>0</v>
      </c>
      <c r="I687" s="609"/>
      <c r="J687" s="589">
        <f>IFERROR(VLOOKUP($B686,اسماء,20,0),0)</f>
        <v>0</v>
      </c>
      <c r="K687" s="592"/>
      <c r="L687" s="589">
        <f>IFERROR(VLOOKUP($B686,اسماء,21,0),0)</f>
        <v>0</v>
      </c>
      <c r="M687" s="590"/>
      <c r="N687" s="589">
        <f>IFERROR(VLOOKUP($B686,اسماء,22,0),0)</f>
        <v>0</v>
      </c>
      <c r="O687" s="590"/>
      <c r="P687" s="589">
        <f>IFERROR(VLOOKUP($B686,اسماء,23,0),0)</f>
        <v>0</v>
      </c>
      <c r="Q687" s="609"/>
      <c r="R687" s="603">
        <f>IFERROR(VLOOKUP($B686,اسماء,24,0),0)</f>
        <v>0</v>
      </c>
      <c r="S687" s="592"/>
      <c r="T687" s="589">
        <f>IFERROR(VLOOKUP($B686,اسماء,25,0),0)</f>
        <v>0</v>
      </c>
      <c r="U687" s="592"/>
      <c r="V687" s="263">
        <f t="shared" si="2089"/>
        <v>0</v>
      </c>
      <c r="W687" s="373">
        <f>IFERROR(VLOOKUP($B686,اسماء,27,0),0)</f>
        <v>0</v>
      </c>
      <c r="X687" s="373">
        <f>IFERROR(VLOOKUP($B686,اسماء,28,0),0)</f>
        <v>0</v>
      </c>
      <c r="Y687" s="596"/>
      <c r="Z687" s="22" t="str">
        <f t="shared" si="2091"/>
        <v>ضعيف</v>
      </c>
      <c r="AA687" s="657"/>
      <c r="AB687" s="72"/>
      <c r="AC687" s="654"/>
      <c r="AN687" s="607"/>
      <c r="AO687" s="607"/>
      <c r="AP687" s="613"/>
      <c r="AQ687" s="612"/>
      <c r="AR687" s="611"/>
      <c r="AS687" s="612"/>
    </row>
    <row r="688" spans="1:45" ht="15" customHeight="1" x14ac:dyDescent="0.25">
      <c r="A688" s="633"/>
      <c r="B688" s="630"/>
      <c r="C688" s="622"/>
      <c r="D688" s="625"/>
      <c r="E688" s="133" t="s">
        <v>32</v>
      </c>
      <c r="F688" s="589">
        <f>IFERROR(VLOOKUP($B686,اسماء,31,0),0)</f>
        <v>0</v>
      </c>
      <c r="G688" s="592"/>
      <c r="H688" s="608">
        <f>IFERROR(VLOOKUP($B686,اسماء,32,0),0)</f>
        <v>0</v>
      </c>
      <c r="I688" s="609"/>
      <c r="J688" s="589">
        <f>IFERROR(VLOOKUP($B686,اسماء,33,0),0)</f>
        <v>0</v>
      </c>
      <c r="K688" s="592"/>
      <c r="L688" s="589">
        <f>IFERROR(VLOOKUP($B686,اسماء,34,0),0)</f>
        <v>0</v>
      </c>
      <c r="M688" s="590"/>
      <c r="N688" s="589">
        <f>IFERROR(VLOOKUP($B686,اسماء,35,0),0)</f>
        <v>0</v>
      </c>
      <c r="O688" s="590"/>
      <c r="P688" s="589">
        <f>IFERROR(VLOOKUP($B686,اسماء,36,0),0)</f>
        <v>0</v>
      </c>
      <c r="Q688" s="609"/>
      <c r="R688" s="603">
        <f>IFERROR(VLOOKUP($B686,اسماء,37,0),0)</f>
        <v>0</v>
      </c>
      <c r="S688" s="592"/>
      <c r="T688" s="589">
        <f>IFERROR(VLOOKUP($B686,اسماء,38,0),0)</f>
        <v>0</v>
      </c>
      <c r="U688" s="592"/>
      <c r="V688" s="263">
        <f t="shared" si="2089"/>
        <v>0</v>
      </c>
      <c r="W688" s="373">
        <f>IFERROR(VLOOKUP($B686,اسماء,40,0),0)</f>
        <v>0</v>
      </c>
      <c r="X688" s="373">
        <f>IFERROR(VLOOKUP($B686,اسماء,41,0),0)</f>
        <v>0</v>
      </c>
      <c r="Y688" s="596"/>
      <c r="Z688" s="22" t="str">
        <f t="shared" ref="Z688" si="2094">LOOKUP(V688,$AI$6:$AJ$10)</f>
        <v>ضعيف</v>
      </c>
      <c r="AA688" s="657"/>
      <c r="AB688" s="72"/>
      <c r="AC688" s="654"/>
      <c r="AN688" s="607"/>
      <c r="AO688" s="607"/>
      <c r="AP688" s="613"/>
      <c r="AQ688" s="612"/>
      <c r="AR688" s="611"/>
      <c r="AS688" s="612"/>
    </row>
    <row r="689" spans="1:45" ht="15" customHeight="1" thickBot="1" x14ac:dyDescent="0.3">
      <c r="A689" s="634"/>
      <c r="B689" s="631"/>
      <c r="C689" s="623"/>
      <c r="D689" s="626"/>
      <c r="E689" s="127" t="s">
        <v>33</v>
      </c>
      <c r="F689" s="585">
        <f t="shared" ref="F689" si="2095">SUM(F686:G688)</f>
        <v>0</v>
      </c>
      <c r="G689" s="593"/>
      <c r="H689" s="604">
        <f t="shared" ref="H689" si="2096">SUM(H686:I688)</f>
        <v>0</v>
      </c>
      <c r="I689" s="601"/>
      <c r="J689" s="585">
        <f t="shared" ref="J689" si="2097">SUM(J686:K688)</f>
        <v>0</v>
      </c>
      <c r="K689" s="593"/>
      <c r="L689" s="585">
        <f t="shared" ref="L689" si="2098">SUM(L686:M688)</f>
        <v>0</v>
      </c>
      <c r="M689" s="586"/>
      <c r="N689" s="585">
        <f t="shared" ref="N689" si="2099">SUM(N686:O688)</f>
        <v>0</v>
      </c>
      <c r="O689" s="586"/>
      <c r="P689" s="585">
        <f t="shared" ref="P689" si="2100">SUM(P686:Q688)</f>
        <v>0</v>
      </c>
      <c r="Q689" s="601"/>
      <c r="R689" s="602">
        <f t="shared" ref="R689" si="2101">SUM(R686:S688)</f>
        <v>0</v>
      </c>
      <c r="S689" s="593"/>
      <c r="T689" s="585">
        <f t="shared" ref="T689" si="2102">SUM(T686:U688)</f>
        <v>0</v>
      </c>
      <c r="U689" s="593"/>
      <c r="V689" s="210">
        <f t="shared" ref="V689" si="2103">IF(AND(F689&gt;=$G$8,H689&gt;=$I$8,L689&gt;=$M$8,P689&gt;=$Q$8,R689&gt;=$S$8,T689&gt;=$U$8),SUM(F689:U689),0)</f>
        <v>0</v>
      </c>
      <c r="W689" s="264"/>
      <c r="X689" s="97"/>
      <c r="Y689" s="597"/>
      <c r="Z689" s="91" t="str">
        <f t="shared" ref="Z689" si="2104">LOOKUP(V689,$AL$6:$AM$10)</f>
        <v>ضعيف</v>
      </c>
      <c r="AA689" s="658"/>
      <c r="AB689" s="10"/>
      <c r="AC689" s="655"/>
      <c r="AN689" s="607"/>
      <c r="AO689" s="607"/>
      <c r="AP689" s="613"/>
      <c r="AQ689" s="612"/>
      <c r="AR689" s="611"/>
      <c r="AS689" s="612"/>
    </row>
    <row r="690" spans="1:45" ht="15" customHeight="1" thickBot="1" x14ac:dyDescent="0.3">
      <c r="A690" s="632">
        <v>150</v>
      </c>
      <c r="B690" s="629">
        <f>VLOOKUP(A690,مسلسل,2,0)</f>
        <v>0</v>
      </c>
      <c r="C690" s="621" t="str">
        <f>IFERROR(VLOOKUP(B690,اسماء,2,0),"")</f>
        <v/>
      </c>
      <c r="D690" s="624" t="str">
        <f>IFERROR(VLOOKUP($B690,اسماء,3,0),"")</f>
        <v/>
      </c>
      <c r="E690" s="132" t="s">
        <v>30</v>
      </c>
      <c r="F690" s="627">
        <f>IFERROR(VLOOKUP($B690,اسماء,5,0),0)</f>
        <v>0</v>
      </c>
      <c r="G690" s="606"/>
      <c r="H690" s="628">
        <f>IFERROR(VLOOKUP($B690,اسماء,6,0),0)</f>
        <v>0</v>
      </c>
      <c r="I690" s="605"/>
      <c r="J690" s="587">
        <f>IFERROR(VLOOKUP($B690,اسماء,7,0),0)</f>
        <v>0</v>
      </c>
      <c r="K690" s="591"/>
      <c r="L690" s="587">
        <f>IFERROR(VLOOKUP($B690,اسماء,8,0),0)</f>
        <v>0</v>
      </c>
      <c r="M690" s="588"/>
      <c r="N690" s="587">
        <f>IFERROR(VLOOKUP($B690,اسماء,9,0),0)</f>
        <v>0</v>
      </c>
      <c r="O690" s="605"/>
      <c r="P690" s="587">
        <f>IFERROR(VLOOKUP($B690,اسماء,10,0),0)</f>
        <v>0</v>
      </c>
      <c r="Q690" s="605"/>
      <c r="R690" s="606">
        <f>IFERROR(VLOOKUP($B690,اسماء,11,0),0)</f>
        <v>0</v>
      </c>
      <c r="S690" s="591"/>
      <c r="T690" s="587">
        <f>IFERROR(VLOOKUP($B690,اسماء,12,0),0)</f>
        <v>0</v>
      </c>
      <c r="U690" s="591"/>
      <c r="V690" s="263">
        <f t="shared" ref="V690:V692" si="2105">SUM(F690:U690)</f>
        <v>0</v>
      </c>
      <c r="W690" s="373">
        <f>IFERROR(VLOOKUP($B690,اسماء,14,0),0)</f>
        <v>0</v>
      </c>
      <c r="X690" s="373">
        <f>IFERROR(VLOOKUP($B690,اسماء,15,0),0)</f>
        <v>0</v>
      </c>
      <c r="Y690" s="595" t="str">
        <f t="shared" ref="Y690" si="2106">IF(AC690="غائب","راسب",IF(AND(F693&gt;=$G$8,H693&gt;=$I$8,J693&gt;=$K$8,L693&gt;=$M$8,N693&gt;=$O$8,P693&gt;=$Q$8,R693&gt;=$S$8,T693&gt;=$U$8),"ناجح","له دور ثان"))</f>
        <v>له دور ثان</v>
      </c>
      <c r="Z690" s="21" t="str">
        <f t="shared" ref="Z690:Z691" si="2107">LOOKUP(V690,$AF$6:$AG$10)</f>
        <v>ضعيف</v>
      </c>
      <c r="AA690" s="656">
        <f t="shared" ref="AA690" si="2108">V693/$AF$3</f>
        <v>0</v>
      </c>
      <c r="AB690" s="72"/>
      <c r="AC690" s="653" t="str">
        <f>IFERROR(VLOOKUP($B690,اسماء,54,0),"")</f>
        <v/>
      </c>
      <c r="AN690" s="607" t="str">
        <f t="shared" ref="AN690" si="2109">IF(V693=0,"",V693/1+ROW()*0.00001)</f>
        <v/>
      </c>
      <c r="AO690" s="607">
        <f>B690</f>
        <v>0</v>
      </c>
      <c r="AP690" s="613"/>
      <c r="AQ690" s="612">
        <v>150</v>
      </c>
      <c r="AR690" s="611" t="str">
        <f>IFERROR(LARGE($AN$10:$AN$1006,AQ690),"")</f>
        <v/>
      </c>
      <c r="AS690" s="612" t="str">
        <f>VLOOKUP(AR690,$AN$10:$AO$1116,2,0)</f>
        <v>أحمد نورالدين أحمد الذيب</v>
      </c>
    </row>
    <row r="691" spans="1:45" ht="15" customHeight="1" thickBot="1" x14ac:dyDescent="0.3">
      <c r="A691" s="633"/>
      <c r="B691" s="630"/>
      <c r="C691" s="622"/>
      <c r="D691" s="625"/>
      <c r="E691" s="133" t="s">
        <v>31</v>
      </c>
      <c r="F691" s="589">
        <f>IFERROR(VLOOKUP($B690,اسماء,18,0),0)</f>
        <v>0</v>
      </c>
      <c r="G691" s="592"/>
      <c r="H691" s="608">
        <f>IFERROR(VLOOKUP($B690,اسماء,19,0),0)</f>
        <v>0</v>
      </c>
      <c r="I691" s="609"/>
      <c r="J691" s="589">
        <f>IFERROR(VLOOKUP($B690,اسماء,20,0),0)</f>
        <v>0</v>
      </c>
      <c r="K691" s="592"/>
      <c r="L691" s="589">
        <f>IFERROR(VLOOKUP($B690,اسماء,21,0),0)</f>
        <v>0</v>
      </c>
      <c r="M691" s="590"/>
      <c r="N691" s="589">
        <f>IFERROR(VLOOKUP($B690,اسماء,22,0),0)</f>
        <v>0</v>
      </c>
      <c r="O691" s="590"/>
      <c r="P691" s="589">
        <f>IFERROR(VLOOKUP($B690,اسماء,23,0),0)</f>
        <v>0</v>
      </c>
      <c r="Q691" s="609"/>
      <c r="R691" s="603">
        <f>IFERROR(VLOOKUP($B690,اسماء,24,0),0)</f>
        <v>0</v>
      </c>
      <c r="S691" s="592"/>
      <c r="T691" s="589">
        <f>IFERROR(VLOOKUP($B690,اسماء,25,0),0)</f>
        <v>0</v>
      </c>
      <c r="U691" s="592"/>
      <c r="V691" s="263">
        <f t="shared" si="2105"/>
        <v>0</v>
      </c>
      <c r="W691" s="373">
        <f>IFERROR(VLOOKUP($B690,اسماء,27,0),0)</f>
        <v>0</v>
      </c>
      <c r="X691" s="373">
        <f>IFERROR(VLOOKUP($B690,اسماء,28,0),0)</f>
        <v>0</v>
      </c>
      <c r="Y691" s="596"/>
      <c r="Z691" s="22" t="str">
        <f t="shared" si="2107"/>
        <v>ضعيف</v>
      </c>
      <c r="AA691" s="657"/>
      <c r="AB691" s="72"/>
      <c r="AC691" s="654"/>
      <c r="AN691" s="607"/>
      <c r="AO691" s="607"/>
      <c r="AP691" s="613"/>
      <c r="AQ691" s="612"/>
      <c r="AR691" s="611"/>
      <c r="AS691" s="612"/>
    </row>
    <row r="692" spans="1:45" ht="15" customHeight="1" x14ac:dyDescent="0.25">
      <c r="A692" s="633"/>
      <c r="B692" s="630"/>
      <c r="C692" s="622"/>
      <c r="D692" s="625"/>
      <c r="E692" s="133" t="s">
        <v>32</v>
      </c>
      <c r="F692" s="589">
        <f>IFERROR(VLOOKUP($B690,اسماء,31,0),0)</f>
        <v>0</v>
      </c>
      <c r="G692" s="592"/>
      <c r="H692" s="608">
        <f>IFERROR(VLOOKUP($B690,اسماء,32,0),0)</f>
        <v>0</v>
      </c>
      <c r="I692" s="609"/>
      <c r="J692" s="589">
        <f>IFERROR(VLOOKUP($B690,اسماء,33,0),0)</f>
        <v>0</v>
      </c>
      <c r="K692" s="592"/>
      <c r="L692" s="589">
        <f>IFERROR(VLOOKUP($B690,اسماء,34,0),0)</f>
        <v>0</v>
      </c>
      <c r="M692" s="590"/>
      <c r="N692" s="589">
        <f>IFERROR(VLOOKUP($B690,اسماء,35,0),0)</f>
        <v>0</v>
      </c>
      <c r="O692" s="590"/>
      <c r="P692" s="589">
        <f>IFERROR(VLOOKUP($B690,اسماء,36,0),0)</f>
        <v>0</v>
      </c>
      <c r="Q692" s="609"/>
      <c r="R692" s="603">
        <f>IFERROR(VLOOKUP($B690,اسماء,37,0),0)</f>
        <v>0</v>
      </c>
      <c r="S692" s="592"/>
      <c r="T692" s="589">
        <f>IFERROR(VLOOKUP($B690,اسماء,38,0),0)</f>
        <v>0</v>
      </c>
      <c r="U692" s="592"/>
      <c r="V692" s="263">
        <f t="shared" si="2105"/>
        <v>0</v>
      </c>
      <c r="W692" s="373">
        <f>IFERROR(VLOOKUP($B690,اسماء,40,0),0)</f>
        <v>0</v>
      </c>
      <c r="X692" s="373">
        <f>IFERROR(VLOOKUP($B690,اسماء,41,0),0)</f>
        <v>0</v>
      </c>
      <c r="Y692" s="596"/>
      <c r="Z692" s="22" t="str">
        <f t="shared" ref="Z692" si="2110">LOOKUP(V692,$AI$6:$AJ$10)</f>
        <v>ضعيف</v>
      </c>
      <c r="AA692" s="657"/>
      <c r="AB692" s="10"/>
      <c r="AC692" s="654"/>
      <c r="AN692" s="607"/>
      <c r="AO692" s="607"/>
      <c r="AP692" s="613"/>
      <c r="AQ692" s="612"/>
      <c r="AR692" s="611"/>
      <c r="AS692" s="612"/>
    </row>
    <row r="693" spans="1:45" ht="15" customHeight="1" thickBot="1" x14ac:dyDescent="0.3">
      <c r="A693" s="634"/>
      <c r="B693" s="631"/>
      <c r="C693" s="623"/>
      <c r="D693" s="626"/>
      <c r="E693" s="127" t="s">
        <v>33</v>
      </c>
      <c r="F693" s="585">
        <f t="shared" ref="F693" si="2111">SUM(F690:G692)</f>
        <v>0</v>
      </c>
      <c r="G693" s="593"/>
      <c r="H693" s="604">
        <f t="shared" ref="H693" si="2112">SUM(H690:I692)</f>
        <v>0</v>
      </c>
      <c r="I693" s="601"/>
      <c r="J693" s="585">
        <f t="shared" ref="J693" si="2113">SUM(J690:K692)</f>
        <v>0</v>
      </c>
      <c r="K693" s="593"/>
      <c r="L693" s="585">
        <f t="shared" ref="L693" si="2114">SUM(L690:M692)</f>
        <v>0</v>
      </c>
      <c r="M693" s="586"/>
      <c r="N693" s="585">
        <f t="shared" ref="N693" si="2115">SUM(N690:O692)</f>
        <v>0</v>
      </c>
      <c r="O693" s="586"/>
      <c r="P693" s="585">
        <f t="shared" ref="P693" si="2116">SUM(P690:Q692)</f>
        <v>0</v>
      </c>
      <c r="Q693" s="601"/>
      <c r="R693" s="602">
        <f t="shared" ref="R693" si="2117">SUM(R690:S692)</f>
        <v>0</v>
      </c>
      <c r="S693" s="593"/>
      <c r="T693" s="585">
        <f t="shared" ref="T693" si="2118">SUM(T690:U692)</f>
        <v>0</v>
      </c>
      <c r="U693" s="593"/>
      <c r="V693" s="210">
        <f t="shared" ref="V693" si="2119">IF(AND(F693&gt;=$G$8,H693&gt;=$I$8,L693&gt;=$M$8,P693&gt;=$Q$8,R693&gt;=$S$8,T693&gt;=$U$8),SUM(F693:U693),0)</f>
        <v>0</v>
      </c>
      <c r="W693" s="264"/>
      <c r="X693" s="97"/>
      <c r="Y693" s="597"/>
      <c r="Z693" s="91" t="str">
        <f t="shared" ref="Z693" si="2120">LOOKUP(V693,$AL$6:$AM$10)</f>
        <v>ضعيف</v>
      </c>
      <c r="AA693" s="658"/>
      <c r="AB693" s="72"/>
      <c r="AC693" s="655"/>
      <c r="AN693" s="607"/>
      <c r="AO693" s="607"/>
      <c r="AP693" s="613"/>
      <c r="AQ693" s="612"/>
      <c r="AR693" s="611"/>
      <c r="AS693" s="612"/>
    </row>
    <row r="694" spans="1:45" ht="15" customHeight="1" thickBot="1" x14ac:dyDescent="0.3">
      <c r="F694" s="75"/>
      <c r="G694" s="76"/>
      <c r="H694" s="75"/>
      <c r="I694" s="76"/>
      <c r="J694" s="75"/>
      <c r="K694" s="76"/>
      <c r="L694" s="75"/>
      <c r="M694" s="76"/>
      <c r="N694" s="76"/>
      <c r="O694" s="76"/>
      <c r="P694" s="75"/>
      <c r="Q694" s="76"/>
      <c r="R694" s="75"/>
      <c r="S694" s="76"/>
      <c r="T694" s="75"/>
      <c r="U694" s="76"/>
      <c r="V694" s="74"/>
      <c r="W694" s="77"/>
      <c r="X694" s="74"/>
      <c r="Y694" s="362"/>
      <c r="Z694" s="74"/>
      <c r="AA694" s="267"/>
      <c r="AB694" s="72"/>
      <c r="AK694" s="78"/>
    </row>
    <row r="695" spans="1:45" customFormat="1" ht="15" customHeight="1" x14ac:dyDescent="0.3">
      <c r="A695" s="617" t="s">
        <v>9</v>
      </c>
      <c r="B695" s="618"/>
      <c r="C695" s="619"/>
      <c r="D695" s="288" t="s">
        <v>11</v>
      </c>
      <c r="E695" s="600" t="s">
        <v>97</v>
      </c>
      <c r="F695" s="598"/>
      <c r="G695" s="598"/>
      <c r="H695" s="598"/>
      <c r="I695" s="598"/>
      <c r="J695" s="9"/>
      <c r="K695" s="9"/>
      <c r="L695" s="9"/>
      <c r="M695" s="9"/>
      <c r="N695" s="9"/>
      <c r="O695" s="9"/>
      <c r="P695" s="9"/>
      <c r="Q695" s="9"/>
      <c r="R695" s="9"/>
      <c r="S695" s="598" t="s">
        <v>156</v>
      </c>
      <c r="T695" s="598"/>
      <c r="U695" s="598"/>
      <c r="V695" s="598"/>
      <c r="W695" s="598"/>
      <c r="X695" s="598"/>
      <c r="Y695" s="598"/>
      <c r="Z695" s="1"/>
      <c r="AA695" s="268"/>
      <c r="AC695" s="79"/>
      <c r="AD695" s="80"/>
      <c r="AE695" s="80"/>
      <c r="AF695" s="80"/>
      <c r="AG695" s="80"/>
    </row>
    <row r="696" spans="1:45" customFormat="1" ht="15" customHeight="1" x14ac:dyDescent="0.25">
      <c r="A696" s="81" t="s">
        <v>8</v>
      </c>
      <c r="B696" s="610">
        <f>ادخال1!$BP$3</f>
        <v>0</v>
      </c>
      <c r="C696" s="620"/>
      <c r="D696" s="289"/>
      <c r="E696" s="9" t="s">
        <v>9</v>
      </c>
      <c r="F696" s="599" t="str">
        <f>ادخال1!$BP$5</f>
        <v>د.عبدالرحمن خليفة العريبي</v>
      </c>
      <c r="G696" s="599"/>
      <c r="H696" s="599"/>
      <c r="I696" s="599"/>
      <c r="J696" s="599"/>
      <c r="K696" s="599"/>
      <c r="L696" s="599"/>
      <c r="M696" s="599"/>
      <c r="N696" s="599"/>
      <c r="O696" s="599"/>
      <c r="P696" s="599"/>
      <c r="Q696" s="599"/>
      <c r="R696" s="9"/>
      <c r="S696" s="599" t="str">
        <f>ادخال1!$BP$6</f>
        <v>تاجوراء</v>
      </c>
      <c r="T696" s="599"/>
      <c r="U696" s="599"/>
      <c r="V696" s="599"/>
      <c r="W696" s="599"/>
      <c r="X696" s="599"/>
      <c r="Y696" s="599"/>
      <c r="Z696" s="599"/>
      <c r="AA696" s="67"/>
      <c r="AB696" s="67"/>
      <c r="AC696" s="79"/>
      <c r="AD696" s="79"/>
      <c r="AE696" s="79"/>
      <c r="AF696" s="79"/>
    </row>
    <row r="697" spans="1:45" customFormat="1" ht="15" customHeight="1" thickBot="1" x14ac:dyDescent="0.3">
      <c r="A697" s="82" t="s">
        <v>98</v>
      </c>
      <c r="B697" s="615">
        <f>ادخال1!$BP$4</f>
        <v>0</v>
      </c>
      <c r="C697" s="616"/>
      <c r="D697" s="290"/>
      <c r="E697" s="9" t="s">
        <v>11</v>
      </c>
      <c r="F697" s="607"/>
      <c r="G697" s="607"/>
      <c r="H697" s="607"/>
      <c r="I697" s="607"/>
      <c r="J697" s="607"/>
      <c r="K697" s="607"/>
      <c r="L697" s="607"/>
      <c r="M697" s="607"/>
      <c r="N697" s="607"/>
      <c r="O697" s="607"/>
      <c r="P697" s="607"/>
      <c r="Q697" s="607"/>
      <c r="R697" s="9"/>
      <c r="S697" s="9" t="s">
        <v>11</v>
      </c>
      <c r="T697" s="9"/>
      <c r="U697" s="9" t="s">
        <v>11</v>
      </c>
      <c r="V697" s="1"/>
      <c r="W697" s="1"/>
      <c r="X697" s="1"/>
      <c r="Y697" s="363"/>
      <c r="Z697" s="1"/>
      <c r="AA697" s="268"/>
      <c r="AC697" s="79"/>
      <c r="AD697" s="79"/>
      <c r="AE697" s="79"/>
      <c r="AF697" s="79"/>
    </row>
    <row r="698" spans="1:45" customFormat="1" ht="15" customHeight="1" x14ac:dyDescent="0.25">
      <c r="A698" s="598" t="s">
        <v>99</v>
      </c>
      <c r="B698" s="598"/>
      <c r="C698" s="598"/>
      <c r="D698" s="598"/>
      <c r="E698" s="598" t="s">
        <v>100</v>
      </c>
      <c r="F698" s="598"/>
      <c r="G698" s="598"/>
      <c r="H698" s="598"/>
      <c r="I698" s="598"/>
      <c r="J698" s="598"/>
      <c r="K698" s="598"/>
      <c r="L698" s="598"/>
      <c r="M698" s="598"/>
      <c r="N698" s="598"/>
      <c r="O698" s="598"/>
      <c r="P698" s="598"/>
      <c r="Q698" s="598"/>
      <c r="R698" s="598"/>
      <c r="S698" s="598"/>
      <c r="T698" s="9"/>
      <c r="U698" s="9"/>
      <c r="V698" s="9"/>
      <c r="W698" s="594">
        <f ca="1">TODAY()</f>
        <v>46035</v>
      </c>
      <c r="X698" s="594"/>
      <c r="Y698" s="594"/>
      <c r="Z698" s="594"/>
      <c r="AA698" s="268"/>
    </row>
    <row r="699" spans="1:45" customFormat="1" ht="15" customHeight="1" thickBot="1" x14ac:dyDescent="0.3">
      <c r="A699" s="9"/>
      <c r="B699" s="598" t="s">
        <v>101</v>
      </c>
      <c r="C699" s="598"/>
      <c r="D699" s="598"/>
      <c r="E699" s="598" t="s">
        <v>102</v>
      </c>
      <c r="F699" s="598"/>
      <c r="G699" s="598"/>
      <c r="H699" s="598"/>
      <c r="I699" s="598"/>
      <c r="J699" s="598"/>
      <c r="K699" s="598"/>
      <c r="L699" s="598"/>
      <c r="M699" s="598"/>
      <c r="N699" s="598"/>
      <c r="O699" s="598"/>
      <c r="P699" s="598"/>
      <c r="Q699" s="598"/>
      <c r="R699" s="598"/>
      <c r="S699" s="598"/>
      <c r="T699" s="9"/>
      <c r="U699" s="9"/>
      <c r="V699" s="1"/>
      <c r="W699" s="1"/>
      <c r="X699" s="1"/>
      <c r="Y699" s="363"/>
      <c r="Z699" s="1"/>
      <c r="AA699" s="268"/>
    </row>
    <row r="700" spans="1:45" ht="15" customHeight="1" thickBot="1" x14ac:dyDescent="0.3">
      <c r="A700" s="632">
        <v>151</v>
      </c>
      <c r="B700" s="629">
        <f>VLOOKUP(A700,مسلسل,2,0)</f>
        <v>0</v>
      </c>
      <c r="C700" s="621" t="str">
        <f>IFERROR(VLOOKUP(B700,اسماء,2,0),"")</f>
        <v/>
      </c>
      <c r="D700" s="624" t="str">
        <f>IFERROR(VLOOKUP($B700,اسماء,3,0),"")</f>
        <v/>
      </c>
      <c r="E700" s="132" t="s">
        <v>30</v>
      </c>
      <c r="F700" s="627">
        <f>IFERROR(VLOOKUP($B700,اسماء,5,0),0)</f>
        <v>0</v>
      </c>
      <c r="G700" s="606"/>
      <c r="H700" s="628">
        <f>IFERROR(VLOOKUP($B700,اسماء,6,0),0)</f>
        <v>0</v>
      </c>
      <c r="I700" s="605"/>
      <c r="J700" s="587">
        <f>IFERROR(VLOOKUP($B700,اسماء,7,0),0)</f>
        <v>0</v>
      </c>
      <c r="K700" s="591"/>
      <c r="L700" s="587">
        <f>IFERROR(VLOOKUP($B700,اسماء,8,0),0)</f>
        <v>0</v>
      </c>
      <c r="M700" s="588"/>
      <c r="N700" s="587">
        <f>IFERROR(VLOOKUP($B700,اسماء,9,0),0)</f>
        <v>0</v>
      </c>
      <c r="O700" s="605"/>
      <c r="P700" s="587">
        <f>IFERROR(VLOOKUP($B700,اسماء,10,0),0)</f>
        <v>0</v>
      </c>
      <c r="Q700" s="605"/>
      <c r="R700" s="606">
        <f>IFERROR(VLOOKUP($B700,اسماء,11,0),0)</f>
        <v>0</v>
      </c>
      <c r="S700" s="591"/>
      <c r="T700" s="587">
        <f>IFERROR(VLOOKUP($B700,اسماء,12,0),0)</f>
        <v>0</v>
      </c>
      <c r="U700" s="591"/>
      <c r="V700" s="263">
        <f t="shared" ref="V700:V702" si="2121">SUM(F700:U700)</f>
        <v>0</v>
      </c>
      <c r="W700" s="373">
        <f>IFERROR(VLOOKUP($B700,اسماء,14,0),0)</f>
        <v>0</v>
      </c>
      <c r="X700" s="373">
        <f>IFERROR(VLOOKUP($B700,اسماء,15,0),0)</f>
        <v>0</v>
      </c>
      <c r="Y700" s="595" t="str">
        <f>IF(AC700="غائب","راسب",IF(AND(F703&gt;=$G$8,H703&gt;=$I$8,J703&gt;=$K$8,L703&gt;=$M$8,N703&gt;=$O$8,P703&gt;=$Q$8,R703&gt;=$S$8,T703&gt;=$U$8),"ناجح","له دور ثان"))</f>
        <v>له دور ثان</v>
      </c>
      <c r="Z700" s="21" t="str">
        <f>LOOKUP(V700,$AF$6:$AG$10)</f>
        <v>ضعيف</v>
      </c>
      <c r="AA700" s="656">
        <f>V703/$AF$3</f>
        <v>0</v>
      </c>
      <c r="AB700" s="72"/>
      <c r="AC700" s="653" t="str">
        <f>IFERROR(VLOOKUP($B700,اسماء,54,0),"")</f>
        <v/>
      </c>
      <c r="AN700" s="610" t="str">
        <f>IF(V703=0,"",V703/1+ROW()*0.00001)</f>
        <v/>
      </c>
      <c r="AO700" s="610">
        <f>B700</f>
        <v>0</v>
      </c>
      <c r="AP700" s="613"/>
      <c r="AQ700" s="612">
        <v>151</v>
      </c>
      <c r="AR700" s="611" t="str">
        <f>IFERROR(LARGE($AN$10:$AN$1006,AQ700),"")</f>
        <v/>
      </c>
      <c r="AS700" s="612" t="str">
        <f>VLOOKUP(AR700,$AN$10:$AO$1116,2,0)</f>
        <v>أحمد نورالدين أحمد الذيب</v>
      </c>
    </row>
    <row r="701" spans="1:45" ht="15" customHeight="1" thickBot="1" x14ac:dyDescent="0.3">
      <c r="A701" s="633"/>
      <c r="B701" s="630"/>
      <c r="C701" s="622"/>
      <c r="D701" s="625"/>
      <c r="E701" s="133" t="s">
        <v>31</v>
      </c>
      <c r="F701" s="589">
        <f>IFERROR(VLOOKUP($B700,اسماء,18,0),0)</f>
        <v>0</v>
      </c>
      <c r="G701" s="592"/>
      <c r="H701" s="608">
        <f>IFERROR(VLOOKUP($B700,اسماء,19,0),0)</f>
        <v>0</v>
      </c>
      <c r="I701" s="609"/>
      <c r="J701" s="589">
        <f>IFERROR(VLOOKUP($B700,اسماء,20,0),0)</f>
        <v>0</v>
      </c>
      <c r="K701" s="592"/>
      <c r="L701" s="589">
        <f>IFERROR(VLOOKUP($B700,اسماء,21,0),0)</f>
        <v>0</v>
      </c>
      <c r="M701" s="590"/>
      <c r="N701" s="589">
        <f>IFERROR(VLOOKUP($B700,اسماء,22,0),0)</f>
        <v>0</v>
      </c>
      <c r="O701" s="590"/>
      <c r="P701" s="589">
        <f>IFERROR(VLOOKUP($B700,اسماء,23,0),0)</f>
        <v>0</v>
      </c>
      <c r="Q701" s="609"/>
      <c r="R701" s="603">
        <f>IFERROR(VLOOKUP($B700,اسماء,24,0),0)</f>
        <v>0</v>
      </c>
      <c r="S701" s="592"/>
      <c r="T701" s="589">
        <f>IFERROR(VLOOKUP($B700,اسماء,25,0),0)</f>
        <v>0</v>
      </c>
      <c r="U701" s="592"/>
      <c r="V701" s="263">
        <f t="shared" si="2121"/>
        <v>0</v>
      </c>
      <c r="W701" s="373">
        <f>IFERROR(VLOOKUP($B700,اسماء,27,0),0)</f>
        <v>0</v>
      </c>
      <c r="X701" s="373">
        <f>IFERROR(VLOOKUP($B700,اسماء,28,0),0)</f>
        <v>0</v>
      </c>
      <c r="Y701" s="596"/>
      <c r="Z701" s="22" t="str">
        <f>LOOKUP(V701,$AF$6:$AG$10)</f>
        <v>ضعيف</v>
      </c>
      <c r="AA701" s="657"/>
      <c r="AB701" s="10"/>
      <c r="AC701" s="654"/>
      <c r="AN701" s="610"/>
      <c r="AO701" s="610"/>
      <c r="AP701" s="613"/>
      <c r="AQ701" s="612"/>
      <c r="AR701" s="611"/>
      <c r="AS701" s="612"/>
    </row>
    <row r="702" spans="1:45" ht="15" customHeight="1" x14ac:dyDescent="0.25">
      <c r="A702" s="633"/>
      <c r="B702" s="630"/>
      <c r="C702" s="622"/>
      <c r="D702" s="625"/>
      <c r="E702" s="133" t="s">
        <v>32</v>
      </c>
      <c r="F702" s="589">
        <f>IFERROR(VLOOKUP($B700,اسماء,31,0),0)</f>
        <v>0</v>
      </c>
      <c r="G702" s="592"/>
      <c r="H702" s="608">
        <f>IFERROR(VLOOKUP($B700,اسماء,32,0),0)</f>
        <v>0</v>
      </c>
      <c r="I702" s="609"/>
      <c r="J702" s="589">
        <f>IFERROR(VLOOKUP($B700,اسماء,33,0),0)</f>
        <v>0</v>
      </c>
      <c r="K702" s="592"/>
      <c r="L702" s="589">
        <f>IFERROR(VLOOKUP($B700,اسماء,34,0),0)</f>
        <v>0</v>
      </c>
      <c r="M702" s="590"/>
      <c r="N702" s="589">
        <f>IFERROR(VLOOKUP($B700,اسماء,35,0),0)</f>
        <v>0</v>
      </c>
      <c r="O702" s="590"/>
      <c r="P702" s="589">
        <f>IFERROR(VLOOKUP($B700,اسماء,36,0),0)</f>
        <v>0</v>
      </c>
      <c r="Q702" s="609"/>
      <c r="R702" s="603">
        <f>IFERROR(VLOOKUP($B700,اسماء,37,0),0)</f>
        <v>0</v>
      </c>
      <c r="S702" s="592"/>
      <c r="T702" s="589">
        <f>IFERROR(VLOOKUP($B700,اسماء,38,0),0)</f>
        <v>0</v>
      </c>
      <c r="U702" s="592"/>
      <c r="V702" s="263">
        <f t="shared" si="2121"/>
        <v>0</v>
      </c>
      <c r="W702" s="373">
        <f>IFERROR(VLOOKUP($B700,اسماء,40,0),0)</f>
        <v>0</v>
      </c>
      <c r="X702" s="373">
        <f>IFERROR(VLOOKUP($B700,اسماء,41,0),0)</f>
        <v>0</v>
      </c>
      <c r="Y702" s="596"/>
      <c r="Z702" s="22" t="str">
        <f>LOOKUP(V702,$AI$6:$AJ$10)</f>
        <v>ضعيف</v>
      </c>
      <c r="AA702" s="657"/>
      <c r="AB702" s="72"/>
      <c r="AC702" s="654"/>
      <c r="AN702" s="610"/>
      <c r="AO702" s="610"/>
      <c r="AP702" s="613"/>
      <c r="AQ702" s="612"/>
      <c r="AR702" s="611"/>
      <c r="AS702" s="612"/>
    </row>
    <row r="703" spans="1:45" ht="15" customHeight="1" thickBot="1" x14ac:dyDescent="0.3">
      <c r="A703" s="634"/>
      <c r="B703" s="631"/>
      <c r="C703" s="623"/>
      <c r="D703" s="626"/>
      <c r="E703" s="127" t="s">
        <v>33</v>
      </c>
      <c r="F703" s="585">
        <f t="shared" ref="F703" si="2122">SUM(F700:G702)</f>
        <v>0</v>
      </c>
      <c r="G703" s="593"/>
      <c r="H703" s="604">
        <f t="shared" ref="H703" si="2123">SUM(H700:I702)</f>
        <v>0</v>
      </c>
      <c r="I703" s="601"/>
      <c r="J703" s="585">
        <f t="shared" ref="J703" si="2124">SUM(J700:K702)</f>
        <v>0</v>
      </c>
      <c r="K703" s="593"/>
      <c r="L703" s="585">
        <f t="shared" ref="L703" si="2125">SUM(L700:M702)</f>
        <v>0</v>
      </c>
      <c r="M703" s="586"/>
      <c r="N703" s="585">
        <f t="shared" ref="N703" si="2126">SUM(N700:O702)</f>
        <v>0</v>
      </c>
      <c r="O703" s="586"/>
      <c r="P703" s="585">
        <f t="shared" ref="P703" si="2127">SUM(P700:Q702)</f>
        <v>0</v>
      </c>
      <c r="Q703" s="601"/>
      <c r="R703" s="602">
        <f t="shared" ref="R703" si="2128">SUM(R700:S702)</f>
        <v>0</v>
      </c>
      <c r="S703" s="593"/>
      <c r="T703" s="585">
        <f t="shared" ref="T703" si="2129">SUM(T700:U702)</f>
        <v>0</v>
      </c>
      <c r="U703" s="593"/>
      <c r="V703" s="210">
        <f t="shared" ref="V703" si="2130">IF(AND(F703&gt;=$G$8,H703&gt;=$I$8,L703&gt;=$M$8,P703&gt;=$Q$8,R703&gt;=$S$8,T703&gt;=$U$8),SUM(F703:U703),0)</f>
        <v>0</v>
      </c>
      <c r="W703" s="264"/>
      <c r="X703" s="97"/>
      <c r="Y703" s="597"/>
      <c r="Z703" s="91" t="str">
        <f>LOOKUP(V703,$AL$6:$AM$10)</f>
        <v>ضعيف</v>
      </c>
      <c r="AA703" s="658"/>
      <c r="AB703" s="72"/>
      <c r="AC703" s="655"/>
      <c r="AN703" s="610"/>
      <c r="AO703" s="610"/>
      <c r="AP703" s="613"/>
      <c r="AQ703" s="612"/>
      <c r="AR703" s="611"/>
      <c r="AS703" s="612"/>
    </row>
    <row r="704" spans="1:45" ht="15" customHeight="1" thickBot="1" x14ac:dyDescent="0.3">
      <c r="A704" s="632">
        <v>152</v>
      </c>
      <c r="B704" s="629">
        <f>VLOOKUP(A704,مسلسل,2,0)</f>
        <v>0</v>
      </c>
      <c r="C704" s="621" t="str">
        <f>IFERROR(VLOOKUP(B704,اسماء,2,0),"")</f>
        <v/>
      </c>
      <c r="D704" s="624" t="str">
        <f>IFERROR(VLOOKUP($B704,اسماء,3,0),"")</f>
        <v/>
      </c>
      <c r="E704" s="132" t="s">
        <v>30</v>
      </c>
      <c r="F704" s="627">
        <f>IFERROR(VLOOKUP($B704,اسماء,5,0),0)</f>
        <v>0</v>
      </c>
      <c r="G704" s="606"/>
      <c r="H704" s="628">
        <f>IFERROR(VLOOKUP($B704,اسماء,6,0),0)</f>
        <v>0</v>
      </c>
      <c r="I704" s="605"/>
      <c r="J704" s="587">
        <f>IFERROR(VLOOKUP($B704,اسماء,7,0),0)</f>
        <v>0</v>
      </c>
      <c r="K704" s="591"/>
      <c r="L704" s="587">
        <f>IFERROR(VLOOKUP($B704,اسماء,8,0),0)</f>
        <v>0</v>
      </c>
      <c r="M704" s="588"/>
      <c r="N704" s="587">
        <f>IFERROR(VLOOKUP($B704,اسماء,9,0),0)</f>
        <v>0</v>
      </c>
      <c r="O704" s="605"/>
      <c r="P704" s="587">
        <f>IFERROR(VLOOKUP($B704,اسماء,10,0),0)</f>
        <v>0</v>
      </c>
      <c r="Q704" s="605"/>
      <c r="R704" s="606">
        <f>IFERROR(VLOOKUP($B704,اسماء,11,0),0)</f>
        <v>0</v>
      </c>
      <c r="S704" s="591"/>
      <c r="T704" s="587">
        <f>IFERROR(VLOOKUP($B704,اسماء,12,0),0)</f>
        <v>0</v>
      </c>
      <c r="U704" s="591"/>
      <c r="V704" s="263">
        <f t="shared" ref="V704:V706" si="2131">SUM(F704:U704)</f>
        <v>0</v>
      </c>
      <c r="W704" s="373">
        <f>IFERROR(VLOOKUP($B704,اسماء,14,0),0)</f>
        <v>0</v>
      </c>
      <c r="X704" s="373">
        <f>IFERROR(VLOOKUP($B704,اسماء,15,0),0)</f>
        <v>0</v>
      </c>
      <c r="Y704" s="595" t="str">
        <f t="shared" ref="Y704" si="2132">IF(AC704="غائب","راسب",IF(AND(F707&gt;=$G$8,H707&gt;=$I$8,J707&gt;=$K$8,L707&gt;=$M$8,N707&gt;=$O$8,P707&gt;=$Q$8,R707&gt;=$S$8,T707&gt;=$U$8),"ناجح","له دور ثان"))</f>
        <v>له دور ثان</v>
      </c>
      <c r="Z704" s="21" t="str">
        <f>LOOKUP(V704,$AF$6:$AG$10)</f>
        <v>ضعيف</v>
      </c>
      <c r="AA704" s="656">
        <f>V707/$AF$3</f>
        <v>0</v>
      </c>
      <c r="AB704" s="10"/>
      <c r="AC704" s="653" t="str">
        <f>IFERROR(VLOOKUP($B704,اسماء,54,0),"")</f>
        <v/>
      </c>
      <c r="AN704" s="607" t="str">
        <f t="shared" ref="AN704" si="2133">IF(V707=0,"",V707/1+ROW()*0.00001)</f>
        <v/>
      </c>
      <c r="AO704" s="607">
        <f>B704</f>
        <v>0</v>
      </c>
      <c r="AP704" s="613"/>
      <c r="AQ704" s="612">
        <v>152</v>
      </c>
      <c r="AR704" s="611" t="str">
        <f>IFERROR(LARGE($AN$10:$AN$1006,AQ704),"")</f>
        <v/>
      </c>
      <c r="AS704" s="612" t="str">
        <f>VLOOKUP(AR704,$AN$10:$AO$1116,2,0)</f>
        <v>أحمد نورالدين أحمد الذيب</v>
      </c>
    </row>
    <row r="705" spans="1:45" ht="15" customHeight="1" thickBot="1" x14ac:dyDescent="0.3">
      <c r="A705" s="633"/>
      <c r="B705" s="630"/>
      <c r="C705" s="622"/>
      <c r="D705" s="625"/>
      <c r="E705" s="133" t="s">
        <v>31</v>
      </c>
      <c r="F705" s="589">
        <f>IFERROR(VLOOKUP($B704,اسماء,18,0),0)</f>
        <v>0</v>
      </c>
      <c r="G705" s="592"/>
      <c r="H705" s="608">
        <f>IFERROR(VLOOKUP($B704,اسماء,19,0),0)</f>
        <v>0</v>
      </c>
      <c r="I705" s="609"/>
      <c r="J705" s="589">
        <f>IFERROR(VLOOKUP($B704,اسماء,20,0),0)</f>
        <v>0</v>
      </c>
      <c r="K705" s="592"/>
      <c r="L705" s="589">
        <f>IFERROR(VLOOKUP($B704,اسماء,21,0),0)</f>
        <v>0</v>
      </c>
      <c r="M705" s="590"/>
      <c r="N705" s="589">
        <f>IFERROR(VLOOKUP($B704,اسماء,22,0),0)</f>
        <v>0</v>
      </c>
      <c r="O705" s="590"/>
      <c r="P705" s="589">
        <f>IFERROR(VLOOKUP($B704,اسماء,23,0),0)</f>
        <v>0</v>
      </c>
      <c r="Q705" s="609"/>
      <c r="R705" s="603">
        <f>IFERROR(VLOOKUP($B704,اسماء,24,0),0)</f>
        <v>0</v>
      </c>
      <c r="S705" s="592"/>
      <c r="T705" s="589">
        <f>IFERROR(VLOOKUP($B704,اسماء,25,0),0)</f>
        <v>0</v>
      </c>
      <c r="U705" s="592"/>
      <c r="V705" s="263">
        <f t="shared" si="2131"/>
        <v>0</v>
      </c>
      <c r="W705" s="373">
        <f>IFERROR(VLOOKUP($B704,اسماء,27,0),0)</f>
        <v>0</v>
      </c>
      <c r="X705" s="373">
        <f>IFERROR(VLOOKUP($B704,اسماء,28,0),0)</f>
        <v>0</v>
      </c>
      <c r="Y705" s="596"/>
      <c r="Z705" s="22" t="str">
        <f>LOOKUP(V705,$AF$6:$AG$10)</f>
        <v>ضعيف</v>
      </c>
      <c r="AA705" s="657"/>
      <c r="AB705" s="72"/>
      <c r="AC705" s="654"/>
      <c r="AN705" s="607"/>
      <c r="AO705" s="607"/>
      <c r="AP705" s="613"/>
      <c r="AQ705" s="612"/>
      <c r="AR705" s="611"/>
      <c r="AS705" s="612"/>
    </row>
    <row r="706" spans="1:45" ht="15" customHeight="1" x14ac:dyDescent="0.25">
      <c r="A706" s="633"/>
      <c r="B706" s="630"/>
      <c r="C706" s="622"/>
      <c r="D706" s="625"/>
      <c r="E706" s="133" t="s">
        <v>32</v>
      </c>
      <c r="F706" s="589">
        <f>IFERROR(VLOOKUP($B704,اسماء,31,0),0)</f>
        <v>0</v>
      </c>
      <c r="G706" s="592"/>
      <c r="H706" s="608">
        <f>IFERROR(VLOOKUP($B704,اسماء,32,0),0)</f>
        <v>0</v>
      </c>
      <c r="I706" s="609"/>
      <c r="J706" s="589">
        <f>IFERROR(VLOOKUP($B704,اسماء,33,0),0)</f>
        <v>0</v>
      </c>
      <c r="K706" s="592"/>
      <c r="L706" s="589">
        <f>IFERROR(VLOOKUP($B704,اسماء,34,0),0)</f>
        <v>0</v>
      </c>
      <c r="M706" s="590"/>
      <c r="N706" s="589">
        <f>IFERROR(VLOOKUP($B704,اسماء,35,0),0)</f>
        <v>0</v>
      </c>
      <c r="O706" s="590"/>
      <c r="P706" s="589">
        <f>IFERROR(VLOOKUP($B704,اسماء,36,0),0)</f>
        <v>0</v>
      </c>
      <c r="Q706" s="609"/>
      <c r="R706" s="603">
        <f>IFERROR(VLOOKUP($B704,اسماء,37,0),0)</f>
        <v>0</v>
      </c>
      <c r="S706" s="592"/>
      <c r="T706" s="589">
        <f>IFERROR(VLOOKUP($B704,اسماء,38,0),0)</f>
        <v>0</v>
      </c>
      <c r="U706" s="592"/>
      <c r="V706" s="263">
        <f t="shared" si="2131"/>
        <v>0</v>
      </c>
      <c r="W706" s="373">
        <f>IFERROR(VLOOKUP($B704,اسماء,40,0),0)</f>
        <v>0</v>
      </c>
      <c r="X706" s="373">
        <f>IFERROR(VLOOKUP($B704,اسماء,41,0),0)</f>
        <v>0</v>
      </c>
      <c r="Y706" s="596"/>
      <c r="Z706" s="22" t="str">
        <f>LOOKUP(V706,$AI$6:$AJ$10)</f>
        <v>ضعيف</v>
      </c>
      <c r="AA706" s="657"/>
      <c r="AB706" s="72"/>
      <c r="AC706" s="654"/>
      <c r="AN706" s="607"/>
      <c r="AO706" s="607"/>
      <c r="AP706" s="613"/>
      <c r="AQ706" s="612"/>
      <c r="AR706" s="611"/>
      <c r="AS706" s="612"/>
    </row>
    <row r="707" spans="1:45" ht="15" customHeight="1" thickBot="1" x14ac:dyDescent="0.3">
      <c r="A707" s="634"/>
      <c r="B707" s="631"/>
      <c r="C707" s="623"/>
      <c r="D707" s="626"/>
      <c r="E707" s="127" t="s">
        <v>33</v>
      </c>
      <c r="F707" s="585">
        <f t="shared" ref="F707" si="2134">SUM(F704:G706)</f>
        <v>0</v>
      </c>
      <c r="G707" s="593"/>
      <c r="H707" s="604">
        <f t="shared" ref="H707" si="2135">SUM(H704:I706)</f>
        <v>0</v>
      </c>
      <c r="I707" s="601"/>
      <c r="J707" s="585">
        <f t="shared" ref="J707" si="2136">SUM(J704:K706)</f>
        <v>0</v>
      </c>
      <c r="K707" s="593"/>
      <c r="L707" s="585">
        <f t="shared" ref="L707" si="2137">SUM(L704:M706)</f>
        <v>0</v>
      </c>
      <c r="M707" s="586"/>
      <c r="N707" s="585">
        <f t="shared" ref="N707" si="2138">SUM(N704:O706)</f>
        <v>0</v>
      </c>
      <c r="O707" s="586"/>
      <c r="P707" s="585">
        <f t="shared" ref="P707" si="2139">SUM(P704:Q706)</f>
        <v>0</v>
      </c>
      <c r="Q707" s="601"/>
      <c r="R707" s="602">
        <f t="shared" ref="R707" si="2140">SUM(R704:S706)</f>
        <v>0</v>
      </c>
      <c r="S707" s="593"/>
      <c r="T707" s="585">
        <f t="shared" ref="T707" si="2141">SUM(T704:U706)</f>
        <v>0</v>
      </c>
      <c r="U707" s="593"/>
      <c r="V707" s="210">
        <f t="shared" ref="V707" si="2142">IF(AND(F707&gt;=$G$8,H707&gt;=$I$8,L707&gt;=$M$8,P707&gt;=$Q$8,R707&gt;=$S$8,T707&gt;=$U$8),SUM(F707:U707),0)</f>
        <v>0</v>
      </c>
      <c r="W707" s="264"/>
      <c r="X707" s="97"/>
      <c r="Y707" s="597"/>
      <c r="Z707" s="91" t="str">
        <f>LOOKUP(V707,$AL$6:$AM$10)</f>
        <v>ضعيف</v>
      </c>
      <c r="AA707" s="658"/>
      <c r="AB707" s="10"/>
      <c r="AC707" s="655"/>
      <c r="AN707" s="607"/>
      <c r="AO707" s="607"/>
      <c r="AP707" s="613"/>
      <c r="AQ707" s="612"/>
      <c r="AR707" s="611"/>
      <c r="AS707" s="612"/>
    </row>
    <row r="708" spans="1:45" ht="15" customHeight="1" thickBot="1" x14ac:dyDescent="0.3">
      <c r="A708" s="632">
        <v>153</v>
      </c>
      <c r="B708" s="629">
        <f>VLOOKUP(A708,مسلسل,2,0)</f>
        <v>0</v>
      </c>
      <c r="C708" s="621" t="str">
        <f>IFERROR(VLOOKUP(B708,اسماء,2,0),"")</f>
        <v/>
      </c>
      <c r="D708" s="624" t="str">
        <f>IFERROR(VLOOKUP($B708,اسماء,3,0),"")</f>
        <v/>
      </c>
      <c r="E708" s="132" t="s">
        <v>30</v>
      </c>
      <c r="F708" s="627">
        <f>IFERROR(VLOOKUP($B708,اسماء,5,0),0)</f>
        <v>0</v>
      </c>
      <c r="G708" s="606"/>
      <c r="H708" s="628">
        <f>IFERROR(VLOOKUP($B708,اسماء,6,0),0)</f>
        <v>0</v>
      </c>
      <c r="I708" s="605"/>
      <c r="J708" s="587">
        <f>IFERROR(VLOOKUP($B708,اسماء,7,0),0)</f>
        <v>0</v>
      </c>
      <c r="K708" s="591"/>
      <c r="L708" s="587">
        <f>IFERROR(VLOOKUP($B708,اسماء,8,0),0)</f>
        <v>0</v>
      </c>
      <c r="M708" s="588"/>
      <c r="N708" s="587">
        <f>IFERROR(VLOOKUP($B708,اسماء,9,0),0)</f>
        <v>0</v>
      </c>
      <c r="O708" s="605"/>
      <c r="P708" s="587">
        <f>IFERROR(VLOOKUP($B708,اسماء,10,0),0)</f>
        <v>0</v>
      </c>
      <c r="Q708" s="605"/>
      <c r="R708" s="606">
        <f>IFERROR(VLOOKUP($B708,اسماء,11,0),0)</f>
        <v>0</v>
      </c>
      <c r="S708" s="591"/>
      <c r="T708" s="587">
        <f>IFERROR(VLOOKUP($B708,اسماء,12,0),0)</f>
        <v>0</v>
      </c>
      <c r="U708" s="591"/>
      <c r="V708" s="263">
        <f t="shared" ref="V708:V710" si="2143">SUM(F708:U708)</f>
        <v>0</v>
      </c>
      <c r="W708" s="373">
        <f>IFERROR(VLOOKUP($B708,اسماء,14,0),0)</f>
        <v>0</v>
      </c>
      <c r="X708" s="373">
        <f>IFERROR(VLOOKUP($B708,اسماء,15,0),0)</f>
        <v>0</v>
      </c>
      <c r="Y708" s="595" t="str">
        <f t="shared" ref="Y708" si="2144">IF(AC708="غائب","راسب",IF(AND(F711&gt;=$G$8,H711&gt;=$I$8,J711&gt;=$K$8,L711&gt;=$M$8,N711&gt;=$O$8,P711&gt;=$Q$8,R711&gt;=$S$8,T711&gt;=$U$8),"ناجح","له دور ثان"))</f>
        <v>له دور ثان</v>
      </c>
      <c r="Z708" s="21" t="str">
        <f>LOOKUP(V708,$AF$6:$AG$10)</f>
        <v>ضعيف</v>
      </c>
      <c r="AA708" s="656">
        <f>V711/$AF$3</f>
        <v>0</v>
      </c>
      <c r="AB708" s="72"/>
      <c r="AC708" s="653" t="str">
        <f>IFERROR(VLOOKUP($B708,اسماء,54,0),"")</f>
        <v/>
      </c>
      <c r="AN708" s="607" t="str">
        <f t="shared" ref="AN708" si="2145">IF(V711=0,"",V711/1+ROW()*0.00001)</f>
        <v/>
      </c>
      <c r="AO708" s="607">
        <f>B708</f>
        <v>0</v>
      </c>
      <c r="AP708" s="613"/>
      <c r="AQ708" s="612">
        <v>153</v>
      </c>
      <c r="AR708" s="611" t="str">
        <f>IFERROR(LARGE($AN$10:$AN$1006,AQ708),"")</f>
        <v/>
      </c>
      <c r="AS708" s="612" t="str">
        <f>VLOOKUP(AR708,$AN$10:$AO$1116,2,0)</f>
        <v>أحمد نورالدين أحمد الذيب</v>
      </c>
    </row>
    <row r="709" spans="1:45" ht="15" customHeight="1" thickBot="1" x14ac:dyDescent="0.3">
      <c r="A709" s="633"/>
      <c r="B709" s="630"/>
      <c r="C709" s="622"/>
      <c r="D709" s="625"/>
      <c r="E709" s="133" t="s">
        <v>31</v>
      </c>
      <c r="F709" s="589">
        <f>IFERROR(VLOOKUP($B708,اسماء,18,0),0)</f>
        <v>0</v>
      </c>
      <c r="G709" s="592"/>
      <c r="H709" s="608">
        <f>IFERROR(VLOOKUP($B708,اسماء,19,0),0)</f>
        <v>0</v>
      </c>
      <c r="I709" s="609"/>
      <c r="J709" s="589">
        <f>IFERROR(VLOOKUP($B708,اسماء,20,0),0)</f>
        <v>0</v>
      </c>
      <c r="K709" s="592"/>
      <c r="L709" s="589">
        <f>IFERROR(VLOOKUP($B708,اسماء,21,0),0)</f>
        <v>0</v>
      </c>
      <c r="M709" s="590"/>
      <c r="N709" s="589">
        <f>IFERROR(VLOOKUP($B708,اسماء,22,0),0)</f>
        <v>0</v>
      </c>
      <c r="O709" s="590"/>
      <c r="P709" s="589">
        <f>IFERROR(VLOOKUP($B708,اسماء,23,0),0)</f>
        <v>0</v>
      </c>
      <c r="Q709" s="609"/>
      <c r="R709" s="603">
        <f>IFERROR(VLOOKUP($B708,اسماء,24,0),0)</f>
        <v>0</v>
      </c>
      <c r="S709" s="592"/>
      <c r="T709" s="589">
        <f>IFERROR(VLOOKUP($B708,اسماء,25,0),0)</f>
        <v>0</v>
      </c>
      <c r="U709" s="592"/>
      <c r="V709" s="263">
        <f t="shared" si="2143"/>
        <v>0</v>
      </c>
      <c r="W709" s="373">
        <f>IFERROR(VLOOKUP($B708,اسماء,27,0),0)</f>
        <v>0</v>
      </c>
      <c r="X709" s="373">
        <f>IFERROR(VLOOKUP($B708,اسماء,28,0),0)</f>
        <v>0</v>
      </c>
      <c r="Y709" s="596"/>
      <c r="Z709" s="22" t="str">
        <f>LOOKUP(V709,$AF$6:$AG$10)</f>
        <v>ضعيف</v>
      </c>
      <c r="AA709" s="657"/>
      <c r="AB709" s="72"/>
      <c r="AC709" s="654"/>
      <c r="AN709" s="607"/>
      <c r="AO709" s="607"/>
      <c r="AP709" s="613"/>
      <c r="AQ709" s="612"/>
      <c r="AR709" s="611"/>
      <c r="AS709" s="612"/>
    </row>
    <row r="710" spans="1:45" ht="15" customHeight="1" x14ac:dyDescent="0.25">
      <c r="A710" s="633"/>
      <c r="B710" s="630"/>
      <c r="C710" s="622"/>
      <c r="D710" s="625"/>
      <c r="E710" s="133" t="s">
        <v>32</v>
      </c>
      <c r="F710" s="589">
        <f>IFERROR(VLOOKUP($B708,اسماء,31,0),0)</f>
        <v>0</v>
      </c>
      <c r="G710" s="592"/>
      <c r="H710" s="608">
        <f>IFERROR(VLOOKUP($B708,اسماء,32,0),0)</f>
        <v>0</v>
      </c>
      <c r="I710" s="609"/>
      <c r="J710" s="589">
        <f>IFERROR(VLOOKUP($B708,اسماء,33,0),0)</f>
        <v>0</v>
      </c>
      <c r="K710" s="592"/>
      <c r="L710" s="589">
        <f>IFERROR(VLOOKUP($B708,اسماء,34,0),0)</f>
        <v>0</v>
      </c>
      <c r="M710" s="590"/>
      <c r="N710" s="589">
        <f>IFERROR(VLOOKUP($B708,اسماء,35,0),0)</f>
        <v>0</v>
      </c>
      <c r="O710" s="590"/>
      <c r="P710" s="589">
        <f>IFERROR(VLOOKUP($B708,اسماء,36,0),0)</f>
        <v>0</v>
      </c>
      <c r="Q710" s="609"/>
      <c r="R710" s="603">
        <f>IFERROR(VLOOKUP($B708,اسماء,37,0),0)</f>
        <v>0</v>
      </c>
      <c r="S710" s="592"/>
      <c r="T710" s="589">
        <f>IFERROR(VLOOKUP($B708,اسماء,38,0),0)</f>
        <v>0</v>
      </c>
      <c r="U710" s="592"/>
      <c r="V710" s="263">
        <f t="shared" si="2143"/>
        <v>0</v>
      </c>
      <c r="W710" s="373">
        <f>IFERROR(VLOOKUP($B708,اسماء,40,0),0)</f>
        <v>0</v>
      </c>
      <c r="X710" s="373">
        <f>IFERROR(VLOOKUP($B708,اسماء,41,0),0)</f>
        <v>0</v>
      </c>
      <c r="Y710" s="596"/>
      <c r="Z710" s="22" t="str">
        <f>LOOKUP(V710,$AI$6:$AJ$10)</f>
        <v>ضعيف</v>
      </c>
      <c r="AA710" s="657"/>
      <c r="AB710" s="10"/>
      <c r="AC710" s="654"/>
      <c r="AN710" s="607"/>
      <c r="AO710" s="607"/>
      <c r="AP710" s="613"/>
      <c r="AQ710" s="612"/>
      <c r="AR710" s="611"/>
      <c r="AS710" s="612"/>
    </row>
    <row r="711" spans="1:45" ht="15" customHeight="1" thickBot="1" x14ac:dyDescent="0.3">
      <c r="A711" s="634"/>
      <c r="B711" s="631"/>
      <c r="C711" s="623"/>
      <c r="D711" s="626"/>
      <c r="E711" s="127" t="s">
        <v>33</v>
      </c>
      <c r="F711" s="585">
        <f t="shared" ref="F711" si="2146">SUM(F708:G710)</f>
        <v>0</v>
      </c>
      <c r="G711" s="593"/>
      <c r="H711" s="604">
        <f t="shared" ref="H711" si="2147">SUM(H708:I710)</f>
        <v>0</v>
      </c>
      <c r="I711" s="601"/>
      <c r="J711" s="585">
        <f t="shared" ref="J711" si="2148">SUM(J708:K710)</f>
        <v>0</v>
      </c>
      <c r="K711" s="593"/>
      <c r="L711" s="585">
        <f t="shared" ref="L711" si="2149">SUM(L708:M710)</f>
        <v>0</v>
      </c>
      <c r="M711" s="586"/>
      <c r="N711" s="585">
        <f t="shared" ref="N711" si="2150">SUM(N708:O710)</f>
        <v>0</v>
      </c>
      <c r="O711" s="586"/>
      <c r="P711" s="585">
        <f t="shared" ref="P711" si="2151">SUM(P708:Q710)</f>
        <v>0</v>
      </c>
      <c r="Q711" s="601"/>
      <c r="R711" s="602">
        <f t="shared" ref="R711" si="2152">SUM(R708:S710)</f>
        <v>0</v>
      </c>
      <c r="S711" s="593"/>
      <c r="T711" s="585">
        <f t="shared" ref="T711" si="2153">SUM(T708:U710)</f>
        <v>0</v>
      </c>
      <c r="U711" s="593"/>
      <c r="V711" s="210">
        <f t="shared" ref="V711" si="2154">IF(AND(F711&gt;=$G$8,H711&gt;=$I$8,L711&gt;=$M$8,P711&gt;=$Q$8,R711&gt;=$S$8,T711&gt;=$U$8),SUM(F711:U711),0)</f>
        <v>0</v>
      </c>
      <c r="W711" s="264"/>
      <c r="X711" s="97"/>
      <c r="Y711" s="597"/>
      <c r="Z711" s="91" t="str">
        <f>LOOKUP(V711,$AL$6:$AM$10)</f>
        <v>ضعيف</v>
      </c>
      <c r="AA711" s="658"/>
      <c r="AB711" s="72"/>
      <c r="AC711" s="655"/>
      <c r="AN711" s="607"/>
      <c r="AO711" s="607"/>
      <c r="AP711" s="613"/>
      <c r="AQ711" s="612"/>
      <c r="AR711" s="611"/>
      <c r="AS711" s="612"/>
    </row>
    <row r="712" spans="1:45" ht="15" customHeight="1" thickBot="1" x14ac:dyDescent="0.3">
      <c r="A712" s="632">
        <v>154</v>
      </c>
      <c r="B712" s="629">
        <f>VLOOKUP(A712,مسلسل,2,0)</f>
        <v>0</v>
      </c>
      <c r="C712" s="621" t="str">
        <f>IFERROR(VLOOKUP(B712,اسماء,2,0),"")</f>
        <v/>
      </c>
      <c r="D712" s="624" t="str">
        <f>IFERROR(VLOOKUP($B712,اسماء,3,0),"")</f>
        <v/>
      </c>
      <c r="E712" s="132" t="s">
        <v>30</v>
      </c>
      <c r="F712" s="627">
        <f>IFERROR(VLOOKUP($B712,اسماء,5,0),0)</f>
        <v>0</v>
      </c>
      <c r="G712" s="606"/>
      <c r="H712" s="628">
        <f>IFERROR(VLOOKUP($B712,اسماء,6,0),0)</f>
        <v>0</v>
      </c>
      <c r="I712" s="605"/>
      <c r="J712" s="587">
        <f>IFERROR(VLOOKUP($B712,اسماء,7,0),0)</f>
        <v>0</v>
      </c>
      <c r="K712" s="591"/>
      <c r="L712" s="587">
        <f>IFERROR(VLOOKUP($B712,اسماء,8,0),0)</f>
        <v>0</v>
      </c>
      <c r="M712" s="588"/>
      <c r="N712" s="587">
        <f>IFERROR(VLOOKUP($B712,اسماء,9,0),0)</f>
        <v>0</v>
      </c>
      <c r="O712" s="605"/>
      <c r="P712" s="587">
        <f>IFERROR(VLOOKUP($B712,اسماء,10,0),0)</f>
        <v>0</v>
      </c>
      <c r="Q712" s="605"/>
      <c r="R712" s="606">
        <f>IFERROR(VLOOKUP($B712,اسماء,11,0),0)</f>
        <v>0</v>
      </c>
      <c r="S712" s="591"/>
      <c r="T712" s="587">
        <f>IFERROR(VLOOKUP($B712,اسماء,12,0),0)</f>
        <v>0</v>
      </c>
      <c r="U712" s="591"/>
      <c r="V712" s="263">
        <f t="shared" ref="V712:V714" si="2155">SUM(F712:U712)</f>
        <v>0</v>
      </c>
      <c r="W712" s="373">
        <f>IFERROR(VLOOKUP($B712,اسماء,14,0),0)</f>
        <v>0</v>
      </c>
      <c r="X712" s="373">
        <f>IFERROR(VLOOKUP($B712,اسماء,15,0),0)</f>
        <v>0</v>
      </c>
      <c r="Y712" s="595" t="str">
        <f t="shared" ref="Y712" si="2156">IF(AC712="غائب","راسب",IF(AND(F715&gt;=$G$8,H715&gt;=$I$8,J715&gt;=$K$8,L715&gt;=$M$8,N715&gt;=$O$8,P715&gt;=$Q$8,R715&gt;=$S$8,T715&gt;=$U$8),"ناجح","له دور ثان"))</f>
        <v>له دور ثان</v>
      </c>
      <c r="Z712" s="21" t="str">
        <f>LOOKUP(V712,$AF$6:$AG$10)</f>
        <v>ضعيف</v>
      </c>
      <c r="AA712" s="656">
        <f>V715/$AF$3</f>
        <v>0</v>
      </c>
      <c r="AB712" s="72"/>
      <c r="AC712" s="653" t="str">
        <f>IFERROR(VLOOKUP($B712,اسماء,54,0),"")</f>
        <v/>
      </c>
      <c r="AN712" s="607" t="str">
        <f t="shared" ref="AN712" si="2157">IF(V715=0,"",V715/1+ROW()*0.00001)</f>
        <v/>
      </c>
      <c r="AO712" s="607">
        <f>B712</f>
        <v>0</v>
      </c>
      <c r="AP712" s="613"/>
      <c r="AQ712" s="612">
        <v>154</v>
      </c>
      <c r="AR712" s="611" t="str">
        <f>IFERROR(LARGE($AN$10:$AN$1006,AQ712),"")</f>
        <v/>
      </c>
      <c r="AS712" s="612" t="str">
        <f>VLOOKUP(AR712,$AN$10:$AO$1116,2,0)</f>
        <v>أحمد نورالدين أحمد الذيب</v>
      </c>
    </row>
    <row r="713" spans="1:45" ht="15" customHeight="1" thickBot="1" x14ac:dyDescent="0.3">
      <c r="A713" s="633"/>
      <c r="B713" s="630"/>
      <c r="C713" s="622"/>
      <c r="D713" s="625"/>
      <c r="E713" s="133" t="s">
        <v>31</v>
      </c>
      <c r="F713" s="589">
        <f>IFERROR(VLOOKUP($B712,اسماء,18,0),0)</f>
        <v>0</v>
      </c>
      <c r="G713" s="592"/>
      <c r="H713" s="608">
        <f>IFERROR(VLOOKUP($B712,اسماء,19,0),0)</f>
        <v>0</v>
      </c>
      <c r="I713" s="609"/>
      <c r="J713" s="589">
        <f>IFERROR(VLOOKUP($B712,اسماء,20,0),0)</f>
        <v>0</v>
      </c>
      <c r="K713" s="592"/>
      <c r="L713" s="589">
        <f>IFERROR(VLOOKUP($B712,اسماء,21,0),0)</f>
        <v>0</v>
      </c>
      <c r="M713" s="590"/>
      <c r="N713" s="589">
        <f>IFERROR(VLOOKUP($B712,اسماء,22,0),0)</f>
        <v>0</v>
      </c>
      <c r="O713" s="590"/>
      <c r="P713" s="589">
        <f>IFERROR(VLOOKUP($B712,اسماء,23,0),0)</f>
        <v>0</v>
      </c>
      <c r="Q713" s="609"/>
      <c r="R713" s="603">
        <f>IFERROR(VLOOKUP($B712,اسماء,24,0),0)</f>
        <v>0</v>
      </c>
      <c r="S713" s="592"/>
      <c r="T713" s="589">
        <f>IFERROR(VLOOKUP($B712,اسماء,25,0),0)</f>
        <v>0</v>
      </c>
      <c r="U713" s="592"/>
      <c r="V713" s="263">
        <f t="shared" si="2155"/>
        <v>0</v>
      </c>
      <c r="W713" s="373">
        <f>IFERROR(VLOOKUP($B712,اسماء,27,0),0)</f>
        <v>0</v>
      </c>
      <c r="X713" s="373">
        <f>IFERROR(VLOOKUP($B712,اسماء,28,0),0)</f>
        <v>0</v>
      </c>
      <c r="Y713" s="596"/>
      <c r="Z713" s="22" t="str">
        <f>LOOKUP(V713,$AF$6:$AG$10)</f>
        <v>ضعيف</v>
      </c>
      <c r="AA713" s="657"/>
      <c r="AB713" s="10"/>
      <c r="AC713" s="654"/>
      <c r="AN713" s="607"/>
      <c r="AO713" s="607"/>
      <c r="AP713" s="613"/>
      <c r="AQ713" s="612"/>
      <c r="AR713" s="611"/>
      <c r="AS713" s="612"/>
    </row>
    <row r="714" spans="1:45" ht="15" customHeight="1" x14ac:dyDescent="0.25">
      <c r="A714" s="633"/>
      <c r="B714" s="630"/>
      <c r="C714" s="622"/>
      <c r="D714" s="625"/>
      <c r="E714" s="133" t="s">
        <v>32</v>
      </c>
      <c r="F714" s="589">
        <f>IFERROR(VLOOKUP($B712,اسماء,31,0),0)</f>
        <v>0</v>
      </c>
      <c r="G714" s="592"/>
      <c r="H714" s="608">
        <f>IFERROR(VLOOKUP($B712,اسماء,32,0),0)</f>
        <v>0</v>
      </c>
      <c r="I714" s="609"/>
      <c r="J714" s="589">
        <f>IFERROR(VLOOKUP($B712,اسماء,33,0),0)</f>
        <v>0</v>
      </c>
      <c r="K714" s="592"/>
      <c r="L714" s="589">
        <f>IFERROR(VLOOKUP($B712,اسماء,34,0),0)</f>
        <v>0</v>
      </c>
      <c r="M714" s="590"/>
      <c r="N714" s="589">
        <f>IFERROR(VLOOKUP($B712,اسماء,35,0),0)</f>
        <v>0</v>
      </c>
      <c r="O714" s="590"/>
      <c r="P714" s="589">
        <f>IFERROR(VLOOKUP($B712,اسماء,36,0),0)</f>
        <v>0</v>
      </c>
      <c r="Q714" s="609"/>
      <c r="R714" s="603">
        <f>IFERROR(VLOOKUP($B712,اسماء,37,0),0)</f>
        <v>0</v>
      </c>
      <c r="S714" s="592"/>
      <c r="T714" s="589">
        <f>IFERROR(VLOOKUP($B712,اسماء,38,0),0)</f>
        <v>0</v>
      </c>
      <c r="U714" s="592"/>
      <c r="V714" s="263">
        <f t="shared" si="2155"/>
        <v>0</v>
      </c>
      <c r="W714" s="373">
        <f>IFERROR(VLOOKUP($B712,اسماء,40,0),0)</f>
        <v>0</v>
      </c>
      <c r="X714" s="373">
        <f>IFERROR(VLOOKUP($B712,اسماء,41,0),0)</f>
        <v>0</v>
      </c>
      <c r="Y714" s="596"/>
      <c r="Z714" s="22" t="str">
        <f>LOOKUP(V714,$AI$6:$AJ$10)</f>
        <v>ضعيف</v>
      </c>
      <c r="AA714" s="657"/>
      <c r="AB714" s="72"/>
      <c r="AC714" s="654"/>
      <c r="AN714" s="607"/>
      <c r="AO714" s="607"/>
      <c r="AP714" s="613"/>
      <c r="AQ714" s="612"/>
      <c r="AR714" s="611"/>
      <c r="AS714" s="612"/>
    </row>
    <row r="715" spans="1:45" ht="15" customHeight="1" thickBot="1" x14ac:dyDescent="0.3">
      <c r="A715" s="634"/>
      <c r="B715" s="631"/>
      <c r="C715" s="623"/>
      <c r="D715" s="626"/>
      <c r="E715" s="127" t="s">
        <v>33</v>
      </c>
      <c r="F715" s="585">
        <f t="shared" ref="F715" si="2158">SUM(F712:G714)</f>
        <v>0</v>
      </c>
      <c r="G715" s="593"/>
      <c r="H715" s="604">
        <f t="shared" ref="H715" si="2159">SUM(H712:I714)</f>
        <v>0</v>
      </c>
      <c r="I715" s="601"/>
      <c r="J715" s="585">
        <f t="shared" ref="J715" si="2160">SUM(J712:K714)</f>
        <v>0</v>
      </c>
      <c r="K715" s="593"/>
      <c r="L715" s="585">
        <f t="shared" ref="L715" si="2161">SUM(L712:M714)</f>
        <v>0</v>
      </c>
      <c r="M715" s="586"/>
      <c r="N715" s="585">
        <f t="shared" ref="N715" si="2162">SUM(N712:O714)</f>
        <v>0</v>
      </c>
      <c r="O715" s="586"/>
      <c r="P715" s="585">
        <f t="shared" ref="P715" si="2163">SUM(P712:Q714)</f>
        <v>0</v>
      </c>
      <c r="Q715" s="601"/>
      <c r="R715" s="602">
        <f t="shared" ref="R715" si="2164">SUM(R712:S714)</f>
        <v>0</v>
      </c>
      <c r="S715" s="593"/>
      <c r="T715" s="585">
        <f t="shared" ref="T715" si="2165">SUM(T712:U714)</f>
        <v>0</v>
      </c>
      <c r="U715" s="593"/>
      <c r="V715" s="210">
        <f t="shared" ref="V715" si="2166">IF(AND(F715&gt;=$G$8,H715&gt;=$I$8,L715&gt;=$M$8,P715&gt;=$Q$8,R715&gt;=$S$8,T715&gt;=$U$8),SUM(F715:U715),0)</f>
        <v>0</v>
      </c>
      <c r="W715" s="264"/>
      <c r="X715" s="97"/>
      <c r="Y715" s="597"/>
      <c r="Z715" s="91" t="str">
        <f>LOOKUP(V715,$AL$6:$AM$10)</f>
        <v>ضعيف</v>
      </c>
      <c r="AA715" s="658"/>
      <c r="AB715" s="72"/>
      <c r="AC715" s="655"/>
      <c r="AN715" s="607"/>
      <c r="AO715" s="607"/>
      <c r="AP715" s="613"/>
      <c r="AQ715" s="612"/>
      <c r="AR715" s="611"/>
      <c r="AS715" s="612"/>
    </row>
    <row r="716" spans="1:45" ht="15" customHeight="1" thickBot="1" x14ac:dyDescent="0.3">
      <c r="A716" s="632">
        <v>155</v>
      </c>
      <c r="B716" s="629">
        <f>VLOOKUP(A716,مسلسل,2,0)</f>
        <v>0</v>
      </c>
      <c r="C716" s="621" t="str">
        <f>IFERROR(VLOOKUP(B716,اسماء,2,0),"")</f>
        <v/>
      </c>
      <c r="D716" s="624" t="str">
        <f>IFERROR(VLOOKUP($B716,اسماء,3,0),"")</f>
        <v/>
      </c>
      <c r="E716" s="132" t="s">
        <v>30</v>
      </c>
      <c r="F716" s="627">
        <f>IFERROR(VLOOKUP($B716,اسماء,5,0),0)</f>
        <v>0</v>
      </c>
      <c r="G716" s="606"/>
      <c r="H716" s="628">
        <f>IFERROR(VLOOKUP($B716,اسماء,6,0),0)</f>
        <v>0</v>
      </c>
      <c r="I716" s="605"/>
      <c r="J716" s="587">
        <f>IFERROR(VLOOKUP($B716,اسماء,7,0),0)</f>
        <v>0</v>
      </c>
      <c r="K716" s="591"/>
      <c r="L716" s="587">
        <f>IFERROR(VLOOKUP($B716,اسماء,8,0),0)</f>
        <v>0</v>
      </c>
      <c r="M716" s="588"/>
      <c r="N716" s="587">
        <f>IFERROR(VLOOKUP($B716,اسماء,9,0),0)</f>
        <v>0</v>
      </c>
      <c r="O716" s="605"/>
      <c r="P716" s="587">
        <f>IFERROR(VLOOKUP($B716,اسماء,10,0),0)</f>
        <v>0</v>
      </c>
      <c r="Q716" s="605"/>
      <c r="R716" s="606">
        <f>IFERROR(VLOOKUP($B716,اسماء,11,0),0)</f>
        <v>0</v>
      </c>
      <c r="S716" s="591"/>
      <c r="T716" s="587">
        <f>IFERROR(VLOOKUP($B716,اسماء,12,0),0)</f>
        <v>0</v>
      </c>
      <c r="U716" s="591"/>
      <c r="V716" s="263">
        <f t="shared" ref="V716:V718" si="2167">SUM(F716:U716)</f>
        <v>0</v>
      </c>
      <c r="W716" s="373">
        <f>IFERROR(VLOOKUP($B716,اسماء,14,0),0)</f>
        <v>0</v>
      </c>
      <c r="X716" s="373">
        <f>IFERROR(VLOOKUP($B716,اسماء,15,0),0)</f>
        <v>0</v>
      </c>
      <c r="Y716" s="595" t="str">
        <f t="shared" ref="Y716" si="2168">IF(AC716="غائب","راسب",IF(AND(F719&gt;=$G$8,H719&gt;=$I$8,J719&gt;=$K$8,L719&gt;=$M$8,N719&gt;=$O$8,P719&gt;=$Q$8,R719&gt;=$S$8,T719&gt;=$U$8),"ناجح","له دور ثان"))</f>
        <v>له دور ثان</v>
      </c>
      <c r="Z716" s="21" t="str">
        <f t="shared" ref="Z716:Z717" si="2169">LOOKUP(V716,$AF$6:$AG$10)</f>
        <v>ضعيف</v>
      </c>
      <c r="AA716" s="656">
        <f t="shared" ref="AA716" si="2170">V719/$AF$3</f>
        <v>0</v>
      </c>
      <c r="AB716" s="10"/>
      <c r="AC716" s="653" t="str">
        <f>IFERROR(VLOOKUP($B716,اسماء,54,0),"")</f>
        <v/>
      </c>
      <c r="AN716" s="607" t="str">
        <f t="shared" ref="AN716" si="2171">IF(V719=0,"",V719/1+ROW()*0.00001)</f>
        <v/>
      </c>
      <c r="AO716" s="607">
        <f>B716</f>
        <v>0</v>
      </c>
      <c r="AP716" s="613"/>
      <c r="AQ716" s="612">
        <v>155</v>
      </c>
      <c r="AR716" s="611" t="str">
        <f>IFERROR(LARGE($AN$10:$AN$1006,AQ716),"")</f>
        <v/>
      </c>
      <c r="AS716" s="612" t="str">
        <f>VLOOKUP(AR716,$AN$10:$AO$1116,2,0)</f>
        <v>أحمد نورالدين أحمد الذيب</v>
      </c>
    </row>
    <row r="717" spans="1:45" ht="15" customHeight="1" thickBot="1" x14ac:dyDescent="0.3">
      <c r="A717" s="633"/>
      <c r="B717" s="630"/>
      <c r="C717" s="622"/>
      <c r="D717" s="625"/>
      <c r="E717" s="133" t="s">
        <v>31</v>
      </c>
      <c r="F717" s="589">
        <f>IFERROR(VLOOKUP($B716,اسماء,18,0),0)</f>
        <v>0</v>
      </c>
      <c r="G717" s="592"/>
      <c r="H717" s="608">
        <f>IFERROR(VLOOKUP($B716,اسماء,19,0),0)</f>
        <v>0</v>
      </c>
      <c r="I717" s="609"/>
      <c r="J717" s="589">
        <f>IFERROR(VLOOKUP($B716,اسماء,20,0),0)</f>
        <v>0</v>
      </c>
      <c r="K717" s="592"/>
      <c r="L717" s="589">
        <f>IFERROR(VLOOKUP($B716,اسماء,21,0),0)</f>
        <v>0</v>
      </c>
      <c r="M717" s="590"/>
      <c r="N717" s="589">
        <f>IFERROR(VLOOKUP($B716,اسماء,22,0),0)</f>
        <v>0</v>
      </c>
      <c r="O717" s="590"/>
      <c r="P717" s="589">
        <f>IFERROR(VLOOKUP($B716,اسماء,23,0),0)</f>
        <v>0</v>
      </c>
      <c r="Q717" s="609"/>
      <c r="R717" s="603">
        <f>IFERROR(VLOOKUP($B716,اسماء,24,0),0)</f>
        <v>0</v>
      </c>
      <c r="S717" s="592"/>
      <c r="T717" s="589">
        <f>IFERROR(VLOOKUP($B716,اسماء,25,0),0)</f>
        <v>0</v>
      </c>
      <c r="U717" s="592"/>
      <c r="V717" s="263">
        <f t="shared" si="2167"/>
        <v>0</v>
      </c>
      <c r="W717" s="373">
        <f>IFERROR(VLOOKUP($B716,اسماء,27,0),0)</f>
        <v>0</v>
      </c>
      <c r="X717" s="373">
        <f>IFERROR(VLOOKUP($B716,اسماء,28,0),0)</f>
        <v>0</v>
      </c>
      <c r="Y717" s="596"/>
      <c r="Z717" s="22" t="str">
        <f t="shared" si="2169"/>
        <v>ضعيف</v>
      </c>
      <c r="AA717" s="657"/>
      <c r="AB717" s="72"/>
      <c r="AC717" s="654"/>
      <c r="AN717" s="607"/>
      <c r="AO717" s="607"/>
      <c r="AP717" s="613"/>
      <c r="AQ717" s="612"/>
      <c r="AR717" s="611"/>
      <c r="AS717" s="612"/>
    </row>
    <row r="718" spans="1:45" ht="15" customHeight="1" x14ac:dyDescent="0.25">
      <c r="A718" s="633"/>
      <c r="B718" s="630"/>
      <c r="C718" s="622"/>
      <c r="D718" s="625"/>
      <c r="E718" s="133" t="s">
        <v>32</v>
      </c>
      <c r="F718" s="589">
        <f>IFERROR(VLOOKUP($B716,اسماء,31,0),0)</f>
        <v>0</v>
      </c>
      <c r="G718" s="592"/>
      <c r="H718" s="608">
        <f>IFERROR(VLOOKUP($B716,اسماء,32,0),0)</f>
        <v>0</v>
      </c>
      <c r="I718" s="609"/>
      <c r="J718" s="589">
        <f>IFERROR(VLOOKUP($B716,اسماء,33,0),0)</f>
        <v>0</v>
      </c>
      <c r="K718" s="592"/>
      <c r="L718" s="589">
        <f>IFERROR(VLOOKUP($B716,اسماء,34,0),0)</f>
        <v>0</v>
      </c>
      <c r="M718" s="590"/>
      <c r="N718" s="589">
        <f>IFERROR(VLOOKUP($B716,اسماء,35,0),0)</f>
        <v>0</v>
      </c>
      <c r="O718" s="590"/>
      <c r="P718" s="589">
        <f>IFERROR(VLOOKUP($B716,اسماء,36,0),0)</f>
        <v>0</v>
      </c>
      <c r="Q718" s="609"/>
      <c r="R718" s="603">
        <f>IFERROR(VLOOKUP($B716,اسماء,37,0),0)</f>
        <v>0</v>
      </c>
      <c r="S718" s="592"/>
      <c r="T718" s="589">
        <f>IFERROR(VLOOKUP($B716,اسماء,38,0),0)</f>
        <v>0</v>
      </c>
      <c r="U718" s="592"/>
      <c r="V718" s="263">
        <f t="shared" si="2167"/>
        <v>0</v>
      </c>
      <c r="W718" s="373">
        <f>IFERROR(VLOOKUP($B716,اسماء,40,0),0)</f>
        <v>0</v>
      </c>
      <c r="X718" s="373">
        <f>IFERROR(VLOOKUP($B716,اسماء,41,0),0)</f>
        <v>0</v>
      </c>
      <c r="Y718" s="596"/>
      <c r="Z718" s="22" t="str">
        <f t="shared" ref="Z718" si="2172">LOOKUP(V718,$AI$6:$AJ$10)</f>
        <v>ضعيف</v>
      </c>
      <c r="AA718" s="657"/>
      <c r="AB718" s="72"/>
      <c r="AC718" s="654"/>
      <c r="AN718" s="607"/>
      <c r="AO718" s="607"/>
      <c r="AP718" s="613"/>
      <c r="AQ718" s="612"/>
      <c r="AR718" s="611"/>
      <c r="AS718" s="612"/>
    </row>
    <row r="719" spans="1:45" ht="15" customHeight="1" thickBot="1" x14ac:dyDescent="0.3">
      <c r="A719" s="634"/>
      <c r="B719" s="631"/>
      <c r="C719" s="623"/>
      <c r="D719" s="626"/>
      <c r="E719" s="127" t="s">
        <v>33</v>
      </c>
      <c r="F719" s="585">
        <f t="shared" ref="F719" si="2173">SUM(F716:G718)</f>
        <v>0</v>
      </c>
      <c r="G719" s="593"/>
      <c r="H719" s="604">
        <f t="shared" ref="H719" si="2174">SUM(H716:I718)</f>
        <v>0</v>
      </c>
      <c r="I719" s="601"/>
      <c r="J719" s="585">
        <f t="shared" ref="J719" si="2175">SUM(J716:K718)</f>
        <v>0</v>
      </c>
      <c r="K719" s="593"/>
      <c r="L719" s="585">
        <f t="shared" ref="L719" si="2176">SUM(L716:M718)</f>
        <v>0</v>
      </c>
      <c r="M719" s="586"/>
      <c r="N719" s="585">
        <f t="shared" ref="N719" si="2177">SUM(N716:O718)</f>
        <v>0</v>
      </c>
      <c r="O719" s="586"/>
      <c r="P719" s="585">
        <f t="shared" ref="P719" si="2178">SUM(P716:Q718)</f>
        <v>0</v>
      </c>
      <c r="Q719" s="601"/>
      <c r="R719" s="602">
        <f t="shared" ref="R719" si="2179">SUM(R716:S718)</f>
        <v>0</v>
      </c>
      <c r="S719" s="593"/>
      <c r="T719" s="585">
        <f t="shared" ref="T719" si="2180">SUM(T716:U718)</f>
        <v>0</v>
      </c>
      <c r="U719" s="593"/>
      <c r="V719" s="210">
        <f t="shared" ref="V719" si="2181">IF(AND(F719&gt;=$G$8,H719&gt;=$I$8,L719&gt;=$M$8,P719&gt;=$Q$8,R719&gt;=$S$8,T719&gt;=$U$8),SUM(F719:U719),0)</f>
        <v>0</v>
      </c>
      <c r="W719" s="264"/>
      <c r="X719" s="97"/>
      <c r="Y719" s="597"/>
      <c r="Z719" s="91" t="str">
        <f t="shared" ref="Z719" si="2182">LOOKUP(V719,$AL$6:$AM$10)</f>
        <v>ضعيف</v>
      </c>
      <c r="AA719" s="658"/>
      <c r="AB719" s="10"/>
      <c r="AC719" s="655"/>
      <c r="AN719" s="607"/>
      <c r="AO719" s="607"/>
      <c r="AP719" s="613"/>
      <c r="AQ719" s="612"/>
      <c r="AR719" s="611"/>
      <c r="AS719" s="612"/>
    </row>
    <row r="720" spans="1:45" ht="15" customHeight="1" thickBot="1" x14ac:dyDescent="0.3">
      <c r="A720" s="632">
        <v>156</v>
      </c>
      <c r="B720" s="629">
        <f>VLOOKUP(A720,مسلسل,2,0)</f>
        <v>0</v>
      </c>
      <c r="C720" s="621" t="str">
        <f>IFERROR(VLOOKUP(B720,اسماء,2,0),"")</f>
        <v/>
      </c>
      <c r="D720" s="624" t="str">
        <f>IFERROR(VLOOKUP($B720,اسماء,3,0),"")</f>
        <v/>
      </c>
      <c r="E720" s="132" t="s">
        <v>30</v>
      </c>
      <c r="F720" s="627">
        <f>IFERROR(VLOOKUP($B720,اسماء,5,0),0)</f>
        <v>0</v>
      </c>
      <c r="G720" s="606"/>
      <c r="H720" s="628">
        <f>IFERROR(VLOOKUP($B720,اسماء,6,0),0)</f>
        <v>0</v>
      </c>
      <c r="I720" s="605"/>
      <c r="J720" s="587">
        <f>IFERROR(VLOOKUP($B720,اسماء,7,0),0)</f>
        <v>0</v>
      </c>
      <c r="K720" s="591"/>
      <c r="L720" s="587">
        <f>IFERROR(VLOOKUP($B720,اسماء,8,0),0)</f>
        <v>0</v>
      </c>
      <c r="M720" s="588"/>
      <c r="N720" s="587">
        <f>IFERROR(VLOOKUP($B720,اسماء,9,0),0)</f>
        <v>0</v>
      </c>
      <c r="O720" s="605"/>
      <c r="P720" s="587">
        <f>IFERROR(VLOOKUP($B720,اسماء,10,0),0)</f>
        <v>0</v>
      </c>
      <c r="Q720" s="605"/>
      <c r="R720" s="606">
        <f>IFERROR(VLOOKUP($B720,اسماء,11,0),0)</f>
        <v>0</v>
      </c>
      <c r="S720" s="591"/>
      <c r="T720" s="587">
        <f>IFERROR(VLOOKUP($B720,اسماء,12,0),0)</f>
        <v>0</v>
      </c>
      <c r="U720" s="591"/>
      <c r="V720" s="263">
        <f t="shared" ref="V720:V722" si="2183">SUM(F720:U720)</f>
        <v>0</v>
      </c>
      <c r="W720" s="373">
        <f>IFERROR(VLOOKUP($B720,اسماء,14,0),0)</f>
        <v>0</v>
      </c>
      <c r="X720" s="373">
        <f>IFERROR(VLOOKUP($B720,اسماء,15,0),0)</f>
        <v>0</v>
      </c>
      <c r="Y720" s="595" t="str">
        <f t="shared" ref="Y720" si="2184">IF(AC720="غائب","راسب",IF(AND(F723&gt;=$G$8,H723&gt;=$I$8,J723&gt;=$K$8,L723&gt;=$M$8,N723&gt;=$O$8,P723&gt;=$Q$8,R723&gt;=$S$8,T723&gt;=$U$8),"ناجح","له دور ثان"))</f>
        <v>له دور ثان</v>
      </c>
      <c r="Z720" s="21" t="str">
        <f t="shared" ref="Z720:Z721" si="2185">LOOKUP(V720,$AF$6:$AG$10)</f>
        <v>ضعيف</v>
      </c>
      <c r="AA720" s="656">
        <f t="shared" ref="AA720" si="2186">V723/$AF$3</f>
        <v>0</v>
      </c>
      <c r="AB720" s="72"/>
      <c r="AC720" s="653" t="str">
        <f>IFERROR(VLOOKUP($B720,اسماء,54,0),"")</f>
        <v/>
      </c>
      <c r="AN720" s="607" t="str">
        <f t="shared" ref="AN720" si="2187">IF(V723=0,"",V723/1+ROW()*0.00001)</f>
        <v/>
      </c>
      <c r="AO720" s="607">
        <f>B720</f>
        <v>0</v>
      </c>
      <c r="AP720" s="613"/>
      <c r="AQ720" s="612">
        <v>156</v>
      </c>
      <c r="AR720" s="611" t="str">
        <f>IFERROR(LARGE($AN$10:$AN$1006,AQ720),"")</f>
        <v/>
      </c>
      <c r="AS720" s="612" t="str">
        <f>VLOOKUP(AR720,$AN$10:$AO$1116,2,0)</f>
        <v>أحمد نورالدين أحمد الذيب</v>
      </c>
    </row>
    <row r="721" spans="1:45" ht="15" customHeight="1" thickBot="1" x14ac:dyDescent="0.3">
      <c r="A721" s="633"/>
      <c r="B721" s="630"/>
      <c r="C721" s="622"/>
      <c r="D721" s="625"/>
      <c r="E721" s="133" t="s">
        <v>31</v>
      </c>
      <c r="F721" s="589">
        <f>IFERROR(VLOOKUP($B720,اسماء,18,0),0)</f>
        <v>0</v>
      </c>
      <c r="G721" s="592"/>
      <c r="H721" s="608">
        <f>IFERROR(VLOOKUP($B720,اسماء,19,0),0)</f>
        <v>0</v>
      </c>
      <c r="I721" s="609"/>
      <c r="J721" s="589">
        <f>IFERROR(VLOOKUP($B720,اسماء,20,0),0)</f>
        <v>0</v>
      </c>
      <c r="K721" s="592"/>
      <c r="L721" s="589">
        <f>IFERROR(VLOOKUP($B720,اسماء,21,0),0)</f>
        <v>0</v>
      </c>
      <c r="M721" s="590"/>
      <c r="N721" s="589">
        <f>IFERROR(VLOOKUP($B720,اسماء,22,0),0)</f>
        <v>0</v>
      </c>
      <c r="O721" s="590"/>
      <c r="P721" s="589">
        <f>IFERROR(VLOOKUP($B720,اسماء,23,0),0)</f>
        <v>0</v>
      </c>
      <c r="Q721" s="609"/>
      <c r="R721" s="603">
        <f>IFERROR(VLOOKUP($B720,اسماء,24,0),0)</f>
        <v>0</v>
      </c>
      <c r="S721" s="592"/>
      <c r="T721" s="589">
        <f>IFERROR(VLOOKUP($B720,اسماء,25,0),0)</f>
        <v>0</v>
      </c>
      <c r="U721" s="592"/>
      <c r="V721" s="263">
        <f t="shared" si="2183"/>
        <v>0</v>
      </c>
      <c r="W721" s="373">
        <f>IFERROR(VLOOKUP($B720,اسماء,27,0),0)</f>
        <v>0</v>
      </c>
      <c r="X721" s="373">
        <f>IFERROR(VLOOKUP($B720,اسماء,28,0),0)</f>
        <v>0</v>
      </c>
      <c r="Y721" s="596"/>
      <c r="Z721" s="22" t="str">
        <f t="shared" si="2185"/>
        <v>ضعيف</v>
      </c>
      <c r="AA721" s="657"/>
      <c r="AB721" s="72"/>
      <c r="AC721" s="654"/>
      <c r="AN721" s="607"/>
      <c r="AO721" s="607"/>
      <c r="AP721" s="613"/>
      <c r="AQ721" s="612"/>
      <c r="AR721" s="611"/>
      <c r="AS721" s="612"/>
    </row>
    <row r="722" spans="1:45" ht="15" customHeight="1" x14ac:dyDescent="0.25">
      <c r="A722" s="633"/>
      <c r="B722" s="630"/>
      <c r="C722" s="622"/>
      <c r="D722" s="625"/>
      <c r="E722" s="133" t="s">
        <v>32</v>
      </c>
      <c r="F722" s="589">
        <f>IFERROR(VLOOKUP($B720,اسماء,31,0),0)</f>
        <v>0</v>
      </c>
      <c r="G722" s="592"/>
      <c r="H722" s="608">
        <f>IFERROR(VLOOKUP($B720,اسماء,32,0),0)</f>
        <v>0</v>
      </c>
      <c r="I722" s="609"/>
      <c r="J722" s="589">
        <f>IFERROR(VLOOKUP($B720,اسماء,33,0),0)</f>
        <v>0</v>
      </c>
      <c r="K722" s="592"/>
      <c r="L722" s="589">
        <f>IFERROR(VLOOKUP($B720,اسماء,34,0),0)</f>
        <v>0</v>
      </c>
      <c r="M722" s="590"/>
      <c r="N722" s="589">
        <f>IFERROR(VLOOKUP($B720,اسماء,35,0),0)</f>
        <v>0</v>
      </c>
      <c r="O722" s="590"/>
      <c r="P722" s="589">
        <f>IFERROR(VLOOKUP($B720,اسماء,36,0),0)</f>
        <v>0</v>
      </c>
      <c r="Q722" s="609"/>
      <c r="R722" s="603">
        <f>IFERROR(VLOOKUP($B720,اسماء,37,0),0)</f>
        <v>0</v>
      </c>
      <c r="S722" s="592"/>
      <c r="T722" s="589">
        <f>IFERROR(VLOOKUP($B720,اسماء,38,0),0)</f>
        <v>0</v>
      </c>
      <c r="U722" s="592"/>
      <c r="V722" s="263">
        <f t="shared" si="2183"/>
        <v>0</v>
      </c>
      <c r="W722" s="373">
        <f>IFERROR(VLOOKUP($B720,اسماء,40,0),0)</f>
        <v>0</v>
      </c>
      <c r="X722" s="373">
        <f>IFERROR(VLOOKUP($B720,اسماء,41,0),0)</f>
        <v>0</v>
      </c>
      <c r="Y722" s="596"/>
      <c r="Z722" s="22" t="str">
        <f t="shared" ref="Z722" si="2188">LOOKUP(V722,$AI$6:$AJ$10)</f>
        <v>ضعيف</v>
      </c>
      <c r="AA722" s="657"/>
      <c r="AB722" s="10"/>
      <c r="AC722" s="654"/>
      <c r="AN722" s="607"/>
      <c r="AO722" s="607"/>
      <c r="AP722" s="613"/>
      <c r="AQ722" s="612"/>
      <c r="AR722" s="611"/>
      <c r="AS722" s="612"/>
    </row>
    <row r="723" spans="1:45" ht="15" customHeight="1" thickBot="1" x14ac:dyDescent="0.3">
      <c r="A723" s="634"/>
      <c r="B723" s="631"/>
      <c r="C723" s="623"/>
      <c r="D723" s="626"/>
      <c r="E723" s="127" t="s">
        <v>33</v>
      </c>
      <c r="F723" s="585">
        <f t="shared" ref="F723" si="2189">SUM(F720:G722)</f>
        <v>0</v>
      </c>
      <c r="G723" s="593"/>
      <c r="H723" s="604">
        <f t="shared" ref="H723" si="2190">SUM(H720:I722)</f>
        <v>0</v>
      </c>
      <c r="I723" s="601"/>
      <c r="J723" s="585">
        <f t="shared" ref="J723" si="2191">SUM(J720:K722)</f>
        <v>0</v>
      </c>
      <c r="K723" s="593"/>
      <c r="L723" s="585">
        <f t="shared" ref="L723" si="2192">SUM(L720:M722)</f>
        <v>0</v>
      </c>
      <c r="M723" s="586"/>
      <c r="N723" s="585">
        <f t="shared" ref="N723" si="2193">SUM(N720:O722)</f>
        <v>0</v>
      </c>
      <c r="O723" s="586"/>
      <c r="P723" s="585">
        <f t="shared" ref="P723" si="2194">SUM(P720:Q722)</f>
        <v>0</v>
      </c>
      <c r="Q723" s="601"/>
      <c r="R723" s="602">
        <f t="shared" ref="R723" si="2195">SUM(R720:S722)</f>
        <v>0</v>
      </c>
      <c r="S723" s="593"/>
      <c r="T723" s="585">
        <f t="shared" ref="T723" si="2196">SUM(T720:U722)</f>
        <v>0</v>
      </c>
      <c r="U723" s="593"/>
      <c r="V723" s="210">
        <f t="shared" ref="V723" si="2197">IF(AND(F723&gt;=$G$8,H723&gt;=$I$8,L723&gt;=$M$8,P723&gt;=$Q$8,R723&gt;=$S$8,T723&gt;=$U$8),SUM(F723:U723),0)</f>
        <v>0</v>
      </c>
      <c r="W723" s="264"/>
      <c r="X723" s="97"/>
      <c r="Y723" s="597"/>
      <c r="Z723" s="91" t="str">
        <f t="shared" ref="Z723" si="2198">LOOKUP(V723,$AL$6:$AM$10)</f>
        <v>ضعيف</v>
      </c>
      <c r="AA723" s="658"/>
      <c r="AB723" s="72"/>
      <c r="AC723" s="655"/>
      <c r="AN723" s="607"/>
      <c r="AO723" s="607"/>
      <c r="AP723" s="613"/>
      <c r="AQ723" s="612"/>
      <c r="AR723" s="611"/>
      <c r="AS723" s="612"/>
    </row>
    <row r="724" spans="1:45" ht="15" customHeight="1" thickBot="1" x14ac:dyDescent="0.3">
      <c r="A724" s="632">
        <v>157</v>
      </c>
      <c r="B724" s="629">
        <f>VLOOKUP(A724,مسلسل,2,0)</f>
        <v>0</v>
      </c>
      <c r="C724" s="621" t="str">
        <f>IFERROR(VLOOKUP(B724,اسماء,2,0),"")</f>
        <v/>
      </c>
      <c r="D724" s="624" t="str">
        <f>IFERROR(VLOOKUP($B724,اسماء,3,0),"")</f>
        <v/>
      </c>
      <c r="E724" s="132" t="s">
        <v>30</v>
      </c>
      <c r="F724" s="627">
        <f>IFERROR(VLOOKUP($B724,اسماء,5,0),0)</f>
        <v>0</v>
      </c>
      <c r="G724" s="606"/>
      <c r="H724" s="628">
        <f>IFERROR(VLOOKUP($B724,اسماء,6,0),0)</f>
        <v>0</v>
      </c>
      <c r="I724" s="605"/>
      <c r="J724" s="587">
        <f>IFERROR(VLOOKUP($B724,اسماء,7,0),0)</f>
        <v>0</v>
      </c>
      <c r="K724" s="591"/>
      <c r="L724" s="587">
        <f>IFERROR(VLOOKUP($B724,اسماء,8,0),0)</f>
        <v>0</v>
      </c>
      <c r="M724" s="588"/>
      <c r="N724" s="587">
        <f>IFERROR(VLOOKUP($B724,اسماء,9,0),0)</f>
        <v>0</v>
      </c>
      <c r="O724" s="605"/>
      <c r="P724" s="587">
        <f>IFERROR(VLOOKUP($B724,اسماء,10,0),0)</f>
        <v>0</v>
      </c>
      <c r="Q724" s="605"/>
      <c r="R724" s="606">
        <f>IFERROR(VLOOKUP($B724,اسماء,11,0),0)</f>
        <v>0</v>
      </c>
      <c r="S724" s="591"/>
      <c r="T724" s="587">
        <f>IFERROR(VLOOKUP($B724,اسماء,12,0),0)</f>
        <v>0</v>
      </c>
      <c r="U724" s="591"/>
      <c r="V724" s="263">
        <f t="shared" ref="V724:V726" si="2199">SUM(F724:U724)</f>
        <v>0</v>
      </c>
      <c r="W724" s="373">
        <f>IFERROR(VLOOKUP($B724,اسماء,14,0),0)</f>
        <v>0</v>
      </c>
      <c r="X724" s="373">
        <f>IFERROR(VLOOKUP($B724,اسماء,15,0),0)</f>
        <v>0</v>
      </c>
      <c r="Y724" s="595" t="str">
        <f t="shared" ref="Y724" si="2200">IF(AC724="غائب","راسب",IF(AND(F727&gt;=$G$8,H727&gt;=$I$8,J727&gt;=$K$8,L727&gt;=$M$8,N727&gt;=$O$8,P727&gt;=$Q$8,R727&gt;=$S$8,T727&gt;=$U$8),"ناجح","له دور ثان"))</f>
        <v>له دور ثان</v>
      </c>
      <c r="Z724" s="21" t="str">
        <f t="shared" ref="Z724:Z725" si="2201">LOOKUP(V724,$AF$6:$AG$10)</f>
        <v>ضعيف</v>
      </c>
      <c r="AA724" s="656">
        <f t="shared" ref="AA724" si="2202">V727/$AF$3</f>
        <v>0</v>
      </c>
      <c r="AB724" s="72"/>
      <c r="AC724" s="653" t="str">
        <f>IFERROR(VLOOKUP($B724,اسماء,54,0),"")</f>
        <v/>
      </c>
      <c r="AN724" s="607" t="str">
        <f t="shared" ref="AN724" si="2203">IF(V727=0,"",V727/1+ROW()*0.00001)</f>
        <v/>
      </c>
      <c r="AO724" s="607">
        <f>B724</f>
        <v>0</v>
      </c>
      <c r="AP724" s="613"/>
      <c r="AQ724" s="612">
        <v>157</v>
      </c>
      <c r="AR724" s="611" t="str">
        <f>IFERROR(LARGE($AN$10:$AN$1006,AQ724),"")</f>
        <v/>
      </c>
      <c r="AS724" s="612" t="str">
        <f>VLOOKUP(AR724,$AN$10:$AO$1116,2,0)</f>
        <v>أحمد نورالدين أحمد الذيب</v>
      </c>
    </row>
    <row r="725" spans="1:45" ht="15" customHeight="1" thickBot="1" x14ac:dyDescent="0.3">
      <c r="A725" s="633"/>
      <c r="B725" s="630"/>
      <c r="C725" s="622"/>
      <c r="D725" s="625"/>
      <c r="E725" s="133" t="s">
        <v>31</v>
      </c>
      <c r="F725" s="589">
        <f>IFERROR(VLOOKUP($B724,اسماء,18,0),0)</f>
        <v>0</v>
      </c>
      <c r="G725" s="592"/>
      <c r="H725" s="608">
        <f>IFERROR(VLOOKUP($B724,اسماء,19,0),0)</f>
        <v>0</v>
      </c>
      <c r="I725" s="609"/>
      <c r="J725" s="589">
        <f>IFERROR(VLOOKUP($B724,اسماء,20,0),0)</f>
        <v>0</v>
      </c>
      <c r="K725" s="592"/>
      <c r="L725" s="589">
        <f>IFERROR(VLOOKUP($B724,اسماء,21,0),0)</f>
        <v>0</v>
      </c>
      <c r="M725" s="590"/>
      <c r="N725" s="589">
        <f>IFERROR(VLOOKUP($B724,اسماء,22,0),0)</f>
        <v>0</v>
      </c>
      <c r="O725" s="590"/>
      <c r="P725" s="589">
        <f>IFERROR(VLOOKUP($B724,اسماء,23,0),0)</f>
        <v>0</v>
      </c>
      <c r="Q725" s="609"/>
      <c r="R725" s="603">
        <f>IFERROR(VLOOKUP($B724,اسماء,24,0),0)</f>
        <v>0</v>
      </c>
      <c r="S725" s="592"/>
      <c r="T725" s="589">
        <f>IFERROR(VLOOKUP($B724,اسماء,25,0),0)</f>
        <v>0</v>
      </c>
      <c r="U725" s="592"/>
      <c r="V725" s="263">
        <f t="shared" si="2199"/>
        <v>0</v>
      </c>
      <c r="W725" s="373">
        <f>IFERROR(VLOOKUP($B724,اسماء,27,0),0)</f>
        <v>0</v>
      </c>
      <c r="X725" s="373">
        <f>IFERROR(VLOOKUP($B724,اسماء,28,0),0)</f>
        <v>0</v>
      </c>
      <c r="Y725" s="596"/>
      <c r="Z725" s="22" t="str">
        <f t="shared" si="2201"/>
        <v>ضعيف</v>
      </c>
      <c r="AA725" s="657"/>
      <c r="AB725" s="10"/>
      <c r="AC725" s="654"/>
      <c r="AN725" s="607"/>
      <c r="AO725" s="607"/>
      <c r="AP725" s="613"/>
      <c r="AQ725" s="612"/>
      <c r="AR725" s="611"/>
      <c r="AS725" s="612"/>
    </row>
    <row r="726" spans="1:45" ht="15" customHeight="1" x14ac:dyDescent="0.25">
      <c r="A726" s="633"/>
      <c r="B726" s="630"/>
      <c r="C726" s="622"/>
      <c r="D726" s="625"/>
      <c r="E726" s="133" t="s">
        <v>32</v>
      </c>
      <c r="F726" s="589">
        <f>IFERROR(VLOOKUP($B724,اسماء,31,0),0)</f>
        <v>0</v>
      </c>
      <c r="G726" s="592"/>
      <c r="H726" s="608">
        <f>IFERROR(VLOOKUP($B724,اسماء,32,0),0)</f>
        <v>0</v>
      </c>
      <c r="I726" s="609"/>
      <c r="J726" s="589">
        <f>IFERROR(VLOOKUP($B724,اسماء,33,0),0)</f>
        <v>0</v>
      </c>
      <c r="K726" s="592"/>
      <c r="L726" s="589">
        <f>IFERROR(VLOOKUP($B724,اسماء,34,0),0)</f>
        <v>0</v>
      </c>
      <c r="M726" s="590"/>
      <c r="N726" s="589">
        <f>IFERROR(VLOOKUP($B724,اسماء,35,0),0)</f>
        <v>0</v>
      </c>
      <c r="O726" s="590"/>
      <c r="P726" s="589">
        <f>IFERROR(VLOOKUP($B724,اسماء,36,0),0)</f>
        <v>0</v>
      </c>
      <c r="Q726" s="609"/>
      <c r="R726" s="603">
        <f>IFERROR(VLOOKUP($B724,اسماء,37,0),0)</f>
        <v>0</v>
      </c>
      <c r="S726" s="592"/>
      <c r="T726" s="589">
        <f>IFERROR(VLOOKUP($B724,اسماء,38,0),0)</f>
        <v>0</v>
      </c>
      <c r="U726" s="592"/>
      <c r="V726" s="263">
        <f t="shared" si="2199"/>
        <v>0</v>
      </c>
      <c r="W726" s="373">
        <f>IFERROR(VLOOKUP($B724,اسماء,40,0),0)</f>
        <v>0</v>
      </c>
      <c r="X726" s="373">
        <f>IFERROR(VLOOKUP($B724,اسماء,41,0),0)</f>
        <v>0</v>
      </c>
      <c r="Y726" s="596"/>
      <c r="Z726" s="22" t="str">
        <f t="shared" ref="Z726" si="2204">LOOKUP(V726,$AI$6:$AJ$10)</f>
        <v>ضعيف</v>
      </c>
      <c r="AA726" s="657"/>
      <c r="AB726" s="72"/>
      <c r="AC726" s="654"/>
      <c r="AN726" s="607"/>
      <c r="AO726" s="607"/>
      <c r="AP726" s="613"/>
      <c r="AQ726" s="612"/>
      <c r="AR726" s="611"/>
      <c r="AS726" s="612"/>
    </row>
    <row r="727" spans="1:45" ht="15" customHeight="1" thickBot="1" x14ac:dyDescent="0.3">
      <c r="A727" s="634"/>
      <c r="B727" s="631"/>
      <c r="C727" s="623"/>
      <c r="D727" s="626"/>
      <c r="E727" s="127" t="s">
        <v>33</v>
      </c>
      <c r="F727" s="585">
        <f t="shared" ref="F727" si="2205">SUM(F724:G726)</f>
        <v>0</v>
      </c>
      <c r="G727" s="593"/>
      <c r="H727" s="604">
        <f t="shared" ref="H727" si="2206">SUM(H724:I726)</f>
        <v>0</v>
      </c>
      <c r="I727" s="601"/>
      <c r="J727" s="585">
        <f t="shared" ref="J727" si="2207">SUM(J724:K726)</f>
        <v>0</v>
      </c>
      <c r="K727" s="593"/>
      <c r="L727" s="585">
        <f t="shared" ref="L727" si="2208">SUM(L724:M726)</f>
        <v>0</v>
      </c>
      <c r="M727" s="586"/>
      <c r="N727" s="585">
        <f t="shared" ref="N727" si="2209">SUM(N724:O726)</f>
        <v>0</v>
      </c>
      <c r="O727" s="586"/>
      <c r="P727" s="585">
        <f t="shared" ref="P727" si="2210">SUM(P724:Q726)</f>
        <v>0</v>
      </c>
      <c r="Q727" s="601"/>
      <c r="R727" s="602">
        <f t="shared" ref="R727" si="2211">SUM(R724:S726)</f>
        <v>0</v>
      </c>
      <c r="S727" s="593"/>
      <c r="T727" s="585">
        <f t="shared" ref="T727" si="2212">SUM(T724:U726)</f>
        <v>0</v>
      </c>
      <c r="U727" s="593"/>
      <c r="V727" s="210">
        <f t="shared" ref="V727" si="2213">IF(AND(F727&gt;=$G$8,H727&gt;=$I$8,L727&gt;=$M$8,P727&gt;=$Q$8,R727&gt;=$S$8,T727&gt;=$U$8),SUM(F727:U727),0)</f>
        <v>0</v>
      </c>
      <c r="W727" s="264"/>
      <c r="X727" s="97"/>
      <c r="Y727" s="597"/>
      <c r="Z727" s="91" t="str">
        <f t="shared" ref="Z727" si="2214">LOOKUP(V727,$AL$6:$AM$10)</f>
        <v>ضعيف</v>
      </c>
      <c r="AA727" s="658"/>
      <c r="AB727" s="72"/>
      <c r="AC727" s="655"/>
      <c r="AN727" s="607"/>
      <c r="AO727" s="607"/>
      <c r="AP727" s="613"/>
      <c r="AQ727" s="612"/>
      <c r="AR727" s="611"/>
      <c r="AS727" s="612"/>
    </row>
    <row r="728" spans="1:45" ht="15" customHeight="1" thickBot="1" x14ac:dyDescent="0.3">
      <c r="A728" s="632">
        <v>158</v>
      </c>
      <c r="B728" s="629">
        <f>VLOOKUP(A728,مسلسل,2,0)</f>
        <v>0</v>
      </c>
      <c r="C728" s="621" t="str">
        <f>IFERROR(VLOOKUP(B728,اسماء,2,0),"")</f>
        <v/>
      </c>
      <c r="D728" s="624" t="str">
        <f>IFERROR(VLOOKUP($B728,اسماء,3,0),"")</f>
        <v/>
      </c>
      <c r="E728" s="132" t="s">
        <v>30</v>
      </c>
      <c r="F728" s="627">
        <f>IFERROR(VLOOKUP($B728,اسماء,5,0),0)</f>
        <v>0</v>
      </c>
      <c r="G728" s="606"/>
      <c r="H728" s="628">
        <f>IFERROR(VLOOKUP($B728,اسماء,6,0),0)</f>
        <v>0</v>
      </c>
      <c r="I728" s="605"/>
      <c r="J728" s="587">
        <f>IFERROR(VLOOKUP($B728,اسماء,7,0),0)</f>
        <v>0</v>
      </c>
      <c r="K728" s="591"/>
      <c r="L728" s="587">
        <f>IFERROR(VLOOKUP($B728,اسماء,8,0),0)</f>
        <v>0</v>
      </c>
      <c r="M728" s="588"/>
      <c r="N728" s="587">
        <f>IFERROR(VLOOKUP($B728,اسماء,9,0),0)</f>
        <v>0</v>
      </c>
      <c r="O728" s="605"/>
      <c r="P728" s="587">
        <f>IFERROR(VLOOKUP($B728,اسماء,10,0),0)</f>
        <v>0</v>
      </c>
      <c r="Q728" s="605"/>
      <c r="R728" s="606">
        <f>IFERROR(VLOOKUP($B728,اسماء,11,0),0)</f>
        <v>0</v>
      </c>
      <c r="S728" s="591"/>
      <c r="T728" s="587">
        <f>IFERROR(VLOOKUP($B728,اسماء,12,0),0)</f>
        <v>0</v>
      </c>
      <c r="U728" s="591"/>
      <c r="V728" s="263">
        <f t="shared" ref="V728:V730" si="2215">SUM(F728:U728)</f>
        <v>0</v>
      </c>
      <c r="W728" s="373">
        <f>IFERROR(VLOOKUP($B728,اسماء,14,0),0)</f>
        <v>0</v>
      </c>
      <c r="X728" s="373">
        <f>IFERROR(VLOOKUP($B728,اسماء,15,0),0)</f>
        <v>0</v>
      </c>
      <c r="Y728" s="595" t="str">
        <f t="shared" ref="Y728" si="2216">IF(AC728="غائب","راسب",IF(AND(F731&gt;=$G$8,H731&gt;=$I$8,J731&gt;=$K$8,L731&gt;=$M$8,N731&gt;=$O$8,P731&gt;=$Q$8,R731&gt;=$S$8,T731&gt;=$U$8),"ناجح","له دور ثان"))</f>
        <v>له دور ثان</v>
      </c>
      <c r="Z728" s="21" t="str">
        <f t="shared" ref="Z728:Z729" si="2217">LOOKUP(V728,$AF$6:$AG$10)</f>
        <v>ضعيف</v>
      </c>
      <c r="AA728" s="656">
        <f t="shared" ref="AA728" si="2218">V731/$AF$3</f>
        <v>0</v>
      </c>
      <c r="AB728" s="10"/>
      <c r="AC728" s="653" t="str">
        <f>IFERROR(VLOOKUP($B728,اسماء,54,0),"")</f>
        <v/>
      </c>
      <c r="AN728" s="607" t="str">
        <f t="shared" ref="AN728" si="2219">IF(V731=0,"",V731/1+ROW()*0.00001)</f>
        <v/>
      </c>
      <c r="AO728" s="607">
        <f>B728</f>
        <v>0</v>
      </c>
      <c r="AP728" s="613"/>
      <c r="AQ728" s="612">
        <v>158</v>
      </c>
      <c r="AR728" s="611" t="str">
        <f>IFERROR(LARGE($AN$10:$AN$1006,AQ728),"")</f>
        <v/>
      </c>
      <c r="AS728" s="612" t="str">
        <f>VLOOKUP(AR728,$AN$10:$AO$1116,2,0)</f>
        <v>أحمد نورالدين أحمد الذيب</v>
      </c>
    </row>
    <row r="729" spans="1:45" ht="15" customHeight="1" thickBot="1" x14ac:dyDescent="0.3">
      <c r="A729" s="633"/>
      <c r="B729" s="630"/>
      <c r="C729" s="622"/>
      <c r="D729" s="625"/>
      <c r="E729" s="133" t="s">
        <v>31</v>
      </c>
      <c r="F729" s="589">
        <f>IFERROR(VLOOKUP($B728,اسماء,18,0),0)</f>
        <v>0</v>
      </c>
      <c r="G729" s="592"/>
      <c r="H729" s="608">
        <f>IFERROR(VLOOKUP($B728,اسماء,19,0),0)</f>
        <v>0</v>
      </c>
      <c r="I729" s="609"/>
      <c r="J729" s="589">
        <f>IFERROR(VLOOKUP($B728,اسماء,20,0),0)</f>
        <v>0</v>
      </c>
      <c r="K729" s="592"/>
      <c r="L729" s="589">
        <f>IFERROR(VLOOKUP($B728,اسماء,21,0),0)</f>
        <v>0</v>
      </c>
      <c r="M729" s="590"/>
      <c r="N729" s="589">
        <f>IFERROR(VLOOKUP($B728,اسماء,22,0),0)</f>
        <v>0</v>
      </c>
      <c r="O729" s="590"/>
      <c r="P729" s="589">
        <f>IFERROR(VLOOKUP($B728,اسماء,23,0),0)</f>
        <v>0</v>
      </c>
      <c r="Q729" s="609"/>
      <c r="R729" s="603">
        <f>IFERROR(VLOOKUP($B728,اسماء,24,0),0)</f>
        <v>0</v>
      </c>
      <c r="S729" s="592"/>
      <c r="T729" s="589">
        <f>IFERROR(VLOOKUP($B728,اسماء,25,0),0)</f>
        <v>0</v>
      </c>
      <c r="U729" s="592"/>
      <c r="V729" s="263">
        <f t="shared" si="2215"/>
        <v>0</v>
      </c>
      <c r="W729" s="373">
        <f>IFERROR(VLOOKUP($B728,اسماء,27,0),0)</f>
        <v>0</v>
      </c>
      <c r="X729" s="373">
        <f>IFERROR(VLOOKUP($B728,اسماء,28,0),0)</f>
        <v>0</v>
      </c>
      <c r="Y729" s="596"/>
      <c r="Z729" s="22" t="str">
        <f t="shared" si="2217"/>
        <v>ضعيف</v>
      </c>
      <c r="AA729" s="657"/>
      <c r="AB729" s="72"/>
      <c r="AC729" s="654"/>
      <c r="AN729" s="607"/>
      <c r="AO729" s="607"/>
      <c r="AP729" s="613"/>
      <c r="AQ729" s="612"/>
      <c r="AR729" s="611"/>
      <c r="AS729" s="612"/>
    </row>
    <row r="730" spans="1:45" ht="15" customHeight="1" x14ac:dyDescent="0.25">
      <c r="A730" s="633"/>
      <c r="B730" s="630"/>
      <c r="C730" s="622"/>
      <c r="D730" s="625"/>
      <c r="E730" s="133" t="s">
        <v>32</v>
      </c>
      <c r="F730" s="589">
        <f>IFERROR(VLOOKUP($B728,اسماء,31,0),0)</f>
        <v>0</v>
      </c>
      <c r="G730" s="592"/>
      <c r="H730" s="608">
        <f>IFERROR(VLOOKUP($B728,اسماء,32,0),0)</f>
        <v>0</v>
      </c>
      <c r="I730" s="609"/>
      <c r="J730" s="589">
        <f>IFERROR(VLOOKUP($B728,اسماء,33,0),0)</f>
        <v>0</v>
      </c>
      <c r="K730" s="592"/>
      <c r="L730" s="589">
        <f>IFERROR(VLOOKUP($B728,اسماء,34,0),0)</f>
        <v>0</v>
      </c>
      <c r="M730" s="590"/>
      <c r="N730" s="589">
        <f>IFERROR(VLOOKUP($B728,اسماء,35,0),0)</f>
        <v>0</v>
      </c>
      <c r="O730" s="590"/>
      <c r="P730" s="589">
        <f>IFERROR(VLOOKUP($B728,اسماء,36,0),0)</f>
        <v>0</v>
      </c>
      <c r="Q730" s="609"/>
      <c r="R730" s="603">
        <f>IFERROR(VLOOKUP($B728,اسماء,37,0),0)</f>
        <v>0</v>
      </c>
      <c r="S730" s="592"/>
      <c r="T730" s="589">
        <f>IFERROR(VLOOKUP($B728,اسماء,38,0),0)</f>
        <v>0</v>
      </c>
      <c r="U730" s="592"/>
      <c r="V730" s="263">
        <f t="shared" si="2215"/>
        <v>0</v>
      </c>
      <c r="W730" s="373">
        <f>IFERROR(VLOOKUP($B728,اسماء,40,0),0)</f>
        <v>0</v>
      </c>
      <c r="X730" s="373">
        <f>IFERROR(VLOOKUP($B728,اسماء,41,0),0)</f>
        <v>0</v>
      </c>
      <c r="Y730" s="596"/>
      <c r="Z730" s="22" t="str">
        <f t="shared" ref="Z730" si="2220">LOOKUP(V730,$AI$6:$AJ$10)</f>
        <v>ضعيف</v>
      </c>
      <c r="AA730" s="657"/>
      <c r="AB730" s="72"/>
      <c r="AC730" s="654"/>
      <c r="AN730" s="607"/>
      <c r="AO730" s="607"/>
      <c r="AP730" s="613"/>
      <c r="AQ730" s="612"/>
      <c r="AR730" s="611"/>
      <c r="AS730" s="612"/>
    </row>
    <row r="731" spans="1:45" ht="15" customHeight="1" thickBot="1" x14ac:dyDescent="0.3">
      <c r="A731" s="634"/>
      <c r="B731" s="631"/>
      <c r="C731" s="623"/>
      <c r="D731" s="626"/>
      <c r="E731" s="127" t="s">
        <v>33</v>
      </c>
      <c r="F731" s="585">
        <f t="shared" ref="F731" si="2221">SUM(F728:G730)</f>
        <v>0</v>
      </c>
      <c r="G731" s="593"/>
      <c r="H731" s="604">
        <f t="shared" ref="H731" si="2222">SUM(H728:I730)</f>
        <v>0</v>
      </c>
      <c r="I731" s="601"/>
      <c r="J731" s="585">
        <f t="shared" ref="J731" si="2223">SUM(J728:K730)</f>
        <v>0</v>
      </c>
      <c r="K731" s="593"/>
      <c r="L731" s="585">
        <f t="shared" ref="L731" si="2224">SUM(L728:M730)</f>
        <v>0</v>
      </c>
      <c r="M731" s="586"/>
      <c r="N731" s="585">
        <f t="shared" ref="N731" si="2225">SUM(N728:O730)</f>
        <v>0</v>
      </c>
      <c r="O731" s="586"/>
      <c r="P731" s="585">
        <f t="shared" ref="P731" si="2226">SUM(P728:Q730)</f>
        <v>0</v>
      </c>
      <c r="Q731" s="601"/>
      <c r="R731" s="602">
        <f t="shared" ref="R731" si="2227">SUM(R728:S730)</f>
        <v>0</v>
      </c>
      <c r="S731" s="593"/>
      <c r="T731" s="585">
        <f t="shared" ref="T731" si="2228">SUM(T728:U730)</f>
        <v>0</v>
      </c>
      <c r="U731" s="593"/>
      <c r="V731" s="210">
        <f t="shared" ref="V731" si="2229">IF(AND(F731&gt;=$G$8,H731&gt;=$I$8,L731&gt;=$M$8,P731&gt;=$Q$8,R731&gt;=$S$8,T731&gt;=$U$8),SUM(F731:U731),0)</f>
        <v>0</v>
      </c>
      <c r="W731" s="264"/>
      <c r="X731" s="97"/>
      <c r="Y731" s="597"/>
      <c r="Z731" s="91" t="str">
        <f t="shared" ref="Z731" si="2230">LOOKUP(V731,$AL$6:$AM$10)</f>
        <v>ضعيف</v>
      </c>
      <c r="AA731" s="658"/>
      <c r="AB731" s="10"/>
      <c r="AC731" s="655"/>
      <c r="AN731" s="607"/>
      <c r="AO731" s="607"/>
      <c r="AP731" s="613"/>
      <c r="AQ731" s="612"/>
      <c r="AR731" s="611"/>
      <c r="AS731" s="612"/>
    </row>
    <row r="732" spans="1:45" ht="15" customHeight="1" thickBot="1" x14ac:dyDescent="0.3">
      <c r="A732" s="632">
        <v>159</v>
      </c>
      <c r="B732" s="629">
        <f>VLOOKUP(A732,مسلسل,2,0)</f>
        <v>0</v>
      </c>
      <c r="C732" s="621" t="str">
        <f>IFERROR(VLOOKUP(B732,اسماء,2,0),"")</f>
        <v/>
      </c>
      <c r="D732" s="624" t="str">
        <f>IFERROR(VLOOKUP($B732,اسماء,3,0),"")</f>
        <v/>
      </c>
      <c r="E732" s="132" t="s">
        <v>30</v>
      </c>
      <c r="F732" s="627">
        <f>IFERROR(VLOOKUP($B732,اسماء,5,0),0)</f>
        <v>0</v>
      </c>
      <c r="G732" s="606"/>
      <c r="H732" s="628">
        <f>IFERROR(VLOOKUP($B732,اسماء,6,0),0)</f>
        <v>0</v>
      </c>
      <c r="I732" s="605"/>
      <c r="J732" s="587">
        <f>IFERROR(VLOOKUP($B732,اسماء,7,0),0)</f>
        <v>0</v>
      </c>
      <c r="K732" s="591"/>
      <c r="L732" s="587">
        <f>IFERROR(VLOOKUP($B732,اسماء,8,0),0)</f>
        <v>0</v>
      </c>
      <c r="M732" s="588"/>
      <c r="N732" s="587">
        <f>IFERROR(VLOOKUP($B732,اسماء,9,0),0)</f>
        <v>0</v>
      </c>
      <c r="O732" s="605"/>
      <c r="P732" s="587">
        <f>IFERROR(VLOOKUP($B732,اسماء,10,0),0)</f>
        <v>0</v>
      </c>
      <c r="Q732" s="605"/>
      <c r="R732" s="606">
        <f>IFERROR(VLOOKUP($B732,اسماء,11,0),0)</f>
        <v>0</v>
      </c>
      <c r="S732" s="591"/>
      <c r="T732" s="587">
        <f>IFERROR(VLOOKUP($B732,اسماء,12,0),0)</f>
        <v>0</v>
      </c>
      <c r="U732" s="591"/>
      <c r="V732" s="263">
        <f t="shared" ref="V732:V734" si="2231">SUM(F732:U732)</f>
        <v>0</v>
      </c>
      <c r="W732" s="373">
        <f>IFERROR(VLOOKUP($B732,اسماء,14,0),0)</f>
        <v>0</v>
      </c>
      <c r="X732" s="373">
        <f>IFERROR(VLOOKUP($B732,اسماء,15,0),0)</f>
        <v>0</v>
      </c>
      <c r="Y732" s="595" t="str">
        <f t="shared" ref="Y732" si="2232">IF(AC732="غائب","راسب",IF(AND(F735&gt;=$G$8,H735&gt;=$I$8,J735&gt;=$K$8,L735&gt;=$M$8,N735&gt;=$O$8,P735&gt;=$Q$8,R735&gt;=$S$8,T735&gt;=$U$8),"ناجح","له دور ثان"))</f>
        <v>له دور ثان</v>
      </c>
      <c r="Z732" s="21" t="str">
        <f t="shared" ref="Z732:Z733" si="2233">LOOKUP(V732,$AF$6:$AG$10)</f>
        <v>ضعيف</v>
      </c>
      <c r="AA732" s="656">
        <f t="shared" ref="AA732" si="2234">V735/$AF$3</f>
        <v>0</v>
      </c>
      <c r="AB732" s="72"/>
      <c r="AC732" s="653" t="str">
        <f>IFERROR(VLOOKUP($B732,اسماء,54,0),"")</f>
        <v/>
      </c>
      <c r="AN732" s="607" t="str">
        <f t="shared" ref="AN732" si="2235">IF(V735=0,"",V735/1+ROW()*0.00001)</f>
        <v/>
      </c>
      <c r="AO732" s="607">
        <f>B732</f>
        <v>0</v>
      </c>
      <c r="AP732" s="613"/>
      <c r="AQ732" s="612">
        <v>159</v>
      </c>
      <c r="AR732" s="611" t="str">
        <f>IFERROR(LARGE($AN$10:$AN$1006,AQ732),"")</f>
        <v/>
      </c>
      <c r="AS732" s="612" t="str">
        <f>VLOOKUP(AR732,$AN$10:$AO$1116,2,0)</f>
        <v>أحمد نورالدين أحمد الذيب</v>
      </c>
    </row>
    <row r="733" spans="1:45" ht="15" customHeight="1" thickBot="1" x14ac:dyDescent="0.3">
      <c r="A733" s="633"/>
      <c r="B733" s="630"/>
      <c r="C733" s="622"/>
      <c r="D733" s="625"/>
      <c r="E733" s="133" t="s">
        <v>31</v>
      </c>
      <c r="F733" s="589">
        <f>IFERROR(VLOOKUP($B732,اسماء,18,0),0)</f>
        <v>0</v>
      </c>
      <c r="G733" s="592"/>
      <c r="H733" s="608">
        <f>IFERROR(VLOOKUP($B732,اسماء,19,0),0)</f>
        <v>0</v>
      </c>
      <c r="I733" s="609"/>
      <c r="J733" s="589">
        <f>IFERROR(VLOOKUP($B732,اسماء,20,0),0)</f>
        <v>0</v>
      </c>
      <c r="K733" s="592"/>
      <c r="L733" s="589">
        <f>IFERROR(VLOOKUP($B732,اسماء,21,0),0)</f>
        <v>0</v>
      </c>
      <c r="M733" s="590"/>
      <c r="N733" s="589">
        <f>IFERROR(VLOOKUP($B732,اسماء,22,0),0)</f>
        <v>0</v>
      </c>
      <c r="O733" s="590"/>
      <c r="P733" s="589">
        <f>IFERROR(VLOOKUP($B732,اسماء,23,0),0)</f>
        <v>0</v>
      </c>
      <c r="Q733" s="609"/>
      <c r="R733" s="603">
        <f>IFERROR(VLOOKUP($B732,اسماء,24,0),0)</f>
        <v>0</v>
      </c>
      <c r="S733" s="592"/>
      <c r="T733" s="589">
        <f>IFERROR(VLOOKUP($B732,اسماء,25,0),0)</f>
        <v>0</v>
      </c>
      <c r="U733" s="592"/>
      <c r="V733" s="263">
        <f t="shared" si="2231"/>
        <v>0</v>
      </c>
      <c r="W733" s="373">
        <f>IFERROR(VLOOKUP($B732,اسماء,27,0),0)</f>
        <v>0</v>
      </c>
      <c r="X733" s="373">
        <f>IFERROR(VLOOKUP($B732,اسماء,28,0),0)</f>
        <v>0</v>
      </c>
      <c r="Y733" s="596"/>
      <c r="Z733" s="22" t="str">
        <f t="shared" si="2233"/>
        <v>ضعيف</v>
      </c>
      <c r="AA733" s="657"/>
      <c r="AB733" s="72"/>
      <c r="AC733" s="654"/>
      <c r="AN733" s="607"/>
      <c r="AO733" s="607"/>
      <c r="AP733" s="613"/>
      <c r="AQ733" s="612"/>
      <c r="AR733" s="611"/>
      <c r="AS733" s="612"/>
    </row>
    <row r="734" spans="1:45" ht="15" customHeight="1" x14ac:dyDescent="0.25">
      <c r="A734" s="633"/>
      <c r="B734" s="630"/>
      <c r="C734" s="622"/>
      <c r="D734" s="625"/>
      <c r="E734" s="133" t="s">
        <v>32</v>
      </c>
      <c r="F734" s="589">
        <f>IFERROR(VLOOKUP($B732,اسماء,31,0),0)</f>
        <v>0</v>
      </c>
      <c r="G734" s="592"/>
      <c r="H734" s="608">
        <f>IFERROR(VLOOKUP($B732,اسماء,32,0),0)</f>
        <v>0</v>
      </c>
      <c r="I734" s="609"/>
      <c r="J734" s="589">
        <f>IFERROR(VLOOKUP($B732,اسماء,33,0),0)</f>
        <v>0</v>
      </c>
      <c r="K734" s="592"/>
      <c r="L734" s="589">
        <f>IFERROR(VLOOKUP($B732,اسماء,34,0),0)</f>
        <v>0</v>
      </c>
      <c r="M734" s="590"/>
      <c r="N734" s="589">
        <f>IFERROR(VLOOKUP($B732,اسماء,35,0),0)</f>
        <v>0</v>
      </c>
      <c r="O734" s="590"/>
      <c r="P734" s="589">
        <f>IFERROR(VLOOKUP($B732,اسماء,36,0),0)</f>
        <v>0</v>
      </c>
      <c r="Q734" s="609"/>
      <c r="R734" s="603">
        <f>IFERROR(VLOOKUP($B732,اسماء,37,0),0)</f>
        <v>0</v>
      </c>
      <c r="S734" s="592"/>
      <c r="T734" s="589">
        <f>IFERROR(VLOOKUP($B732,اسماء,38,0),0)</f>
        <v>0</v>
      </c>
      <c r="U734" s="592"/>
      <c r="V734" s="263">
        <f t="shared" si="2231"/>
        <v>0</v>
      </c>
      <c r="W734" s="373">
        <f>IFERROR(VLOOKUP($B732,اسماء,40,0),0)</f>
        <v>0</v>
      </c>
      <c r="X734" s="373">
        <f>IFERROR(VLOOKUP($B732,اسماء,41,0),0)</f>
        <v>0</v>
      </c>
      <c r="Y734" s="596"/>
      <c r="Z734" s="22" t="str">
        <f t="shared" ref="Z734" si="2236">LOOKUP(V734,$AI$6:$AJ$10)</f>
        <v>ضعيف</v>
      </c>
      <c r="AA734" s="657"/>
      <c r="AB734" s="10"/>
      <c r="AC734" s="654"/>
      <c r="AN734" s="607"/>
      <c r="AO734" s="607"/>
      <c r="AP734" s="613"/>
      <c r="AQ734" s="612"/>
      <c r="AR734" s="611"/>
      <c r="AS734" s="612"/>
    </row>
    <row r="735" spans="1:45" ht="15" customHeight="1" thickBot="1" x14ac:dyDescent="0.3">
      <c r="A735" s="634"/>
      <c r="B735" s="631"/>
      <c r="C735" s="623"/>
      <c r="D735" s="626"/>
      <c r="E735" s="127" t="s">
        <v>33</v>
      </c>
      <c r="F735" s="585">
        <f t="shared" ref="F735" si="2237">SUM(F732:G734)</f>
        <v>0</v>
      </c>
      <c r="G735" s="593"/>
      <c r="H735" s="604">
        <f t="shared" ref="H735" si="2238">SUM(H732:I734)</f>
        <v>0</v>
      </c>
      <c r="I735" s="601"/>
      <c r="J735" s="585">
        <f t="shared" ref="J735" si="2239">SUM(J732:K734)</f>
        <v>0</v>
      </c>
      <c r="K735" s="593"/>
      <c r="L735" s="585">
        <f t="shared" ref="L735" si="2240">SUM(L732:M734)</f>
        <v>0</v>
      </c>
      <c r="M735" s="586"/>
      <c r="N735" s="585">
        <f t="shared" ref="N735" si="2241">SUM(N732:O734)</f>
        <v>0</v>
      </c>
      <c r="O735" s="586"/>
      <c r="P735" s="585">
        <f t="shared" ref="P735" si="2242">SUM(P732:Q734)</f>
        <v>0</v>
      </c>
      <c r="Q735" s="601"/>
      <c r="R735" s="602">
        <f t="shared" ref="R735" si="2243">SUM(R732:S734)</f>
        <v>0</v>
      </c>
      <c r="S735" s="593"/>
      <c r="T735" s="585">
        <f t="shared" ref="T735" si="2244">SUM(T732:U734)</f>
        <v>0</v>
      </c>
      <c r="U735" s="593"/>
      <c r="V735" s="210">
        <f t="shared" ref="V735" si="2245">IF(AND(F735&gt;=$G$8,H735&gt;=$I$8,L735&gt;=$M$8,P735&gt;=$Q$8,R735&gt;=$S$8,T735&gt;=$U$8),SUM(F735:U735),0)</f>
        <v>0</v>
      </c>
      <c r="W735" s="264"/>
      <c r="X735" s="97"/>
      <c r="Y735" s="597"/>
      <c r="Z735" s="91" t="str">
        <f t="shared" ref="Z735" si="2246">LOOKUP(V735,$AL$6:$AM$10)</f>
        <v>ضعيف</v>
      </c>
      <c r="AA735" s="658"/>
      <c r="AB735" s="72"/>
      <c r="AC735" s="655"/>
      <c r="AN735" s="607"/>
      <c r="AO735" s="607"/>
      <c r="AP735" s="613"/>
      <c r="AQ735" s="612"/>
      <c r="AR735" s="611"/>
      <c r="AS735" s="612"/>
    </row>
    <row r="736" spans="1:45" ht="15" customHeight="1" thickBot="1" x14ac:dyDescent="0.3">
      <c r="A736" s="632">
        <v>160</v>
      </c>
      <c r="B736" s="629">
        <f>VLOOKUP(A736,مسلسل,2,0)</f>
        <v>0</v>
      </c>
      <c r="C736" s="621" t="str">
        <f>IFERROR(VLOOKUP(B736,اسماء,2,0),"")</f>
        <v/>
      </c>
      <c r="D736" s="624" t="str">
        <f>IFERROR(VLOOKUP($B736,اسماء,3,0),"")</f>
        <v/>
      </c>
      <c r="E736" s="132" t="s">
        <v>30</v>
      </c>
      <c r="F736" s="627">
        <f>IFERROR(VLOOKUP($B736,اسماء,5,0),0)</f>
        <v>0</v>
      </c>
      <c r="G736" s="606"/>
      <c r="H736" s="628">
        <f>IFERROR(VLOOKUP($B736,اسماء,6,0),0)</f>
        <v>0</v>
      </c>
      <c r="I736" s="605"/>
      <c r="J736" s="587">
        <f>IFERROR(VLOOKUP($B736,اسماء,7,0),0)</f>
        <v>0</v>
      </c>
      <c r="K736" s="591"/>
      <c r="L736" s="587">
        <f>IFERROR(VLOOKUP($B736,اسماء,8,0),0)</f>
        <v>0</v>
      </c>
      <c r="M736" s="588"/>
      <c r="N736" s="587">
        <f>IFERROR(VLOOKUP($B736,اسماء,9,0),0)</f>
        <v>0</v>
      </c>
      <c r="O736" s="605"/>
      <c r="P736" s="587">
        <f>IFERROR(VLOOKUP($B736,اسماء,10,0),0)</f>
        <v>0</v>
      </c>
      <c r="Q736" s="605"/>
      <c r="R736" s="606">
        <f>IFERROR(VLOOKUP($B736,اسماء,11,0),0)</f>
        <v>0</v>
      </c>
      <c r="S736" s="591"/>
      <c r="T736" s="587">
        <f>IFERROR(VLOOKUP($B736,اسماء,12,0),0)</f>
        <v>0</v>
      </c>
      <c r="U736" s="591"/>
      <c r="V736" s="263">
        <f t="shared" ref="V736:V738" si="2247">SUM(F736:U736)</f>
        <v>0</v>
      </c>
      <c r="W736" s="373">
        <f>IFERROR(VLOOKUP($B736,اسماء,14,0),0)</f>
        <v>0</v>
      </c>
      <c r="X736" s="373">
        <f>IFERROR(VLOOKUP($B736,اسماء,15,0),0)</f>
        <v>0</v>
      </c>
      <c r="Y736" s="595" t="str">
        <f t="shared" ref="Y736" si="2248">IF(AC736="غائب","راسب",IF(AND(F739&gt;=$G$8,H739&gt;=$I$8,J739&gt;=$K$8,L739&gt;=$M$8,N739&gt;=$O$8,P739&gt;=$Q$8,R739&gt;=$S$8,T739&gt;=$U$8),"ناجح","له دور ثان"))</f>
        <v>له دور ثان</v>
      </c>
      <c r="Z736" s="21" t="str">
        <f t="shared" ref="Z736:Z737" si="2249">LOOKUP(V736,$AF$6:$AG$10)</f>
        <v>ضعيف</v>
      </c>
      <c r="AA736" s="656">
        <f t="shared" ref="AA736" si="2250">V739/$AF$3</f>
        <v>0</v>
      </c>
      <c r="AB736" s="72"/>
      <c r="AC736" s="653" t="str">
        <f>IFERROR(VLOOKUP($B736,اسماء,54,0),"")</f>
        <v/>
      </c>
      <c r="AN736" s="607" t="str">
        <f t="shared" ref="AN736" si="2251">IF(V739=0,"",V739/1+ROW()*0.00001)</f>
        <v/>
      </c>
      <c r="AO736" s="607">
        <f>B736</f>
        <v>0</v>
      </c>
      <c r="AP736" s="613"/>
      <c r="AQ736" s="612">
        <v>160</v>
      </c>
      <c r="AR736" s="611" t="str">
        <f>IFERROR(LARGE($AN$10:$AN$1006,AQ736),"")</f>
        <v/>
      </c>
      <c r="AS736" s="612" t="str">
        <f>VLOOKUP(AR736,$AN$10:$AO$1116,2,0)</f>
        <v>أحمد نورالدين أحمد الذيب</v>
      </c>
    </row>
    <row r="737" spans="1:45" ht="15" customHeight="1" thickBot="1" x14ac:dyDescent="0.3">
      <c r="A737" s="633"/>
      <c r="B737" s="630"/>
      <c r="C737" s="622"/>
      <c r="D737" s="625"/>
      <c r="E737" s="133" t="s">
        <v>31</v>
      </c>
      <c r="F737" s="589">
        <f>IFERROR(VLOOKUP($B736,اسماء,18,0),0)</f>
        <v>0</v>
      </c>
      <c r="G737" s="592"/>
      <c r="H737" s="608">
        <f>IFERROR(VLOOKUP($B736,اسماء,19,0),0)</f>
        <v>0</v>
      </c>
      <c r="I737" s="609"/>
      <c r="J737" s="589">
        <f>IFERROR(VLOOKUP($B736,اسماء,20,0),0)</f>
        <v>0</v>
      </c>
      <c r="K737" s="592"/>
      <c r="L737" s="589">
        <f>IFERROR(VLOOKUP($B736,اسماء,21,0),0)</f>
        <v>0</v>
      </c>
      <c r="M737" s="590"/>
      <c r="N737" s="589">
        <f>IFERROR(VLOOKUP($B736,اسماء,22,0),0)</f>
        <v>0</v>
      </c>
      <c r="O737" s="590"/>
      <c r="P737" s="589">
        <f>IFERROR(VLOOKUP($B736,اسماء,23,0),0)</f>
        <v>0</v>
      </c>
      <c r="Q737" s="609"/>
      <c r="R737" s="603">
        <f>IFERROR(VLOOKUP($B736,اسماء,24,0),0)</f>
        <v>0</v>
      </c>
      <c r="S737" s="592"/>
      <c r="T737" s="589">
        <f>IFERROR(VLOOKUP($B736,اسماء,25,0),0)</f>
        <v>0</v>
      </c>
      <c r="U737" s="592"/>
      <c r="V737" s="263">
        <f t="shared" si="2247"/>
        <v>0</v>
      </c>
      <c r="W737" s="373">
        <f>IFERROR(VLOOKUP($B736,اسماء,27,0),0)</f>
        <v>0</v>
      </c>
      <c r="X737" s="373">
        <f>IFERROR(VLOOKUP($B736,اسماء,28,0),0)</f>
        <v>0</v>
      </c>
      <c r="Y737" s="596"/>
      <c r="Z737" s="22" t="str">
        <f t="shared" si="2249"/>
        <v>ضعيف</v>
      </c>
      <c r="AA737" s="657"/>
      <c r="AB737" s="10"/>
      <c r="AC737" s="654"/>
      <c r="AN737" s="607"/>
      <c r="AO737" s="607"/>
      <c r="AP737" s="613"/>
      <c r="AQ737" s="612"/>
      <c r="AR737" s="611"/>
      <c r="AS737" s="612"/>
    </row>
    <row r="738" spans="1:45" ht="15" customHeight="1" x14ac:dyDescent="0.25">
      <c r="A738" s="633"/>
      <c r="B738" s="630"/>
      <c r="C738" s="622"/>
      <c r="D738" s="625"/>
      <c r="E738" s="133" t="s">
        <v>32</v>
      </c>
      <c r="F738" s="589">
        <f>IFERROR(VLOOKUP($B736,اسماء,31,0),0)</f>
        <v>0</v>
      </c>
      <c r="G738" s="592"/>
      <c r="H738" s="608">
        <f>IFERROR(VLOOKUP($B736,اسماء,32,0),0)</f>
        <v>0</v>
      </c>
      <c r="I738" s="609"/>
      <c r="J738" s="589">
        <f>IFERROR(VLOOKUP($B736,اسماء,33,0),0)</f>
        <v>0</v>
      </c>
      <c r="K738" s="592"/>
      <c r="L738" s="589">
        <f>IFERROR(VLOOKUP($B736,اسماء,34,0),0)</f>
        <v>0</v>
      </c>
      <c r="M738" s="590"/>
      <c r="N738" s="589">
        <f>IFERROR(VLOOKUP($B736,اسماء,35,0),0)</f>
        <v>0</v>
      </c>
      <c r="O738" s="590"/>
      <c r="P738" s="589">
        <f>IFERROR(VLOOKUP($B736,اسماء,36,0),0)</f>
        <v>0</v>
      </c>
      <c r="Q738" s="609"/>
      <c r="R738" s="603">
        <f>IFERROR(VLOOKUP($B736,اسماء,37,0),0)</f>
        <v>0</v>
      </c>
      <c r="S738" s="592"/>
      <c r="T738" s="589">
        <f>IFERROR(VLOOKUP($B736,اسماء,38,0),0)</f>
        <v>0</v>
      </c>
      <c r="U738" s="592"/>
      <c r="V738" s="263">
        <f t="shared" si="2247"/>
        <v>0</v>
      </c>
      <c r="W738" s="373">
        <f>IFERROR(VLOOKUP($B736,اسماء,40,0),0)</f>
        <v>0</v>
      </c>
      <c r="X738" s="373">
        <f>IFERROR(VLOOKUP($B736,اسماء,41,0),0)</f>
        <v>0</v>
      </c>
      <c r="Y738" s="596"/>
      <c r="Z738" s="22" t="str">
        <f t="shared" ref="Z738" si="2252">LOOKUP(V738,$AI$6:$AJ$10)</f>
        <v>ضعيف</v>
      </c>
      <c r="AA738" s="657"/>
      <c r="AB738" s="72"/>
      <c r="AC738" s="654"/>
      <c r="AN738" s="607"/>
      <c r="AO738" s="607"/>
      <c r="AP738" s="613"/>
      <c r="AQ738" s="612"/>
      <c r="AR738" s="611"/>
      <c r="AS738" s="612"/>
    </row>
    <row r="739" spans="1:45" ht="15" customHeight="1" thickBot="1" x14ac:dyDescent="0.3">
      <c r="A739" s="634"/>
      <c r="B739" s="631"/>
      <c r="C739" s="623"/>
      <c r="D739" s="626"/>
      <c r="E739" s="127" t="s">
        <v>33</v>
      </c>
      <c r="F739" s="585">
        <f t="shared" ref="F739" si="2253">SUM(F736:G738)</f>
        <v>0</v>
      </c>
      <c r="G739" s="593"/>
      <c r="H739" s="604">
        <f t="shared" ref="H739" si="2254">SUM(H736:I738)</f>
        <v>0</v>
      </c>
      <c r="I739" s="601"/>
      <c r="J739" s="585">
        <f t="shared" ref="J739" si="2255">SUM(J736:K738)</f>
        <v>0</v>
      </c>
      <c r="K739" s="593"/>
      <c r="L739" s="585">
        <f t="shared" ref="L739" si="2256">SUM(L736:M738)</f>
        <v>0</v>
      </c>
      <c r="M739" s="586"/>
      <c r="N739" s="585">
        <f t="shared" ref="N739" si="2257">SUM(N736:O738)</f>
        <v>0</v>
      </c>
      <c r="O739" s="586"/>
      <c r="P739" s="585">
        <f t="shared" ref="P739" si="2258">SUM(P736:Q738)</f>
        <v>0</v>
      </c>
      <c r="Q739" s="601"/>
      <c r="R739" s="602">
        <f t="shared" ref="R739" si="2259">SUM(R736:S738)</f>
        <v>0</v>
      </c>
      <c r="S739" s="593"/>
      <c r="T739" s="585">
        <f t="shared" ref="T739" si="2260">SUM(T736:U738)</f>
        <v>0</v>
      </c>
      <c r="U739" s="593"/>
      <c r="V739" s="210">
        <f t="shared" ref="V739" si="2261">IF(AND(F739&gt;=$G$8,H739&gt;=$I$8,L739&gt;=$M$8,P739&gt;=$Q$8,R739&gt;=$S$8,T739&gt;=$U$8),SUM(F739:U739),0)</f>
        <v>0</v>
      </c>
      <c r="W739" s="264"/>
      <c r="X739" s="97"/>
      <c r="Y739" s="597"/>
      <c r="Z739" s="91" t="str">
        <f t="shared" ref="Z739" si="2262">LOOKUP(V739,$AL$6:$AM$10)</f>
        <v>ضعيف</v>
      </c>
      <c r="AA739" s="658"/>
      <c r="AB739" s="72"/>
      <c r="AC739" s="655"/>
      <c r="AN739" s="607"/>
      <c r="AO739" s="607"/>
      <c r="AP739" s="613"/>
      <c r="AQ739" s="612"/>
      <c r="AR739" s="611"/>
      <c r="AS739" s="612"/>
    </row>
    <row r="740" spans="1:45" ht="15" customHeight="1" thickBot="1" x14ac:dyDescent="0.3">
      <c r="F740" s="75"/>
      <c r="G740" s="76"/>
      <c r="H740" s="75"/>
      <c r="I740" s="76"/>
      <c r="J740" s="75"/>
      <c r="K740" s="76"/>
      <c r="L740" s="75"/>
      <c r="M740" s="76"/>
      <c r="N740" s="76"/>
      <c r="O740" s="76"/>
      <c r="P740" s="75"/>
      <c r="Q740" s="76"/>
      <c r="R740" s="75"/>
      <c r="S740" s="76"/>
      <c r="T740" s="75"/>
      <c r="U740" s="76"/>
      <c r="V740" s="74"/>
      <c r="W740" s="77"/>
      <c r="X740" s="74"/>
      <c r="Y740" s="362"/>
      <c r="Z740" s="74"/>
      <c r="AA740" s="267"/>
      <c r="AB740" s="72"/>
      <c r="AK740" s="78"/>
    </row>
    <row r="741" spans="1:45" customFormat="1" ht="15" customHeight="1" x14ac:dyDescent="0.3">
      <c r="A741" s="617" t="s">
        <v>9</v>
      </c>
      <c r="B741" s="618"/>
      <c r="C741" s="619"/>
      <c r="D741" s="288" t="s">
        <v>11</v>
      </c>
      <c r="E741" s="600" t="s">
        <v>97</v>
      </c>
      <c r="F741" s="598"/>
      <c r="G741" s="598"/>
      <c r="H741" s="598"/>
      <c r="I741" s="598"/>
      <c r="J741" s="9"/>
      <c r="K741" s="9"/>
      <c r="L741" s="9"/>
      <c r="M741" s="9"/>
      <c r="N741" s="9"/>
      <c r="O741" s="9"/>
      <c r="P741" s="9"/>
      <c r="Q741" s="9"/>
      <c r="R741" s="9"/>
      <c r="S741" s="598" t="s">
        <v>156</v>
      </c>
      <c r="T741" s="598"/>
      <c r="U741" s="598"/>
      <c r="V741" s="598"/>
      <c r="W741" s="598"/>
      <c r="X741" s="598"/>
      <c r="Y741" s="598"/>
      <c r="Z741" s="1"/>
      <c r="AA741" s="268"/>
      <c r="AC741" s="79"/>
      <c r="AD741" s="80"/>
      <c r="AE741" s="80"/>
      <c r="AF741" s="80"/>
      <c r="AG741" s="80"/>
    </row>
    <row r="742" spans="1:45" customFormat="1" ht="15" customHeight="1" x14ac:dyDescent="0.25">
      <c r="A742" s="81" t="s">
        <v>8</v>
      </c>
      <c r="B742" s="610">
        <f>ادخال1!$BP$3</f>
        <v>0</v>
      </c>
      <c r="C742" s="620"/>
      <c r="D742" s="289"/>
      <c r="E742" s="9" t="s">
        <v>9</v>
      </c>
      <c r="F742" s="599" t="str">
        <f>ادخال1!$BP$5</f>
        <v>د.عبدالرحمن خليفة العريبي</v>
      </c>
      <c r="G742" s="599"/>
      <c r="H742" s="599"/>
      <c r="I742" s="599"/>
      <c r="J742" s="599"/>
      <c r="K742" s="599"/>
      <c r="L742" s="599"/>
      <c r="M742" s="599"/>
      <c r="N742" s="599"/>
      <c r="O742" s="599"/>
      <c r="P742" s="599"/>
      <c r="Q742" s="599"/>
      <c r="R742" s="9"/>
      <c r="S742" s="599" t="str">
        <f>ادخال1!$BP$6</f>
        <v>تاجوراء</v>
      </c>
      <c r="T742" s="599"/>
      <c r="U742" s="599"/>
      <c r="V742" s="599"/>
      <c r="W742" s="599"/>
      <c r="X742" s="599"/>
      <c r="Y742" s="599"/>
      <c r="Z742" s="599"/>
      <c r="AA742" s="67"/>
      <c r="AB742" s="67"/>
      <c r="AC742" s="79"/>
      <c r="AD742" s="79"/>
      <c r="AE742" s="79"/>
      <c r="AF742" s="79"/>
    </row>
    <row r="743" spans="1:45" customFormat="1" ht="15" customHeight="1" thickBot="1" x14ac:dyDescent="0.3">
      <c r="A743" s="82" t="s">
        <v>98</v>
      </c>
      <c r="B743" s="615">
        <f>ادخال1!$BP$4</f>
        <v>0</v>
      </c>
      <c r="C743" s="616"/>
      <c r="D743" s="290"/>
      <c r="E743" s="9" t="s">
        <v>11</v>
      </c>
      <c r="F743" s="607"/>
      <c r="G743" s="607"/>
      <c r="H743" s="607"/>
      <c r="I743" s="607"/>
      <c r="J743" s="607"/>
      <c r="K743" s="607"/>
      <c r="L743" s="607"/>
      <c r="M743" s="607"/>
      <c r="N743" s="607"/>
      <c r="O743" s="607"/>
      <c r="P743" s="607"/>
      <c r="Q743" s="607"/>
      <c r="R743" s="9"/>
      <c r="S743" s="9" t="s">
        <v>11</v>
      </c>
      <c r="T743" s="9"/>
      <c r="U743" s="9" t="s">
        <v>11</v>
      </c>
      <c r="V743" s="1"/>
      <c r="W743" s="1"/>
      <c r="X743" s="1"/>
      <c r="Y743" s="363"/>
      <c r="Z743" s="1"/>
      <c r="AA743" s="268"/>
      <c r="AC743" s="79"/>
      <c r="AD743" s="79"/>
      <c r="AE743" s="79"/>
      <c r="AF743" s="79"/>
    </row>
    <row r="744" spans="1:45" customFormat="1" ht="15" customHeight="1" x14ac:dyDescent="0.25">
      <c r="A744" s="598" t="s">
        <v>99</v>
      </c>
      <c r="B744" s="598"/>
      <c r="C744" s="598"/>
      <c r="D744" s="598"/>
      <c r="E744" s="598" t="s">
        <v>100</v>
      </c>
      <c r="F744" s="598"/>
      <c r="G744" s="598"/>
      <c r="H744" s="598"/>
      <c r="I744" s="598"/>
      <c r="J744" s="598"/>
      <c r="K744" s="598"/>
      <c r="L744" s="598"/>
      <c r="M744" s="598"/>
      <c r="N744" s="598"/>
      <c r="O744" s="598"/>
      <c r="P744" s="598"/>
      <c r="Q744" s="598"/>
      <c r="R744" s="598"/>
      <c r="S744" s="598"/>
      <c r="T744" s="9"/>
      <c r="U744" s="9"/>
      <c r="V744" s="9"/>
      <c r="W744" s="594">
        <f ca="1">TODAY()</f>
        <v>46035</v>
      </c>
      <c r="X744" s="594"/>
      <c r="Y744" s="594"/>
      <c r="Z744" s="594"/>
      <c r="AA744" s="268"/>
    </row>
    <row r="745" spans="1:45" customFormat="1" ht="15" customHeight="1" thickBot="1" x14ac:dyDescent="0.3">
      <c r="A745" s="9"/>
      <c r="B745" s="598" t="s">
        <v>101</v>
      </c>
      <c r="C745" s="598"/>
      <c r="D745" s="598"/>
      <c r="E745" s="598" t="s">
        <v>102</v>
      </c>
      <c r="F745" s="598"/>
      <c r="G745" s="598"/>
      <c r="H745" s="598"/>
      <c r="I745" s="598"/>
      <c r="J745" s="598"/>
      <c r="K745" s="598"/>
      <c r="L745" s="598"/>
      <c r="M745" s="598"/>
      <c r="N745" s="598"/>
      <c r="O745" s="598"/>
      <c r="P745" s="598"/>
      <c r="Q745" s="598"/>
      <c r="R745" s="598"/>
      <c r="S745" s="598"/>
      <c r="T745" s="9"/>
      <c r="U745" s="9"/>
      <c r="V745" s="1"/>
      <c r="W745" s="1"/>
      <c r="X745" s="1"/>
      <c r="Y745" s="363"/>
      <c r="Z745" s="1"/>
      <c r="AA745" s="268"/>
    </row>
    <row r="746" spans="1:45" ht="15" customHeight="1" x14ac:dyDescent="0.25">
      <c r="A746" s="632">
        <v>161</v>
      </c>
      <c r="B746" s="629">
        <f>VLOOKUP(A746,مسلسل,2,0)</f>
        <v>0</v>
      </c>
      <c r="C746" s="621" t="str">
        <f>IFERROR(VLOOKUP(B746,اسماء,2,0),"")</f>
        <v/>
      </c>
      <c r="D746" s="624" t="str">
        <f>IFERROR(VLOOKUP($B746,اسماء,3,0),"")</f>
        <v/>
      </c>
      <c r="E746" s="132" t="s">
        <v>30</v>
      </c>
      <c r="F746" s="627">
        <f>IFERROR(VLOOKUP($B746,اسماء,5,0),0)</f>
        <v>0</v>
      </c>
      <c r="G746" s="606"/>
      <c r="H746" s="628">
        <f>IFERROR(VLOOKUP($B746,اسماء,6,0),0)</f>
        <v>0</v>
      </c>
      <c r="I746" s="605"/>
      <c r="J746" s="587">
        <f>IFERROR(VLOOKUP($B746,اسماء,7,0),0)</f>
        <v>0</v>
      </c>
      <c r="K746" s="591"/>
      <c r="L746" s="587">
        <f>IFERROR(VLOOKUP($B746,اسماء,8,0),0)</f>
        <v>0</v>
      </c>
      <c r="M746" s="588"/>
      <c r="N746" s="587">
        <f>IFERROR(VLOOKUP($B746,اسماء,9,0),0)</f>
        <v>0</v>
      </c>
      <c r="O746" s="605"/>
      <c r="P746" s="587">
        <f>IFERROR(VLOOKUP($B746,اسماء,10,0),0)</f>
        <v>0</v>
      </c>
      <c r="Q746" s="605"/>
      <c r="R746" s="606">
        <f>IFERROR(VLOOKUP($B746,اسماء,11,0),0)</f>
        <v>0</v>
      </c>
      <c r="S746" s="591"/>
      <c r="T746" s="587">
        <f>IFERROR(VLOOKUP($B746,اسماء,12,0),0)</f>
        <v>0</v>
      </c>
      <c r="U746" s="588"/>
      <c r="V746" s="375">
        <f t="shared" ref="V746:V748" si="2263">SUM(F746:U746)</f>
        <v>0</v>
      </c>
      <c r="W746" s="376">
        <f>IFERROR(VLOOKUP($B746,اسماء,14,0),0)</f>
        <v>0</v>
      </c>
      <c r="X746" s="377">
        <f>IFERROR(VLOOKUP($B746,اسماء,15,0),0)</f>
        <v>0</v>
      </c>
      <c r="Y746" s="595" t="str">
        <f>IF(AC746="غائب","راسب",IF(AND(F749&gt;=$G$8,H749&gt;=$I$8,J749&gt;=$K$8,L749&gt;=$M$8,N749&gt;=$O$8,P749&gt;=$Q$8,R749&gt;=$S$8,T749&gt;=$U$8),"ناجح","له دور ثان"))</f>
        <v>له دور ثان</v>
      </c>
      <c r="Z746" s="21" t="str">
        <f>LOOKUP(V746,$AF$6:$AG$10)</f>
        <v>ضعيف</v>
      </c>
      <c r="AA746" s="656">
        <f>V749/$AF$3</f>
        <v>0</v>
      </c>
      <c r="AB746" s="10"/>
      <c r="AC746" s="653" t="str">
        <f>IFERROR(VLOOKUP($B746,اسماء,54,0),"")</f>
        <v/>
      </c>
      <c r="AN746" s="610" t="str">
        <f>IF(V749=0,"",V749/1+ROW()*0.00001)</f>
        <v/>
      </c>
      <c r="AO746" s="610">
        <f>B746</f>
        <v>0</v>
      </c>
      <c r="AP746" s="613"/>
      <c r="AQ746" s="612">
        <v>161</v>
      </c>
      <c r="AR746" s="611" t="str">
        <f>IFERROR(LARGE($AN$10:$AN$1006,AQ746),"")</f>
        <v/>
      </c>
      <c r="AS746" s="612" t="str">
        <f>VLOOKUP(AR746,$AN$10:$AO$1116,2,0)</f>
        <v>أحمد نورالدين أحمد الذيب</v>
      </c>
    </row>
    <row r="747" spans="1:45" ht="15" customHeight="1" x14ac:dyDescent="0.25">
      <c r="A747" s="633"/>
      <c r="B747" s="630"/>
      <c r="C747" s="622"/>
      <c r="D747" s="625"/>
      <c r="E747" s="133" t="s">
        <v>31</v>
      </c>
      <c r="F747" s="589">
        <f>IFERROR(VLOOKUP($B746,اسماء,18,0),0)</f>
        <v>0</v>
      </c>
      <c r="G747" s="592"/>
      <c r="H747" s="608">
        <f>IFERROR(VLOOKUP($B746,اسماء,19,0),0)</f>
        <v>0</v>
      </c>
      <c r="I747" s="609"/>
      <c r="J747" s="589">
        <f>IFERROR(VLOOKUP($B746,اسماء,20,0),0)</f>
        <v>0</v>
      </c>
      <c r="K747" s="592"/>
      <c r="L747" s="589">
        <f>IFERROR(VLOOKUP($B746,اسماء,21,0),0)</f>
        <v>0</v>
      </c>
      <c r="M747" s="590"/>
      <c r="N747" s="589">
        <f>IFERROR(VLOOKUP($B746,اسماء,22,0),0)</f>
        <v>0</v>
      </c>
      <c r="O747" s="590"/>
      <c r="P747" s="589">
        <f>IFERROR(VLOOKUP($B746,اسماء,23,0),0)</f>
        <v>0</v>
      </c>
      <c r="Q747" s="609"/>
      <c r="R747" s="603">
        <f>IFERROR(VLOOKUP($B746,اسماء,24,0),0)</f>
        <v>0</v>
      </c>
      <c r="S747" s="592"/>
      <c r="T747" s="589">
        <f>IFERROR(VLOOKUP($B746,اسماء,25,0),0)</f>
        <v>0</v>
      </c>
      <c r="U747" s="590"/>
      <c r="V747" s="378">
        <f t="shared" si="2263"/>
        <v>0</v>
      </c>
      <c r="W747" s="374">
        <f>IFERROR(VLOOKUP($B746,اسماء,27,0),0)</f>
        <v>0</v>
      </c>
      <c r="X747" s="379">
        <f>IFERROR(VLOOKUP($B746,اسماء,28,0),0)</f>
        <v>0</v>
      </c>
      <c r="Y747" s="596"/>
      <c r="Z747" s="22" t="str">
        <f>LOOKUP(V747,$AF$6:$AG$10)</f>
        <v>ضعيف</v>
      </c>
      <c r="AA747" s="657"/>
      <c r="AB747" s="72"/>
      <c r="AC747" s="654"/>
      <c r="AN747" s="610"/>
      <c r="AO747" s="610"/>
      <c r="AP747" s="613"/>
      <c r="AQ747" s="612"/>
      <c r="AR747" s="611"/>
      <c r="AS747" s="612"/>
    </row>
    <row r="748" spans="1:45" ht="15" customHeight="1" x14ac:dyDescent="0.25">
      <c r="A748" s="633"/>
      <c r="B748" s="630"/>
      <c r="C748" s="622"/>
      <c r="D748" s="625"/>
      <c r="E748" s="133" t="s">
        <v>32</v>
      </c>
      <c r="F748" s="589">
        <f>IFERROR(VLOOKUP($B746,اسماء,31,0),0)</f>
        <v>0</v>
      </c>
      <c r="G748" s="592"/>
      <c r="H748" s="608">
        <f>IFERROR(VLOOKUP($B746,اسماء,32,0),0)</f>
        <v>0</v>
      </c>
      <c r="I748" s="609"/>
      <c r="J748" s="589">
        <f>IFERROR(VLOOKUP($B746,اسماء,33,0),0)</f>
        <v>0</v>
      </c>
      <c r="K748" s="592"/>
      <c r="L748" s="589">
        <f>IFERROR(VLOOKUP($B746,اسماء,34,0),0)</f>
        <v>0</v>
      </c>
      <c r="M748" s="590"/>
      <c r="N748" s="589">
        <f>IFERROR(VLOOKUP($B746,اسماء,35,0),0)</f>
        <v>0</v>
      </c>
      <c r="O748" s="590"/>
      <c r="P748" s="589">
        <f>IFERROR(VLOOKUP($B746,اسماء,36,0),0)</f>
        <v>0</v>
      </c>
      <c r="Q748" s="609"/>
      <c r="R748" s="603">
        <f>IFERROR(VLOOKUP($B746,اسماء,37,0),0)</f>
        <v>0</v>
      </c>
      <c r="S748" s="592"/>
      <c r="T748" s="589">
        <f>IFERROR(VLOOKUP($B746,اسماء,38,0),0)</f>
        <v>0</v>
      </c>
      <c r="U748" s="590"/>
      <c r="V748" s="378">
        <f t="shared" si="2263"/>
        <v>0</v>
      </c>
      <c r="W748" s="374">
        <f>IFERROR(VLOOKUP($B746,اسماء,40,0),0)</f>
        <v>0</v>
      </c>
      <c r="X748" s="379">
        <f>IFERROR(VLOOKUP($B746,اسماء,41,0),0)</f>
        <v>0</v>
      </c>
      <c r="Y748" s="596"/>
      <c r="Z748" s="22" t="str">
        <f>LOOKUP(V748,$AI$6:$AJ$10)</f>
        <v>ضعيف</v>
      </c>
      <c r="AA748" s="657"/>
      <c r="AB748" s="72"/>
      <c r="AC748" s="654"/>
      <c r="AN748" s="610"/>
      <c r="AO748" s="610"/>
      <c r="AP748" s="613"/>
      <c r="AQ748" s="612"/>
      <c r="AR748" s="611"/>
      <c r="AS748" s="612"/>
    </row>
    <row r="749" spans="1:45" ht="15" customHeight="1" thickBot="1" x14ac:dyDescent="0.3">
      <c r="A749" s="634"/>
      <c r="B749" s="631"/>
      <c r="C749" s="623"/>
      <c r="D749" s="626"/>
      <c r="E749" s="127" t="s">
        <v>33</v>
      </c>
      <c r="F749" s="585">
        <f t="shared" ref="F749" si="2264">SUM(F746:G748)</f>
        <v>0</v>
      </c>
      <c r="G749" s="593"/>
      <c r="H749" s="604">
        <f t="shared" ref="H749" si="2265">SUM(H746:I748)</f>
        <v>0</v>
      </c>
      <c r="I749" s="601"/>
      <c r="J749" s="585">
        <f t="shared" ref="J749" si="2266">SUM(J746:K748)</f>
        <v>0</v>
      </c>
      <c r="K749" s="593"/>
      <c r="L749" s="585">
        <f t="shared" ref="L749" si="2267">SUM(L746:M748)</f>
        <v>0</v>
      </c>
      <c r="M749" s="586"/>
      <c r="N749" s="585">
        <f t="shared" ref="N749" si="2268">SUM(N746:O748)</f>
        <v>0</v>
      </c>
      <c r="O749" s="586"/>
      <c r="P749" s="585">
        <f t="shared" ref="P749" si="2269">SUM(P746:Q748)</f>
        <v>0</v>
      </c>
      <c r="Q749" s="601"/>
      <c r="R749" s="602">
        <f t="shared" ref="R749" si="2270">SUM(R746:S748)</f>
        <v>0</v>
      </c>
      <c r="S749" s="593"/>
      <c r="T749" s="585">
        <f t="shared" ref="T749" si="2271">SUM(T746:U748)</f>
        <v>0</v>
      </c>
      <c r="U749" s="586"/>
      <c r="V749" s="96">
        <f t="shared" ref="V749" si="2272">IF(AND(F749&gt;=$G$8,H749&gt;=$I$8,L749&gt;=$M$8,P749&gt;=$Q$8,R749&gt;=$S$8,T749&gt;=$U$8),SUM(F749:U749),0)</f>
        <v>0</v>
      </c>
      <c r="W749" s="380"/>
      <c r="X749" s="97"/>
      <c r="Y749" s="597"/>
      <c r="Z749" s="91" t="str">
        <f>LOOKUP(V749,$AL$6:$AM$10)</f>
        <v>ضعيف</v>
      </c>
      <c r="AA749" s="658"/>
      <c r="AB749" s="10"/>
      <c r="AC749" s="655"/>
      <c r="AN749" s="610"/>
      <c r="AO749" s="610"/>
      <c r="AP749" s="613"/>
      <c r="AQ749" s="612"/>
      <c r="AR749" s="611"/>
      <c r="AS749" s="612"/>
    </row>
    <row r="750" spans="1:45" ht="15" customHeight="1" x14ac:dyDescent="0.25">
      <c r="A750" s="632">
        <v>162</v>
      </c>
      <c r="B750" s="629">
        <f>VLOOKUP(A750,مسلسل,2,0)</f>
        <v>0</v>
      </c>
      <c r="C750" s="621" t="str">
        <f>IFERROR(VLOOKUP(B750,اسماء,2,0),"")</f>
        <v/>
      </c>
      <c r="D750" s="624" t="str">
        <f>IFERROR(VLOOKUP($B750,اسماء,3,0),"")</f>
        <v/>
      </c>
      <c r="E750" s="132" t="s">
        <v>30</v>
      </c>
      <c r="F750" s="627">
        <f>IFERROR(VLOOKUP($B750,اسماء,5,0),0)</f>
        <v>0</v>
      </c>
      <c r="G750" s="606"/>
      <c r="H750" s="628">
        <f>IFERROR(VLOOKUP($B750,اسماء,6,0),0)</f>
        <v>0</v>
      </c>
      <c r="I750" s="605"/>
      <c r="J750" s="587">
        <f>IFERROR(VLOOKUP($B750,اسماء,7,0),0)</f>
        <v>0</v>
      </c>
      <c r="K750" s="591"/>
      <c r="L750" s="587">
        <f>IFERROR(VLOOKUP($B750,اسماء,8,0),0)</f>
        <v>0</v>
      </c>
      <c r="M750" s="588"/>
      <c r="N750" s="587">
        <f>IFERROR(VLOOKUP($B750,اسماء,9,0),0)</f>
        <v>0</v>
      </c>
      <c r="O750" s="605"/>
      <c r="P750" s="587">
        <f>IFERROR(VLOOKUP($B750,اسماء,10,0),0)</f>
        <v>0</v>
      </c>
      <c r="Q750" s="605"/>
      <c r="R750" s="606">
        <f>IFERROR(VLOOKUP($B750,اسماء,11,0),0)</f>
        <v>0</v>
      </c>
      <c r="S750" s="591"/>
      <c r="T750" s="587">
        <f>IFERROR(VLOOKUP($B750,اسماء,12,0),0)</f>
        <v>0</v>
      </c>
      <c r="U750" s="588"/>
      <c r="V750" s="375">
        <f t="shared" ref="V750:V752" si="2273">SUM(F750:U750)</f>
        <v>0</v>
      </c>
      <c r="W750" s="376">
        <f>IFERROR(VLOOKUP($B750,اسماء,14,0),0)</f>
        <v>0</v>
      </c>
      <c r="X750" s="377">
        <f>IFERROR(VLOOKUP($B750,اسماء,15,0),0)</f>
        <v>0</v>
      </c>
      <c r="Y750" s="595" t="str">
        <f t="shared" ref="Y750" si="2274">IF(AC750="غائب","راسب",IF(AND(F753&gt;=$G$8,H753&gt;=$I$8,J753&gt;=$K$8,L753&gt;=$M$8,N753&gt;=$O$8,P753&gt;=$Q$8,R753&gt;=$S$8,T753&gt;=$U$8),"ناجح","له دور ثان"))</f>
        <v>له دور ثان</v>
      </c>
      <c r="Z750" s="21" t="str">
        <f>LOOKUP(V750,$AF$6:$AG$10)</f>
        <v>ضعيف</v>
      </c>
      <c r="AA750" s="656">
        <f>V753/$AF$3</f>
        <v>0</v>
      </c>
      <c r="AB750" s="72"/>
      <c r="AC750" s="653" t="str">
        <f>IFERROR(VLOOKUP($B750,اسماء,54,0),"")</f>
        <v/>
      </c>
      <c r="AN750" s="607" t="str">
        <f t="shared" ref="AN750" si="2275">IF(V753=0,"",V753/1+ROW()*0.00001)</f>
        <v/>
      </c>
      <c r="AO750" s="607">
        <f>B750</f>
        <v>0</v>
      </c>
      <c r="AP750" s="613"/>
      <c r="AQ750" s="612">
        <v>162</v>
      </c>
      <c r="AR750" s="611" t="str">
        <f>IFERROR(LARGE($AN$10:$AN$1006,AQ750),"")</f>
        <v/>
      </c>
      <c r="AS750" s="612" t="str">
        <f>VLOOKUP(AR750,$AN$10:$AO$1116,2,0)</f>
        <v>أحمد نورالدين أحمد الذيب</v>
      </c>
    </row>
    <row r="751" spans="1:45" ht="15" customHeight="1" x14ac:dyDescent="0.25">
      <c r="A751" s="633"/>
      <c r="B751" s="630"/>
      <c r="C751" s="622"/>
      <c r="D751" s="625"/>
      <c r="E751" s="133" t="s">
        <v>31</v>
      </c>
      <c r="F751" s="589">
        <f>IFERROR(VLOOKUP($B750,اسماء,18,0),0)</f>
        <v>0</v>
      </c>
      <c r="G751" s="592"/>
      <c r="H751" s="608">
        <f>IFERROR(VLOOKUP($B750,اسماء,19,0),0)</f>
        <v>0</v>
      </c>
      <c r="I751" s="609"/>
      <c r="J751" s="589">
        <f>IFERROR(VLOOKUP($B750,اسماء,20,0),0)</f>
        <v>0</v>
      </c>
      <c r="K751" s="592"/>
      <c r="L751" s="589">
        <f>IFERROR(VLOOKUP($B750,اسماء,21,0),0)</f>
        <v>0</v>
      </c>
      <c r="M751" s="590"/>
      <c r="N751" s="589">
        <f>IFERROR(VLOOKUP($B750,اسماء,22,0),0)</f>
        <v>0</v>
      </c>
      <c r="O751" s="590"/>
      <c r="P751" s="589">
        <f>IFERROR(VLOOKUP($B750,اسماء,23,0),0)</f>
        <v>0</v>
      </c>
      <c r="Q751" s="609"/>
      <c r="R751" s="603">
        <f>IFERROR(VLOOKUP($B750,اسماء,24,0),0)</f>
        <v>0</v>
      </c>
      <c r="S751" s="592"/>
      <c r="T751" s="589">
        <f>IFERROR(VLOOKUP($B750,اسماء,25,0),0)</f>
        <v>0</v>
      </c>
      <c r="U751" s="590"/>
      <c r="V751" s="378">
        <f t="shared" si="2273"/>
        <v>0</v>
      </c>
      <c r="W751" s="374">
        <f>IFERROR(VLOOKUP($B750,اسماء,27,0),0)</f>
        <v>0</v>
      </c>
      <c r="X751" s="379">
        <f>IFERROR(VLOOKUP($B750,اسماء,28,0),0)</f>
        <v>0</v>
      </c>
      <c r="Y751" s="596"/>
      <c r="Z751" s="22" t="str">
        <f>LOOKUP(V751,$AF$6:$AG$10)</f>
        <v>ضعيف</v>
      </c>
      <c r="AA751" s="657"/>
      <c r="AB751" s="72"/>
      <c r="AC751" s="654"/>
      <c r="AN751" s="607"/>
      <c r="AO751" s="607"/>
      <c r="AP751" s="613"/>
      <c r="AQ751" s="612"/>
      <c r="AR751" s="611"/>
      <c r="AS751" s="612"/>
    </row>
    <row r="752" spans="1:45" ht="15" customHeight="1" x14ac:dyDescent="0.25">
      <c r="A752" s="633"/>
      <c r="B752" s="630"/>
      <c r="C752" s="622"/>
      <c r="D752" s="625"/>
      <c r="E752" s="133" t="s">
        <v>32</v>
      </c>
      <c r="F752" s="589">
        <f>IFERROR(VLOOKUP($B750,اسماء,31,0),0)</f>
        <v>0</v>
      </c>
      <c r="G752" s="592"/>
      <c r="H752" s="608">
        <f>IFERROR(VLOOKUP($B750,اسماء,32,0),0)</f>
        <v>0</v>
      </c>
      <c r="I752" s="609"/>
      <c r="J752" s="589">
        <f>IFERROR(VLOOKUP($B750,اسماء,33,0),0)</f>
        <v>0</v>
      </c>
      <c r="K752" s="592"/>
      <c r="L752" s="589">
        <f>IFERROR(VLOOKUP($B750,اسماء,34,0),0)</f>
        <v>0</v>
      </c>
      <c r="M752" s="590"/>
      <c r="N752" s="589">
        <f>IFERROR(VLOOKUP($B750,اسماء,35,0),0)</f>
        <v>0</v>
      </c>
      <c r="O752" s="590"/>
      <c r="P752" s="589">
        <f>IFERROR(VLOOKUP($B750,اسماء,36,0),0)</f>
        <v>0</v>
      </c>
      <c r="Q752" s="609"/>
      <c r="R752" s="603">
        <f>IFERROR(VLOOKUP($B750,اسماء,37,0),0)</f>
        <v>0</v>
      </c>
      <c r="S752" s="592"/>
      <c r="T752" s="589">
        <f>IFERROR(VLOOKUP($B750,اسماء,38,0),0)</f>
        <v>0</v>
      </c>
      <c r="U752" s="590"/>
      <c r="V752" s="378">
        <f t="shared" si="2273"/>
        <v>0</v>
      </c>
      <c r="W752" s="374">
        <f>IFERROR(VLOOKUP($B750,اسماء,40,0),0)</f>
        <v>0</v>
      </c>
      <c r="X752" s="379">
        <f>IFERROR(VLOOKUP($B750,اسماء,41,0),0)</f>
        <v>0</v>
      </c>
      <c r="Y752" s="596"/>
      <c r="Z752" s="22" t="str">
        <f>LOOKUP(V752,$AI$6:$AJ$10)</f>
        <v>ضعيف</v>
      </c>
      <c r="AA752" s="657"/>
      <c r="AB752" s="10"/>
      <c r="AC752" s="654"/>
      <c r="AN752" s="607"/>
      <c r="AO752" s="607"/>
      <c r="AP752" s="613"/>
      <c r="AQ752" s="612"/>
      <c r="AR752" s="611"/>
      <c r="AS752" s="612"/>
    </row>
    <row r="753" spans="1:45" ht="15" customHeight="1" thickBot="1" x14ac:dyDescent="0.3">
      <c r="A753" s="634"/>
      <c r="B753" s="631"/>
      <c r="C753" s="623"/>
      <c r="D753" s="626"/>
      <c r="E753" s="127" t="s">
        <v>33</v>
      </c>
      <c r="F753" s="585">
        <f t="shared" ref="F753" si="2276">SUM(F750:G752)</f>
        <v>0</v>
      </c>
      <c r="G753" s="593"/>
      <c r="H753" s="604">
        <f t="shared" ref="H753" si="2277">SUM(H750:I752)</f>
        <v>0</v>
      </c>
      <c r="I753" s="601"/>
      <c r="J753" s="585">
        <f t="shared" ref="J753" si="2278">SUM(J750:K752)</f>
        <v>0</v>
      </c>
      <c r="K753" s="593"/>
      <c r="L753" s="585">
        <f t="shared" ref="L753" si="2279">SUM(L750:M752)</f>
        <v>0</v>
      </c>
      <c r="M753" s="586"/>
      <c r="N753" s="585">
        <f t="shared" ref="N753" si="2280">SUM(N750:O752)</f>
        <v>0</v>
      </c>
      <c r="O753" s="586"/>
      <c r="P753" s="585">
        <f t="shared" ref="P753" si="2281">SUM(P750:Q752)</f>
        <v>0</v>
      </c>
      <c r="Q753" s="601"/>
      <c r="R753" s="602">
        <f t="shared" ref="R753" si="2282">SUM(R750:S752)</f>
        <v>0</v>
      </c>
      <c r="S753" s="593"/>
      <c r="T753" s="585">
        <f t="shared" ref="T753" si="2283">SUM(T750:U752)</f>
        <v>0</v>
      </c>
      <c r="U753" s="586"/>
      <c r="V753" s="96">
        <f t="shared" ref="V753" si="2284">IF(AND(F753&gt;=$G$8,H753&gt;=$I$8,L753&gt;=$M$8,P753&gt;=$Q$8,R753&gt;=$S$8,T753&gt;=$U$8),SUM(F753:U753),0)</f>
        <v>0</v>
      </c>
      <c r="W753" s="380"/>
      <c r="X753" s="97"/>
      <c r="Y753" s="597"/>
      <c r="Z753" s="91" t="str">
        <f>LOOKUP(V753,$AL$6:$AM$10)</f>
        <v>ضعيف</v>
      </c>
      <c r="AA753" s="658"/>
      <c r="AB753" s="72"/>
      <c r="AC753" s="655"/>
      <c r="AN753" s="607"/>
      <c r="AO753" s="607"/>
      <c r="AP753" s="613"/>
      <c r="AQ753" s="612"/>
      <c r="AR753" s="611"/>
      <c r="AS753" s="612"/>
    </row>
    <row r="754" spans="1:45" ht="15" customHeight="1" x14ac:dyDescent="0.25">
      <c r="A754" s="632">
        <v>163</v>
      </c>
      <c r="B754" s="629">
        <f>VLOOKUP(A754,مسلسل,2,0)</f>
        <v>0</v>
      </c>
      <c r="C754" s="621" t="str">
        <f>IFERROR(VLOOKUP(B754,اسماء,2,0),"")</f>
        <v/>
      </c>
      <c r="D754" s="624" t="str">
        <f>IFERROR(VLOOKUP($B754,اسماء,3,0),"")</f>
        <v/>
      </c>
      <c r="E754" s="132" t="s">
        <v>30</v>
      </c>
      <c r="F754" s="627">
        <f>IFERROR(VLOOKUP($B754,اسماء,5,0),0)</f>
        <v>0</v>
      </c>
      <c r="G754" s="606"/>
      <c r="H754" s="628">
        <f>IFERROR(VLOOKUP($B754,اسماء,6,0),0)</f>
        <v>0</v>
      </c>
      <c r="I754" s="605"/>
      <c r="J754" s="587">
        <f>IFERROR(VLOOKUP($B754,اسماء,7,0),0)</f>
        <v>0</v>
      </c>
      <c r="K754" s="591"/>
      <c r="L754" s="587">
        <f>IFERROR(VLOOKUP($B754,اسماء,8,0),0)</f>
        <v>0</v>
      </c>
      <c r="M754" s="588"/>
      <c r="N754" s="587">
        <f>IFERROR(VLOOKUP($B754,اسماء,9,0),0)</f>
        <v>0</v>
      </c>
      <c r="O754" s="605"/>
      <c r="P754" s="587">
        <f>IFERROR(VLOOKUP($B754,اسماء,10,0),0)</f>
        <v>0</v>
      </c>
      <c r="Q754" s="605"/>
      <c r="R754" s="606">
        <f>IFERROR(VLOOKUP($B754,اسماء,11,0),0)</f>
        <v>0</v>
      </c>
      <c r="S754" s="591"/>
      <c r="T754" s="587">
        <f>IFERROR(VLOOKUP($B754,اسماء,12,0),0)</f>
        <v>0</v>
      </c>
      <c r="U754" s="588"/>
      <c r="V754" s="375">
        <f t="shared" ref="V754:V756" si="2285">SUM(F754:U754)</f>
        <v>0</v>
      </c>
      <c r="W754" s="376">
        <f>IFERROR(VLOOKUP($B754,اسماء,14,0),0)</f>
        <v>0</v>
      </c>
      <c r="X754" s="377">
        <f>IFERROR(VLOOKUP($B754,اسماء,15,0),0)</f>
        <v>0</v>
      </c>
      <c r="Y754" s="595" t="str">
        <f t="shared" ref="Y754" si="2286">IF(AC754="غائب","راسب",IF(AND(F757&gt;=$G$8,H757&gt;=$I$8,J757&gt;=$K$8,L757&gt;=$M$8,N757&gt;=$O$8,P757&gt;=$Q$8,R757&gt;=$S$8,T757&gt;=$U$8),"ناجح","له دور ثان"))</f>
        <v>له دور ثان</v>
      </c>
      <c r="Z754" s="21" t="str">
        <f>LOOKUP(V754,$AF$6:$AG$10)</f>
        <v>ضعيف</v>
      </c>
      <c r="AA754" s="656">
        <f>V757/$AF$3</f>
        <v>0</v>
      </c>
      <c r="AB754" s="72"/>
      <c r="AC754" s="653" t="str">
        <f>IFERROR(VLOOKUP($B754,اسماء,54,0),"")</f>
        <v/>
      </c>
      <c r="AN754" s="607" t="str">
        <f t="shared" ref="AN754" si="2287">IF(V757=0,"",V757/1+ROW()*0.00001)</f>
        <v/>
      </c>
      <c r="AO754" s="607">
        <f>B754</f>
        <v>0</v>
      </c>
      <c r="AP754" s="613"/>
      <c r="AQ754" s="612">
        <v>163</v>
      </c>
      <c r="AR754" s="611" t="str">
        <f>IFERROR(LARGE($AN$10:$AN$1006,AQ754),"")</f>
        <v/>
      </c>
      <c r="AS754" s="612" t="str">
        <f>VLOOKUP(AR754,$AN$10:$AO$1116,2,0)</f>
        <v>أحمد نورالدين أحمد الذيب</v>
      </c>
    </row>
    <row r="755" spans="1:45" ht="15" customHeight="1" x14ac:dyDescent="0.25">
      <c r="A755" s="633"/>
      <c r="B755" s="630"/>
      <c r="C755" s="622"/>
      <c r="D755" s="625"/>
      <c r="E755" s="133" t="s">
        <v>31</v>
      </c>
      <c r="F755" s="589">
        <f>IFERROR(VLOOKUP($B754,اسماء,18,0),0)</f>
        <v>0</v>
      </c>
      <c r="G755" s="592"/>
      <c r="H755" s="608">
        <f>IFERROR(VLOOKUP($B754,اسماء,19,0),0)</f>
        <v>0</v>
      </c>
      <c r="I755" s="609"/>
      <c r="J755" s="589">
        <f>IFERROR(VLOOKUP($B754,اسماء,20,0),0)</f>
        <v>0</v>
      </c>
      <c r="K755" s="592"/>
      <c r="L755" s="589">
        <f>IFERROR(VLOOKUP($B754,اسماء,21,0),0)</f>
        <v>0</v>
      </c>
      <c r="M755" s="590"/>
      <c r="N755" s="589">
        <f>IFERROR(VLOOKUP($B754,اسماء,22,0),0)</f>
        <v>0</v>
      </c>
      <c r="O755" s="590"/>
      <c r="P755" s="589">
        <f>IFERROR(VLOOKUP($B754,اسماء,23,0),0)</f>
        <v>0</v>
      </c>
      <c r="Q755" s="609"/>
      <c r="R755" s="603">
        <f>IFERROR(VLOOKUP($B754,اسماء,24,0),0)</f>
        <v>0</v>
      </c>
      <c r="S755" s="592"/>
      <c r="T755" s="589">
        <f>IFERROR(VLOOKUP($B754,اسماء,25,0),0)</f>
        <v>0</v>
      </c>
      <c r="U755" s="590"/>
      <c r="V755" s="378">
        <f t="shared" si="2285"/>
        <v>0</v>
      </c>
      <c r="W755" s="374">
        <f>IFERROR(VLOOKUP($B754,اسماء,27,0),0)</f>
        <v>0</v>
      </c>
      <c r="X755" s="379">
        <f>IFERROR(VLOOKUP($B754,اسماء,28,0),0)</f>
        <v>0</v>
      </c>
      <c r="Y755" s="596"/>
      <c r="Z755" s="22" t="str">
        <f>LOOKUP(V755,$AF$6:$AG$10)</f>
        <v>ضعيف</v>
      </c>
      <c r="AA755" s="657"/>
      <c r="AB755" s="10"/>
      <c r="AC755" s="654"/>
      <c r="AN755" s="607"/>
      <c r="AO755" s="607"/>
      <c r="AP755" s="613"/>
      <c r="AQ755" s="612"/>
      <c r="AR755" s="611"/>
      <c r="AS755" s="612"/>
    </row>
    <row r="756" spans="1:45" ht="15" customHeight="1" x14ac:dyDescent="0.25">
      <c r="A756" s="633"/>
      <c r="B756" s="630"/>
      <c r="C756" s="622"/>
      <c r="D756" s="625"/>
      <c r="E756" s="133" t="s">
        <v>32</v>
      </c>
      <c r="F756" s="589">
        <f>IFERROR(VLOOKUP($B754,اسماء,31,0),0)</f>
        <v>0</v>
      </c>
      <c r="G756" s="592"/>
      <c r="H756" s="608">
        <f>IFERROR(VLOOKUP($B754,اسماء,32,0),0)</f>
        <v>0</v>
      </c>
      <c r="I756" s="609"/>
      <c r="J756" s="589">
        <f>IFERROR(VLOOKUP($B754,اسماء,33,0),0)</f>
        <v>0</v>
      </c>
      <c r="K756" s="592"/>
      <c r="L756" s="589">
        <f>IFERROR(VLOOKUP($B754,اسماء,34,0),0)</f>
        <v>0</v>
      </c>
      <c r="M756" s="590"/>
      <c r="N756" s="589">
        <f>IFERROR(VLOOKUP($B754,اسماء,35,0),0)</f>
        <v>0</v>
      </c>
      <c r="O756" s="590"/>
      <c r="P756" s="589">
        <f>IFERROR(VLOOKUP($B754,اسماء,36,0),0)</f>
        <v>0</v>
      </c>
      <c r="Q756" s="609"/>
      <c r="R756" s="603">
        <f>IFERROR(VLOOKUP($B754,اسماء,37,0),0)</f>
        <v>0</v>
      </c>
      <c r="S756" s="592"/>
      <c r="T756" s="589">
        <f>IFERROR(VLOOKUP($B754,اسماء,38,0),0)</f>
        <v>0</v>
      </c>
      <c r="U756" s="590"/>
      <c r="V756" s="378">
        <f t="shared" si="2285"/>
        <v>0</v>
      </c>
      <c r="W756" s="374">
        <f>IFERROR(VLOOKUP($B754,اسماء,40,0),0)</f>
        <v>0</v>
      </c>
      <c r="X756" s="379">
        <f>IFERROR(VLOOKUP($B754,اسماء,41,0),0)</f>
        <v>0</v>
      </c>
      <c r="Y756" s="596"/>
      <c r="Z756" s="22" t="str">
        <f>LOOKUP(V756,$AI$6:$AJ$10)</f>
        <v>ضعيف</v>
      </c>
      <c r="AA756" s="657"/>
      <c r="AB756" s="72"/>
      <c r="AC756" s="654"/>
      <c r="AN756" s="607"/>
      <c r="AO756" s="607"/>
      <c r="AP756" s="613"/>
      <c r="AQ756" s="612"/>
      <c r="AR756" s="611"/>
      <c r="AS756" s="612"/>
    </row>
    <row r="757" spans="1:45" ht="15" customHeight="1" thickBot="1" x14ac:dyDescent="0.3">
      <c r="A757" s="634"/>
      <c r="B757" s="631"/>
      <c r="C757" s="623"/>
      <c r="D757" s="626"/>
      <c r="E757" s="127" t="s">
        <v>33</v>
      </c>
      <c r="F757" s="585">
        <f t="shared" ref="F757" si="2288">SUM(F754:G756)</f>
        <v>0</v>
      </c>
      <c r="G757" s="593"/>
      <c r="H757" s="604">
        <f t="shared" ref="H757" si="2289">SUM(H754:I756)</f>
        <v>0</v>
      </c>
      <c r="I757" s="601"/>
      <c r="J757" s="585">
        <f t="shared" ref="J757" si="2290">SUM(J754:K756)</f>
        <v>0</v>
      </c>
      <c r="K757" s="593"/>
      <c r="L757" s="585">
        <f t="shared" ref="L757" si="2291">SUM(L754:M756)</f>
        <v>0</v>
      </c>
      <c r="M757" s="586"/>
      <c r="N757" s="585">
        <f t="shared" ref="N757" si="2292">SUM(N754:O756)</f>
        <v>0</v>
      </c>
      <c r="O757" s="586"/>
      <c r="P757" s="585">
        <f t="shared" ref="P757" si="2293">SUM(P754:Q756)</f>
        <v>0</v>
      </c>
      <c r="Q757" s="601"/>
      <c r="R757" s="602">
        <f t="shared" ref="R757" si="2294">SUM(R754:S756)</f>
        <v>0</v>
      </c>
      <c r="S757" s="593"/>
      <c r="T757" s="585">
        <f t="shared" ref="T757" si="2295">SUM(T754:U756)</f>
        <v>0</v>
      </c>
      <c r="U757" s="586"/>
      <c r="V757" s="96">
        <f t="shared" ref="V757" si="2296">IF(AND(F757&gt;=$G$8,H757&gt;=$I$8,L757&gt;=$M$8,P757&gt;=$Q$8,R757&gt;=$S$8,T757&gt;=$U$8),SUM(F757:U757),0)</f>
        <v>0</v>
      </c>
      <c r="W757" s="380"/>
      <c r="X757" s="97"/>
      <c r="Y757" s="597"/>
      <c r="Z757" s="91" t="str">
        <f>LOOKUP(V757,$AL$6:$AM$10)</f>
        <v>ضعيف</v>
      </c>
      <c r="AA757" s="658"/>
      <c r="AB757" s="72"/>
      <c r="AC757" s="655"/>
      <c r="AN757" s="607"/>
      <c r="AO757" s="607"/>
      <c r="AP757" s="613"/>
      <c r="AQ757" s="612"/>
      <c r="AR757" s="611"/>
      <c r="AS757" s="612"/>
    </row>
    <row r="758" spans="1:45" ht="15" customHeight="1" x14ac:dyDescent="0.25">
      <c r="A758" s="632">
        <v>164</v>
      </c>
      <c r="B758" s="629">
        <f>VLOOKUP(A758,مسلسل,2,0)</f>
        <v>0</v>
      </c>
      <c r="C758" s="621" t="str">
        <f>IFERROR(VLOOKUP(B758,اسماء,2,0),"")</f>
        <v/>
      </c>
      <c r="D758" s="624" t="str">
        <f>IFERROR(VLOOKUP($B758,اسماء,3,0),"")</f>
        <v/>
      </c>
      <c r="E758" s="132" t="s">
        <v>30</v>
      </c>
      <c r="F758" s="627">
        <f>IFERROR(VLOOKUP($B758,اسماء,5,0),0)</f>
        <v>0</v>
      </c>
      <c r="G758" s="606"/>
      <c r="H758" s="628">
        <f>IFERROR(VLOOKUP($B758,اسماء,6,0),0)</f>
        <v>0</v>
      </c>
      <c r="I758" s="605"/>
      <c r="J758" s="587">
        <f>IFERROR(VLOOKUP($B758,اسماء,7,0),0)</f>
        <v>0</v>
      </c>
      <c r="K758" s="591"/>
      <c r="L758" s="587">
        <f>IFERROR(VLOOKUP($B758,اسماء,8,0),0)</f>
        <v>0</v>
      </c>
      <c r="M758" s="588"/>
      <c r="N758" s="587">
        <f>IFERROR(VLOOKUP($B758,اسماء,9,0),0)</f>
        <v>0</v>
      </c>
      <c r="O758" s="605"/>
      <c r="P758" s="587">
        <f>IFERROR(VLOOKUP($B758,اسماء,10,0),0)</f>
        <v>0</v>
      </c>
      <c r="Q758" s="605"/>
      <c r="R758" s="606">
        <f>IFERROR(VLOOKUP($B758,اسماء,11,0),0)</f>
        <v>0</v>
      </c>
      <c r="S758" s="591"/>
      <c r="T758" s="587">
        <f>IFERROR(VLOOKUP($B758,اسماء,12,0),0)</f>
        <v>0</v>
      </c>
      <c r="U758" s="588"/>
      <c r="V758" s="375">
        <f t="shared" ref="V758:V760" si="2297">SUM(F758:U758)</f>
        <v>0</v>
      </c>
      <c r="W758" s="376">
        <f>IFERROR(VLOOKUP($B758,اسماء,14,0),0)</f>
        <v>0</v>
      </c>
      <c r="X758" s="377">
        <f>IFERROR(VLOOKUP($B758,اسماء,15,0),0)</f>
        <v>0</v>
      </c>
      <c r="Y758" s="595" t="str">
        <f t="shared" ref="Y758" si="2298">IF(AC758="غائب","راسب",IF(AND(F761&gt;=$G$8,H761&gt;=$I$8,J761&gt;=$K$8,L761&gt;=$M$8,N761&gt;=$O$8,P761&gt;=$Q$8,R761&gt;=$S$8,T761&gt;=$U$8),"ناجح","له دور ثان"))</f>
        <v>له دور ثان</v>
      </c>
      <c r="Z758" s="21" t="str">
        <f>LOOKUP(V758,$AF$6:$AG$10)</f>
        <v>ضعيف</v>
      </c>
      <c r="AA758" s="656">
        <f>V761/$AF$3</f>
        <v>0</v>
      </c>
      <c r="AB758" s="10"/>
      <c r="AC758" s="653" t="str">
        <f>IFERROR(VLOOKUP($B758,اسماء,54,0),"")</f>
        <v/>
      </c>
      <c r="AN758" s="607" t="str">
        <f t="shared" ref="AN758" si="2299">IF(V761=0,"",V761/1+ROW()*0.00001)</f>
        <v/>
      </c>
      <c r="AO758" s="607">
        <f>B758</f>
        <v>0</v>
      </c>
      <c r="AP758" s="613"/>
      <c r="AQ758" s="612">
        <v>164</v>
      </c>
      <c r="AR758" s="611" t="str">
        <f>IFERROR(LARGE($AN$10:$AN$1006,AQ758),"")</f>
        <v/>
      </c>
      <c r="AS758" s="612" t="str">
        <f>VLOOKUP(AR758,$AN$10:$AO$1116,2,0)</f>
        <v>أحمد نورالدين أحمد الذيب</v>
      </c>
    </row>
    <row r="759" spans="1:45" ht="15" customHeight="1" x14ac:dyDescent="0.25">
      <c r="A759" s="633"/>
      <c r="B759" s="630"/>
      <c r="C759" s="622"/>
      <c r="D759" s="625"/>
      <c r="E759" s="133" t="s">
        <v>31</v>
      </c>
      <c r="F759" s="589">
        <f>IFERROR(VLOOKUP($B758,اسماء,18,0),0)</f>
        <v>0</v>
      </c>
      <c r="G759" s="592"/>
      <c r="H759" s="608">
        <f>IFERROR(VLOOKUP($B758,اسماء,19,0),0)</f>
        <v>0</v>
      </c>
      <c r="I759" s="609"/>
      <c r="J759" s="589">
        <f>IFERROR(VLOOKUP($B758,اسماء,20,0),0)</f>
        <v>0</v>
      </c>
      <c r="K759" s="592"/>
      <c r="L759" s="589">
        <f>IFERROR(VLOOKUP($B758,اسماء,21,0),0)</f>
        <v>0</v>
      </c>
      <c r="M759" s="590"/>
      <c r="N759" s="589">
        <f>IFERROR(VLOOKUP($B758,اسماء,22,0),0)</f>
        <v>0</v>
      </c>
      <c r="O759" s="590"/>
      <c r="P759" s="589">
        <f>IFERROR(VLOOKUP($B758,اسماء,23,0),0)</f>
        <v>0</v>
      </c>
      <c r="Q759" s="609"/>
      <c r="R759" s="603">
        <f>IFERROR(VLOOKUP($B758,اسماء,24,0),0)</f>
        <v>0</v>
      </c>
      <c r="S759" s="592"/>
      <c r="T759" s="589">
        <f>IFERROR(VLOOKUP($B758,اسماء,25,0),0)</f>
        <v>0</v>
      </c>
      <c r="U759" s="590"/>
      <c r="V759" s="378">
        <f t="shared" si="2297"/>
        <v>0</v>
      </c>
      <c r="W759" s="374">
        <f>IFERROR(VLOOKUP($B758,اسماء,27,0),0)</f>
        <v>0</v>
      </c>
      <c r="X759" s="379">
        <f>IFERROR(VLOOKUP($B758,اسماء,28,0),0)</f>
        <v>0</v>
      </c>
      <c r="Y759" s="596"/>
      <c r="Z759" s="22" t="str">
        <f>LOOKUP(V759,$AF$6:$AG$10)</f>
        <v>ضعيف</v>
      </c>
      <c r="AA759" s="657"/>
      <c r="AB759" s="72"/>
      <c r="AC759" s="654"/>
      <c r="AN759" s="607"/>
      <c r="AO759" s="607"/>
      <c r="AP759" s="613"/>
      <c r="AQ759" s="612"/>
      <c r="AR759" s="611"/>
      <c r="AS759" s="612"/>
    </row>
    <row r="760" spans="1:45" ht="15" customHeight="1" x14ac:dyDescent="0.25">
      <c r="A760" s="633"/>
      <c r="B760" s="630"/>
      <c r="C760" s="622"/>
      <c r="D760" s="625"/>
      <c r="E760" s="133" t="s">
        <v>32</v>
      </c>
      <c r="F760" s="589">
        <f>IFERROR(VLOOKUP($B758,اسماء,31,0),0)</f>
        <v>0</v>
      </c>
      <c r="G760" s="592"/>
      <c r="H760" s="608">
        <f>IFERROR(VLOOKUP($B758,اسماء,32,0),0)</f>
        <v>0</v>
      </c>
      <c r="I760" s="609"/>
      <c r="J760" s="589">
        <f>IFERROR(VLOOKUP($B758,اسماء,33,0),0)</f>
        <v>0</v>
      </c>
      <c r="K760" s="592"/>
      <c r="L760" s="589">
        <f>IFERROR(VLOOKUP($B758,اسماء,34,0),0)</f>
        <v>0</v>
      </c>
      <c r="M760" s="590"/>
      <c r="N760" s="589">
        <f>IFERROR(VLOOKUP($B758,اسماء,35,0),0)</f>
        <v>0</v>
      </c>
      <c r="O760" s="590"/>
      <c r="P760" s="589">
        <f>IFERROR(VLOOKUP($B758,اسماء,36,0),0)</f>
        <v>0</v>
      </c>
      <c r="Q760" s="609"/>
      <c r="R760" s="603">
        <f>IFERROR(VLOOKUP($B758,اسماء,37,0),0)</f>
        <v>0</v>
      </c>
      <c r="S760" s="592"/>
      <c r="T760" s="589">
        <f>IFERROR(VLOOKUP($B758,اسماء,38,0),0)</f>
        <v>0</v>
      </c>
      <c r="U760" s="590"/>
      <c r="V760" s="378">
        <f t="shared" si="2297"/>
        <v>0</v>
      </c>
      <c r="W760" s="374">
        <f>IFERROR(VLOOKUP($B758,اسماء,40,0),0)</f>
        <v>0</v>
      </c>
      <c r="X760" s="379">
        <f>IFERROR(VLOOKUP($B758,اسماء,41,0),0)</f>
        <v>0</v>
      </c>
      <c r="Y760" s="596"/>
      <c r="Z760" s="22" t="str">
        <f>LOOKUP(V760,$AI$6:$AJ$10)</f>
        <v>ضعيف</v>
      </c>
      <c r="AA760" s="657"/>
      <c r="AB760" s="72"/>
      <c r="AC760" s="654"/>
      <c r="AN760" s="607"/>
      <c r="AO760" s="607"/>
      <c r="AP760" s="613"/>
      <c r="AQ760" s="612"/>
      <c r="AR760" s="611"/>
      <c r="AS760" s="612"/>
    </row>
    <row r="761" spans="1:45" ht="15" customHeight="1" thickBot="1" x14ac:dyDescent="0.3">
      <c r="A761" s="634"/>
      <c r="B761" s="631"/>
      <c r="C761" s="623"/>
      <c r="D761" s="626"/>
      <c r="E761" s="127" t="s">
        <v>33</v>
      </c>
      <c r="F761" s="585">
        <f t="shared" ref="F761" si="2300">SUM(F758:G760)</f>
        <v>0</v>
      </c>
      <c r="G761" s="593"/>
      <c r="H761" s="604">
        <f t="shared" ref="H761" si="2301">SUM(H758:I760)</f>
        <v>0</v>
      </c>
      <c r="I761" s="601"/>
      <c r="J761" s="585">
        <f t="shared" ref="J761" si="2302">SUM(J758:K760)</f>
        <v>0</v>
      </c>
      <c r="K761" s="593"/>
      <c r="L761" s="585">
        <f t="shared" ref="L761" si="2303">SUM(L758:M760)</f>
        <v>0</v>
      </c>
      <c r="M761" s="586"/>
      <c r="N761" s="585">
        <f t="shared" ref="N761" si="2304">SUM(N758:O760)</f>
        <v>0</v>
      </c>
      <c r="O761" s="586"/>
      <c r="P761" s="585">
        <f t="shared" ref="P761" si="2305">SUM(P758:Q760)</f>
        <v>0</v>
      </c>
      <c r="Q761" s="601"/>
      <c r="R761" s="602">
        <f t="shared" ref="R761" si="2306">SUM(R758:S760)</f>
        <v>0</v>
      </c>
      <c r="S761" s="593"/>
      <c r="T761" s="585">
        <f t="shared" ref="T761" si="2307">SUM(T758:U760)</f>
        <v>0</v>
      </c>
      <c r="U761" s="586"/>
      <c r="V761" s="96">
        <f t="shared" ref="V761" si="2308">IF(AND(F761&gt;=$G$8,H761&gt;=$I$8,L761&gt;=$M$8,P761&gt;=$Q$8,R761&gt;=$S$8,T761&gt;=$U$8),SUM(F761:U761),0)</f>
        <v>0</v>
      </c>
      <c r="W761" s="380"/>
      <c r="X761" s="97"/>
      <c r="Y761" s="597"/>
      <c r="Z761" s="91" t="str">
        <f>LOOKUP(V761,$AL$6:$AM$10)</f>
        <v>ضعيف</v>
      </c>
      <c r="AA761" s="658"/>
      <c r="AB761" s="10"/>
      <c r="AC761" s="655"/>
      <c r="AN761" s="607"/>
      <c r="AO761" s="607"/>
      <c r="AP761" s="613"/>
      <c r="AQ761" s="612"/>
      <c r="AR761" s="611"/>
      <c r="AS761" s="612"/>
    </row>
    <row r="762" spans="1:45" ht="15" customHeight="1" x14ac:dyDescent="0.25">
      <c r="A762" s="632">
        <v>165</v>
      </c>
      <c r="B762" s="629">
        <f>VLOOKUP(A762,مسلسل,2,0)</f>
        <v>0</v>
      </c>
      <c r="C762" s="621" t="str">
        <f>IFERROR(VLOOKUP(B762,اسماء,2,0),"")</f>
        <v/>
      </c>
      <c r="D762" s="624" t="str">
        <f>IFERROR(VLOOKUP($B762,اسماء,3,0),"")</f>
        <v/>
      </c>
      <c r="E762" s="132" t="s">
        <v>30</v>
      </c>
      <c r="F762" s="627">
        <f>IFERROR(VLOOKUP($B762,اسماء,5,0),0)</f>
        <v>0</v>
      </c>
      <c r="G762" s="606"/>
      <c r="H762" s="628">
        <f>IFERROR(VLOOKUP($B762,اسماء,6,0),0)</f>
        <v>0</v>
      </c>
      <c r="I762" s="605"/>
      <c r="J762" s="587">
        <f>IFERROR(VLOOKUP($B762,اسماء,7,0),0)</f>
        <v>0</v>
      </c>
      <c r="K762" s="591"/>
      <c r="L762" s="587">
        <f>IFERROR(VLOOKUP($B762,اسماء,8,0),0)</f>
        <v>0</v>
      </c>
      <c r="M762" s="588"/>
      <c r="N762" s="587">
        <f>IFERROR(VLOOKUP($B762,اسماء,9,0),0)</f>
        <v>0</v>
      </c>
      <c r="O762" s="605"/>
      <c r="P762" s="587">
        <f>IFERROR(VLOOKUP($B762,اسماء,10,0),0)</f>
        <v>0</v>
      </c>
      <c r="Q762" s="605"/>
      <c r="R762" s="606">
        <f>IFERROR(VLOOKUP($B762,اسماء,11,0),0)</f>
        <v>0</v>
      </c>
      <c r="S762" s="591"/>
      <c r="T762" s="587">
        <f>IFERROR(VLOOKUP($B762,اسماء,12,0),0)</f>
        <v>0</v>
      </c>
      <c r="U762" s="588"/>
      <c r="V762" s="375">
        <f t="shared" ref="V762:V764" si="2309">SUM(F762:U762)</f>
        <v>0</v>
      </c>
      <c r="W762" s="376">
        <f>IFERROR(VLOOKUP($B762,اسماء,14,0),0)</f>
        <v>0</v>
      </c>
      <c r="X762" s="377">
        <f>IFERROR(VLOOKUP($B762,اسماء,15,0),0)</f>
        <v>0</v>
      </c>
      <c r="Y762" s="595" t="str">
        <f t="shared" ref="Y762" si="2310">IF(AC762="غائب","راسب",IF(AND(F765&gt;=$G$8,H765&gt;=$I$8,J765&gt;=$K$8,L765&gt;=$M$8,N765&gt;=$O$8,P765&gt;=$Q$8,R765&gt;=$S$8,T765&gt;=$U$8),"ناجح","له دور ثان"))</f>
        <v>له دور ثان</v>
      </c>
      <c r="Z762" s="21" t="str">
        <f t="shared" ref="Z762:Z763" si="2311">LOOKUP(V762,$AF$6:$AG$10)</f>
        <v>ضعيف</v>
      </c>
      <c r="AA762" s="656">
        <f t="shared" ref="AA762" si="2312">V765/$AF$3</f>
        <v>0</v>
      </c>
      <c r="AB762" s="72"/>
      <c r="AC762" s="653" t="str">
        <f>IFERROR(VLOOKUP($B762,اسماء,54,0),"")</f>
        <v/>
      </c>
      <c r="AN762" s="607" t="str">
        <f t="shared" ref="AN762" si="2313">IF(V765=0,"",V765/1+ROW()*0.00001)</f>
        <v/>
      </c>
      <c r="AO762" s="607">
        <f>B762</f>
        <v>0</v>
      </c>
      <c r="AP762" s="613"/>
      <c r="AQ762" s="612">
        <v>165</v>
      </c>
      <c r="AR762" s="611" t="str">
        <f>IFERROR(LARGE($AN$10:$AN$1006,AQ762),"")</f>
        <v/>
      </c>
      <c r="AS762" s="612" t="str">
        <f>VLOOKUP(AR762,$AN$10:$AO$1116,2,0)</f>
        <v>أحمد نورالدين أحمد الذيب</v>
      </c>
    </row>
    <row r="763" spans="1:45" ht="15" customHeight="1" x14ac:dyDescent="0.25">
      <c r="A763" s="633"/>
      <c r="B763" s="630"/>
      <c r="C763" s="622"/>
      <c r="D763" s="625"/>
      <c r="E763" s="133" t="s">
        <v>31</v>
      </c>
      <c r="F763" s="589">
        <f>IFERROR(VLOOKUP($B762,اسماء,18,0),0)</f>
        <v>0</v>
      </c>
      <c r="G763" s="592"/>
      <c r="H763" s="608">
        <f>IFERROR(VLOOKUP($B762,اسماء,19,0),0)</f>
        <v>0</v>
      </c>
      <c r="I763" s="609"/>
      <c r="J763" s="589">
        <f>IFERROR(VLOOKUP($B762,اسماء,20,0),0)</f>
        <v>0</v>
      </c>
      <c r="K763" s="592"/>
      <c r="L763" s="589">
        <f>IFERROR(VLOOKUP($B762,اسماء,21,0),0)</f>
        <v>0</v>
      </c>
      <c r="M763" s="590"/>
      <c r="N763" s="589">
        <f>IFERROR(VLOOKUP($B762,اسماء,22,0),0)</f>
        <v>0</v>
      </c>
      <c r="O763" s="590"/>
      <c r="P763" s="589">
        <f>IFERROR(VLOOKUP($B762,اسماء,23,0),0)</f>
        <v>0</v>
      </c>
      <c r="Q763" s="609"/>
      <c r="R763" s="603">
        <f>IFERROR(VLOOKUP($B762,اسماء,24,0),0)</f>
        <v>0</v>
      </c>
      <c r="S763" s="592"/>
      <c r="T763" s="589">
        <f>IFERROR(VLOOKUP($B762,اسماء,25,0),0)</f>
        <v>0</v>
      </c>
      <c r="U763" s="590"/>
      <c r="V763" s="378">
        <f t="shared" si="2309"/>
        <v>0</v>
      </c>
      <c r="W763" s="374">
        <f>IFERROR(VLOOKUP($B762,اسماء,27,0),0)</f>
        <v>0</v>
      </c>
      <c r="X763" s="379">
        <f>IFERROR(VLOOKUP($B762,اسماء,28,0),0)</f>
        <v>0</v>
      </c>
      <c r="Y763" s="596"/>
      <c r="Z763" s="22" t="str">
        <f t="shared" si="2311"/>
        <v>ضعيف</v>
      </c>
      <c r="AA763" s="657"/>
      <c r="AB763" s="72"/>
      <c r="AC763" s="654"/>
      <c r="AN763" s="607"/>
      <c r="AO763" s="607"/>
      <c r="AP763" s="613"/>
      <c r="AQ763" s="612"/>
      <c r="AR763" s="611"/>
      <c r="AS763" s="612"/>
    </row>
    <row r="764" spans="1:45" ht="15" customHeight="1" x14ac:dyDescent="0.25">
      <c r="A764" s="633"/>
      <c r="B764" s="630"/>
      <c r="C764" s="622"/>
      <c r="D764" s="625"/>
      <c r="E764" s="133" t="s">
        <v>32</v>
      </c>
      <c r="F764" s="589">
        <f>IFERROR(VLOOKUP($B762,اسماء,31,0),0)</f>
        <v>0</v>
      </c>
      <c r="G764" s="592"/>
      <c r="H764" s="608">
        <f>IFERROR(VLOOKUP($B762,اسماء,32,0),0)</f>
        <v>0</v>
      </c>
      <c r="I764" s="609"/>
      <c r="J764" s="589">
        <f>IFERROR(VLOOKUP($B762,اسماء,33,0),0)</f>
        <v>0</v>
      </c>
      <c r="K764" s="592"/>
      <c r="L764" s="589">
        <f>IFERROR(VLOOKUP($B762,اسماء,34,0),0)</f>
        <v>0</v>
      </c>
      <c r="M764" s="590"/>
      <c r="N764" s="589">
        <f>IFERROR(VLOOKUP($B762,اسماء,35,0),0)</f>
        <v>0</v>
      </c>
      <c r="O764" s="590"/>
      <c r="P764" s="589">
        <f>IFERROR(VLOOKUP($B762,اسماء,36,0),0)</f>
        <v>0</v>
      </c>
      <c r="Q764" s="609"/>
      <c r="R764" s="603">
        <f>IFERROR(VLOOKUP($B762,اسماء,37,0),0)</f>
        <v>0</v>
      </c>
      <c r="S764" s="592"/>
      <c r="T764" s="589">
        <f>IFERROR(VLOOKUP($B762,اسماء,38,0),0)</f>
        <v>0</v>
      </c>
      <c r="U764" s="590"/>
      <c r="V764" s="378">
        <f t="shared" si="2309"/>
        <v>0</v>
      </c>
      <c r="W764" s="374">
        <f>IFERROR(VLOOKUP($B762,اسماء,40,0),0)</f>
        <v>0</v>
      </c>
      <c r="X764" s="379">
        <f>IFERROR(VLOOKUP($B762,اسماء,41,0),0)</f>
        <v>0</v>
      </c>
      <c r="Y764" s="596"/>
      <c r="Z764" s="22" t="str">
        <f t="shared" ref="Z764" si="2314">LOOKUP(V764,$AI$6:$AJ$10)</f>
        <v>ضعيف</v>
      </c>
      <c r="AA764" s="657"/>
      <c r="AB764" s="10"/>
      <c r="AC764" s="654"/>
      <c r="AN764" s="607"/>
      <c r="AO764" s="607"/>
      <c r="AP764" s="613"/>
      <c r="AQ764" s="612"/>
      <c r="AR764" s="611"/>
      <c r="AS764" s="612"/>
    </row>
    <row r="765" spans="1:45" ht="15" customHeight="1" thickBot="1" x14ac:dyDescent="0.3">
      <c r="A765" s="634"/>
      <c r="B765" s="631"/>
      <c r="C765" s="623"/>
      <c r="D765" s="626"/>
      <c r="E765" s="127" t="s">
        <v>33</v>
      </c>
      <c r="F765" s="585">
        <f t="shared" ref="F765" si="2315">SUM(F762:G764)</f>
        <v>0</v>
      </c>
      <c r="G765" s="593"/>
      <c r="H765" s="604">
        <f t="shared" ref="H765" si="2316">SUM(H762:I764)</f>
        <v>0</v>
      </c>
      <c r="I765" s="601"/>
      <c r="J765" s="585">
        <f t="shared" ref="J765" si="2317">SUM(J762:K764)</f>
        <v>0</v>
      </c>
      <c r="K765" s="593"/>
      <c r="L765" s="585">
        <f t="shared" ref="L765" si="2318">SUM(L762:M764)</f>
        <v>0</v>
      </c>
      <c r="M765" s="586"/>
      <c r="N765" s="585">
        <f t="shared" ref="N765" si="2319">SUM(N762:O764)</f>
        <v>0</v>
      </c>
      <c r="O765" s="586"/>
      <c r="P765" s="585">
        <f t="shared" ref="P765" si="2320">SUM(P762:Q764)</f>
        <v>0</v>
      </c>
      <c r="Q765" s="601"/>
      <c r="R765" s="602">
        <f t="shared" ref="R765" si="2321">SUM(R762:S764)</f>
        <v>0</v>
      </c>
      <c r="S765" s="593"/>
      <c r="T765" s="585">
        <f t="shared" ref="T765" si="2322">SUM(T762:U764)</f>
        <v>0</v>
      </c>
      <c r="U765" s="586"/>
      <c r="V765" s="96">
        <f t="shared" ref="V765" si="2323">IF(AND(F765&gt;=$G$8,H765&gt;=$I$8,L765&gt;=$M$8,P765&gt;=$Q$8,R765&gt;=$S$8,T765&gt;=$U$8),SUM(F765:U765),0)</f>
        <v>0</v>
      </c>
      <c r="W765" s="380"/>
      <c r="X765" s="97"/>
      <c r="Y765" s="597"/>
      <c r="Z765" s="91" t="str">
        <f t="shared" ref="Z765" si="2324">LOOKUP(V765,$AL$6:$AM$10)</f>
        <v>ضعيف</v>
      </c>
      <c r="AA765" s="658"/>
      <c r="AB765" s="72"/>
      <c r="AC765" s="655"/>
      <c r="AN765" s="607"/>
      <c r="AO765" s="607"/>
      <c r="AP765" s="613"/>
      <c r="AQ765" s="612"/>
      <c r="AR765" s="611"/>
      <c r="AS765" s="612"/>
    </row>
    <row r="766" spans="1:45" ht="15" customHeight="1" x14ac:dyDescent="0.25">
      <c r="A766" s="632">
        <v>166</v>
      </c>
      <c r="B766" s="629">
        <f>VLOOKUP(A766,مسلسل,2,0)</f>
        <v>0</v>
      </c>
      <c r="C766" s="621" t="str">
        <f>IFERROR(VLOOKUP(B766,اسماء,2,0),"")</f>
        <v/>
      </c>
      <c r="D766" s="624" t="str">
        <f>IFERROR(VLOOKUP($B766,اسماء,3,0),"")</f>
        <v/>
      </c>
      <c r="E766" s="132" t="s">
        <v>30</v>
      </c>
      <c r="F766" s="627">
        <f>IFERROR(VLOOKUP($B766,اسماء,5,0),0)</f>
        <v>0</v>
      </c>
      <c r="G766" s="606"/>
      <c r="H766" s="628">
        <f>IFERROR(VLOOKUP($B766,اسماء,6,0),0)</f>
        <v>0</v>
      </c>
      <c r="I766" s="605"/>
      <c r="J766" s="587">
        <f>IFERROR(VLOOKUP($B766,اسماء,7,0),0)</f>
        <v>0</v>
      </c>
      <c r="K766" s="591"/>
      <c r="L766" s="587">
        <f>IFERROR(VLOOKUP($B766,اسماء,8,0),0)</f>
        <v>0</v>
      </c>
      <c r="M766" s="588"/>
      <c r="N766" s="587">
        <f>IFERROR(VLOOKUP($B766,اسماء,9,0),0)</f>
        <v>0</v>
      </c>
      <c r="O766" s="605"/>
      <c r="P766" s="587">
        <f>IFERROR(VLOOKUP($B766,اسماء,10,0),0)</f>
        <v>0</v>
      </c>
      <c r="Q766" s="605"/>
      <c r="R766" s="606">
        <f>IFERROR(VLOOKUP($B766,اسماء,11,0),0)</f>
        <v>0</v>
      </c>
      <c r="S766" s="591"/>
      <c r="T766" s="587">
        <f>IFERROR(VLOOKUP($B766,اسماء,12,0),0)</f>
        <v>0</v>
      </c>
      <c r="U766" s="588"/>
      <c r="V766" s="375">
        <f t="shared" ref="V766:V768" si="2325">SUM(F766:U766)</f>
        <v>0</v>
      </c>
      <c r="W766" s="376">
        <f>IFERROR(VLOOKUP($B766,اسماء,14,0),0)</f>
        <v>0</v>
      </c>
      <c r="X766" s="377">
        <f>IFERROR(VLOOKUP($B766,اسماء,15,0),0)</f>
        <v>0</v>
      </c>
      <c r="Y766" s="595" t="str">
        <f t="shared" ref="Y766" si="2326">IF(AC766="غائب","راسب",IF(AND(F769&gt;=$G$8,H769&gt;=$I$8,J769&gt;=$K$8,L769&gt;=$M$8,N769&gt;=$O$8,P769&gt;=$Q$8,R769&gt;=$S$8,T769&gt;=$U$8),"ناجح","له دور ثان"))</f>
        <v>له دور ثان</v>
      </c>
      <c r="Z766" s="21" t="str">
        <f t="shared" ref="Z766:Z767" si="2327">LOOKUP(V766,$AF$6:$AG$10)</f>
        <v>ضعيف</v>
      </c>
      <c r="AA766" s="656">
        <f t="shared" ref="AA766" si="2328">V769/$AF$3</f>
        <v>0</v>
      </c>
      <c r="AB766" s="72"/>
      <c r="AC766" s="653" t="str">
        <f>IFERROR(VLOOKUP($B766,اسماء,54,0),"")</f>
        <v/>
      </c>
      <c r="AN766" s="607" t="str">
        <f t="shared" ref="AN766" si="2329">IF(V769=0,"",V769/1+ROW()*0.00001)</f>
        <v/>
      </c>
      <c r="AO766" s="607">
        <f>B766</f>
        <v>0</v>
      </c>
      <c r="AP766" s="613"/>
      <c r="AQ766" s="612">
        <v>166</v>
      </c>
      <c r="AR766" s="611" t="str">
        <f>IFERROR(LARGE($AN$10:$AN$1006,AQ766),"")</f>
        <v/>
      </c>
      <c r="AS766" s="612" t="str">
        <f>VLOOKUP(AR766,$AN$10:$AO$1116,2,0)</f>
        <v>أحمد نورالدين أحمد الذيب</v>
      </c>
    </row>
    <row r="767" spans="1:45" ht="15" customHeight="1" x14ac:dyDescent="0.25">
      <c r="A767" s="633"/>
      <c r="B767" s="630"/>
      <c r="C767" s="622"/>
      <c r="D767" s="625"/>
      <c r="E767" s="133" t="s">
        <v>31</v>
      </c>
      <c r="F767" s="589">
        <f>IFERROR(VLOOKUP($B766,اسماء,18,0),0)</f>
        <v>0</v>
      </c>
      <c r="G767" s="592"/>
      <c r="H767" s="608">
        <f>IFERROR(VLOOKUP($B766,اسماء,19,0),0)</f>
        <v>0</v>
      </c>
      <c r="I767" s="609"/>
      <c r="J767" s="589">
        <f>IFERROR(VLOOKUP($B766,اسماء,20,0),0)</f>
        <v>0</v>
      </c>
      <c r="K767" s="592"/>
      <c r="L767" s="589">
        <f>IFERROR(VLOOKUP($B766,اسماء,21,0),0)</f>
        <v>0</v>
      </c>
      <c r="M767" s="590"/>
      <c r="N767" s="589">
        <f>IFERROR(VLOOKUP($B766,اسماء,22,0),0)</f>
        <v>0</v>
      </c>
      <c r="O767" s="590"/>
      <c r="P767" s="589">
        <f>IFERROR(VLOOKUP($B766,اسماء,23,0),0)</f>
        <v>0</v>
      </c>
      <c r="Q767" s="609"/>
      <c r="R767" s="603">
        <f>IFERROR(VLOOKUP($B766,اسماء,24,0),0)</f>
        <v>0</v>
      </c>
      <c r="S767" s="592"/>
      <c r="T767" s="589">
        <f>IFERROR(VLOOKUP($B766,اسماء,25,0),0)</f>
        <v>0</v>
      </c>
      <c r="U767" s="590"/>
      <c r="V767" s="378">
        <f t="shared" si="2325"/>
        <v>0</v>
      </c>
      <c r="W767" s="374">
        <f>IFERROR(VLOOKUP($B766,اسماء,27,0),0)</f>
        <v>0</v>
      </c>
      <c r="X767" s="379">
        <f>IFERROR(VLOOKUP($B766,اسماء,28,0),0)</f>
        <v>0</v>
      </c>
      <c r="Y767" s="596"/>
      <c r="Z767" s="22" t="str">
        <f t="shared" si="2327"/>
        <v>ضعيف</v>
      </c>
      <c r="AA767" s="657"/>
      <c r="AB767" s="10"/>
      <c r="AC767" s="654"/>
      <c r="AN767" s="607"/>
      <c r="AO767" s="607"/>
      <c r="AP767" s="613"/>
      <c r="AQ767" s="612"/>
      <c r="AR767" s="611"/>
      <c r="AS767" s="612"/>
    </row>
    <row r="768" spans="1:45" ht="15" customHeight="1" x14ac:dyDescent="0.25">
      <c r="A768" s="633"/>
      <c r="B768" s="630"/>
      <c r="C768" s="622"/>
      <c r="D768" s="625"/>
      <c r="E768" s="133" t="s">
        <v>32</v>
      </c>
      <c r="F768" s="589">
        <f>IFERROR(VLOOKUP($B766,اسماء,31,0),0)</f>
        <v>0</v>
      </c>
      <c r="G768" s="592"/>
      <c r="H768" s="608">
        <f>IFERROR(VLOOKUP($B766,اسماء,32,0),0)</f>
        <v>0</v>
      </c>
      <c r="I768" s="609"/>
      <c r="J768" s="589">
        <f>IFERROR(VLOOKUP($B766,اسماء,33,0),0)</f>
        <v>0</v>
      </c>
      <c r="K768" s="592"/>
      <c r="L768" s="589">
        <f>IFERROR(VLOOKUP($B766,اسماء,34,0),0)</f>
        <v>0</v>
      </c>
      <c r="M768" s="590"/>
      <c r="N768" s="589">
        <f>IFERROR(VLOOKUP($B766,اسماء,35,0),0)</f>
        <v>0</v>
      </c>
      <c r="O768" s="590"/>
      <c r="P768" s="589">
        <f>IFERROR(VLOOKUP($B766,اسماء,36,0),0)</f>
        <v>0</v>
      </c>
      <c r="Q768" s="609"/>
      <c r="R768" s="603">
        <f>IFERROR(VLOOKUP($B766,اسماء,37,0),0)</f>
        <v>0</v>
      </c>
      <c r="S768" s="592"/>
      <c r="T768" s="589">
        <f>IFERROR(VLOOKUP($B766,اسماء,38,0),0)</f>
        <v>0</v>
      </c>
      <c r="U768" s="590"/>
      <c r="V768" s="378">
        <f t="shared" si="2325"/>
        <v>0</v>
      </c>
      <c r="W768" s="374">
        <f>IFERROR(VLOOKUP($B766,اسماء,40,0),0)</f>
        <v>0</v>
      </c>
      <c r="X768" s="379">
        <f>IFERROR(VLOOKUP($B766,اسماء,41,0),0)</f>
        <v>0</v>
      </c>
      <c r="Y768" s="596"/>
      <c r="Z768" s="22" t="str">
        <f t="shared" ref="Z768" si="2330">LOOKUP(V768,$AI$6:$AJ$10)</f>
        <v>ضعيف</v>
      </c>
      <c r="AA768" s="657"/>
      <c r="AB768" s="72"/>
      <c r="AC768" s="654"/>
      <c r="AN768" s="607"/>
      <c r="AO768" s="607"/>
      <c r="AP768" s="613"/>
      <c r="AQ768" s="612"/>
      <c r="AR768" s="611"/>
      <c r="AS768" s="612"/>
    </row>
    <row r="769" spans="1:45" ht="15" customHeight="1" thickBot="1" x14ac:dyDescent="0.3">
      <c r="A769" s="634"/>
      <c r="B769" s="631"/>
      <c r="C769" s="623"/>
      <c r="D769" s="626"/>
      <c r="E769" s="127" t="s">
        <v>33</v>
      </c>
      <c r="F769" s="585">
        <f t="shared" ref="F769" si="2331">SUM(F766:G768)</f>
        <v>0</v>
      </c>
      <c r="G769" s="593"/>
      <c r="H769" s="604">
        <f t="shared" ref="H769" si="2332">SUM(H766:I768)</f>
        <v>0</v>
      </c>
      <c r="I769" s="601"/>
      <c r="J769" s="585">
        <f t="shared" ref="J769" si="2333">SUM(J766:K768)</f>
        <v>0</v>
      </c>
      <c r="K769" s="593"/>
      <c r="L769" s="585">
        <f t="shared" ref="L769" si="2334">SUM(L766:M768)</f>
        <v>0</v>
      </c>
      <c r="M769" s="586"/>
      <c r="N769" s="585">
        <f t="shared" ref="N769" si="2335">SUM(N766:O768)</f>
        <v>0</v>
      </c>
      <c r="O769" s="586"/>
      <c r="P769" s="585">
        <f t="shared" ref="P769" si="2336">SUM(P766:Q768)</f>
        <v>0</v>
      </c>
      <c r="Q769" s="601"/>
      <c r="R769" s="602">
        <f t="shared" ref="R769" si="2337">SUM(R766:S768)</f>
        <v>0</v>
      </c>
      <c r="S769" s="593"/>
      <c r="T769" s="585">
        <f t="shared" ref="T769" si="2338">SUM(T766:U768)</f>
        <v>0</v>
      </c>
      <c r="U769" s="586"/>
      <c r="V769" s="96">
        <f t="shared" ref="V769" si="2339">IF(AND(F769&gt;=$G$8,H769&gt;=$I$8,L769&gt;=$M$8,P769&gt;=$Q$8,R769&gt;=$S$8,T769&gt;=$U$8),SUM(F769:U769),0)</f>
        <v>0</v>
      </c>
      <c r="W769" s="380"/>
      <c r="X769" s="97"/>
      <c r="Y769" s="597"/>
      <c r="Z769" s="91" t="str">
        <f t="shared" ref="Z769" si="2340">LOOKUP(V769,$AL$6:$AM$10)</f>
        <v>ضعيف</v>
      </c>
      <c r="AA769" s="658"/>
      <c r="AB769" s="72"/>
      <c r="AC769" s="655"/>
      <c r="AN769" s="607"/>
      <c r="AO769" s="607"/>
      <c r="AP769" s="613"/>
      <c r="AQ769" s="612"/>
      <c r="AR769" s="611"/>
      <c r="AS769" s="612"/>
    </row>
    <row r="770" spans="1:45" ht="15" customHeight="1" x14ac:dyDescent="0.25">
      <c r="A770" s="632">
        <v>167</v>
      </c>
      <c r="B770" s="629">
        <f>VLOOKUP(A770,مسلسل,2,0)</f>
        <v>0</v>
      </c>
      <c r="C770" s="621" t="str">
        <f>IFERROR(VLOOKUP(B770,اسماء,2,0),"")</f>
        <v/>
      </c>
      <c r="D770" s="624" t="str">
        <f>IFERROR(VLOOKUP($B770,اسماء,3,0),"")</f>
        <v/>
      </c>
      <c r="E770" s="132" t="s">
        <v>30</v>
      </c>
      <c r="F770" s="627">
        <f>IFERROR(VLOOKUP($B770,اسماء,5,0),0)</f>
        <v>0</v>
      </c>
      <c r="G770" s="606"/>
      <c r="H770" s="628">
        <f>IFERROR(VLOOKUP($B770,اسماء,6,0),0)</f>
        <v>0</v>
      </c>
      <c r="I770" s="605"/>
      <c r="J770" s="587">
        <f>IFERROR(VLOOKUP($B770,اسماء,7,0),0)</f>
        <v>0</v>
      </c>
      <c r="K770" s="591"/>
      <c r="L770" s="587">
        <f>IFERROR(VLOOKUP($B770,اسماء,8,0),0)</f>
        <v>0</v>
      </c>
      <c r="M770" s="588"/>
      <c r="N770" s="587">
        <f>IFERROR(VLOOKUP($B770,اسماء,9,0),0)</f>
        <v>0</v>
      </c>
      <c r="O770" s="605"/>
      <c r="P770" s="587">
        <f>IFERROR(VLOOKUP($B770,اسماء,10,0),0)</f>
        <v>0</v>
      </c>
      <c r="Q770" s="605"/>
      <c r="R770" s="606">
        <f>IFERROR(VLOOKUP($B770,اسماء,11,0),0)</f>
        <v>0</v>
      </c>
      <c r="S770" s="591"/>
      <c r="T770" s="587">
        <f>IFERROR(VLOOKUP($B770,اسماء,12,0),0)</f>
        <v>0</v>
      </c>
      <c r="U770" s="588"/>
      <c r="V770" s="375">
        <f t="shared" ref="V770:V772" si="2341">SUM(F770:U770)</f>
        <v>0</v>
      </c>
      <c r="W770" s="376">
        <f>IFERROR(VLOOKUP($B770,اسماء,14,0),0)</f>
        <v>0</v>
      </c>
      <c r="X770" s="377">
        <f>IFERROR(VLOOKUP($B770,اسماء,15,0),0)</f>
        <v>0</v>
      </c>
      <c r="Y770" s="595" t="str">
        <f t="shared" ref="Y770" si="2342">IF(AC770="غائب","راسب",IF(AND(F773&gt;=$G$8,H773&gt;=$I$8,J773&gt;=$K$8,L773&gt;=$M$8,N773&gt;=$O$8,P773&gt;=$Q$8,R773&gt;=$S$8,T773&gt;=$U$8),"ناجح","له دور ثان"))</f>
        <v>له دور ثان</v>
      </c>
      <c r="Z770" s="21" t="str">
        <f t="shared" ref="Z770:Z771" si="2343">LOOKUP(V770,$AF$6:$AG$10)</f>
        <v>ضعيف</v>
      </c>
      <c r="AA770" s="656">
        <f t="shared" ref="AA770" si="2344">V773/$AF$3</f>
        <v>0</v>
      </c>
      <c r="AB770" s="10"/>
      <c r="AC770" s="653" t="str">
        <f>IFERROR(VLOOKUP($B770,اسماء,54,0),"")</f>
        <v/>
      </c>
      <c r="AN770" s="607" t="str">
        <f t="shared" ref="AN770" si="2345">IF(V773=0,"",V773/1+ROW()*0.00001)</f>
        <v/>
      </c>
      <c r="AO770" s="607">
        <f>B770</f>
        <v>0</v>
      </c>
      <c r="AP770" s="613"/>
      <c r="AQ770" s="612">
        <v>167</v>
      </c>
      <c r="AR770" s="611" t="str">
        <f>IFERROR(LARGE($AN$10:$AN$1006,AQ770),"")</f>
        <v/>
      </c>
      <c r="AS770" s="612" t="str">
        <f>VLOOKUP(AR770,$AN$10:$AO$1116,2,0)</f>
        <v>أحمد نورالدين أحمد الذيب</v>
      </c>
    </row>
    <row r="771" spans="1:45" ht="15" customHeight="1" x14ac:dyDescent="0.25">
      <c r="A771" s="633"/>
      <c r="B771" s="630"/>
      <c r="C771" s="622"/>
      <c r="D771" s="625"/>
      <c r="E771" s="133" t="s">
        <v>31</v>
      </c>
      <c r="F771" s="589">
        <f>IFERROR(VLOOKUP($B770,اسماء,18,0),0)</f>
        <v>0</v>
      </c>
      <c r="G771" s="592"/>
      <c r="H771" s="608">
        <f>IFERROR(VLOOKUP($B770,اسماء,19,0),0)</f>
        <v>0</v>
      </c>
      <c r="I771" s="609"/>
      <c r="J771" s="589">
        <f>IFERROR(VLOOKUP($B770,اسماء,20,0),0)</f>
        <v>0</v>
      </c>
      <c r="K771" s="592"/>
      <c r="L771" s="589">
        <f>IFERROR(VLOOKUP($B770,اسماء,21,0),0)</f>
        <v>0</v>
      </c>
      <c r="M771" s="590"/>
      <c r="N771" s="589">
        <f>IFERROR(VLOOKUP($B770,اسماء,22,0),0)</f>
        <v>0</v>
      </c>
      <c r="O771" s="590"/>
      <c r="P771" s="589">
        <f>IFERROR(VLOOKUP($B770,اسماء,23,0),0)</f>
        <v>0</v>
      </c>
      <c r="Q771" s="609"/>
      <c r="R771" s="603">
        <f>IFERROR(VLOOKUP($B770,اسماء,24,0),0)</f>
        <v>0</v>
      </c>
      <c r="S771" s="592"/>
      <c r="T771" s="589">
        <f>IFERROR(VLOOKUP($B770,اسماء,25,0),0)</f>
        <v>0</v>
      </c>
      <c r="U771" s="590"/>
      <c r="V771" s="378">
        <f t="shared" si="2341"/>
        <v>0</v>
      </c>
      <c r="W771" s="374">
        <f>IFERROR(VLOOKUP($B770,اسماء,27,0),0)</f>
        <v>0</v>
      </c>
      <c r="X771" s="379">
        <f>IFERROR(VLOOKUP($B770,اسماء,28,0),0)</f>
        <v>0</v>
      </c>
      <c r="Y771" s="596"/>
      <c r="Z771" s="22" t="str">
        <f t="shared" si="2343"/>
        <v>ضعيف</v>
      </c>
      <c r="AA771" s="657"/>
      <c r="AB771" s="72"/>
      <c r="AC771" s="654"/>
      <c r="AN771" s="607"/>
      <c r="AO771" s="607"/>
      <c r="AP771" s="613"/>
      <c r="AQ771" s="612"/>
      <c r="AR771" s="611"/>
      <c r="AS771" s="612"/>
    </row>
    <row r="772" spans="1:45" ht="15" customHeight="1" x14ac:dyDescent="0.25">
      <c r="A772" s="633"/>
      <c r="B772" s="630"/>
      <c r="C772" s="622"/>
      <c r="D772" s="625"/>
      <c r="E772" s="133" t="s">
        <v>32</v>
      </c>
      <c r="F772" s="589">
        <f>IFERROR(VLOOKUP($B770,اسماء,31,0),0)</f>
        <v>0</v>
      </c>
      <c r="G772" s="592"/>
      <c r="H772" s="608">
        <f>IFERROR(VLOOKUP($B770,اسماء,32,0),0)</f>
        <v>0</v>
      </c>
      <c r="I772" s="609"/>
      <c r="J772" s="589">
        <f>IFERROR(VLOOKUP($B770,اسماء,33,0),0)</f>
        <v>0</v>
      </c>
      <c r="K772" s="592"/>
      <c r="L772" s="589">
        <f>IFERROR(VLOOKUP($B770,اسماء,34,0),0)</f>
        <v>0</v>
      </c>
      <c r="M772" s="590"/>
      <c r="N772" s="589">
        <f>IFERROR(VLOOKUP($B770,اسماء,35,0),0)</f>
        <v>0</v>
      </c>
      <c r="O772" s="590"/>
      <c r="P772" s="589">
        <f>IFERROR(VLOOKUP($B770,اسماء,36,0),0)</f>
        <v>0</v>
      </c>
      <c r="Q772" s="609"/>
      <c r="R772" s="603">
        <f>IFERROR(VLOOKUP($B770,اسماء,37,0),0)</f>
        <v>0</v>
      </c>
      <c r="S772" s="592"/>
      <c r="T772" s="589">
        <f>IFERROR(VLOOKUP($B770,اسماء,38,0),0)</f>
        <v>0</v>
      </c>
      <c r="U772" s="590"/>
      <c r="V772" s="378">
        <f t="shared" si="2341"/>
        <v>0</v>
      </c>
      <c r="W772" s="374">
        <f>IFERROR(VLOOKUP($B770,اسماء,40,0),0)</f>
        <v>0</v>
      </c>
      <c r="X772" s="379">
        <f>IFERROR(VLOOKUP($B770,اسماء,41,0),0)</f>
        <v>0</v>
      </c>
      <c r="Y772" s="596"/>
      <c r="Z772" s="22" t="str">
        <f t="shared" ref="Z772" si="2346">LOOKUP(V772,$AI$6:$AJ$10)</f>
        <v>ضعيف</v>
      </c>
      <c r="AA772" s="657"/>
      <c r="AB772" s="72"/>
      <c r="AC772" s="654"/>
      <c r="AN772" s="607"/>
      <c r="AO772" s="607"/>
      <c r="AP772" s="613"/>
      <c r="AQ772" s="612"/>
      <c r="AR772" s="611"/>
      <c r="AS772" s="612"/>
    </row>
    <row r="773" spans="1:45" ht="15" customHeight="1" thickBot="1" x14ac:dyDescent="0.3">
      <c r="A773" s="634"/>
      <c r="B773" s="631"/>
      <c r="C773" s="623"/>
      <c r="D773" s="626"/>
      <c r="E773" s="127" t="s">
        <v>33</v>
      </c>
      <c r="F773" s="585">
        <f t="shared" ref="F773" si="2347">SUM(F770:G772)</f>
        <v>0</v>
      </c>
      <c r="G773" s="593"/>
      <c r="H773" s="604">
        <f t="shared" ref="H773" si="2348">SUM(H770:I772)</f>
        <v>0</v>
      </c>
      <c r="I773" s="601"/>
      <c r="J773" s="585">
        <f t="shared" ref="J773" si="2349">SUM(J770:K772)</f>
        <v>0</v>
      </c>
      <c r="K773" s="593"/>
      <c r="L773" s="585">
        <f t="shared" ref="L773" si="2350">SUM(L770:M772)</f>
        <v>0</v>
      </c>
      <c r="M773" s="586"/>
      <c r="N773" s="585">
        <f t="shared" ref="N773" si="2351">SUM(N770:O772)</f>
        <v>0</v>
      </c>
      <c r="O773" s="586"/>
      <c r="P773" s="585">
        <f t="shared" ref="P773" si="2352">SUM(P770:Q772)</f>
        <v>0</v>
      </c>
      <c r="Q773" s="601"/>
      <c r="R773" s="602">
        <f t="shared" ref="R773" si="2353">SUM(R770:S772)</f>
        <v>0</v>
      </c>
      <c r="S773" s="593"/>
      <c r="T773" s="585">
        <f t="shared" ref="T773" si="2354">SUM(T770:U772)</f>
        <v>0</v>
      </c>
      <c r="U773" s="586"/>
      <c r="V773" s="96">
        <f t="shared" ref="V773" si="2355">IF(AND(F773&gt;=$G$8,H773&gt;=$I$8,L773&gt;=$M$8,P773&gt;=$Q$8,R773&gt;=$S$8,T773&gt;=$U$8),SUM(F773:U773),0)</f>
        <v>0</v>
      </c>
      <c r="W773" s="380"/>
      <c r="X773" s="97"/>
      <c r="Y773" s="597"/>
      <c r="Z773" s="91" t="str">
        <f t="shared" ref="Z773" si="2356">LOOKUP(V773,$AL$6:$AM$10)</f>
        <v>ضعيف</v>
      </c>
      <c r="AA773" s="658"/>
      <c r="AB773" s="10"/>
      <c r="AC773" s="655"/>
      <c r="AN773" s="607"/>
      <c r="AO773" s="607"/>
      <c r="AP773" s="613"/>
      <c r="AQ773" s="612"/>
      <c r="AR773" s="611"/>
      <c r="AS773" s="612"/>
    </row>
    <row r="774" spans="1:45" ht="15" customHeight="1" x14ac:dyDescent="0.25">
      <c r="A774" s="632">
        <v>168</v>
      </c>
      <c r="B774" s="629">
        <f>VLOOKUP(A774,مسلسل,2,0)</f>
        <v>0</v>
      </c>
      <c r="C774" s="621" t="str">
        <f>IFERROR(VLOOKUP(B774,اسماء,2,0),"")</f>
        <v/>
      </c>
      <c r="D774" s="624" t="str">
        <f>IFERROR(VLOOKUP($B774,اسماء,3,0),"")</f>
        <v/>
      </c>
      <c r="E774" s="132" t="s">
        <v>30</v>
      </c>
      <c r="F774" s="627">
        <f>IFERROR(VLOOKUP($B774,اسماء,5,0),0)</f>
        <v>0</v>
      </c>
      <c r="G774" s="606"/>
      <c r="H774" s="628">
        <f>IFERROR(VLOOKUP($B774,اسماء,6,0),0)</f>
        <v>0</v>
      </c>
      <c r="I774" s="605"/>
      <c r="J774" s="587">
        <f>IFERROR(VLOOKUP($B774,اسماء,7,0),0)</f>
        <v>0</v>
      </c>
      <c r="K774" s="591"/>
      <c r="L774" s="587">
        <f>IFERROR(VLOOKUP($B774,اسماء,8,0),0)</f>
        <v>0</v>
      </c>
      <c r="M774" s="588"/>
      <c r="N774" s="587">
        <f>IFERROR(VLOOKUP($B774,اسماء,9,0),0)</f>
        <v>0</v>
      </c>
      <c r="O774" s="605"/>
      <c r="P774" s="587">
        <f>IFERROR(VLOOKUP($B774,اسماء,10,0),0)</f>
        <v>0</v>
      </c>
      <c r="Q774" s="605"/>
      <c r="R774" s="606">
        <f>IFERROR(VLOOKUP($B774,اسماء,11,0),0)</f>
        <v>0</v>
      </c>
      <c r="S774" s="591"/>
      <c r="T774" s="587">
        <f>IFERROR(VLOOKUP($B774,اسماء,12,0),0)</f>
        <v>0</v>
      </c>
      <c r="U774" s="588"/>
      <c r="V774" s="375">
        <f t="shared" ref="V774:V776" si="2357">SUM(F774:U774)</f>
        <v>0</v>
      </c>
      <c r="W774" s="376">
        <f>IFERROR(VLOOKUP($B774,اسماء,14,0),0)</f>
        <v>0</v>
      </c>
      <c r="X774" s="377">
        <f>IFERROR(VLOOKUP($B774,اسماء,15,0),0)</f>
        <v>0</v>
      </c>
      <c r="Y774" s="595" t="str">
        <f t="shared" ref="Y774" si="2358">IF(AC774="غائب","راسب",IF(AND(F777&gt;=$G$8,H777&gt;=$I$8,J777&gt;=$K$8,L777&gt;=$M$8,N777&gt;=$O$8,P777&gt;=$Q$8,R777&gt;=$S$8,T777&gt;=$U$8),"ناجح","له دور ثان"))</f>
        <v>له دور ثان</v>
      </c>
      <c r="Z774" s="21" t="str">
        <f t="shared" ref="Z774:Z775" si="2359">LOOKUP(V774,$AF$6:$AG$10)</f>
        <v>ضعيف</v>
      </c>
      <c r="AA774" s="656">
        <f t="shared" ref="AA774" si="2360">V777/$AF$3</f>
        <v>0</v>
      </c>
      <c r="AB774" s="72"/>
      <c r="AC774" s="653" t="str">
        <f>IFERROR(VLOOKUP($B774,اسماء,54,0),"")</f>
        <v/>
      </c>
      <c r="AN774" s="607" t="str">
        <f t="shared" ref="AN774" si="2361">IF(V777=0,"",V777/1+ROW()*0.00001)</f>
        <v/>
      </c>
      <c r="AO774" s="607">
        <f>B774</f>
        <v>0</v>
      </c>
      <c r="AP774" s="613"/>
      <c r="AQ774" s="612">
        <v>168</v>
      </c>
      <c r="AR774" s="611" t="str">
        <f>IFERROR(LARGE($AN$10:$AN$1006,AQ774),"")</f>
        <v/>
      </c>
      <c r="AS774" s="612" t="str">
        <f>VLOOKUP(AR774,$AN$10:$AO$1116,2,0)</f>
        <v>أحمد نورالدين أحمد الذيب</v>
      </c>
    </row>
    <row r="775" spans="1:45" ht="15" customHeight="1" x14ac:dyDescent="0.25">
      <c r="A775" s="633"/>
      <c r="B775" s="630"/>
      <c r="C775" s="622"/>
      <c r="D775" s="625"/>
      <c r="E775" s="133" t="s">
        <v>31</v>
      </c>
      <c r="F775" s="589">
        <f>IFERROR(VLOOKUP($B774,اسماء,18,0),0)</f>
        <v>0</v>
      </c>
      <c r="G775" s="592"/>
      <c r="H775" s="608">
        <f>IFERROR(VLOOKUP($B774,اسماء,19,0),0)</f>
        <v>0</v>
      </c>
      <c r="I775" s="609"/>
      <c r="J775" s="589">
        <f>IFERROR(VLOOKUP($B774,اسماء,20,0),0)</f>
        <v>0</v>
      </c>
      <c r="K775" s="592"/>
      <c r="L775" s="589">
        <f>IFERROR(VLOOKUP($B774,اسماء,21,0),0)</f>
        <v>0</v>
      </c>
      <c r="M775" s="590"/>
      <c r="N775" s="589">
        <f>IFERROR(VLOOKUP($B774,اسماء,22,0),0)</f>
        <v>0</v>
      </c>
      <c r="O775" s="590"/>
      <c r="P775" s="589">
        <f>IFERROR(VLOOKUP($B774,اسماء,23,0),0)</f>
        <v>0</v>
      </c>
      <c r="Q775" s="609"/>
      <c r="R775" s="603">
        <f>IFERROR(VLOOKUP($B774,اسماء,24,0),0)</f>
        <v>0</v>
      </c>
      <c r="S775" s="592"/>
      <c r="T775" s="589">
        <f>IFERROR(VLOOKUP($B774,اسماء,25,0),0)</f>
        <v>0</v>
      </c>
      <c r="U775" s="590"/>
      <c r="V775" s="378">
        <f t="shared" si="2357"/>
        <v>0</v>
      </c>
      <c r="W775" s="374">
        <f>IFERROR(VLOOKUP($B774,اسماء,27,0),0)</f>
        <v>0</v>
      </c>
      <c r="X775" s="379">
        <f>IFERROR(VLOOKUP($B774,اسماء,28,0),0)</f>
        <v>0</v>
      </c>
      <c r="Y775" s="596"/>
      <c r="Z775" s="22" t="str">
        <f t="shared" si="2359"/>
        <v>ضعيف</v>
      </c>
      <c r="AA775" s="657"/>
      <c r="AB775" s="72"/>
      <c r="AC775" s="654"/>
      <c r="AN775" s="607"/>
      <c r="AO775" s="607"/>
      <c r="AP775" s="613"/>
      <c r="AQ775" s="612"/>
      <c r="AR775" s="611"/>
      <c r="AS775" s="612"/>
    </row>
    <row r="776" spans="1:45" ht="15" customHeight="1" x14ac:dyDescent="0.25">
      <c r="A776" s="633"/>
      <c r="B776" s="630"/>
      <c r="C776" s="622"/>
      <c r="D776" s="625"/>
      <c r="E776" s="133" t="s">
        <v>32</v>
      </c>
      <c r="F776" s="589">
        <f>IFERROR(VLOOKUP($B774,اسماء,31,0),0)</f>
        <v>0</v>
      </c>
      <c r="G776" s="592"/>
      <c r="H776" s="608">
        <f>IFERROR(VLOOKUP($B774,اسماء,32,0),0)</f>
        <v>0</v>
      </c>
      <c r="I776" s="609"/>
      <c r="J776" s="589">
        <f>IFERROR(VLOOKUP($B774,اسماء,33,0),0)</f>
        <v>0</v>
      </c>
      <c r="K776" s="592"/>
      <c r="L776" s="589">
        <f>IFERROR(VLOOKUP($B774,اسماء,34,0),0)</f>
        <v>0</v>
      </c>
      <c r="M776" s="590"/>
      <c r="N776" s="589">
        <f>IFERROR(VLOOKUP($B774,اسماء,35,0),0)</f>
        <v>0</v>
      </c>
      <c r="O776" s="590"/>
      <c r="P776" s="589">
        <f>IFERROR(VLOOKUP($B774,اسماء,36,0),0)</f>
        <v>0</v>
      </c>
      <c r="Q776" s="609"/>
      <c r="R776" s="603">
        <f>IFERROR(VLOOKUP($B774,اسماء,37,0),0)</f>
        <v>0</v>
      </c>
      <c r="S776" s="592"/>
      <c r="T776" s="589">
        <f>IFERROR(VLOOKUP($B774,اسماء,38,0),0)</f>
        <v>0</v>
      </c>
      <c r="U776" s="590"/>
      <c r="V776" s="378">
        <f t="shared" si="2357"/>
        <v>0</v>
      </c>
      <c r="W776" s="374">
        <f>IFERROR(VLOOKUP($B774,اسماء,40,0),0)</f>
        <v>0</v>
      </c>
      <c r="X776" s="379">
        <f>IFERROR(VLOOKUP($B774,اسماء,41,0),0)</f>
        <v>0</v>
      </c>
      <c r="Y776" s="596"/>
      <c r="Z776" s="22" t="str">
        <f t="shared" ref="Z776" si="2362">LOOKUP(V776,$AI$6:$AJ$10)</f>
        <v>ضعيف</v>
      </c>
      <c r="AA776" s="657"/>
      <c r="AB776" s="10"/>
      <c r="AC776" s="654"/>
      <c r="AN776" s="607"/>
      <c r="AO776" s="607"/>
      <c r="AP776" s="613"/>
      <c r="AQ776" s="612"/>
      <c r="AR776" s="611"/>
      <c r="AS776" s="612"/>
    </row>
    <row r="777" spans="1:45" ht="15" customHeight="1" thickBot="1" x14ac:dyDescent="0.3">
      <c r="A777" s="634"/>
      <c r="B777" s="631"/>
      <c r="C777" s="623"/>
      <c r="D777" s="626"/>
      <c r="E777" s="127" t="s">
        <v>33</v>
      </c>
      <c r="F777" s="585">
        <f t="shared" ref="F777" si="2363">SUM(F774:G776)</f>
        <v>0</v>
      </c>
      <c r="G777" s="593"/>
      <c r="H777" s="604">
        <f t="shared" ref="H777" si="2364">SUM(H774:I776)</f>
        <v>0</v>
      </c>
      <c r="I777" s="601"/>
      <c r="J777" s="585">
        <f t="shared" ref="J777" si="2365">SUM(J774:K776)</f>
        <v>0</v>
      </c>
      <c r="K777" s="593"/>
      <c r="L777" s="585">
        <f t="shared" ref="L777" si="2366">SUM(L774:M776)</f>
        <v>0</v>
      </c>
      <c r="M777" s="586"/>
      <c r="N777" s="585">
        <f t="shared" ref="N777" si="2367">SUM(N774:O776)</f>
        <v>0</v>
      </c>
      <c r="O777" s="586"/>
      <c r="P777" s="585">
        <f t="shared" ref="P777" si="2368">SUM(P774:Q776)</f>
        <v>0</v>
      </c>
      <c r="Q777" s="601"/>
      <c r="R777" s="602">
        <f t="shared" ref="R777" si="2369">SUM(R774:S776)</f>
        <v>0</v>
      </c>
      <c r="S777" s="593"/>
      <c r="T777" s="585">
        <f t="shared" ref="T777" si="2370">SUM(T774:U776)</f>
        <v>0</v>
      </c>
      <c r="U777" s="586"/>
      <c r="V777" s="96">
        <f t="shared" ref="V777" si="2371">IF(AND(F777&gt;=$G$8,H777&gt;=$I$8,L777&gt;=$M$8,P777&gt;=$Q$8,R777&gt;=$S$8,T777&gt;=$U$8),SUM(F777:U777),0)</f>
        <v>0</v>
      </c>
      <c r="W777" s="380"/>
      <c r="X777" s="97"/>
      <c r="Y777" s="597"/>
      <c r="Z777" s="91" t="str">
        <f t="shared" ref="Z777" si="2372">LOOKUP(V777,$AL$6:$AM$10)</f>
        <v>ضعيف</v>
      </c>
      <c r="AA777" s="658"/>
      <c r="AB777" s="72"/>
      <c r="AC777" s="655"/>
      <c r="AN777" s="607"/>
      <c r="AO777" s="607"/>
      <c r="AP777" s="613"/>
      <c r="AQ777" s="612"/>
      <c r="AR777" s="611"/>
      <c r="AS777" s="612"/>
    </row>
    <row r="778" spans="1:45" ht="15" customHeight="1" x14ac:dyDescent="0.25">
      <c r="A778" s="632">
        <v>169</v>
      </c>
      <c r="B778" s="629">
        <f>VLOOKUP(A778,مسلسل,2,0)</f>
        <v>0</v>
      </c>
      <c r="C778" s="621" t="str">
        <f>IFERROR(VLOOKUP(B778,اسماء,2,0),"")</f>
        <v/>
      </c>
      <c r="D778" s="624" t="str">
        <f>IFERROR(VLOOKUP($B778,اسماء,3,0),"")</f>
        <v/>
      </c>
      <c r="E778" s="132" t="s">
        <v>30</v>
      </c>
      <c r="F778" s="627">
        <f>IFERROR(VLOOKUP($B778,اسماء,5,0),0)</f>
        <v>0</v>
      </c>
      <c r="G778" s="606"/>
      <c r="H778" s="628">
        <f>IFERROR(VLOOKUP($B778,اسماء,6,0),0)</f>
        <v>0</v>
      </c>
      <c r="I778" s="605"/>
      <c r="J778" s="587">
        <f>IFERROR(VLOOKUP($B778,اسماء,7,0),0)</f>
        <v>0</v>
      </c>
      <c r="K778" s="591"/>
      <c r="L778" s="587">
        <f>IFERROR(VLOOKUP($B778,اسماء,8,0),0)</f>
        <v>0</v>
      </c>
      <c r="M778" s="588"/>
      <c r="N778" s="587">
        <f>IFERROR(VLOOKUP($B778,اسماء,9,0),0)</f>
        <v>0</v>
      </c>
      <c r="O778" s="605"/>
      <c r="P778" s="587">
        <f>IFERROR(VLOOKUP($B778,اسماء,10,0),0)</f>
        <v>0</v>
      </c>
      <c r="Q778" s="605"/>
      <c r="R778" s="606">
        <f>IFERROR(VLOOKUP($B778,اسماء,11,0),0)</f>
        <v>0</v>
      </c>
      <c r="S778" s="591"/>
      <c r="T778" s="587">
        <f>IFERROR(VLOOKUP($B778,اسماء,12,0),0)</f>
        <v>0</v>
      </c>
      <c r="U778" s="588"/>
      <c r="V778" s="375">
        <f t="shared" ref="V778:V780" si="2373">SUM(F778:U778)</f>
        <v>0</v>
      </c>
      <c r="W778" s="376">
        <f>IFERROR(VLOOKUP($B778,اسماء,14,0),0)</f>
        <v>0</v>
      </c>
      <c r="X778" s="377">
        <f>IFERROR(VLOOKUP($B778,اسماء,15,0),0)</f>
        <v>0</v>
      </c>
      <c r="Y778" s="595" t="str">
        <f t="shared" ref="Y778" si="2374">IF(AC778="غائب","راسب",IF(AND(F781&gt;=$G$8,H781&gt;=$I$8,J781&gt;=$K$8,L781&gt;=$M$8,N781&gt;=$O$8,P781&gt;=$Q$8,R781&gt;=$S$8,T781&gt;=$U$8),"ناجح","له دور ثان"))</f>
        <v>له دور ثان</v>
      </c>
      <c r="Z778" s="21" t="str">
        <f t="shared" ref="Z778:Z779" si="2375">LOOKUP(V778,$AF$6:$AG$10)</f>
        <v>ضعيف</v>
      </c>
      <c r="AA778" s="656">
        <f t="shared" ref="AA778" si="2376">V781/$AF$3</f>
        <v>0</v>
      </c>
      <c r="AB778" s="72"/>
      <c r="AC778" s="653" t="str">
        <f>IFERROR(VLOOKUP($B778,اسماء,54,0),"")</f>
        <v/>
      </c>
      <c r="AN778" s="607" t="str">
        <f t="shared" ref="AN778" si="2377">IF(V781=0,"",V781/1+ROW()*0.00001)</f>
        <v/>
      </c>
      <c r="AO778" s="607">
        <f>B778</f>
        <v>0</v>
      </c>
      <c r="AP778" s="613"/>
      <c r="AQ778" s="612">
        <v>169</v>
      </c>
      <c r="AR778" s="611" t="str">
        <f>IFERROR(LARGE($AN$10:$AN$1006,AQ778),"")</f>
        <v/>
      </c>
      <c r="AS778" s="612" t="str">
        <f>VLOOKUP(AR778,$AN$10:$AO$1116,2,0)</f>
        <v>أحمد نورالدين أحمد الذيب</v>
      </c>
    </row>
    <row r="779" spans="1:45" ht="15" customHeight="1" x14ac:dyDescent="0.25">
      <c r="A779" s="633"/>
      <c r="B779" s="630"/>
      <c r="C779" s="622"/>
      <c r="D779" s="625"/>
      <c r="E779" s="133" t="s">
        <v>31</v>
      </c>
      <c r="F779" s="589">
        <f>IFERROR(VLOOKUP($B778,اسماء,18,0),0)</f>
        <v>0</v>
      </c>
      <c r="G779" s="592"/>
      <c r="H779" s="608">
        <f>IFERROR(VLOOKUP($B778,اسماء,19,0),0)</f>
        <v>0</v>
      </c>
      <c r="I779" s="609"/>
      <c r="J779" s="589">
        <f>IFERROR(VLOOKUP($B778,اسماء,20,0),0)</f>
        <v>0</v>
      </c>
      <c r="K779" s="592"/>
      <c r="L779" s="589">
        <f>IFERROR(VLOOKUP($B778,اسماء,21,0),0)</f>
        <v>0</v>
      </c>
      <c r="M779" s="590"/>
      <c r="N779" s="589">
        <f>IFERROR(VLOOKUP($B778,اسماء,22,0),0)</f>
        <v>0</v>
      </c>
      <c r="O779" s="590"/>
      <c r="P779" s="589">
        <f>IFERROR(VLOOKUP($B778,اسماء,23,0),0)</f>
        <v>0</v>
      </c>
      <c r="Q779" s="609"/>
      <c r="R779" s="603">
        <f>IFERROR(VLOOKUP($B778,اسماء,24,0),0)</f>
        <v>0</v>
      </c>
      <c r="S779" s="592"/>
      <c r="T779" s="589">
        <f>IFERROR(VLOOKUP($B778,اسماء,25,0),0)</f>
        <v>0</v>
      </c>
      <c r="U779" s="590"/>
      <c r="V779" s="378">
        <f t="shared" si="2373"/>
        <v>0</v>
      </c>
      <c r="W779" s="374">
        <f>IFERROR(VLOOKUP($B778,اسماء,27,0),0)</f>
        <v>0</v>
      </c>
      <c r="X779" s="379">
        <f>IFERROR(VLOOKUP($B778,اسماء,28,0),0)</f>
        <v>0</v>
      </c>
      <c r="Y779" s="596"/>
      <c r="Z779" s="22" t="str">
        <f t="shared" si="2375"/>
        <v>ضعيف</v>
      </c>
      <c r="AA779" s="657"/>
      <c r="AB779" s="10"/>
      <c r="AC779" s="654"/>
      <c r="AN779" s="607"/>
      <c r="AO779" s="607"/>
      <c r="AP779" s="613"/>
      <c r="AQ779" s="612"/>
      <c r="AR779" s="611"/>
      <c r="AS779" s="612"/>
    </row>
    <row r="780" spans="1:45" ht="15" customHeight="1" x14ac:dyDescent="0.25">
      <c r="A780" s="633"/>
      <c r="B780" s="630"/>
      <c r="C780" s="622"/>
      <c r="D780" s="625"/>
      <c r="E780" s="133" t="s">
        <v>32</v>
      </c>
      <c r="F780" s="589">
        <f>IFERROR(VLOOKUP($B778,اسماء,31,0),0)</f>
        <v>0</v>
      </c>
      <c r="G780" s="592"/>
      <c r="H780" s="608">
        <f>IFERROR(VLOOKUP($B778,اسماء,32,0),0)</f>
        <v>0</v>
      </c>
      <c r="I780" s="609"/>
      <c r="J780" s="589">
        <f>IFERROR(VLOOKUP($B778,اسماء,33,0),0)</f>
        <v>0</v>
      </c>
      <c r="K780" s="592"/>
      <c r="L780" s="589">
        <f>IFERROR(VLOOKUP($B778,اسماء,34,0),0)</f>
        <v>0</v>
      </c>
      <c r="M780" s="590"/>
      <c r="N780" s="589">
        <f>IFERROR(VLOOKUP($B778,اسماء,35,0),0)</f>
        <v>0</v>
      </c>
      <c r="O780" s="590"/>
      <c r="P780" s="589">
        <f>IFERROR(VLOOKUP($B778,اسماء,36,0),0)</f>
        <v>0</v>
      </c>
      <c r="Q780" s="609"/>
      <c r="R780" s="603">
        <f>IFERROR(VLOOKUP($B778,اسماء,37,0),0)</f>
        <v>0</v>
      </c>
      <c r="S780" s="592"/>
      <c r="T780" s="589">
        <f>IFERROR(VLOOKUP($B778,اسماء,38,0),0)</f>
        <v>0</v>
      </c>
      <c r="U780" s="590"/>
      <c r="V780" s="378">
        <f t="shared" si="2373"/>
        <v>0</v>
      </c>
      <c r="W780" s="374">
        <f>IFERROR(VLOOKUP($B778,اسماء,40,0),0)</f>
        <v>0</v>
      </c>
      <c r="X780" s="379">
        <f>IFERROR(VLOOKUP($B778,اسماء,41,0),0)</f>
        <v>0</v>
      </c>
      <c r="Y780" s="596"/>
      <c r="Z780" s="22" t="str">
        <f t="shared" ref="Z780" si="2378">LOOKUP(V780,$AI$6:$AJ$10)</f>
        <v>ضعيف</v>
      </c>
      <c r="AA780" s="657"/>
      <c r="AB780" s="72"/>
      <c r="AC780" s="654"/>
      <c r="AN780" s="607"/>
      <c r="AO780" s="607"/>
      <c r="AP780" s="613"/>
      <c r="AQ780" s="612"/>
      <c r="AR780" s="611"/>
      <c r="AS780" s="612"/>
    </row>
    <row r="781" spans="1:45" ht="15" customHeight="1" thickBot="1" x14ac:dyDescent="0.3">
      <c r="A781" s="634"/>
      <c r="B781" s="631"/>
      <c r="C781" s="623"/>
      <c r="D781" s="626"/>
      <c r="E781" s="127" t="s">
        <v>33</v>
      </c>
      <c r="F781" s="585">
        <f t="shared" ref="F781" si="2379">SUM(F778:G780)</f>
        <v>0</v>
      </c>
      <c r="G781" s="593"/>
      <c r="H781" s="604">
        <f t="shared" ref="H781" si="2380">SUM(H778:I780)</f>
        <v>0</v>
      </c>
      <c r="I781" s="601"/>
      <c r="J781" s="585">
        <f t="shared" ref="J781" si="2381">SUM(J778:K780)</f>
        <v>0</v>
      </c>
      <c r="K781" s="593"/>
      <c r="L781" s="585">
        <f t="shared" ref="L781" si="2382">SUM(L778:M780)</f>
        <v>0</v>
      </c>
      <c r="M781" s="586"/>
      <c r="N781" s="585">
        <f t="shared" ref="N781" si="2383">SUM(N778:O780)</f>
        <v>0</v>
      </c>
      <c r="O781" s="586"/>
      <c r="P781" s="585">
        <f t="shared" ref="P781" si="2384">SUM(P778:Q780)</f>
        <v>0</v>
      </c>
      <c r="Q781" s="601"/>
      <c r="R781" s="602">
        <f t="shared" ref="R781" si="2385">SUM(R778:S780)</f>
        <v>0</v>
      </c>
      <c r="S781" s="593"/>
      <c r="T781" s="585">
        <f t="shared" ref="T781" si="2386">SUM(T778:U780)</f>
        <v>0</v>
      </c>
      <c r="U781" s="586"/>
      <c r="V781" s="96">
        <f t="shared" ref="V781" si="2387">IF(AND(F781&gt;=$G$8,H781&gt;=$I$8,L781&gt;=$M$8,P781&gt;=$Q$8,R781&gt;=$S$8,T781&gt;=$U$8),SUM(F781:U781),0)</f>
        <v>0</v>
      </c>
      <c r="W781" s="380"/>
      <c r="X781" s="97"/>
      <c r="Y781" s="597"/>
      <c r="Z781" s="91" t="str">
        <f t="shared" ref="Z781" si="2388">LOOKUP(V781,$AL$6:$AM$10)</f>
        <v>ضعيف</v>
      </c>
      <c r="AA781" s="658"/>
      <c r="AB781" s="72"/>
      <c r="AC781" s="655"/>
      <c r="AN781" s="607"/>
      <c r="AO781" s="607"/>
      <c r="AP781" s="613"/>
      <c r="AQ781" s="612"/>
      <c r="AR781" s="611"/>
      <c r="AS781" s="612"/>
    </row>
    <row r="782" spans="1:45" ht="15" customHeight="1" x14ac:dyDescent="0.25">
      <c r="A782" s="632">
        <v>170</v>
      </c>
      <c r="B782" s="629">
        <f>VLOOKUP(A782,مسلسل,2,0)</f>
        <v>0</v>
      </c>
      <c r="C782" s="621" t="str">
        <f>IFERROR(VLOOKUP(B782,اسماء,2,0),"")</f>
        <v/>
      </c>
      <c r="D782" s="624" t="str">
        <f>IFERROR(VLOOKUP($B782,اسماء,3,0),"")</f>
        <v/>
      </c>
      <c r="E782" s="132" t="s">
        <v>30</v>
      </c>
      <c r="F782" s="627">
        <f>IFERROR(VLOOKUP($B782,اسماء,5,0),0)</f>
        <v>0</v>
      </c>
      <c r="G782" s="606"/>
      <c r="H782" s="628">
        <f>IFERROR(VLOOKUP($B782,اسماء,6,0),0)</f>
        <v>0</v>
      </c>
      <c r="I782" s="605"/>
      <c r="J782" s="587">
        <f>IFERROR(VLOOKUP($B782,اسماء,7,0),0)</f>
        <v>0</v>
      </c>
      <c r="K782" s="591"/>
      <c r="L782" s="587">
        <f>IFERROR(VLOOKUP($B782,اسماء,8,0),0)</f>
        <v>0</v>
      </c>
      <c r="M782" s="588"/>
      <c r="N782" s="587">
        <f>IFERROR(VLOOKUP($B782,اسماء,9,0),0)</f>
        <v>0</v>
      </c>
      <c r="O782" s="605"/>
      <c r="P782" s="587">
        <f>IFERROR(VLOOKUP($B782,اسماء,10,0),0)</f>
        <v>0</v>
      </c>
      <c r="Q782" s="605"/>
      <c r="R782" s="606">
        <f>IFERROR(VLOOKUP($B782,اسماء,11,0),0)</f>
        <v>0</v>
      </c>
      <c r="S782" s="591"/>
      <c r="T782" s="587">
        <f>IFERROR(VLOOKUP($B782,اسماء,12,0),0)</f>
        <v>0</v>
      </c>
      <c r="U782" s="588"/>
      <c r="V782" s="375">
        <f t="shared" ref="V782:V784" si="2389">SUM(F782:U782)</f>
        <v>0</v>
      </c>
      <c r="W782" s="376">
        <f>IFERROR(VLOOKUP($B782,اسماء,14,0),0)</f>
        <v>0</v>
      </c>
      <c r="X782" s="377">
        <f>IFERROR(VLOOKUP($B782,اسماء,15,0),0)</f>
        <v>0</v>
      </c>
      <c r="Y782" s="595" t="str">
        <f t="shared" ref="Y782" si="2390">IF(AC782="غائب","راسب",IF(AND(F785&gt;=$G$8,H785&gt;=$I$8,J785&gt;=$K$8,L785&gt;=$M$8,N785&gt;=$O$8,P785&gt;=$Q$8,R785&gt;=$S$8,T785&gt;=$U$8),"ناجح","له دور ثان"))</f>
        <v>له دور ثان</v>
      </c>
      <c r="Z782" s="21" t="str">
        <f t="shared" ref="Z782:Z783" si="2391">LOOKUP(V782,$AF$6:$AG$10)</f>
        <v>ضعيف</v>
      </c>
      <c r="AA782" s="656">
        <f t="shared" ref="AA782" si="2392">V785/$AF$3</f>
        <v>0</v>
      </c>
      <c r="AB782" s="10"/>
      <c r="AC782" s="653" t="str">
        <f>IFERROR(VLOOKUP($B782,اسماء,54,0),"")</f>
        <v/>
      </c>
      <c r="AN782" s="607" t="str">
        <f t="shared" ref="AN782" si="2393">IF(V785=0,"",V785/1+ROW()*0.00001)</f>
        <v/>
      </c>
      <c r="AO782" s="607">
        <f>B782</f>
        <v>0</v>
      </c>
      <c r="AP782" s="613"/>
      <c r="AQ782" s="612">
        <v>170</v>
      </c>
      <c r="AR782" s="611" t="str">
        <f>IFERROR(LARGE($AN$10:$AN$1006,AQ782),"")</f>
        <v/>
      </c>
      <c r="AS782" s="612" t="str">
        <f>VLOOKUP(AR782,$AN$10:$AO$1116,2,0)</f>
        <v>أحمد نورالدين أحمد الذيب</v>
      </c>
    </row>
    <row r="783" spans="1:45" ht="15" customHeight="1" x14ac:dyDescent="0.25">
      <c r="A783" s="633"/>
      <c r="B783" s="630"/>
      <c r="C783" s="622"/>
      <c r="D783" s="625"/>
      <c r="E783" s="133" t="s">
        <v>31</v>
      </c>
      <c r="F783" s="589">
        <f>IFERROR(VLOOKUP($B782,اسماء,18,0),0)</f>
        <v>0</v>
      </c>
      <c r="G783" s="592"/>
      <c r="H783" s="608">
        <f>IFERROR(VLOOKUP($B782,اسماء,19,0),0)</f>
        <v>0</v>
      </c>
      <c r="I783" s="609"/>
      <c r="J783" s="589">
        <f>IFERROR(VLOOKUP($B782,اسماء,20,0),0)</f>
        <v>0</v>
      </c>
      <c r="K783" s="592"/>
      <c r="L783" s="589">
        <f>IFERROR(VLOOKUP($B782,اسماء,21,0),0)</f>
        <v>0</v>
      </c>
      <c r="M783" s="590"/>
      <c r="N783" s="589">
        <f>IFERROR(VLOOKUP($B782,اسماء,22,0),0)</f>
        <v>0</v>
      </c>
      <c r="O783" s="590"/>
      <c r="P783" s="589">
        <f>IFERROR(VLOOKUP($B782,اسماء,23,0),0)</f>
        <v>0</v>
      </c>
      <c r="Q783" s="609"/>
      <c r="R783" s="603">
        <f>IFERROR(VLOOKUP($B782,اسماء,24,0),0)</f>
        <v>0</v>
      </c>
      <c r="S783" s="592"/>
      <c r="T783" s="589">
        <f>IFERROR(VLOOKUP($B782,اسماء,25,0),0)</f>
        <v>0</v>
      </c>
      <c r="U783" s="590"/>
      <c r="V783" s="378">
        <f t="shared" si="2389"/>
        <v>0</v>
      </c>
      <c r="W783" s="374">
        <f>IFERROR(VLOOKUP($B782,اسماء,27,0),0)</f>
        <v>0</v>
      </c>
      <c r="X783" s="379">
        <f>IFERROR(VLOOKUP($B782,اسماء,28,0),0)</f>
        <v>0</v>
      </c>
      <c r="Y783" s="596"/>
      <c r="Z783" s="22" t="str">
        <f t="shared" si="2391"/>
        <v>ضعيف</v>
      </c>
      <c r="AA783" s="657"/>
      <c r="AB783" s="72"/>
      <c r="AC783" s="654"/>
      <c r="AN783" s="607"/>
      <c r="AO783" s="607"/>
      <c r="AP783" s="613"/>
      <c r="AQ783" s="612"/>
      <c r="AR783" s="611"/>
      <c r="AS783" s="612"/>
    </row>
    <row r="784" spans="1:45" ht="15" customHeight="1" x14ac:dyDescent="0.25">
      <c r="A784" s="633"/>
      <c r="B784" s="630"/>
      <c r="C784" s="622"/>
      <c r="D784" s="625"/>
      <c r="E784" s="133" t="s">
        <v>32</v>
      </c>
      <c r="F784" s="589">
        <f>IFERROR(VLOOKUP($B782,اسماء,31,0),0)</f>
        <v>0</v>
      </c>
      <c r="G784" s="592"/>
      <c r="H784" s="608">
        <f>IFERROR(VLOOKUP($B782,اسماء,32,0),0)</f>
        <v>0</v>
      </c>
      <c r="I784" s="609"/>
      <c r="J784" s="589">
        <f>IFERROR(VLOOKUP($B782,اسماء,33,0),0)</f>
        <v>0</v>
      </c>
      <c r="K784" s="592"/>
      <c r="L784" s="589">
        <f>IFERROR(VLOOKUP($B782,اسماء,34,0),0)</f>
        <v>0</v>
      </c>
      <c r="M784" s="590"/>
      <c r="N784" s="589">
        <f>IFERROR(VLOOKUP($B782,اسماء,35,0),0)</f>
        <v>0</v>
      </c>
      <c r="O784" s="590"/>
      <c r="P784" s="589">
        <f>IFERROR(VLOOKUP($B782,اسماء,36,0),0)</f>
        <v>0</v>
      </c>
      <c r="Q784" s="609"/>
      <c r="R784" s="603">
        <f>IFERROR(VLOOKUP($B782,اسماء,37,0),0)</f>
        <v>0</v>
      </c>
      <c r="S784" s="592"/>
      <c r="T784" s="589">
        <f>IFERROR(VLOOKUP($B782,اسماء,38,0),0)</f>
        <v>0</v>
      </c>
      <c r="U784" s="590"/>
      <c r="V784" s="378">
        <f t="shared" si="2389"/>
        <v>0</v>
      </c>
      <c r="W784" s="374">
        <f>IFERROR(VLOOKUP($B782,اسماء,40,0),0)</f>
        <v>0</v>
      </c>
      <c r="X784" s="379">
        <f>IFERROR(VLOOKUP($B782,اسماء,41,0),0)</f>
        <v>0</v>
      </c>
      <c r="Y784" s="596"/>
      <c r="Z784" s="22" t="str">
        <f t="shared" ref="Z784" si="2394">LOOKUP(V784,$AI$6:$AJ$10)</f>
        <v>ضعيف</v>
      </c>
      <c r="AA784" s="657"/>
      <c r="AB784" s="72"/>
      <c r="AC784" s="654"/>
      <c r="AN784" s="607"/>
      <c r="AO784" s="607"/>
      <c r="AP784" s="613"/>
      <c r="AQ784" s="612"/>
      <c r="AR784" s="611"/>
      <c r="AS784" s="612"/>
    </row>
    <row r="785" spans="1:45" ht="15" customHeight="1" thickBot="1" x14ac:dyDescent="0.3">
      <c r="A785" s="634"/>
      <c r="B785" s="631"/>
      <c r="C785" s="623"/>
      <c r="D785" s="626"/>
      <c r="E785" s="127" t="s">
        <v>33</v>
      </c>
      <c r="F785" s="585">
        <f t="shared" ref="F785" si="2395">SUM(F782:G784)</f>
        <v>0</v>
      </c>
      <c r="G785" s="593"/>
      <c r="H785" s="604">
        <f t="shared" ref="H785" si="2396">SUM(H782:I784)</f>
        <v>0</v>
      </c>
      <c r="I785" s="601"/>
      <c r="J785" s="585">
        <f t="shared" ref="J785" si="2397">SUM(J782:K784)</f>
        <v>0</v>
      </c>
      <c r="K785" s="593"/>
      <c r="L785" s="585">
        <f t="shared" ref="L785" si="2398">SUM(L782:M784)</f>
        <v>0</v>
      </c>
      <c r="M785" s="586"/>
      <c r="N785" s="585">
        <f t="shared" ref="N785" si="2399">SUM(N782:O784)</f>
        <v>0</v>
      </c>
      <c r="O785" s="586"/>
      <c r="P785" s="585">
        <f t="shared" ref="P785" si="2400">SUM(P782:Q784)</f>
        <v>0</v>
      </c>
      <c r="Q785" s="601"/>
      <c r="R785" s="602">
        <f t="shared" ref="R785" si="2401">SUM(R782:S784)</f>
        <v>0</v>
      </c>
      <c r="S785" s="593"/>
      <c r="T785" s="585">
        <f t="shared" ref="T785" si="2402">SUM(T782:U784)</f>
        <v>0</v>
      </c>
      <c r="U785" s="586"/>
      <c r="V785" s="96">
        <f t="shared" ref="V785" si="2403">IF(AND(F785&gt;=$G$8,H785&gt;=$I$8,L785&gt;=$M$8,P785&gt;=$Q$8,R785&gt;=$S$8,T785&gt;=$U$8),SUM(F785:U785),0)</f>
        <v>0</v>
      </c>
      <c r="W785" s="380"/>
      <c r="X785" s="97"/>
      <c r="Y785" s="597"/>
      <c r="Z785" s="91" t="str">
        <f t="shared" ref="Z785" si="2404">LOOKUP(V785,$AL$6:$AM$10)</f>
        <v>ضعيف</v>
      </c>
      <c r="AA785" s="658"/>
      <c r="AB785" s="10"/>
      <c r="AC785" s="655"/>
      <c r="AN785" s="607"/>
      <c r="AO785" s="607"/>
      <c r="AP785" s="613"/>
      <c r="AQ785" s="612"/>
      <c r="AR785" s="611"/>
      <c r="AS785" s="612"/>
    </row>
    <row r="786" spans="1:45" ht="15" customHeight="1" thickBot="1" x14ac:dyDescent="0.3">
      <c r="F786" s="75"/>
      <c r="G786" s="76"/>
      <c r="H786" s="75"/>
      <c r="I786" s="76"/>
      <c r="J786" s="75"/>
      <c r="K786" s="76"/>
      <c r="L786" s="75"/>
      <c r="M786" s="76"/>
      <c r="N786" s="76"/>
      <c r="O786" s="76"/>
      <c r="P786" s="75"/>
      <c r="Q786" s="76"/>
      <c r="R786" s="75"/>
      <c r="S786" s="76"/>
      <c r="T786" s="75"/>
      <c r="U786" s="76"/>
      <c r="V786" s="74"/>
      <c r="W786" s="77"/>
      <c r="X786" s="74"/>
      <c r="Y786" s="362"/>
      <c r="Z786" s="74"/>
      <c r="AA786" s="267"/>
      <c r="AB786" s="72"/>
      <c r="AK786" s="78"/>
    </row>
    <row r="787" spans="1:45" customFormat="1" ht="15" customHeight="1" x14ac:dyDescent="0.3">
      <c r="A787" s="617" t="s">
        <v>9</v>
      </c>
      <c r="B787" s="618"/>
      <c r="C787" s="619"/>
      <c r="D787" s="288" t="s">
        <v>11</v>
      </c>
      <c r="E787" s="600" t="s">
        <v>97</v>
      </c>
      <c r="F787" s="598"/>
      <c r="G787" s="598"/>
      <c r="H787" s="598"/>
      <c r="I787" s="598"/>
      <c r="J787" s="9"/>
      <c r="K787" s="9"/>
      <c r="L787" s="9"/>
      <c r="M787" s="9"/>
      <c r="N787" s="9"/>
      <c r="O787" s="9"/>
      <c r="P787" s="9"/>
      <c r="Q787" s="9"/>
      <c r="R787" s="9"/>
      <c r="S787" s="598" t="s">
        <v>156</v>
      </c>
      <c r="T787" s="598"/>
      <c r="U787" s="598"/>
      <c r="V787" s="598"/>
      <c r="W787" s="598"/>
      <c r="X787" s="598"/>
      <c r="Y787" s="598"/>
      <c r="Z787" s="1"/>
      <c r="AA787" s="268"/>
      <c r="AC787" s="79"/>
      <c r="AD787" s="80"/>
      <c r="AE787" s="80"/>
      <c r="AF787" s="80"/>
      <c r="AG787" s="80"/>
    </row>
    <row r="788" spans="1:45" customFormat="1" ht="15" customHeight="1" x14ac:dyDescent="0.25">
      <c r="A788" s="81" t="s">
        <v>8</v>
      </c>
      <c r="B788" s="610">
        <f>ادخال1!$BP$3</f>
        <v>0</v>
      </c>
      <c r="C788" s="620"/>
      <c r="D788" s="289"/>
      <c r="E788" s="9" t="s">
        <v>9</v>
      </c>
      <c r="F788" s="599" t="str">
        <f>ادخال1!$BP$5</f>
        <v>د.عبدالرحمن خليفة العريبي</v>
      </c>
      <c r="G788" s="599"/>
      <c r="H788" s="599"/>
      <c r="I788" s="599"/>
      <c r="J788" s="599"/>
      <c r="K788" s="599"/>
      <c r="L788" s="599"/>
      <c r="M788" s="599"/>
      <c r="N788" s="599"/>
      <c r="O788" s="599"/>
      <c r="P788" s="599"/>
      <c r="Q788" s="599"/>
      <c r="R788" s="9"/>
      <c r="S788" s="599" t="str">
        <f>ادخال1!$BP$6</f>
        <v>تاجوراء</v>
      </c>
      <c r="T788" s="599"/>
      <c r="U788" s="599"/>
      <c r="V788" s="599"/>
      <c r="W788" s="599"/>
      <c r="X788" s="599"/>
      <c r="Y788" s="599"/>
      <c r="Z788" s="599"/>
      <c r="AA788" s="67"/>
      <c r="AB788" s="67"/>
      <c r="AC788" s="79"/>
      <c r="AD788" s="79"/>
      <c r="AE788" s="79"/>
      <c r="AF788" s="79"/>
    </row>
    <row r="789" spans="1:45" customFormat="1" ht="15" customHeight="1" thickBot="1" x14ac:dyDescent="0.3">
      <c r="A789" s="82" t="s">
        <v>98</v>
      </c>
      <c r="B789" s="615">
        <f>ادخال1!$BP$4</f>
        <v>0</v>
      </c>
      <c r="C789" s="616"/>
      <c r="D789" s="290"/>
      <c r="E789" s="9" t="s">
        <v>11</v>
      </c>
      <c r="F789" s="607"/>
      <c r="G789" s="607"/>
      <c r="H789" s="607"/>
      <c r="I789" s="607"/>
      <c r="J789" s="607"/>
      <c r="K789" s="607"/>
      <c r="L789" s="607"/>
      <c r="M789" s="607"/>
      <c r="N789" s="607"/>
      <c r="O789" s="607"/>
      <c r="P789" s="607"/>
      <c r="Q789" s="607"/>
      <c r="R789" s="9"/>
      <c r="S789" s="9" t="s">
        <v>11</v>
      </c>
      <c r="T789" s="9"/>
      <c r="U789" s="9" t="s">
        <v>11</v>
      </c>
      <c r="V789" s="1"/>
      <c r="W789" s="1"/>
      <c r="X789" s="1"/>
      <c r="Y789" s="363"/>
      <c r="Z789" s="1"/>
      <c r="AA789" s="268"/>
      <c r="AC789" s="79"/>
      <c r="AD789" s="79"/>
      <c r="AE789" s="79"/>
      <c r="AF789" s="79"/>
    </row>
    <row r="790" spans="1:45" customFormat="1" ht="15" customHeight="1" x14ac:dyDescent="0.25">
      <c r="A790" s="598" t="s">
        <v>99</v>
      </c>
      <c r="B790" s="598"/>
      <c r="C790" s="598"/>
      <c r="D790" s="598"/>
      <c r="E790" s="598" t="s">
        <v>100</v>
      </c>
      <c r="F790" s="598"/>
      <c r="G790" s="598"/>
      <c r="H790" s="598"/>
      <c r="I790" s="598"/>
      <c r="J790" s="598"/>
      <c r="K790" s="598"/>
      <c r="L790" s="598"/>
      <c r="M790" s="598"/>
      <c r="N790" s="598"/>
      <c r="O790" s="598"/>
      <c r="P790" s="598"/>
      <c r="Q790" s="598"/>
      <c r="R790" s="598"/>
      <c r="S790" s="598"/>
      <c r="T790" s="9"/>
      <c r="U790" s="9"/>
      <c r="V790" s="9"/>
      <c r="W790" s="594">
        <f ca="1">TODAY()</f>
        <v>46035</v>
      </c>
      <c r="X790" s="594"/>
      <c r="Y790" s="594"/>
      <c r="Z790" s="594"/>
      <c r="AA790" s="268"/>
    </row>
    <row r="791" spans="1:45" customFormat="1" ht="15" customHeight="1" thickBot="1" x14ac:dyDescent="0.3">
      <c r="A791" s="9"/>
      <c r="B791" s="598" t="s">
        <v>101</v>
      </c>
      <c r="C791" s="598"/>
      <c r="D791" s="598"/>
      <c r="E791" s="598" t="s">
        <v>102</v>
      </c>
      <c r="F791" s="598"/>
      <c r="G791" s="598"/>
      <c r="H791" s="598"/>
      <c r="I791" s="598"/>
      <c r="J791" s="598"/>
      <c r="K791" s="598"/>
      <c r="L791" s="598"/>
      <c r="M791" s="598"/>
      <c r="N791" s="598"/>
      <c r="O791" s="598"/>
      <c r="P791" s="598"/>
      <c r="Q791" s="598"/>
      <c r="R791" s="598"/>
      <c r="S791" s="598"/>
      <c r="T791" s="9"/>
      <c r="U791" s="9"/>
      <c r="V791" s="1"/>
      <c r="W791" s="1"/>
      <c r="X791" s="1"/>
      <c r="Y791" s="363"/>
      <c r="Z791" s="1"/>
      <c r="AA791" s="268"/>
    </row>
    <row r="792" spans="1:45" ht="15" customHeight="1" x14ac:dyDescent="0.25">
      <c r="A792" s="632">
        <v>171</v>
      </c>
      <c r="B792" s="629">
        <f>VLOOKUP(A792,مسلسل,2,0)</f>
        <v>0</v>
      </c>
      <c r="C792" s="621" t="str">
        <f>IFERROR(VLOOKUP(B792,اسماء,2,0),"")</f>
        <v/>
      </c>
      <c r="D792" s="624" t="str">
        <f>IFERROR(VLOOKUP($B792,اسماء,3,0),"")</f>
        <v/>
      </c>
      <c r="E792" s="132" t="s">
        <v>30</v>
      </c>
      <c r="F792" s="627">
        <f>IFERROR(VLOOKUP($B792,اسماء,5,0),0)</f>
        <v>0</v>
      </c>
      <c r="G792" s="606"/>
      <c r="H792" s="628">
        <f>IFERROR(VLOOKUP($B792,اسماء,6,0),0)</f>
        <v>0</v>
      </c>
      <c r="I792" s="605"/>
      <c r="J792" s="587">
        <f>IFERROR(VLOOKUP($B792,اسماء,7,0),0)</f>
        <v>0</v>
      </c>
      <c r="K792" s="591"/>
      <c r="L792" s="587">
        <f>IFERROR(VLOOKUP($B792,اسماء,8,0),0)</f>
        <v>0</v>
      </c>
      <c r="M792" s="588"/>
      <c r="N792" s="587">
        <f>IFERROR(VLOOKUP($B792,اسماء,9,0),0)</f>
        <v>0</v>
      </c>
      <c r="O792" s="605"/>
      <c r="P792" s="587">
        <f>IFERROR(VLOOKUP($B792,اسماء,10,0),0)</f>
        <v>0</v>
      </c>
      <c r="Q792" s="605"/>
      <c r="R792" s="606">
        <f>IFERROR(VLOOKUP($B792,اسماء,11,0),0)</f>
        <v>0</v>
      </c>
      <c r="S792" s="591"/>
      <c r="T792" s="587">
        <f>IFERROR(VLOOKUP($B792,اسماء,12,0),0)</f>
        <v>0</v>
      </c>
      <c r="U792" s="588"/>
      <c r="V792" s="375">
        <f t="shared" ref="V792:V794" si="2405">SUM(F792:U792)</f>
        <v>0</v>
      </c>
      <c r="W792" s="376">
        <f>IFERROR(VLOOKUP($B792,اسماء,14,0),0)</f>
        <v>0</v>
      </c>
      <c r="X792" s="377">
        <f>IFERROR(VLOOKUP($B792,اسماء,15,0),0)</f>
        <v>0</v>
      </c>
      <c r="Y792" s="595" t="str">
        <f>IF(AC792="غائب","راسب",IF(AND(F795&gt;=$G$8,H795&gt;=$I$8,J795&gt;=$K$8,L795&gt;=$M$8,N795&gt;=$O$8,P795&gt;=$Q$8,R795&gt;=$S$8,T795&gt;=$U$8),"ناجح","له دور ثان"))</f>
        <v>له دور ثان</v>
      </c>
      <c r="Z792" s="21" t="str">
        <f>LOOKUP(V792,$AF$6:$AG$10)</f>
        <v>ضعيف</v>
      </c>
      <c r="AA792" s="656">
        <f>V795/$AF$3</f>
        <v>0</v>
      </c>
      <c r="AB792" s="72"/>
      <c r="AC792" s="653" t="str">
        <f>IFERROR(VLOOKUP($B792,اسماء,54,0),"")</f>
        <v/>
      </c>
      <c r="AN792" s="610" t="str">
        <f>IF(V795=0,"",V795/1+ROW()*0.00001)</f>
        <v/>
      </c>
      <c r="AO792" s="610">
        <f>B792</f>
        <v>0</v>
      </c>
      <c r="AP792" s="613"/>
      <c r="AQ792" s="612">
        <v>171</v>
      </c>
      <c r="AR792" s="611" t="str">
        <f>IFERROR(LARGE($AN$10:$AN$1006,AQ792),"")</f>
        <v/>
      </c>
      <c r="AS792" s="612" t="str">
        <f>VLOOKUP(AR792,$AN$10:$AO$1116,2,0)</f>
        <v>أحمد نورالدين أحمد الذيب</v>
      </c>
    </row>
    <row r="793" spans="1:45" ht="15" customHeight="1" x14ac:dyDescent="0.25">
      <c r="A793" s="633"/>
      <c r="B793" s="630"/>
      <c r="C793" s="622"/>
      <c r="D793" s="625"/>
      <c r="E793" s="133" t="s">
        <v>31</v>
      </c>
      <c r="F793" s="589">
        <f>IFERROR(VLOOKUP($B792,اسماء,18,0),0)</f>
        <v>0</v>
      </c>
      <c r="G793" s="592"/>
      <c r="H793" s="608">
        <f>IFERROR(VLOOKUP($B792,اسماء,19,0),0)</f>
        <v>0</v>
      </c>
      <c r="I793" s="609"/>
      <c r="J793" s="589">
        <f>IFERROR(VLOOKUP($B792,اسماء,20,0),0)</f>
        <v>0</v>
      </c>
      <c r="K793" s="592"/>
      <c r="L793" s="589">
        <f>IFERROR(VLOOKUP($B792,اسماء,21,0),0)</f>
        <v>0</v>
      </c>
      <c r="M793" s="590"/>
      <c r="N793" s="589">
        <f>IFERROR(VLOOKUP($B792,اسماء,22,0),0)</f>
        <v>0</v>
      </c>
      <c r="O793" s="590"/>
      <c r="P793" s="589">
        <f>IFERROR(VLOOKUP($B792,اسماء,23,0),0)</f>
        <v>0</v>
      </c>
      <c r="Q793" s="609"/>
      <c r="R793" s="603">
        <f>IFERROR(VLOOKUP($B792,اسماء,24,0),0)</f>
        <v>0</v>
      </c>
      <c r="S793" s="592"/>
      <c r="T793" s="589">
        <f>IFERROR(VLOOKUP($B792,اسماء,25,0),0)</f>
        <v>0</v>
      </c>
      <c r="U793" s="590"/>
      <c r="V793" s="378">
        <f t="shared" si="2405"/>
        <v>0</v>
      </c>
      <c r="W793" s="374">
        <f>IFERROR(VLOOKUP($B792,اسماء,27,0),0)</f>
        <v>0</v>
      </c>
      <c r="X793" s="379">
        <f>IFERROR(VLOOKUP($B792,اسماء,28,0),0)</f>
        <v>0</v>
      </c>
      <c r="Y793" s="596"/>
      <c r="Z793" s="22" t="str">
        <f>LOOKUP(V793,$AF$6:$AG$10)</f>
        <v>ضعيف</v>
      </c>
      <c r="AA793" s="657"/>
      <c r="AB793" s="72"/>
      <c r="AC793" s="654"/>
      <c r="AN793" s="610"/>
      <c r="AO793" s="610"/>
      <c r="AP793" s="613"/>
      <c r="AQ793" s="612"/>
      <c r="AR793" s="611"/>
      <c r="AS793" s="612"/>
    </row>
    <row r="794" spans="1:45" ht="15" customHeight="1" x14ac:dyDescent="0.25">
      <c r="A794" s="633"/>
      <c r="B794" s="630"/>
      <c r="C794" s="622"/>
      <c r="D794" s="625"/>
      <c r="E794" s="133" t="s">
        <v>32</v>
      </c>
      <c r="F794" s="589">
        <f>IFERROR(VLOOKUP($B792,اسماء,31,0),0)</f>
        <v>0</v>
      </c>
      <c r="G794" s="592"/>
      <c r="H794" s="608">
        <f>IFERROR(VLOOKUP($B792,اسماء,32,0),0)</f>
        <v>0</v>
      </c>
      <c r="I794" s="609"/>
      <c r="J794" s="589">
        <f>IFERROR(VLOOKUP($B792,اسماء,33,0),0)</f>
        <v>0</v>
      </c>
      <c r="K794" s="592"/>
      <c r="L794" s="589">
        <f>IFERROR(VLOOKUP($B792,اسماء,34,0),0)</f>
        <v>0</v>
      </c>
      <c r="M794" s="590"/>
      <c r="N794" s="589">
        <f>IFERROR(VLOOKUP($B792,اسماء,35,0),0)</f>
        <v>0</v>
      </c>
      <c r="O794" s="590"/>
      <c r="P794" s="589">
        <f>IFERROR(VLOOKUP($B792,اسماء,36,0),0)</f>
        <v>0</v>
      </c>
      <c r="Q794" s="609"/>
      <c r="R794" s="603">
        <f>IFERROR(VLOOKUP($B792,اسماء,37,0),0)</f>
        <v>0</v>
      </c>
      <c r="S794" s="592"/>
      <c r="T794" s="589">
        <f>IFERROR(VLOOKUP($B792,اسماء,38,0),0)</f>
        <v>0</v>
      </c>
      <c r="U794" s="590"/>
      <c r="V794" s="378">
        <f t="shared" si="2405"/>
        <v>0</v>
      </c>
      <c r="W794" s="374">
        <f>IFERROR(VLOOKUP($B792,اسماء,40,0),0)</f>
        <v>0</v>
      </c>
      <c r="X794" s="379">
        <f>IFERROR(VLOOKUP($B792,اسماء,41,0),0)</f>
        <v>0</v>
      </c>
      <c r="Y794" s="596"/>
      <c r="Z794" s="22" t="str">
        <f>LOOKUP(V794,$AI$6:$AJ$10)</f>
        <v>ضعيف</v>
      </c>
      <c r="AA794" s="657"/>
      <c r="AB794" s="10"/>
      <c r="AC794" s="654"/>
      <c r="AN794" s="610"/>
      <c r="AO794" s="610"/>
      <c r="AP794" s="613"/>
      <c r="AQ794" s="612"/>
      <c r="AR794" s="611"/>
      <c r="AS794" s="612"/>
    </row>
    <row r="795" spans="1:45" ht="15" customHeight="1" thickBot="1" x14ac:dyDescent="0.3">
      <c r="A795" s="634"/>
      <c r="B795" s="631"/>
      <c r="C795" s="623"/>
      <c r="D795" s="626"/>
      <c r="E795" s="127" t="s">
        <v>33</v>
      </c>
      <c r="F795" s="585">
        <f t="shared" ref="F795" si="2406">SUM(F792:G794)</f>
        <v>0</v>
      </c>
      <c r="G795" s="593"/>
      <c r="H795" s="604">
        <f t="shared" ref="H795" si="2407">SUM(H792:I794)</f>
        <v>0</v>
      </c>
      <c r="I795" s="601"/>
      <c r="J795" s="585">
        <f t="shared" ref="J795" si="2408">SUM(J792:K794)</f>
        <v>0</v>
      </c>
      <c r="K795" s="593"/>
      <c r="L795" s="585">
        <f t="shared" ref="L795" si="2409">SUM(L792:M794)</f>
        <v>0</v>
      </c>
      <c r="M795" s="586"/>
      <c r="N795" s="585">
        <f t="shared" ref="N795" si="2410">SUM(N792:O794)</f>
        <v>0</v>
      </c>
      <c r="O795" s="586"/>
      <c r="P795" s="585">
        <f t="shared" ref="P795" si="2411">SUM(P792:Q794)</f>
        <v>0</v>
      </c>
      <c r="Q795" s="601"/>
      <c r="R795" s="602">
        <f t="shared" ref="R795" si="2412">SUM(R792:S794)</f>
        <v>0</v>
      </c>
      <c r="S795" s="593"/>
      <c r="T795" s="585">
        <f t="shared" ref="T795" si="2413">SUM(T792:U794)</f>
        <v>0</v>
      </c>
      <c r="U795" s="586"/>
      <c r="V795" s="96">
        <f t="shared" ref="V795" si="2414">IF(AND(F795&gt;=$G$8,H795&gt;=$I$8,L795&gt;=$M$8,P795&gt;=$Q$8,R795&gt;=$S$8,T795&gt;=$U$8),SUM(F795:U795),0)</f>
        <v>0</v>
      </c>
      <c r="W795" s="380"/>
      <c r="X795" s="97"/>
      <c r="Y795" s="597"/>
      <c r="Z795" s="91" t="str">
        <f>LOOKUP(V795,$AL$6:$AM$10)</f>
        <v>ضعيف</v>
      </c>
      <c r="AA795" s="658"/>
      <c r="AB795" s="72"/>
      <c r="AC795" s="655"/>
      <c r="AN795" s="610"/>
      <c r="AO795" s="610"/>
      <c r="AP795" s="613"/>
      <c r="AQ795" s="612"/>
      <c r="AR795" s="611"/>
      <c r="AS795" s="612"/>
    </row>
    <row r="796" spans="1:45" ht="15" customHeight="1" x14ac:dyDescent="0.25">
      <c r="A796" s="632">
        <v>172</v>
      </c>
      <c r="B796" s="629">
        <f>VLOOKUP(A796,مسلسل,2,0)</f>
        <v>0</v>
      </c>
      <c r="C796" s="621" t="str">
        <f>IFERROR(VLOOKUP(B796,اسماء,2,0),"")</f>
        <v/>
      </c>
      <c r="D796" s="624" t="str">
        <f>IFERROR(VLOOKUP($B796,اسماء,3,0),"")</f>
        <v/>
      </c>
      <c r="E796" s="132" t="s">
        <v>30</v>
      </c>
      <c r="F796" s="627">
        <f>IFERROR(VLOOKUP($B796,اسماء,5,0),0)</f>
        <v>0</v>
      </c>
      <c r="G796" s="606"/>
      <c r="H796" s="628">
        <f>IFERROR(VLOOKUP($B796,اسماء,6,0),0)</f>
        <v>0</v>
      </c>
      <c r="I796" s="605"/>
      <c r="J796" s="587">
        <f>IFERROR(VLOOKUP($B796,اسماء,7,0),0)</f>
        <v>0</v>
      </c>
      <c r="K796" s="591"/>
      <c r="L796" s="587">
        <f>IFERROR(VLOOKUP($B796,اسماء,8,0),0)</f>
        <v>0</v>
      </c>
      <c r="M796" s="588"/>
      <c r="N796" s="587">
        <f>IFERROR(VLOOKUP($B796,اسماء,9,0),0)</f>
        <v>0</v>
      </c>
      <c r="O796" s="605"/>
      <c r="P796" s="587">
        <f>IFERROR(VLOOKUP($B796,اسماء,10,0),0)</f>
        <v>0</v>
      </c>
      <c r="Q796" s="605"/>
      <c r="R796" s="606">
        <f>IFERROR(VLOOKUP($B796,اسماء,11,0),0)</f>
        <v>0</v>
      </c>
      <c r="S796" s="591"/>
      <c r="T796" s="587">
        <f>IFERROR(VLOOKUP($B796,اسماء,12,0),0)</f>
        <v>0</v>
      </c>
      <c r="U796" s="588"/>
      <c r="V796" s="375">
        <f t="shared" ref="V796:V798" si="2415">SUM(F796:U796)</f>
        <v>0</v>
      </c>
      <c r="W796" s="376">
        <f>IFERROR(VLOOKUP($B796,اسماء,14,0),0)</f>
        <v>0</v>
      </c>
      <c r="X796" s="377">
        <f>IFERROR(VLOOKUP($B796,اسماء,15,0),0)</f>
        <v>0</v>
      </c>
      <c r="Y796" s="595" t="str">
        <f t="shared" ref="Y796" si="2416">IF(AC796="غائب","راسب",IF(AND(F799&gt;=$G$8,H799&gt;=$I$8,J799&gt;=$K$8,L799&gt;=$M$8,N799&gt;=$O$8,P799&gt;=$Q$8,R799&gt;=$S$8,T799&gt;=$U$8),"ناجح","له دور ثان"))</f>
        <v>له دور ثان</v>
      </c>
      <c r="Z796" s="21" t="str">
        <f>LOOKUP(V796,$AF$6:$AG$10)</f>
        <v>ضعيف</v>
      </c>
      <c r="AA796" s="656">
        <f>V799/$AF$3</f>
        <v>0</v>
      </c>
      <c r="AB796" s="72"/>
      <c r="AC796" s="653" t="str">
        <f>IFERROR(VLOOKUP($B796,اسماء,54,0),"")</f>
        <v/>
      </c>
      <c r="AN796" s="607" t="str">
        <f t="shared" ref="AN796" si="2417">IF(V799=0,"",V799/1+ROW()*0.00001)</f>
        <v/>
      </c>
      <c r="AO796" s="607">
        <f>B796</f>
        <v>0</v>
      </c>
      <c r="AP796" s="613"/>
      <c r="AQ796" s="612">
        <v>172</v>
      </c>
      <c r="AR796" s="611" t="str">
        <f>IFERROR(LARGE($AN$10:$AN$1006,AQ796),"")</f>
        <v/>
      </c>
      <c r="AS796" s="612" t="str">
        <f>VLOOKUP(AR796,$AN$10:$AO$1116,2,0)</f>
        <v>أحمد نورالدين أحمد الذيب</v>
      </c>
    </row>
    <row r="797" spans="1:45" ht="15" customHeight="1" x14ac:dyDescent="0.25">
      <c r="A797" s="633"/>
      <c r="B797" s="630"/>
      <c r="C797" s="622"/>
      <c r="D797" s="625"/>
      <c r="E797" s="133" t="s">
        <v>31</v>
      </c>
      <c r="F797" s="589">
        <f>IFERROR(VLOOKUP($B796,اسماء,18,0),0)</f>
        <v>0</v>
      </c>
      <c r="G797" s="592"/>
      <c r="H797" s="608">
        <f>IFERROR(VLOOKUP($B796,اسماء,19,0),0)</f>
        <v>0</v>
      </c>
      <c r="I797" s="609"/>
      <c r="J797" s="589">
        <f>IFERROR(VLOOKUP($B796,اسماء,20,0),0)</f>
        <v>0</v>
      </c>
      <c r="K797" s="592"/>
      <c r="L797" s="589">
        <f>IFERROR(VLOOKUP($B796,اسماء,21,0),0)</f>
        <v>0</v>
      </c>
      <c r="M797" s="590"/>
      <c r="N797" s="589">
        <f>IFERROR(VLOOKUP($B796,اسماء,22,0),0)</f>
        <v>0</v>
      </c>
      <c r="O797" s="590"/>
      <c r="P797" s="589">
        <f>IFERROR(VLOOKUP($B796,اسماء,23,0),0)</f>
        <v>0</v>
      </c>
      <c r="Q797" s="609"/>
      <c r="R797" s="603">
        <f>IFERROR(VLOOKUP($B796,اسماء,24,0),0)</f>
        <v>0</v>
      </c>
      <c r="S797" s="592"/>
      <c r="T797" s="589">
        <f>IFERROR(VLOOKUP($B796,اسماء,25,0),0)</f>
        <v>0</v>
      </c>
      <c r="U797" s="590"/>
      <c r="V797" s="378">
        <f t="shared" si="2415"/>
        <v>0</v>
      </c>
      <c r="W797" s="374">
        <f>IFERROR(VLOOKUP($B796,اسماء,27,0),0)</f>
        <v>0</v>
      </c>
      <c r="X797" s="379">
        <f>IFERROR(VLOOKUP($B796,اسماء,28,0),0)</f>
        <v>0</v>
      </c>
      <c r="Y797" s="596"/>
      <c r="Z797" s="22" t="str">
        <f>LOOKUP(V797,$AF$6:$AG$10)</f>
        <v>ضعيف</v>
      </c>
      <c r="AA797" s="657"/>
      <c r="AB797" s="10"/>
      <c r="AC797" s="654"/>
      <c r="AN797" s="607"/>
      <c r="AO797" s="607"/>
      <c r="AP797" s="613"/>
      <c r="AQ797" s="612"/>
      <c r="AR797" s="611"/>
      <c r="AS797" s="612"/>
    </row>
    <row r="798" spans="1:45" ht="15" customHeight="1" x14ac:dyDescent="0.25">
      <c r="A798" s="633"/>
      <c r="B798" s="630"/>
      <c r="C798" s="622"/>
      <c r="D798" s="625"/>
      <c r="E798" s="133" t="s">
        <v>32</v>
      </c>
      <c r="F798" s="589">
        <f>IFERROR(VLOOKUP($B796,اسماء,31,0),0)</f>
        <v>0</v>
      </c>
      <c r="G798" s="592"/>
      <c r="H798" s="608">
        <f>IFERROR(VLOOKUP($B796,اسماء,32,0),0)</f>
        <v>0</v>
      </c>
      <c r="I798" s="609"/>
      <c r="J798" s="589">
        <f>IFERROR(VLOOKUP($B796,اسماء,33,0),0)</f>
        <v>0</v>
      </c>
      <c r="K798" s="592"/>
      <c r="L798" s="589">
        <f>IFERROR(VLOOKUP($B796,اسماء,34,0),0)</f>
        <v>0</v>
      </c>
      <c r="M798" s="590"/>
      <c r="N798" s="589">
        <f>IFERROR(VLOOKUP($B796,اسماء,35,0),0)</f>
        <v>0</v>
      </c>
      <c r="O798" s="590"/>
      <c r="P798" s="589">
        <f>IFERROR(VLOOKUP($B796,اسماء,36,0),0)</f>
        <v>0</v>
      </c>
      <c r="Q798" s="609"/>
      <c r="R798" s="603">
        <f>IFERROR(VLOOKUP($B796,اسماء,37,0),0)</f>
        <v>0</v>
      </c>
      <c r="S798" s="592"/>
      <c r="T798" s="589">
        <f>IFERROR(VLOOKUP($B796,اسماء,38,0),0)</f>
        <v>0</v>
      </c>
      <c r="U798" s="590"/>
      <c r="V798" s="378">
        <f t="shared" si="2415"/>
        <v>0</v>
      </c>
      <c r="W798" s="374">
        <f>IFERROR(VLOOKUP($B796,اسماء,40,0),0)</f>
        <v>0</v>
      </c>
      <c r="X798" s="379">
        <f>IFERROR(VLOOKUP($B796,اسماء,41,0),0)</f>
        <v>0</v>
      </c>
      <c r="Y798" s="596"/>
      <c r="Z798" s="22" t="str">
        <f>LOOKUP(V798,$AI$6:$AJ$10)</f>
        <v>ضعيف</v>
      </c>
      <c r="AA798" s="657"/>
      <c r="AB798" s="72"/>
      <c r="AC798" s="654"/>
      <c r="AN798" s="607"/>
      <c r="AO798" s="607"/>
      <c r="AP798" s="613"/>
      <c r="AQ798" s="612"/>
      <c r="AR798" s="611"/>
      <c r="AS798" s="612"/>
    </row>
    <row r="799" spans="1:45" ht="15" customHeight="1" thickBot="1" x14ac:dyDescent="0.3">
      <c r="A799" s="634"/>
      <c r="B799" s="631"/>
      <c r="C799" s="623"/>
      <c r="D799" s="626"/>
      <c r="E799" s="127" t="s">
        <v>33</v>
      </c>
      <c r="F799" s="585">
        <f t="shared" ref="F799" si="2418">SUM(F796:G798)</f>
        <v>0</v>
      </c>
      <c r="G799" s="593"/>
      <c r="H799" s="604">
        <f t="shared" ref="H799" si="2419">SUM(H796:I798)</f>
        <v>0</v>
      </c>
      <c r="I799" s="601"/>
      <c r="J799" s="585">
        <f t="shared" ref="J799" si="2420">SUM(J796:K798)</f>
        <v>0</v>
      </c>
      <c r="K799" s="593"/>
      <c r="L799" s="585">
        <f t="shared" ref="L799" si="2421">SUM(L796:M798)</f>
        <v>0</v>
      </c>
      <c r="M799" s="586"/>
      <c r="N799" s="585">
        <f t="shared" ref="N799" si="2422">SUM(N796:O798)</f>
        <v>0</v>
      </c>
      <c r="O799" s="586"/>
      <c r="P799" s="585">
        <f t="shared" ref="P799" si="2423">SUM(P796:Q798)</f>
        <v>0</v>
      </c>
      <c r="Q799" s="601"/>
      <c r="R799" s="602">
        <f t="shared" ref="R799" si="2424">SUM(R796:S798)</f>
        <v>0</v>
      </c>
      <c r="S799" s="593"/>
      <c r="T799" s="585">
        <f t="shared" ref="T799" si="2425">SUM(T796:U798)</f>
        <v>0</v>
      </c>
      <c r="U799" s="586"/>
      <c r="V799" s="96">
        <f t="shared" ref="V799" si="2426">IF(AND(F799&gt;=$G$8,H799&gt;=$I$8,L799&gt;=$M$8,P799&gt;=$Q$8,R799&gt;=$S$8,T799&gt;=$U$8),SUM(F799:U799),0)</f>
        <v>0</v>
      </c>
      <c r="W799" s="380"/>
      <c r="X799" s="97"/>
      <c r="Y799" s="597"/>
      <c r="Z799" s="91" t="str">
        <f>LOOKUP(V799,$AL$6:$AM$10)</f>
        <v>ضعيف</v>
      </c>
      <c r="AA799" s="658"/>
      <c r="AB799" s="72"/>
      <c r="AC799" s="655"/>
      <c r="AN799" s="607"/>
      <c r="AO799" s="607"/>
      <c r="AP799" s="613"/>
      <c r="AQ799" s="612"/>
      <c r="AR799" s="611"/>
      <c r="AS799" s="612"/>
    </row>
    <row r="800" spans="1:45" ht="15" customHeight="1" x14ac:dyDescent="0.25">
      <c r="A800" s="632">
        <v>173</v>
      </c>
      <c r="B800" s="629">
        <f>VLOOKUP(A800,مسلسل,2,0)</f>
        <v>0</v>
      </c>
      <c r="C800" s="621" t="str">
        <f>IFERROR(VLOOKUP(B800,اسماء,2,0),"")</f>
        <v/>
      </c>
      <c r="D800" s="624" t="str">
        <f>IFERROR(VLOOKUP($B800,اسماء,3,0),"")</f>
        <v/>
      </c>
      <c r="E800" s="132" t="s">
        <v>30</v>
      </c>
      <c r="F800" s="627">
        <f>IFERROR(VLOOKUP($B800,اسماء,5,0),0)</f>
        <v>0</v>
      </c>
      <c r="G800" s="606"/>
      <c r="H800" s="628">
        <f>IFERROR(VLOOKUP($B800,اسماء,6,0),0)</f>
        <v>0</v>
      </c>
      <c r="I800" s="605"/>
      <c r="J800" s="587">
        <f>IFERROR(VLOOKUP($B800,اسماء,7,0),0)</f>
        <v>0</v>
      </c>
      <c r="K800" s="591"/>
      <c r="L800" s="587">
        <f>IFERROR(VLOOKUP($B800,اسماء,8,0),0)</f>
        <v>0</v>
      </c>
      <c r="M800" s="588"/>
      <c r="N800" s="587">
        <f>IFERROR(VLOOKUP($B800,اسماء,9,0),0)</f>
        <v>0</v>
      </c>
      <c r="O800" s="605"/>
      <c r="P800" s="587">
        <f>IFERROR(VLOOKUP($B800,اسماء,10,0),0)</f>
        <v>0</v>
      </c>
      <c r="Q800" s="605"/>
      <c r="R800" s="606">
        <f>IFERROR(VLOOKUP($B800,اسماء,11,0),0)</f>
        <v>0</v>
      </c>
      <c r="S800" s="591"/>
      <c r="T800" s="587">
        <f>IFERROR(VLOOKUP($B800,اسماء,12,0),0)</f>
        <v>0</v>
      </c>
      <c r="U800" s="588"/>
      <c r="V800" s="375">
        <f t="shared" ref="V800:V802" si="2427">SUM(F800:U800)</f>
        <v>0</v>
      </c>
      <c r="W800" s="376">
        <f>IFERROR(VLOOKUP($B800,اسماء,14,0),0)</f>
        <v>0</v>
      </c>
      <c r="X800" s="377">
        <f>IFERROR(VLOOKUP($B800,اسماء,15,0),0)</f>
        <v>0</v>
      </c>
      <c r="Y800" s="595" t="str">
        <f t="shared" ref="Y800" si="2428">IF(AC800="غائب","راسب",IF(AND(F803&gt;=$G$8,H803&gt;=$I$8,J803&gt;=$K$8,L803&gt;=$M$8,N803&gt;=$O$8,P803&gt;=$Q$8,R803&gt;=$S$8,T803&gt;=$U$8),"ناجح","له دور ثان"))</f>
        <v>له دور ثان</v>
      </c>
      <c r="Z800" s="21" t="str">
        <f>LOOKUP(V800,$AF$6:$AG$10)</f>
        <v>ضعيف</v>
      </c>
      <c r="AA800" s="656">
        <f>V803/$AF$3</f>
        <v>0</v>
      </c>
      <c r="AB800" s="10"/>
      <c r="AC800" s="653" t="str">
        <f>IFERROR(VLOOKUP($B800,اسماء,54,0),"")</f>
        <v/>
      </c>
      <c r="AN800" s="607" t="str">
        <f t="shared" ref="AN800" si="2429">IF(V803=0,"",V803/1+ROW()*0.00001)</f>
        <v/>
      </c>
      <c r="AO800" s="607">
        <f>B800</f>
        <v>0</v>
      </c>
      <c r="AP800" s="613"/>
      <c r="AQ800" s="612">
        <v>173</v>
      </c>
      <c r="AR800" s="611" t="str">
        <f>IFERROR(LARGE($AN$10:$AN$1006,AQ800),"")</f>
        <v/>
      </c>
      <c r="AS800" s="612" t="str">
        <f>VLOOKUP(AR800,$AN$10:$AO$1116,2,0)</f>
        <v>أحمد نورالدين أحمد الذيب</v>
      </c>
    </row>
    <row r="801" spans="1:45" ht="15" customHeight="1" x14ac:dyDescent="0.25">
      <c r="A801" s="633"/>
      <c r="B801" s="630"/>
      <c r="C801" s="622"/>
      <c r="D801" s="625"/>
      <c r="E801" s="133" t="s">
        <v>31</v>
      </c>
      <c r="F801" s="589">
        <f>IFERROR(VLOOKUP($B800,اسماء,18,0),0)</f>
        <v>0</v>
      </c>
      <c r="G801" s="592"/>
      <c r="H801" s="608">
        <f>IFERROR(VLOOKUP($B800,اسماء,19,0),0)</f>
        <v>0</v>
      </c>
      <c r="I801" s="609"/>
      <c r="J801" s="589">
        <f>IFERROR(VLOOKUP($B800,اسماء,20,0),0)</f>
        <v>0</v>
      </c>
      <c r="K801" s="592"/>
      <c r="L801" s="589">
        <f>IFERROR(VLOOKUP($B800,اسماء,21,0),0)</f>
        <v>0</v>
      </c>
      <c r="M801" s="590"/>
      <c r="N801" s="589">
        <f>IFERROR(VLOOKUP($B800,اسماء,22,0),0)</f>
        <v>0</v>
      </c>
      <c r="O801" s="590"/>
      <c r="P801" s="589">
        <f>IFERROR(VLOOKUP($B800,اسماء,23,0),0)</f>
        <v>0</v>
      </c>
      <c r="Q801" s="609"/>
      <c r="R801" s="603">
        <f>IFERROR(VLOOKUP($B800,اسماء,24,0),0)</f>
        <v>0</v>
      </c>
      <c r="S801" s="592"/>
      <c r="T801" s="589">
        <f>IFERROR(VLOOKUP($B800,اسماء,25,0),0)</f>
        <v>0</v>
      </c>
      <c r="U801" s="590"/>
      <c r="V801" s="378">
        <f t="shared" si="2427"/>
        <v>0</v>
      </c>
      <c r="W801" s="374">
        <f>IFERROR(VLOOKUP($B800,اسماء,27,0),0)</f>
        <v>0</v>
      </c>
      <c r="X801" s="379">
        <f>IFERROR(VLOOKUP($B800,اسماء,28,0),0)</f>
        <v>0</v>
      </c>
      <c r="Y801" s="596"/>
      <c r="Z801" s="22" t="str">
        <f>LOOKUP(V801,$AF$6:$AG$10)</f>
        <v>ضعيف</v>
      </c>
      <c r="AA801" s="657"/>
      <c r="AB801" s="72"/>
      <c r="AC801" s="654"/>
      <c r="AN801" s="607"/>
      <c r="AO801" s="607"/>
      <c r="AP801" s="613"/>
      <c r="AQ801" s="612"/>
      <c r="AR801" s="611"/>
      <c r="AS801" s="612"/>
    </row>
    <row r="802" spans="1:45" ht="15" customHeight="1" x14ac:dyDescent="0.25">
      <c r="A802" s="633"/>
      <c r="B802" s="630"/>
      <c r="C802" s="622"/>
      <c r="D802" s="625"/>
      <c r="E802" s="133" t="s">
        <v>32</v>
      </c>
      <c r="F802" s="589">
        <f>IFERROR(VLOOKUP($B800,اسماء,31,0),0)</f>
        <v>0</v>
      </c>
      <c r="G802" s="592"/>
      <c r="H802" s="608">
        <f>IFERROR(VLOOKUP($B800,اسماء,32,0),0)</f>
        <v>0</v>
      </c>
      <c r="I802" s="609"/>
      <c r="J802" s="589">
        <f>IFERROR(VLOOKUP($B800,اسماء,33,0),0)</f>
        <v>0</v>
      </c>
      <c r="K802" s="592"/>
      <c r="L802" s="589">
        <f>IFERROR(VLOOKUP($B800,اسماء,34,0),0)</f>
        <v>0</v>
      </c>
      <c r="M802" s="590"/>
      <c r="N802" s="589">
        <f>IFERROR(VLOOKUP($B800,اسماء,35,0),0)</f>
        <v>0</v>
      </c>
      <c r="O802" s="590"/>
      <c r="P802" s="589">
        <f>IFERROR(VLOOKUP($B800,اسماء,36,0),0)</f>
        <v>0</v>
      </c>
      <c r="Q802" s="609"/>
      <c r="R802" s="603">
        <f>IFERROR(VLOOKUP($B800,اسماء,37,0),0)</f>
        <v>0</v>
      </c>
      <c r="S802" s="592"/>
      <c r="T802" s="589">
        <f>IFERROR(VLOOKUP($B800,اسماء,38,0),0)</f>
        <v>0</v>
      </c>
      <c r="U802" s="590"/>
      <c r="V802" s="378">
        <f t="shared" si="2427"/>
        <v>0</v>
      </c>
      <c r="W802" s="374">
        <f>IFERROR(VLOOKUP($B800,اسماء,40,0),0)</f>
        <v>0</v>
      </c>
      <c r="X802" s="379">
        <f>IFERROR(VLOOKUP($B800,اسماء,41,0),0)</f>
        <v>0</v>
      </c>
      <c r="Y802" s="596"/>
      <c r="Z802" s="22" t="str">
        <f>LOOKUP(V802,$AI$6:$AJ$10)</f>
        <v>ضعيف</v>
      </c>
      <c r="AA802" s="657"/>
      <c r="AB802" s="72"/>
      <c r="AC802" s="654"/>
      <c r="AN802" s="607"/>
      <c r="AO802" s="607"/>
      <c r="AP802" s="613"/>
      <c r="AQ802" s="612"/>
      <c r="AR802" s="611"/>
      <c r="AS802" s="612"/>
    </row>
    <row r="803" spans="1:45" ht="15" customHeight="1" thickBot="1" x14ac:dyDescent="0.3">
      <c r="A803" s="634"/>
      <c r="B803" s="631"/>
      <c r="C803" s="623"/>
      <c r="D803" s="626"/>
      <c r="E803" s="127" t="s">
        <v>33</v>
      </c>
      <c r="F803" s="585">
        <f t="shared" ref="F803" si="2430">SUM(F800:G802)</f>
        <v>0</v>
      </c>
      <c r="G803" s="593"/>
      <c r="H803" s="604">
        <f t="shared" ref="H803" si="2431">SUM(H800:I802)</f>
        <v>0</v>
      </c>
      <c r="I803" s="601"/>
      <c r="J803" s="585">
        <f t="shared" ref="J803" si="2432">SUM(J800:K802)</f>
        <v>0</v>
      </c>
      <c r="K803" s="593"/>
      <c r="L803" s="585">
        <f t="shared" ref="L803" si="2433">SUM(L800:M802)</f>
        <v>0</v>
      </c>
      <c r="M803" s="586"/>
      <c r="N803" s="585">
        <f t="shared" ref="N803" si="2434">SUM(N800:O802)</f>
        <v>0</v>
      </c>
      <c r="O803" s="586"/>
      <c r="P803" s="585">
        <f t="shared" ref="P803" si="2435">SUM(P800:Q802)</f>
        <v>0</v>
      </c>
      <c r="Q803" s="601"/>
      <c r="R803" s="602">
        <f t="shared" ref="R803" si="2436">SUM(R800:S802)</f>
        <v>0</v>
      </c>
      <c r="S803" s="593"/>
      <c r="T803" s="585">
        <f t="shared" ref="T803" si="2437">SUM(T800:U802)</f>
        <v>0</v>
      </c>
      <c r="U803" s="586"/>
      <c r="V803" s="96">
        <f t="shared" ref="V803" si="2438">IF(AND(F803&gt;=$G$8,H803&gt;=$I$8,L803&gt;=$M$8,P803&gt;=$Q$8,R803&gt;=$S$8,T803&gt;=$U$8),SUM(F803:U803),0)</f>
        <v>0</v>
      </c>
      <c r="W803" s="380"/>
      <c r="X803" s="97"/>
      <c r="Y803" s="597"/>
      <c r="Z803" s="91" t="str">
        <f>LOOKUP(V803,$AL$6:$AM$10)</f>
        <v>ضعيف</v>
      </c>
      <c r="AA803" s="658"/>
      <c r="AB803" s="10"/>
      <c r="AC803" s="655"/>
      <c r="AN803" s="607"/>
      <c r="AO803" s="607"/>
      <c r="AP803" s="613"/>
      <c r="AQ803" s="612"/>
      <c r="AR803" s="611"/>
      <c r="AS803" s="612"/>
    </row>
    <row r="804" spans="1:45" ht="15" customHeight="1" x14ac:dyDescent="0.25">
      <c r="A804" s="632">
        <v>174</v>
      </c>
      <c r="B804" s="629">
        <f>VLOOKUP(A804,مسلسل,2,0)</f>
        <v>0</v>
      </c>
      <c r="C804" s="621" t="str">
        <f>IFERROR(VLOOKUP(B804,اسماء,2,0),"")</f>
        <v/>
      </c>
      <c r="D804" s="624" t="str">
        <f>IFERROR(VLOOKUP($B804,اسماء,3,0),"")</f>
        <v/>
      </c>
      <c r="E804" s="132" t="s">
        <v>30</v>
      </c>
      <c r="F804" s="627">
        <f>IFERROR(VLOOKUP($B804,اسماء,5,0),0)</f>
        <v>0</v>
      </c>
      <c r="G804" s="606"/>
      <c r="H804" s="628">
        <f>IFERROR(VLOOKUP($B804,اسماء,6,0),0)</f>
        <v>0</v>
      </c>
      <c r="I804" s="605"/>
      <c r="J804" s="587">
        <f>IFERROR(VLOOKUP($B804,اسماء,7,0),0)</f>
        <v>0</v>
      </c>
      <c r="K804" s="591"/>
      <c r="L804" s="587">
        <f>IFERROR(VLOOKUP($B804,اسماء,8,0),0)</f>
        <v>0</v>
      </c>
      <c r="M804" s="588"/>
      <c r="N804" s="587">
        <f>IFERROR(VLOOKUP($B804,اسماء,9,0),0)</f>
        <v>0</v>
      </c>
      <c r="O804" s="605"/>
      <c r="P804" s="587">
        <f>IFERROR(VLOOKUP($B804,اسماء,10,0),0)</f>
        <v>0</v>
      </c>
      <c r="Q804" s="605"/>
      <c r="R804" s="606">
        <f>IFERROR(VLOOKUP($B804,اسماء,11,0),0)</f>
        <v>0</v>
      </c>
      <c r="S804" s="591"/>
      <c r="T804" s="587">
        <f>IFERROR(VLOOKUP($B804,اسماء,12,0),0)</f>
        <v>0</v>
      </c>
      <c r="U804" s="588"/>
      <c r="V804" s="375">
        <f t="shared" ref="V804:V806" si="2439">SUM(F804:U804)</f>
        <v>0</v>
      </c>
      <c r="W804" s="376">
        <f>IFERROR(VLOOKUP($B804,اسماء,14,0),0)</f>
        <v>0</v>
      </c>
      <c r="X804" s="377">
        <f>IFERROR(VLOOKUP($B804,اسماء,15,0),0)</f>
        <v>0</v>
      </c>
      <c r="Y804" s="595" t="str">
        <f t="shared" ref="Y804" si="2440">IF(AC804="غائب","راسب",IF(AND(F807&gt;=$G$8,H807&gt;=$I$8,J807&gt;=$K$8,L807&gt;=$M$8,N807&gt;=$O$8,P807&gt;=$Q$8,R807&gt;=$S$8,T807&gt;=$U$8),"ناجح","له دور ثان"))</f>
        <v>له دور ثان</v>
      </c>
      <c r="Z804" s="21" t="str">
        <f>LOOKUP(V804,$AF$6:$AG$10)</f>
        <v>ضعيف</v>
      </c>
      <c r="AA804" s="656">
        <f>V807/$AF$3</f>
        <v>0</v>
      </c>
      <c r="AB804" s="72"/>
      <c r="AC804" s="653" t="str">
        <f>IFERROR(VLOOKUP($B804,اسماء,54,0),"")</f>
        <v/>
      </c>
      <c r="AN804" s="607" t="str">
        <f t="shared" ref="AN804" si="2441">IF(V807=0,"",V807/1+ROW()*0.00001)</f>
        <v/>
      </c>
      <c r="AO804" s="607">
        <f>B804</f>
        <v>0</v>
      </c>
      <c r="AP804" s="613"/>
      <c r="AQ804" s="612">
        <v>174</v>
      </c>
      <c r="AR804" s="611" t="str">
        <f>IFERROR(LARGE($AN$10:$AN$1006,AQ804),"")</f>
        <v/>
      </c>
      <c r="AS804" s="612" t="str">
        <f>VLOOKUP(AR804,$AN$10:$AO$1116,2,0)</f>
        <v>أحمد نورالدين أحمد الذيب</v>
      </c>
    </row>
    <row r="805" spans="1:45" ht="15" customHeight="1" x14ac:dyDescent="0.25">
      <c r="A805" s="633"/>
      <c r="B805" s="630"/>
      <c r="C805" s="622"/>
      <c r="D805" s="625"/>
      <c r="E805" s="133" t="s">
        <v>31</v>
      </c>
      <c r="F805" s="589">
        <f>IFERROR(VLOOKUP($B804,اسماء,18,0),0)</f>
        <v>0</v>
      </c>
      <c r="G805" s="592"/>
      <c r="H805" s="608">
        <f>IFERROR(VLOOKUP($B804,اسماء,19,0),0)</f>
        <v>0</v>
      </c>
      <c r="I805" s="609"/>
      <c r="J805" s="589">
        <f>IFERROR(VLOOKUP($B804,اسماء,20,0),0)</f>
        <v>0</v>
      </c>
      <c r="K805" s="592"/>
      <c r="L805" s="589">
        <f>IFERROR(VLOOKUP($B804,اسماء,21,0),0)</f>
        <v>0</v>
      </c>
      <c r="M805" s="590"/>
      <c r="N805" s="589">
        <f>IFERROR(VLOOKUP($B804,اسماء,22,0),0)</f>
        <v>0</v>
      </c>
      <c r="O805" s="590"/>
      <c r="P805" s="589">
        <f>IFERROR(VLOOKUP($B804,اسماء,23,0),0)</f>
        <v>0</v>
      </c>
      <c r="Q805" s="609"/>
      <c r="R805" s="603">
        <f>IFERROR(VLOOKUP($B804,اسماء,24,0),0)</f>
        <v>0</v>
      </c>
      <c r="S805" s="592"/>
      <c r="T805" s="589">
        <f>IFERROR(VLOOKUP($B804,اسماء,25,0),0)</f>
        <v>0</v>
      </c>
      <c r="U805" s="590"/>
      <c r="V805" s="378">
        <f t="shared" si="2439"/>
        <v>0</v>
      </c>
      <c r="W805" s="374">
        <f>IFERROR(VLOOKUP($B804,اسماء,27,0),0)</f>
        <v>0</v>
      </c>
      <c r="X805" s="379">
        <f>IFERROR(VLOOKUP($B804,اسماء,28,0),0)</f>
        <v>0</v>
      </c>
      <c r="Y805" s="596"/>
      <c r="Z805" s="22" t="str">
        <f>LOOKUP(V805,$AF$6:$AG$10)</f>
        <v>ضعيف</v>
      </c>
      <c r="AA805" s="657"/>
      <c r="AB805" s="72"/>
      <c r="AC805" s="654"/>
      <c r="AN805" s="607"/>
      <c r="AO805" s="607"/>
      <c r="AP805" s="613"/>
      <c r="AQ805" s="612"/>
      <c r="AR805" s="611"/>
      <c r="AS805" s="612"/>
    </row>
    <row r="806" spans="1:45" ht="15" customHeight="1" x14ac:dyDescent="0.25">
      <c r="A806" s="633"/>
      <c r="B806" s="630"/>
      <c r="C806" s="622"/>
      <c r="D806" s="625"/>
      <c r="E806" s="133" t="s">
        <v>32</v>
      </c>
      <c r="F806" s="589">
        <f>IFERROR(VLOOKUP($B804,اسماء,31,0),0)</f>
        <v>0</v>
      </c>
      <c r="G806" s="592"/>
      <c r="H806" s="608">
        <f>IFERROR(VLOOKUP($B804,اسماء,32,0),0)</f>
        <v>0</v>
      </c>
      <c r="I806" s="609"/>
      <c r="J806" s="589">
        <f>IFERROR(VLOOKUP($B804,اسماء,33,0),0)</f>
        <v>0</v>
      </c>
      <c r="K806" s="592"/>
      <c r="L806" s="589">
        <f>IFERROR(VLOOKUP($B804,اسماء,34,0),0)</f>
        <v>0</v>
      </c>
      <c r="M806" s="590"/>
      <c r="N806" s="589">
        <f>IFERROR(VLOOKUP($B804,اسماء,35,0),0)</f>
        <v>0</v>
      </c>
      <c r="O806" s="590"/>
      <c r="P806" s="589">
        <f>IFERROR(VLOOKUP($B804,اسماء,36,0),0)</f>
        <v>0</v>
      </c>
      <c r="Q806" s="609"/>
      <c r="R806" s="603">
        <f>IFERROR(VLOOKUP($B804,اسماء,37,0),0)</f>
        <v>0</v>
      </c>
      <c r="S806" s="592"/>
      <c r="T806" s="589">
        <f>IFERROR(VLOOKUP($B804,اسماء,38,0),0)</f>
        <v>0</v>
      </c>
      <c r="U806" s="590"/>
      <c r="V806" s="378">
        <f t="shared" si="2439"/>
        <v>0</v>
      </c>
      <c r="W806" s="374">
        <f>IFERROR(VLOOKUP($B804,اسماء,40,0),0)</f>
        <v>0</v>
      </c>
      <c r="X806" s="379">
        <f>IFERROR(VLOOKUP($B804,اسماء,41,0),0)</f>
        <v>0</v>
      </c>
      <c r="Y806" s="596"/>
      <c r="Z806" s="22" t="str">
        <f>LOOKUP(V806,$AI$6:$AJ$10)</f>
        <v>ضعيف</v>
      </c>
      <c r="AA806" s="657"/>
      <c r="AB806" s="10"/>
      <c r="AC806" s="654"/>
      <c r="AN806" s="607"/>
      <c r="AO806" s="607"/>
      <c r="AP806" s="613"/>
      <c r="AQ806" s="612"/>
      <c r="AR806" s="611"/>
      <c r="AS806" s="612"/>
    </row>
    <row r="807" spans="1:45" ht="15" customHeight="1" thickBot="1" x14ac:dyDescent="0.3">
      <c r="A807" s="634"/>
      <c r="B807" s="631"/>
      <c r="C807" s="623"/>
      <c r="D807" s="626"/>
      <c r="E807" s="127" t="s">
        <v>33</v>
      </c>
      <c r="F807" s="585">
        <f t="shared" ref="F807" si="2442">SUM(F804:G806)</f>
        <v>0</v>
      </c>
      <c r="G807" s="593"/>
      <c r="H807" s="604">
        <f t="shared" ref="H807" si="2443">SUM(H804:I806)</f>
        <v>0</v>
      </c>
      <c r="I807" s="601"/>
      <c r="J807" s="585">
        <f t="shared" ref="J807" si="2444">SUM(J804:K806)</f>
        <v>0</v>
      </c>
      <c r="K807" s="593"/>
      <c r="L807" s="585">
        <f t="shared" ref="L807" si="2445">SUM(L804:M806)</f>
        <v>0</v>
      </c>
      <c r="M807" s="586"/>
      <c r="N807" s="585">
        <f t="shared" ref="N807" si="2446">SUM(N804:O806)</f>
        <v>0</v>
      </c>
      <c r="O807" s="586"/>
      <c r="P807" s="585">
        <f t="shared" ref="P807" si="2447">SUM(P804:Q806)</f>
        <v>0</v>
      </c>
      <c r="Q807" s="601"/>
      <c r="R807" s="602">
        <f t="shared" ref="R807" si="2448">SUM(R804:S806)</f>
        <v>0</v>
      </c>
      <c r="S807" s="593"/>
      <c r="T807" s="585">
        <f t="shared" ref="T807" si="2449">SUM(T804:U806)</f>
        <v>0</v>
      </c>
      <c r="U807" s="586"/>
      <c r="V807" s="96">
        <f t="shared" ref="V807" si="2450">IF(AND(F807&gt;=$G$8,H807&gt;=$I$8,L807&gt;=$M$8,P807&gt;=$Q$8,R807&gt;=$S$8,T807&gt;=$U$8),SUM(F807:U807),0)</f>
        <v>0</v>
      </c>
      <c r="W807" s="380"/>
      <c r="X807" s="97"/>
      <c r="Y807" s="597"/>
      <c r="Z807" s="91" t="str">
        <f>LOOKUP(V807,$AL$6:$AM$10)</f>
        <v>ضعيف</v>
      </c>
      <c r="AA807" s="658"/>
      <c r="AB807" s="72"/>
      <c r="AC807" s="655"/>
      <c r="AN807" s="607"/>
      <c r="AO807" s="607"/>
      <c r="AP807" s="613"/>
      <c r="AQ807" s="612"/>
      <c r="AR807" s="611"/>
      <c r="AS807" s="612"/>
    </row>
    <row r="808" spans="1:45" ht="15" customHeight="1" x14ac:dyDescent="0.25">
      <c r="A808" s="632">
        <v>175</v>
      </c>
      <c r="B808" s="629">
        <f>VLOOKUP(A808,مسلسل,2,0)</f>
        <v>0</v>
      </c>
      <c r="C808" s="621" t="str">
        <f>IFERROR(VLOOKUP(B808,اسماء,2,0),"")</f>
        <v/>
      </c>
      <c r="D808" s="624" t="str">
        <f>IFERROR(VLOOKUP($B808,اسماء,3,0),"")</f>
        <v/>
      </c>
      <c r="E808" s="132" t="s">
        <v>30</v>
      </c>
      <c r="F808" s="627">
        <f>IFERROR(VLOOKUP($B808,اسماء,5,0),0)</f>
        <v>0</v>
      </c>
      <c r="G808" s="606"/>
      <c r="H808" s="628">
        <f>IFERROR(VLOOKUP($B808,اسماء,6,0),0)</f>
        <v>0</v>
      </c>
      <c r="I808" s="605"/>
      <c r="J808" s="587">
        <f>IFERROR(VLOOKUP($B808,اسماء,7,0),0)</f>
        <v>0</v>
      </c>
      <c r="K808" s="591"/>
      <c r="L808" s="587">
        <f>IFERROR(VLOOKUP($B808,اسماء,8,0),0)</f>
        <v>0</v>
      </c>
      <c r="M808" s="588"/>
      <c r="N808" s="587">
        <f>IFERROR(VLOOKUP($B808,اسماء,9,0),0)</f>
        <v>0</v>
      </c>
      <c r="O808" s="605"/>
      <c r="P808" s="587">
        <f>IFERROR(VLOOKUP($B808,اسماء,10,0),0)</f>
        <v>0</v>
      </c>
      <c r="Q808" s="605"/>
      <c r="R808" s="606">
        <f>IFERROR(VLOOKUP($B808,اسماء,11,0),0)</f>
        <v>0</v>
      </c>
      <c r="S808" s="591"/>
      <c r="T808" s="587">
        <f>IFERROR(VLOOKUP($B808,اسماء,12,0),0)</f>
        <v>0</v>
      </c>
      <c r="U808" s="588"/>
      <c r="V808" s="375">
        <f t="shared" ref="V808:V810" si="2451">SUM(F808:U808)</f>
        <v>0</v>
      </c>
      <c r="W808" s="376">
        <f>IFERROR(VLOOKUP($B808,اسماء,14,0),0)</f>
        <v>0</v>
      </c>
      <c r="X808" s="377">
        <f>IFERROR(VLOOKUP($B808,اسماء,15,0),0)</f>
        <v>0</v>
      </c>
      <c r="Y808" s="595" t="str">
        <f t="shared" ref="Y808" si="2452">IF(AC808="غائب","راسب",IF(AND(F811&gt;=$G$8,H811&gt;=$I$8,J811&gt;=$K$8,L811&gt;=$M$8,N811&gt;=$O$8,P811&gt;=$Q$8,R811&gt;=$S$8,T811&gt;=$U$8),"ناجح","له دور ثان"))</f>
        <v>له دور ثان</v>
      </c>
      <c r="Z808" s="21" t="str">
        <f t="shared" ref="Z808:Z809" si="2453">LOOKUP(V808,$AF$6:$AG$10)</f>
        <v>ضعيف</v>
      </c>
      <c r="AA808" s="656">
        <f t="shared" ref="AA808" si="2454">V811/$AF$3</f>
        <v>0</v>
      </c>
      <c r="AB808" s="72"/>
      <c r="AC808" s="653" t="str">
        <f>IFERROR(VLOOKUP($B808,اسماء,54,0),"")</f>
        <v/>
      </c>
      <c r="AN808" s="607" t="str">
        <f t="shared" ref="AN808" si="2455">IF(V811=0,"",V811/1+ROW()*0.00001)</f>
        <v/>
      </c>
      <c r="AO808" s="607">
        <f>B808</f>
        <v>0</v>
      </c>
      <c r="AP808" s="613"/>
      <c r="AQ808" s="612">
        <v>175</v>
      </c>
      <c r="AR808" s="611" t="str">
        <f>IFERROR(LARGE($AN$10:$AN$1006,AQ808),"")</f>
        <v/>
      </c>
      <c r="AS808" s="612" t="str">
        <f>VLOOKUP(AR808,$AN$10:$AO$1116,2,0)</f>
        <v>أحمد نورالدين أحمد الذيب</v>
      </c>
    </row>
    <row r="809" spans="1:45" ht="15" customHeight="1" x14ac:dyDescent="0.25">
      <c r="A809" s="633"/>
      <c r="B809" s="630"/>
      <c r="C809" s="622"/>
      <c r="D809" s="625"/>
      <c r="E809" s="133" t="s">
        <v>31</v>
      </c>
      <c r="F809" s="589">
        <f>IFERROR(VLOOKUP($B808,اسماء,18,0),0)</f>
        <v>0</v>
      </c>
      <c r="G809" s="592"/>
      <c r="H809" s="608">
        <f>IFERROR(VLOOKUP($B808,اسماء,19,0),0)</f>
        <v>0</v>
      </c>
      <c r="I809" s="609"/>
      <c r="J809" s="589">
        <f>IFERROR(VLOOKUP($B808,اسماء,20,0),0)</f>
        <v>0</v>
      </c>
      <c r="K809" s="592"/>
      <c r="L809" s="589">
        <f>IFERROR(VLOOKUP($B808,اسماء,21,0),0)</f>
        <v>0</v>
      </c>
      <c r="M809" s="590"/>
      <c r="N809" s="589">
        <f>IFERROR(VLOOKUP($B808,اسماء,22,0),0)</f>
        <v>0</v>
      </c>
      <c r="O809" s="590"/>
      <c r="P809" s="589">
        <f>IFERROR(VLOOKUP($B808,اسماء,23,0),0)</f>
        <v>0</v>
      </c>
      <c r="Q809" s="609"/>
      <c r="R809" s="603">
        <f>IFERROR(VLOOKUP($B808,اسماء,24,0),0)</f>
        <v>0</v>
      </c>
      <c r="S809" s="592"/>
      <c r="T809" s="589">
        <f>IFERROR(VLOOKUP($B808,اسماء,25,0),0)</f>
        <v>0</v>
      </c>
      <c r="U809" s="590"/>
      <c r="V809" s="378">
        <f t="shared" si="2451"/>
        <v>0</v>
      </c>
      <c r="W809" s="374">
        <f>IFERROR(VLOOKUP($B808,اسماء,27,0),0)</f>
        <v>0</v>
      </c>
      <c r="X809" s="379">
        <f>IFERROR(VLOOKUP($B808,اسماء,28,0),0)</f>
        <v>0</v>
      </c>
      <c r="Y809" s="596"/>
      <c r="Z809" s="22" t="str">
        <f t="shared" si="2453"/>
        <v>ضعيف</v>
      </c>
      <c r="AA809" s="657"/>
      <c r="AB809" s="10"/>
      <c r="AC809" s="654"/>
      <c r="AN809" s="607"/>
      <c r="AO809" s="607"/>
      <c r="AP809" s="613"/>
      <c r="AQ809" s="612"/>
      <c r="AR809" s="611"/>
      <c r="AS809" s="612"/>
    </row>
    <row r="810" spans="1:45" ht="15" customHeight="1" x14ac:dyDescent="0.25">
      <c r="A810" s="633"/>
      <c r="B810" s="630"/>
      <c r="C810" s="622"/>
      <c r="D810" s="625"/>
      <c r="E810" s="133" t="s">
        <v>32</v>
      </c>
      <c r="F810" s="589">
        <f>IFERROR(VLOOKUP($B808,اسماء,31,0),0)</f>
        <v>0</v>
      </c>
      <c r="G810" s="592"/>
      <c r="H810" s="608">
        <f>IFERROR(VLOOKUP($B808,اسماء,32,0),0)</f>
        <v>0</v>
      </c>
      <c r="I810" s="609"/>
      <c r="J810" s="589">
        <f>IFERROR(VLOOKUP($B808,اسماء,33,0),0)</f>
        <v>0</v>
      </c>
      <c r="K810" s="592"/>
      <c r="L810" s="589">
        <f>IFERROR(VLOOKUP($B808,اسماء,34,0),0)</f>
        <v>0</v>
      </c>
      <c r="M810" s="590"/>
      <c r="N810" s="589">
        <f>IFERROR(VLOOKUP($B808,اسماء,35,0),0)</f>
        <v>0</v>
      </c>
      <c r="O810" s="590"/>
      <c r="P810" s="589">
        <f>IFERROR(VLOOKUP($B808,اسماء,36,0),0)</f>
        <v>0</v>
      </c>
      <c r="Q810" s="609"/>
      <c r="R810" s="603">
        <f>IFERROR(VLOOKUP($B808,اسماء,37,0),0)</f>
        <v>0</v>
      </c>
      <c r="S810" s="592"/>
      <c r="T810" s="589">
        <f>IFERROR(VLOOKUP($B808,اسماء,38,0),0)</f>
        <v>0</v>
      </c>
      <c r="U810" s="590"/>
      <c r="V810" s="378">
        <f t="shared" si="2451"/>
        <v>0</v>
      </c>
      <c r="W810" s="374">
        <f>IFERROR(VLOOKUP($B808,اسماء,40,0),0)</f>
        <v>0</v>
      </c>
      <c r="X810" s="379">
        <f>IFERROR(VLOOKUP($B808,اسماء,41,0),0)</f>
        <v>0</v>
      </c>
      <c r="Y810" s="596"/>
      <c r="Z810" s="22" t="str">
        <f t="shared" ref="Z810" si="2456">LOOKUP(V810,$AI$6:$AJ$10)</f>
        <v>ضعيف</v>
      </c>
      <c r="AA810" s="657"/>
      <c r="AB810" s="72"/>
      <c r="AC810" s="654"/>
      <c r="AN810" s="607"/>
      <c r="AO810" s="607"/>
      <c r="AP810" s="613"/>
      <c r="AQ810" s="612"/>
      <c r="AR810" s="611"/>
      <c r="AS810" s="612"/>
    </row>
    <row r="811" spans="1:45" ht="15" customHeight="1" thickBot="1" x14ac:dyDescent="0.3">
      <c r="A811" s="634"/>
      <c r="B811" s="631"/>
      <c r="C811" s="623"/>
      <c r="D811" s="626"/>
      <c r="E811" s="127" t="s">
        <v>33</v>
      </c>
      <c r="F811" s="585">
        <f t="shared" ref="F811" si="2457">SUM(F808:G810)</f>
        <v>0</v>
      </c>
      <c r="G811" s="593"/>
      <c r="H811" s="604">
        <f t="shared" ref="H811" si="2458">SUM(H808:I810)</f>
        <v>0</v>
      </c>
      <c r="I811" s="601"/>
      <c r="J811" s="585">
        <f t="shared" ref="J811" si="2459">SUM(J808:K810)</f>
        <v>0</v>
      </c>
      <c r="K811" s="593"/>
      <c r="L811" s="585">
        <f t="shared" ref="L811" si="2460">SUM(L808:M810)</f>
        <v>0</v>
      </c>
      <c r="M811" s="586"/>
      <c r="N811" s="585">
        <f t="shared" ref="N811" si="2461">SUM(N808:O810)</f>
        <v>0</v>
      </c>
      <c r="O811" s="586"/>
      <c r="P811" s="585">
        <f t="shared" ref="P811" si="2462">SUM(P808:Q810)</f>
        <v>0</v>
      </c>
      <c r="Q811" s="601"/>
      <c r="R811" s="602">
        <f t="shared" ref="R811" si="2463">SUM(R808:S810)</f>
        <v>0</v>
      </c>
      <c r="S811" s="593"/>
      <c r="T811" s="585">
        <f t="shared" ref="T811" si="2464">SUM(T808:U810)</f>
        <v>0</v>
      </c>
      <c r="U811" s="586"/>
      <c r="V811" s="96">
        <f t="shared" ref="V811" si="2465">IF(AND(F811&gt;=$G$8,H811&gt;=$I$8,L811&gt;=$M$8,P811&gt;=$Q$8,R811&gt;=$S$8,T811&gt;=$U$8),SUM(F811:U811),0)</f>
        <v>0</v>
      </c>
      <c r="W811" s="380"/>
      <c r="X811" s="97"/>
      <c r="Y811" s="597"/>
      <c r="Z811" s="91" t="str">
        <f t="shared" ref="Z811" si="2466">LOOKUP(V811,$AL$6:$AM$10)</f>
        <v>ضعيف</v>
      </c>
      <c r="AA811" s="658"/>
      <c r="AB811" s="72"/>
      <c r="AC811" s="655"/>
      <c r="AN811" s="607"/>
      <c r="AO811" s="607"/>
      <c r="AP811" s="613"/>
      <c r="AQ811" s="612"/>
      <c r="AR811" s="611"/>
      <c r="AS811" s="612"/>
    </row>
    <row r="812" spans="1:45" ht="15" customHeight="1" x14ac:dyDescent="0.25">
      <c r="A812" s="632">
        <v>176</v>
      </c>
      <c r="B812" s="629">
        <f>VLOOKUP(A812,مسلسل,2,0)</f>
        <v>0</v>
      </c>
      <c r="C812" s="621" t="str">
        <f>IFERROR(VLOOKUP(B812,اسماء,2,0),"")</f>
        <v/>
      </c>
      <c r="D812" s="624" t="str">
        <f>IFERROR(VLOOKUP($B812,اسماء,3,0),"")</f>
        <v/>
      </c>
      <c r="E812" s="132" t="s">
        <v>30</v>
      </c>
      <c r="F812" s="627">
        <f>IFERROR(VLOOKUP($B812,اسماء,5,0),0)</f>
        <v>0</v>
      </c>
      <c r="G812" s="606"/>
      <c r="H812" s="628">
        <f>IFERROR(VLOOKUP($B812,اسماء,6,0),0)</f>
        <v>0</v>
      </c>
      <c r="I812" s="605"/>
      <c r="J812" s="587">
        <f>IFERROR(VLOOKUP($B812,اسماء,7,0),0)</f>
        <v>0</v>
      </c>
      <c r="K812" s="591"/>
      <c r="L812" s="587">
        <f>IFERROR(VLOOKUP($B812,اسماء,8,0),0)</f>
        <v>0</v>
      </c>
      <c r="M812" s="588"/>
      <c r="N812" s="587">
        <f>IFERROR(VLOOKUP($B812,اسماء,9,0),0)</f>
        <v>0</v>
      </c>
      <c r="O812" s="605"/>
      <c r="P812" s="587">
        <f>IFERROR(VLOOKUP($B812,اسماء,10,0),0)</f>
        <v>0</v>
      </c>
      <c r="Q812" s="605"/>
      <c r="R812" s="606">
        <f>IFERROR(VLOOKUP($B812,اسماء,11,0),0)</f>
        <v>0</v>
      </c>
      <c r="S812" s="591"/>
      <c r="T812" s="587">
        <f>IFERROR(VLOOKUP($B812,اسماء,12,0),0)</f>
        <v>0</v>
      </c>
      <c r="U812" s="588"/>
      <c r="V812" s="375">
        <f t="shared" ref="V812:V814" si="2467">SUM(F812:U812)</f>
        <v>0</v>
      </c>
      <c r="W812" s="376">
        <f>IFERROR(VLOOKUP($B812,اسماء,14,0),0)</f>
        <v>0</v>
      </c>
      <c r="X812" s="377">
        <f>IFERROR(VLOOKUP($B812,اسماء,15,0),0)</f>
        <v>0</v>
      </c>
      <c r="Y812" s="595" t="str">
        <f t="shared" ref="Y812" si="2468">IF(AC812="غائب","راسب",IF(AND(F815&gt;=$G$8,H815&gt;=$I$8,J815&gt;=$K$8,L815&gt;=$M$8,N815&gt;=$O$8,P815&gt;=$Q$8,R815&gt;=$S$8,T815&gt;=$U$8),"ناجح","له دور ثان"))</f>
        <v>له دور ثان</v>
      </c>
      <c r="Z812" s="21" t="str">
        <f t="shared" ref="Z812:Z813" si="2469">LOOKUP(V812,$AF$6:$AG$10)</f>
        <v>ضعيف</v>
      </c>
      <c r="AA812" s="656">
        <f t="shared" ref="AA812" si="2470">V815/$AF$3</f>
        <v>0</v>
      </c>
      <c r="AB812" s="10"/>
      <c r="AC812" s="653" t="str">
        <f>IFERROR(VLOOKUP($B812,اسماء,54,0),"")</f>
        <v/>
      </c>
      <c r="AN812" s="607" t="str">
        <f t="shared" ref="AN812" si="2471">IF(V815=0,"",V815/1+ROW()*0.00001)</f>
        <v/>
      </c>
      <c r="AO812" s="607">
        <f>B812</f>
        <v>0</v>
      </c>
      <c r="AP812" s="613"/>
      <c r="AQ812" s="612">
        <v>176</v>
      </c>
      <c r="AR812" s="611" t="str">
        <f>IFERROR(LARGE($AN$10:$AN$1006,AQ812),"")</f>
        <v/>
      </c>
      <c r="AS812" s="612" t="str">
        <f>VLOOKUP(AR812,$AN$10:$AO$1116,2,0)</f>
        <v>أحمد نورالدين أحمد الذيب</v>
      </c>
    </row>
    <row r="813" spans="1:45" ht="15" customHeight="1" x14ac:dyDescent="0.25">
      <c r="A813" s="633"/>
      <c r="B813" s="630"/>
      <c r="C813" s="622"/>
      <c r="D813" s="625"/>
      <c r="E813" s="133" t="s">
        <v>31</v>
      </c>
      <c r="F813" s="589">
        <f>IFERROR(VLOOKUP($B812,اسماء,18,0),0)</f>
        <v>0</v>
      </c>
      <c r="G813" s="592"/>
      <c r="H813" s="608">
        <f>IFERROR(VLOOKUP($B812,اسماء,19,0),0)</f>
        <v>0</v>
      </c>
      <c r="I813" s="609"/>
      <c r="J813" s="589">
        <f>IFERROR(VLOOKUP($B812,اسماء,20,0),0)</f>
        <v>0</v>
      </c>
      <c r="K813" s="592"/>
      <c r="L813" s="589">
        <f>IFERROR(VLOOKUP($B812,اسماء,21,0),0)</f>
        <v>0</v>
      </c>
      <c r="M813" s="590"/>
      <c r="N813" s="589">
        <f>IFERROR(VLOOKUP($B812,اسماء,22,0),0)</f>
        <v>0</v>
      </c>
      <c r="O813" s="590"/>
      <c r="P813" s="589">
        <f>IFERROR(VLOOKUP($B812,اسماء,23,0),0)</f>
        <v>0</v>
      </c>
      <c r="Q813" s="609"/>
      <c r="R813" s="603">
        <f>IFERROR(VLOOKUP($B812,اسماء,24,0),0)</f>
        <v>0</v>
      </c>
      <c r="S813" s="592"/>
      <c r="T813" s="589">
        <f>IFERROR(VLOOKUP($B812,اسماء,25,0),0)</f>
        <v>0</v>
      </c>
      <c r="U813" s="590"/>
      <c r="V813" s="378">
        <f t="shared" si="2467"/>
        <v>0</v>
      </c>
      <c r="W813" s="374">
        <f>IFERROR(VLOOKUP($B812,اسماء,27,0),0)</f>
        <v>0</v>
      </c>
      <c r="X813" s="379">
        <f>IFERROR(VLOOKUP($B812,اسماء,28,0),0)</f>
        <v>0</v>
      </c>
      <c r="Y813" s="596"/>
      <c r="Z813" s="22" t="str">
        <f t="shared" si="2469"/>
        <v>ضعيف</v>
      </c>
      <c r="AA813" s="657"/>
      <c r="AB813" s="72"/>
      <c r="AC813" s="654"/>
      <c r="AN813" s="607"/>
      <c r="AO813" s="607"/>
      <c r="AP813" s="613"/>
      <c r="AQ813" s="612"/>
      <c r="AR813" s="611"/>
      <c r="AS813" s="612"/>
    </row>
    <row r="814" spans="1:45" ht="15" customHeight="1" x14ac:dyDescent="0.25">
      <c r="A814" s="633"/>
      <c r="B814" s="630"/>
      <c r="C814" s="622"/>
      <c r="D814" s="625"/>
      <c r="E814" s="133" t="s">
        <v>32</v>
      </c>
      <c r="F814" s="589">
        <f>IFERROR(VLOOKUP($B812,اسماء,31,0),0)</f>
        <v>0</v>
      </c>
      <c r="G814" s="592"/>
      <c r="H814" s="608">
        <f>IFERROR(VLOOKUP($B812,اسماء,32,0),0)</f>
        <v>0</v>
      </c>
      <c r="I814" s="609"/>
      <c r="J814" s="589">
        <f>IFERROR(VLOOKUP($B812,اسماء,33,0),0)</f>
        <v>0</v>
      </c>
      <c r="K814" s="592"/>
      <c r="L814" s="589">
        <f>IFERROR(VLOOKUP($B812,اسماء,34,0),0)</f>
        <v>0</v>
      </c>
      <c r="M814" s="590"/>
      <c r="N814" s="589">
        <f>IFERROR(VLOOKUP($B812,اسماء,35,0),0)</f>
        <v>0</v>
      </c>
      <c r="O814" s="590"/>
      <c r="P814" s="589">
        <f>IFERROR(VLOOKUP($B812,اسماء,36,0),0)</f>
        <v>0</v>
      </c>
      <c r="Q814" s="609"/>
      <c r="R814" s="603">
        <f>IFERROR(VLOOKUP($B812,اسماء,37,0),0)</f>
        <v>0</v>
      </c>
      <c r="S814" s="592"/>
      <c r="T814" s="589">
        <f>IFERROR(VLOOKUP($B812,اسماء,38,0),0)</f>
        <v>0</v>
      </c>
      <c r="U814" s="590"/>
      <c r="V814" s="378">
        <f t="shared" si="2467"/>
        <v>0</v>
      </c>
      <c r="W814" s="374">
        <f>IFERROR(VLOOKUP($B812,اسماء,40,0),0)</f>
        <v>0</v>
      </c>
      <c r="X814" s="379">
        <f>IFERROR(VLOOKUP($B812,اسماء,41,0),0)</f>
        <v>0</v>
      </c>
      <c r="Y814" s="596"/>
      <c r="Z814" s="22" t="str">
        <f t="shared" ref="Z814" si="2472">LOOKUP(V814,$AI$6:$AJ$10)</f>
        <v>ضعيف</v>
      </c>
      <c r="AA814" s="657"/>
      <c r="AB814" s="72"/>
      <c r="AC814" s="654"/>
      <c r="AN814" s="607"/>
      <c r="AO814" s="607"/>
      <c r="AP814" s="613"/>
      <c r="AQ814" s="612"/>
      <c r="AR814" s="611"/>
      <c r="AS814" s="612"/>
    </row>
    <row r="815" spans="1:45" ht="15" customHeight="1" thickBot="1" x14ac:dyDescent="0.3">
      <c r="A815" s="634"/>
      <c r="B815" s="631"/>
      <c r="C815" s="623"/>
      <c r="D815" s="626"/>
      <c r="E815" s="127" t="s">
        <v>33</v>
      </c>
      <c r="F815" s="585">
        <f t="shared" ref="F815" si="2473">SUM(F812:G814)</f>
        <v>0</v>
      </c>
      <c r="G815" s="593"/>
      <c r="H815" s="604">
        <f t="shared" ref="H815" si="2474">SUM(H812:I814)</f>
        <v>0</v>
      </c>
      <c r="I815" s="601"/>
      <c r="J815" s="585">
        <f t="shared" ref="J815" si="2475">SUM(J812:K814)</f>
        <v>0</v>
      </c>
      <c r="K815" s="593"/>
      <c r="L815" s="585">
        <f t="shared" ref="L815" si="2476">SUM(L812:M814)</f>
        <v>0</v>
      </c>
      <c r="M815" s="586"/>
      <c r="N815" s="585">
        <f t="shared" ref="N815" si="2477">SUM(N812:O814)</f>
        <v>0</v>
      </c>
      <c r="O815" s="586"/>
      <c r="P815" s="585">
        <f t="shared" ref="P815" si="2478">SUM(P812:Q814)</f>
        <v>0</v>
      </c>
      <c r="Q815" s="601"/>
      <c r="R815" s="602">
        <f t="shared" ref="R815" si="2479">SUM(R812:S814)</f>
        <v>0</v>
      </c>
      <c r="S815" s="593"/>
      <c r="T815" s="585">
        <f t="shared" ref="T815" si="2480">SUM(T812:U814)</f>
        <v>0</v>
      </c>
      <c r="U815" s="586"/>
      <c r="V815" s="96">
        <f t="shared" ref="V815" si="2481">IF(AND(F815&gt;=$G$8,H815&gt;=$I$8,L815&gt;=$M$8,P815&gt;=$Q$8,R815&gt;=$S$8,T815&gt;=$U$8),SUM(F815:U815),0)</f>
        <v>0</v>
      </c>
      <c r="W815" s="380"/>
      <c r="X815" s="97"/>
      <c r="Y815" s="597"/>
      <c r="Z815" s="91" t="str">
        <f t="shared" ref="Z815" si="2482">LOOKUP(V815,$AL$6:$AM$10)</f>
        <v>ضعيف</v>
      </c>
      <c r="AA815" s="658"/>
      <c r="AB815" s="10"/>
      <c r="AC815" s="655"/>
      <c r="AN815" s="607"/>
      <c r="AO815" s="607"/>
      <c r="AP815" s="613"/>
      <c r="AQ815" s="612"/>
      <c r="AR815" s="611"/>
      <c r="AS815" s="612"/>
    </row>
    <row r="816" spans="1:45" ht="15" customHeight="1" x14ac:dyDescent="0.25">
      <c r="A816" s="632">
        <v>177</v>
      </c>
      <c r="B816" s="629">
        <f>VLOOKUP(A816,مسلسل,2,0)</f>
        <v>0</v>
      </c>
      <c r="C816" s="621" t="str">
        <f>IFERROR(VLOOKUP(B816,اسماء,2,0),"")</f>
        <v/>
      </c>
      <c r="D816" s="624" t="str">
        <f>IFERROR(VLOOKUP($B816,اسماء,3,0),"")</f>
        <v/>
      </c>
      <c r="E816" s="132" t="s">
        <v>30</v>
      </c>
      <c r="F816" s="627">
        <f>IFERROR(VLOOKUP($B816,اسماء,5,0),0)</f>
        <v>0</v>
      </c>
      <c r="G816" s="606"/>
      <c r="H816" s="628">
        <f>IFERROR(VLOOKUP($B816,اسماء,6,0),0)</f>
        <v>0</v>
      </c>
      <c r="I816" s="605"/>
      <c r="J816" s="587">
        <f>IFERROR(VLOOKUP($B816,اسماء,7,0),0)</f>
        <v>0</v>
      </c>
      <c r="K816" s="591"/>
      <c r="L816" s="587">
        <f>IFERROR(VLOOKUP($B816,اسماء,8,0),0)</f>
        <v>0</v>
      </c>
      <c r="M816" s="588"/>
      <c r="N816" s="587">
        <f>IFERROR(VLOOKUP($B816,اسماء,9,0),0)</f>
        <v>0</v>
      </c>
      <c r="O816" s="605"/>
      <c r="P816" s="587">
        <f>IFERROR(VLOOKUP($B816,اسماء,10,0),0)</f>
        <v>0</v>
      </c>
      <c r="Q816" s="605"/>
      <c r="R816" s="606">
        <f>IFERROR(VLOOKUP($B816,اسماء,11,0),0)</f>
        <v>0</v>
      </c>
      <c r="S816" s="591"/>
      <c r="T816" s="587">
        <f>IFERROR(VLOOKUP($B816,اسماء,12,0),0)</f>
        <v>0</v>
      </c>
      <c r="U816" s="588"/>
      <c r="V816" s="375">
        <f t="shared" ref="V816:V818" si="2483">SUM(F816:U816)</f>
        <v>0</v>
      </c>
      <c r="W816" s="376">
        <f>IFERROR(VLOOKUP($B816,اسماء,14,0),0)</f>
        <v>0</v>
      </c>
      <c r="X816" s="377">
        <f>IFERROR(VLOOKUP($B816,اسماء,15,0),0)</f>
        <v>0</v>
      </c>
      <c r="Y816" s="595" t="str">
        <f t="shared" ref="Y816" si="2484">IF(AC816="غائب","راسب",IF(AND(F819&gt;=$G$8,H819&gt;=$I$8,J819&gt;=$K$8,L819&gt;=$M$8,N819&gt;=$O$8,P819&gt;=$Q$8,R819&gt;=$S$8,T819&gt;=$U$8),"ناجح","له دور ثان"))</f>
        <v>له دور ثان</v>
      </c>
      <c r="Z816" s="21" t="str">
        <f t="shared" ref="Z816:Z817" si="2485">LOOKUP(V816,$AF$6:$AG$10)</f>
        <v>ضعيف</v>
      </c>
      <c r="AA816" s="656">
        <f t="shared" ref="AA816" si="2486">V819/$AF$3</f>
        <v>0</v>
      </c>
      <c r="AB816" s="72"/>
      <c r="AC816" s="653" t="str">
        <f>IFERROR(VLOOKUP($B816,اسماء,54,0),"")</f>
        <v/>
      </c>
      <c r="AN816" s="607" t="str">
        <f t="shared" ref="AN816" si="2487">IF(V819=0,"",V819/1+ROW()*0.00001)</f>
        <v/>
      </c>
      <c r="AO816" s="607">
        <f>B816</f>
        <v>0</v>
      </c>
      <c r="AP816" s="613"/>
      <c r="AQ816" s="612">
        <v>177</v>
      </c>
      <c r="AR816" s="611" t="str">
        <f>IFERROR(LARGE($AN$10:$AN$1006,AQ816),"")</f>
        <v/>
      </c>
      <c r="AS816" s="612" t="str">
        <f>VLOOKUP(AR816,$AN$10:$AO$1116,2,0)</f>
        <v>أحمد نورالدين أحمد الذيب</v>
      </c>
    </row>
    <row r="817" spans="1:45" ht="15" customHeight="1" x14ac:dyDescent="0.25">
      <c r="A817" s="633"/>
      <c r="B817" s="630"/>
      <c r="C817" s="622"/>
      <c r="D817" s="625"/>
      <c r="E817" s="133" t="s">
        <v>31</v>
      </c>
      <c r="F817" s="589">
        <f>IFERROR(VLOOKUP($B816,اسماء,18,0),0)</f>
        <v>0</v>
      </c>
      <c r="G817" s="592"/>
      <c r="H817" s="608">
        <f>IFERROR(VLOOKUP($B816,اسماء,19,0),0)</f>
        <v>0</v>
      </c>
      <c r="I817" s="609"/>
      <c r="J817" s="589">
        <f>IFERROR(VLOOKUP($B816,اسماء,20,0),0)</f>
        <v>0</v>
      </c>
      <c r="K817" s="592"/>
      <c r="L817" s="589">
        <f>IFERROR(VLOOKUP($B816,اسماء,21,0),0)</f>
        <v>0</v>
      </c>
      <c r="M817" s="590"/>
      <c r="N817" s="589">
        <f>IFERROR(VLOOKUP($B816,اسماء,22,0),0)</f>
        <v>0</v>
      </c>
      <c r="O817" s="590"/>
      <c r="P817" s="589">
        <f>IFERROR(VLOOKUP($B816,اسماء,23,0),0)</f>
        <v>0</v>
      </c>
      <c r="Q817" s="609"/>
      <c r="R817" s="603">
        <f>IFERROR(VLOOKUP($B816,اسماء,24,0),0)</f>
        <v>0</v>
      </c>
      <c r="S817" s="592"/>
      <c r="T817" s="589">
        <f>IFERROR(VLOOKUP($B816,اسماء,25,0),0)</f>
        <v>0</v>
      </c>
      <c r="U817" s="590"/>
      <c r="V817" s="378">
        <f t="shared" si="2483"/>
        <v>0</v>
      </c>
      <c r="W817" s="374">
        <f>IFERROR(VLOOKUP($B816,اسماء,27,0),0)</f>
        <v>0</v>
      </c>
      <c r="X817" s="379">
        <f>IFERROR(VLOOKUP($B816,اسماء,28,0),0)</f>
        <v>0</v>
      </c>
      <c r="Y817" s="596"/>
      <c r="Z817" s="22" t="str">
        <f t="shared" si="2485"/>
        <v>ضعيف</v>
      </c>
      <c r="AA817" s="657"/>
      <c r="AB817" s="72"/>
      <c r="AC817" s="654"/>
      <c r="AN817" s="607"/>
      <c r="AO817" s="607"/>
      <c r="AP817" s="613"/>
      <c r="AQ817" s="612"/>
      <c r="AR817" s="611"/>
      <c r="AS817" s="612"/>
    </row>
    <row r="818" spans="1:45" ht="15" customHeight="1" x14ac:dyDescent="0.25">
      <c r="A818" s="633"/>
      <c r="B818" s="630"/>
      <c r="C818" s="622"/>
      <c r="D818" s="625"/>
      <c r="E818" s="133" t="s">
        <v>32</v>
      </c>
      <c r="F818" s="589">
        <f>IFERROR(VLOOKUP($B816,اسماء,31,0),0)</f>
        <v>0</v>
      </c>
      <c r="G818" s="592"/>
      <c r="H818" s="608">
        <f>IFERROR(VLOOKUP($B816,اسماء,32,0),0)</f>
        <v>0</v>
      </c>
      <c r="I818" s="609"/>
      <c r="J818" s="589">
        <f>IFERROR(VLOOKUP($B816,اسماء,33,0),0)</f>
        <v>0</v>
      </c>
      <c r="K818" s="592"/>
      <c r="L818" s="589">
        <f>IFERROR(VLOOKUP($B816,اسماء,34,0),0)</f>
        <v>0</v>
      </c>
      <c r="M818" s="590"/>
      <c r="N818" s="589">
        <f>IFERROR(VLOOKUP($B816,اسماء,35,0),0)</f>
        <v>0</v>
      </c>
      <c r="O818" s="590"/>
      <c r="P818" s="589">
        <f>IFERROR(VLOOKUP($B816,اسماء,36,0),0)</f>
        <v>0</v>
      </c>
      <c r="Q818" s="609"/>
      <c r="R818" s="603">
        <f>IFERROR(VLOOKUP($B816,اسماء,37,0),0)</f>
        <v>0</v>
      </c>
      <c r="S818" s="592"/>
      <c r="T818" s="589">
        <f>IFERROR(VLOOKUP($B816,اسماء,38,0),0)</f>
        <v>0</v>
      </c>
      <c r="U818" s="590"/>
      <c r="V818" s="378">
        <f t="shared" si="2483"/>
        <v>0</v>
      </c>
      <c r="W818" s="374">
        <f>IFERROR(VLOOKUP($B816,اسماء,40,0),0)</f>
        <v>0</v>
      </c>
      <c r="X818" s="379">
        <f>IFERROR(VLOOKUP($B816,اسماء,41,0),0)</f>
        <v>0</v>
      </c>
      <c r="Y818" s="596"/>
      <c r="Z818" s="22" t="str">
        <f t="shared" ref="Z818" si="2488">LOOKUP(V818,$AI$6:$AJ$10)</f>
        <v>ضعيف</v>
      </c>
      <c r="AA818" s="657"/>
      <c r="AB818" s="10"/>
      <c r="AC818" s="654"/>
      <c r="AN818" s="607"/>
      <c r="AO818" s="607"/>
      <c r="AP818" s="613"/>
      <c r="AQ818" s="612"/>
      <c r="AR818" s="611"/>
      <c r="AS818" s="612"/>
    </row>
    <row r="819" spans="1:45" ht="15" customHeight="1" thickBot="1" x14ac:dyDescent="0.3">
      <c r="A819" s="634"/>
      <c r="B819" s="631"/>
      <c r="C819" s="623"/>
      <c r="D819" s="626"/>
      <c r="E819" s="127" t="s">
        <v>33</v>
      </c>
      <c r="F819" s="585">
        <f t="shared" ref="F819" si="2489">SUM(F816:G818)</f>
        <v>0</v>
      </c>
      <c r="G819" s="593"/>
      <c r="H819" s="604">
        <f t="shared" ref="H819" si="2490">SUM(H816:I818)</f>
        <v>0</v>
      </c>
      <c r="I819" s="601"/>
      <c r="J819" s="585">
        <f t="shared" ref="J819" si="2491">SUM(J816:K818)</f>
        <v>0</v>
      </c>
      <c r="K819" s="593"/>
      <c r="L819" s="585">
        <f t="shared" ref="L819" si="2492">SUM(L816:M818)</f>
        <v>0</v>
      </c>
      <c r="M819" s="586"/>
      <c r="N819" s="585">
        <f t="shared" ref="N819" si="2493">SUM(N816:O818)</f>
        <v>0</v>
      </c>
      <c r="O819" s="586"/>
      <c r="P819" s="585">
        <f t="shared" ref="P819" si="2494">SUM(P816:Q818)</f>
        <v>0</v>
      </c>
      <c r="Q819" s="601"/>
      <c r="R819" s="602">
        <f t="shared" ref="R819" si="2495">SUM(R816:S818)</f>
        <v>0</v>
      </c>
      <c r="S819" s="593"/>
      <c r="T819" s="585">
        <f t="shared" ref="T819" si="2496">SUM(T816:U818)</f>
        <v>0</v>
      </c>
      <c r="U819" s="586"/>
      <c r="V819" s="96">
        <f t="shared" ref="V819" si="2497">IF(AND(F819&gt;=$G$8,H819&gt;=$I$8,L819&gt;=$M$8,P819&gt;=$Q$8,R819&gt;=$S$8,T819&gt;=$U$8),SUM(F819:U819),0)</f>
        <v>0</v>
      </c>
      <c r="W819" s="380"/>
      <c r="X819" s="97"/>
      <c r="Y819" s="597"/>
      <c r="Z819" s="91" t="str">
        <f t="shared" ref="Z819" si="2498">LOOKUP(V819,$AL$6:$AM$10)</f>
        <v>ضعيف</v>
      </c>
      <c r="AA819" s="658"/>
      <c r="AB819" s="72"/>
      <c r="AC819" s="655"/>
      <c r="AN819" s="607"/>
      <c r="AO819" s="607"/>
      <c r="AP819" s="613"/>
      <c r="AQ819" s="612"/>
      <c r="AR819" s="611"/>
      <c r="AS819" s="612"/>
    </row>
    <row r="820" spans="1:45" ht="15" customHeight="1" x14ac:dyDescent="0.25">
      <c r="A820" s="632">
        <v>178</v>
      </c>
      <c r="B820" s="629">
        <f>VLOOKUP(A820,مسلسل,2,0)</f>
        <v>0</v>
      </c>
      <c r="C820" s="621" t="str">
        <f>IFERROR(VLOOKUP(B820,اسماء,2,0),"")</f>
        <v/>
      </c>
      <c r="D820" s="624" t="str">
        <f>IFERROR(VLOOKUP($B820,اسماء,3,0),"")</f>
        <v/>
      </c>
      <c r="E820" s="132" t="s">
        <v>30</v>
      </c>
      <c r="F820" s="627">
        <f>IFERROR(VLOOKUP($B820,اسماء,5,0),0)</f>
        <v>0</v>
      </c>
      <c r="G820" s="606"/>
      <c r="H820" s="628">
        <f>IFERROR(VLOOKUP($B820,اسماء,6,0),0)</f>
        <v>0</v>
      </c>
      <c r="I820" s="605"/>
      <c r="J820" s="587">
        <f>IFERROR(VLOOKUP($B820,اسماء,7,0),0)</f>
        <v>0</v>
      </c>
      <c r="K820" s="591"/>
      <c r="L820" s="587">
        <f>IFERROR(VLOOKUP($B820,اسماء,8,0),0)</f>
        <v>0</v>
      </c>
      <c r="M820" s="588"/>
      <c r="N820" s="587">
        <f>IFERROR(VLOOKUP($B820,اسماء,9,0),0)</f>
        <v>0</v>
      </c>
      <c r="O820" s="605"/>
      <c r="P820" s="587">
        <f>IFERROR(VLOOKUP($B820,اسماء,10,0),0)</f>
        <v>0</v>
      </c>
      <c r="Q820" s="605"/>
      <c r="R820" s="606">
        <f>IFERROR(VLOOKUP($B820,اسماء,11,0),0)</f>
        <v>0</v>
      </c>
      <c r="S820" s="591"/>
      <c r="T820" s="587">
        <f>IFERROR(VLOOKUP($B820,اسماء,12,0),0)</f>
        <v>0</v>
      </c>
      <c r="U820" s="588"/>
      <c r="V820" s="375">
        <f t="shared" ref="V820:V822" si="2499">SUM(F820:U820)</f>
        <v>0</v>
      </c>
      <c r="W820" s="376">
        <f>IFERROR(VLOOKUP($B820,اسماء,14,0),0)</f>
        <v>0</v>
      </c>
      <c r="X820" s="377">
        <f>IFERROR(VLOOKUP($B820,اسماء,15,0),0)</f>
        <v>0</v>
      </c>
      <c r="Y820" s="595" t="str">
        <f t="shared" ref="Y820" si="2500">IF(AC820="غائب","راسب",IF(AND(F823&gt;=$G$8,H823&gt;=$I$8,J823&gt;=$K$8,L823&gt;=$M$8,N823&gt;=$O$8,P823&gt;=$Q$8,R823&gt;=$S$8,T823&gt;=$U$8),"ناجح","له دور ثان"))</f>
        <v>له دور ثان</v>
      </c>
      <c r="Z820" s="21" t="str">
        <f t="shared" ref="Z820:Z821" si="2501">LOOKUP(V820,$AF$6:$AG$10)</f>
        <v>ضعيف</v>
      </c>
      <c r="AA820" s="656">
        <f t="shared" ref="AA820" si="2502">V823/$AF$3</f>
        <v>0</v>
      </c>
      <c r="AB820" s="72"/>
      <c r="AC820" s="653" t="str">
        <f>IFERROR(VLOOKUP($B820,اسماء,54,0),"")</f>
        <v/>
      </c>
      <c r="AN820" s="607" t="str">
        <f t="shared" ref="AN820" si="2503">IF(V823=0,"",V823/1+ROW()*0.00001)</f>
        <v/>
      </c>
      <c r="AO820" s="607">
        <f>B820</f>
        <v>0</v>
      </c>
      <c r="AP820" s="613"/>
      <c r="AQ820" s="612">
        <v>178</v>
      </c>
      <c r="AR820" s="611" t="str">
        <f>IFERROR(LARGE($AN$10:$AN$1006,AQ820),"")</f>
        <v/>
      </c>
      <c r="AS820" s="612" t="str">
        <f>VLOOKUP(AR820,$AN$10:$AO$1116,2,0)</f>
        <v>أحمد نورالدين أحمد الذيب</v>
      </c>
    </row>
    <row r="821" spans="1:45" ht="15" customHeight="1" x14ac:dyDescent="0.25">
      <c r="A821" s="633"/>
      <c r="B821" s="630"/>
      <c r="C821" s="622"/>
      <c r="D821" s="625"/>
      <c r="E821" s="133" t="s">
        <v>31</v>
      </c>
      <c r="F821" s="589">
        <f>IFERROR(VLOOKUP($B820,اسماء,18,0),0)</f>
        <v>0</v>
      </c>
      <c r="G821" s="592"/>
      <c r="H821" s="608">
        <f>IFERROR(VLOOKUP($B820,اسماء,19,0),0)</f>
        <v>0</v>
      </c>
      <c r="I821" s="609"/>
      <c r="J821" s="589">
        <f>IFERROR(VLOOKUP($B820,اسماء,20,0),0)</f>
        <v>0</v>
      </c>
      <c r="K821" s="592"/>
      <c r="L821" s="589">
        <f>IFERROR(VLOOKUP($B820,اسماء,21,0),0)</f>
        <v>0</v>
      </c>
      <c r="M821" s="590"/>
      <c r="N821" s="589">
        <f>IFERROR(VLOOKUP($B820,اسماء,22,0),0)</f>
        <v>0</v>
      </c>
      <c r="O821" s="590"/>
      <c r="P821" s="589">
        <f>IFERROR(VLOOKUP($B820,اسماء,23,0),0)</f>
        <v>0</v>
      </c>
      <c r="Q821" s="609"/>
      <c r="R821" s="603">
        <f>IFERROR(VLOOKUP($B820,اسماء,24,0),0)</f>
        <v>0</v>
      </c>
      <c r="S821" s="592"/>
      <c r="T821" s="589">
        <f>IFERROR(VLOOKUP($B820,اسماء,25,0),0)</f>
        <v>0</v>
      </c>
      <c r="U821" s="590"/>
      <c r="V821" s="378">
        <f t="shared" si="2499"/>
        <v>0</v>
      </c>
      <c r="W821" s="374">
        <f>IFERROR(VLOOKUP($B820,اسماء,27,0),0)</f>
        <v>0</v>
      </c>
      <c r="X821" s="379">
        <f>IFERROR(VLOOKUP($B820,اسماء,28,0),0)</f>
        <v>0</v>
      </c>
      <c r="Y821" s="596"/>
      <c r="Z821" s="22" t="str">
        <f t="shared" si="2501"/>
        <v>ضعيف</v>
      </c>
      <c r="AA821" s="657"/>
      <c r="AB821" s="10"/>
      <c r="AC821" s="654"/>
      <c r="AN821" s="607"/>
      <c r="AO821" s="607"/>
      <c r="AP821" s="613"/>
      <c r="AQ821" s="612"/>
      <c r="AR821" s="611"/>
      <c r="AS821" s="612"/>
    </row>
    <row r="822" spans="1:45" ht="15" customHeight="1" x14ac:dyDescent="0.25">
      <c r="A822" s="633"/>
      <c r="B822" s="630"/>
      <c r="C822" s="622"/>
      <c r="D822" s="625"/>
      <c r="E822" s="133" t="s">
        <v>32</v>
      </c>
      <c r="F822" s="589">
        <f>IFERROR(VLOOKUP($B820,اسماء,31,0),0)</f>
        <v>0</v>
      </c>
      <c r="G822" s="592"/>
      <c r="H822" s="608">
        <f>IFERROR(VLOOKUP($B820,اسماء,32,0),0)</f>
        <v>0</v>
      </c>
      <c r="I822" s="609"/>
      <c r="J822" s="589">
        <f>IFERROR(VLOOKUP($B820,اسماء,33,0),0)</f>
        <v>0</v>
      </c>
      <c r="K822" s="592"/>
      <c r="L822" s="589">
        <f>IFERROR(VLOOKUP($B820,اسماء,34,0),0)</f>
        <v>0</v>
      </c>
      <c r="M822" s="590"/>
      <c r="N822" s="589">
        <f>IFERROR(VLOOKUP($B820,اسماء,35,0),0)</f>
        <v>0</v>
      </c>
      <c r="O822" s="590"/>
      <c r="P822" s="589">
        <f>IFERROR(VLOOKUP($B820,اسماء,36,0),0)</f>
        <v>0</v>
      </c>
      <c r="Q822" s="609"/>
      <c r="R822" s="603">
        <f>IFERROR(VLOOKUP($B820,اسماء,37,0),0)</f>
        <v>0</v>
      </c>
      <c r="S822" s="592"/>
      <c r="T822" s="589">
        <f>IFERROR(VLOOKUP($B820,اسماء,38,0),0)</f>
        <v>0</v>
      </c>
      <c r="U822" s="590"/>
      <c r="V822" s="378">
        <f t="shared" si="2499"/>
        <v>0</v>
      </c>
      <c r="W822" s="374">
        <f>IFERROR(VLOOKUP($B820,اسماء,40,0),0)</f>
        <v>0</v>
      </c>
      <c r="X822" s="379">
        <f>IFERROR(VLOOKUP($B820,اسماء,41,0),0)</f>
        <v>0</v>
      </c>
      <c r="Y822" s="596"/>
      <c r="Z822" s="22" t="str">
        <f t="shared" ref="Z822" si="2504">LOOKUP(V822,$AI$6:$AJ$10)</f>
        <v>ضعيف</v>
      </c>
      <c r="AA822" s="657"/>
      <c r="AB822" s="72"/>
      <c r="AC822" s="654"/>
      <c r="AN822" s="607"/>
      <c r="AO822" s="607"/>
      <c r="AP822" s="613"/>
      <c r="AQ822" s="612"/>
      <c r="AR822" s="611"/>
      <c r="AS822" s="612"/>
    </row>
    <row r="823" spans="1:45" ht="15" customHeight="1" thickBot="1" x14ac:dyDescent="0.3">
      <c r="A823" s="634"/>
      <c r="B823" s="631"/>
      <c r="C823" s="623"/>
      <c r="D823" s="626"/>
      <c r="E823" s="127" t="s">
        <v>33</v>
      </c>
      <c r="F823" s="585">
        <f t="shared" ref="F823" si="2505">SUM(F820:G822)</f>
        <v>0</v>
      </c>
      <c r="G823" s="593"/>
      <c r="H823" s="604">
        <f t="shared" ref="H823" si="2506">SUM(H820:I822)</f>
        <v>0</v>
      </c>
      <c r="I823" s="601"/>
      <c r="J823" s="585">
        <f t="shared" ref="J823" si="2507">SUM(J820:K822)</f>
        <v>0</v>
      </c>
      <c r="K823" s="593"/>
      <c r="L823" s="585">
        <f t="shared" ref="L823" si="2508">SUM(L820:M822)</f>
        <v>0</v>
      </c>
      <c r="M823" s="586"/>
      <c r="N823" s="585">
        <f t="shared" ref="N823" si="2509">SUM(N820:O822)</f>
        <v>0</v>
      </c>
      <c r="O823" s="586"/>
      <c r="P823" s="585">
        <f t="shared" ref="P823" si="2510">SUM(P820:Q822)</f>
        <v>0</v>
      </c>
      <c r="Q823" s="601"/>
      <c r="R823" s="602">
        <f t="shared" ref="R823" si="2511">SUM(R820:S822)</f>
        <v>0</v>
      </c>
      <c r="S823" s="593"/>
      <c r="T823" s="585">
        <f t="shared" ref="T823" si="2512">SUM(T820:U822)</f>
        <v>0</v>
      </c>
      <c r="U823" s="586"/>
      <c r="V823" s="96">
        <f t="shared" ref="V823" si="2513">IF(AND(F823&gt;=$G$8,H823&gt;=$I$8,L823&gt;=$M$8,P823&gt;=$Q$8,R823&gt;=$S$8,T823&gt;=$U$8),SUM(F823:U823),0)</f>
        <v>0</v>
      </c>
      <c r="W823" s="380"/>
      <c r="X823" s="97"/>
      <c r="Y823" s="597"/>
      <c r="Z823" s="91" t="str">
        <f t="shared" ref="Z823" si="2514">LOOKUP(V823,$AL$6:$AM$10)</f>
        <v>ضعيف</v>
      </c>
      <c r="AA823" s="658"/>
      <c r="AB823" s="72"/>
      <c r="AC823" s="655"/>
      <c r="AN823" s="607"/>
      <c r="AO823" s="607"/>
      <c r="AP823" s="613"/>
      <c r="AQ823" s="612"/>
      <c r="AR823" s="611"/>
      <c r="AS823" s="612"/>
    </row>
    <row r="824" spans="1:45" ht="15" customHeight="1" x14ac:dyDescent="0.25">
      <c r="A824" s="632">
        <v>179</v>
      </c>
      <c r="B824" s="629">
        <f>VLOOKUP(A824,مسلسل,2,0)</f>
        <v>0</v>
      </c>
      <c r="C824" s="621" t="str">
        <f>IFERROR(VLOOKUP(B824,اسماء,2,0),"")</f>
        <v/>
      </c>
      <c r="D824" s="624" t="str">
        <f>IFERROR(VLOOKUP($B824,اسماء,3,0),"")</f>
        <v/>
      </c>
      <c r="E824" s="132" t="s">
        <v>30</v>
      </c>
      <c r="F824" s="627">
        <f>IFERROR(VLOOKUP($B824,اسماء,5,0),0)</f>
        <v>0</v>
      </c>
      <c r="G824" s="606"/>
      <c r="H824" s="628">
        <f>IFERROR(VLOOKUP($B824,اسماء,6,0),0)</f>
        <v>0</v>
      </c>
      <c r="I824" s="605"/>
      <c r="J824" s="587">
        <f>IFERROR(VLOOKUP($B824,اسماء,7,0),0)</f>
        <v>0</v>
      </c>
      <c r="K824" s="591"/>
      <c r="L824" s="587">
        <f>IFERROR(VLOOKUP($B824,اسماء,8,0),0)</f>
        <v>0</v>
      </c>
      <c r="M824" s="588"/>
      <c r="N824" s="587">
        <f>IFERROR(VLOOKUP($B824,اسماء,9,0),0)</f>
        <v>0</v>
      </c>
      <c r="O824" s="605"/>
      <c r="P824" s="587">
        <f>IFERROR(VLOOKUP($B824,اسماء,10,0),0)</f>
        <v>0</v>
      </c>
      <c r="Q824" s="605"/>
      <c r="R824" s="606">
        <f>IFERROR(VLOOKUP($B824,اسماء,11,0),0)</f>
        <v>0</v>
      </c>
      <c r="S824" s="591"/>
      <c r="T824" s="587">
        <f>IFERROR(VLOOKUP($B824,اسماء,12,0),0)</f>
        <v>0</v>
      </c>
      <c r="U824" s="588"/>
      <c r="V824" s="375">
        <f t="shared" ref="V824:V826" si="2515">SUM(F824:U824)</f>
        <v>0</v>
      </c>
      <c r="W824" s="376">
        <f>IFERROR(VLOOKUP($B824,اسماء,14,0),0)</f>
        <v>0</v>
      </c>
      <c r="X824" s="377">
        <f>IFERROR(VLOOKUP($B824,اسماء,15,0),0)</f>
        <v>0</v>
      </c>
      <c r="Y824" s="595" t="str">
        <f t="shared" ref="Y824" si="2516">IF(AC824="غائب","راسب",IF(AND(F827&gt;=$G$8,H827&gt;=$I$8,J827&gt;=$K$8,L827&gt;=$M$8,N827&gt;=$O$8,P827&gt;=$Q$8,R827&gt;=$S$8,T827&gt;=$U$8),"ناجح","له دور ثان"))</f>
        <v>له دور ثان</v>
      </c>
      <c r="Z824" s="21" t="str">
        <f t="shared" ref="Z824:Z825" si="2517">LOOKUP(V824,$AF$6:$AG$10)</f>
        <v>ضعيف</v>
      </c>
      <c r="AA824" s="656">
        <f t="shared" ref="AA824" si="2518">V827/$AF$3</f>
        <v>0</v>
      </c>
      <c r="AB824" s="10"/>
      <c r="AC824" s="653" t="str">
        <f>IFERROR(VLOOKUP($B824,اسماء,54,0),"")</f>
        <v/>
      </c>
      <c r="AN824" s="607" t="str">
        <f t="shared" ref="AN824" si="2519">IF(V827=0,"",V827/1+ROW()*0.00001)</f>
        <v/>
      </c>
      <c r="AO824" s="607">
        <f>B824</f>
        <v>0</v>
      </c>
      <c r="AP824" s="613"/>
      <c r="AQ824" s="612">
        <v>179</v>
      </c>
      <c r="AR824" s="611" t="str">
        <f>IFERROR(LARGE($AN$10:$AN$1006,AQ824),"")</f>
        <v/>
      </c>
      <c r="AS824" s="612" t="str">
        <f>VLOOKUP(AR824,$AN$10:$AO$1116,2,0)</f>
        <v>أحمد نورالدين أحمد الذيب</v>
      </c>
    </row>
    <row r="825" spans="1:45" ht="15" customHeight="1" x14ac:dyDescent="0.25">
      <c r="A825" s="633"/>
      <c r="B825" s="630"/>
      <c r="C825" s="622"/>
      <c r="D825" s="625"/>
      <c r="E825" s="133" t="s">
        <v>31</v>
      </c>
      <c r="F825" s="589">
        <f>IFERROR(VLOOKUP($B824,اسماء,18,0),0)</f>
        <v>0</v>
      </c>
      <c r="G825" s="592"/>
      <c r="H825" s="608">
        <f>IFERROR(VLOOKUP($B824,اسماء,19,0),0)</f>
        <v>0</v>
      </c>
      <c r="I825" s="609"/>
      <c r="J825" s="589">
        <f>IFERROR(VLOOKUP($B824,اسماء,20,0),0)</f>
        <v>0</v>
      </c>
      <c r="K825" s="592"/>
      <c r="L825" s="589">
        <f>IFERROR(VLOOKUP($B824,اسماء,21,0),0)</f>
        <v>0</v>
      </c>
      <c r="M825" s="590"/>
      <c r="N825" s="589">
        <f>IFERROR(VLOOKUP($B824,اسماء,22,0),0)</f>
        <v>0</v>
      </c>
      <c r="O825" s="590"/>
      <c r="P825" s="589">
        <f>IFERROR(VLOOKUP($B824,اسماء,23,0),0)</f>
        <v>0</v>
      </c>
      <c r="Q825" s="609"/>
      <c r="R825" s="603">
        <f>IFERROR(VLOOKUP($B824,اسماء,24,0),0)</f>
        <v>0</v>
      </c>
      <c r="S825" s="592"/>
      <c r="T825" s="589">
        <f>IFERROR(VLOOKUP($B824,اسماء,25,0),0)</f>
        <v>0</v>
      </c>
      <c r="U825" s="590"/>
      <c r="V825" s="378">
        <f t="shared" si="2515"/>
        <v>0</v>
      </c>
      <c r="W825" s="374">
        <f>IFERROR(VLOOKUP($B824,اسماء,27,0),0)</f>
        <v>0</v>
      </c>
      <c r="X825" s="379">
        <f>IFERROR(VLOOKUP($B824,اسماء,28,0),0)</f>
        <v>0</v>
      </c>
      <c r="Y825" s="596"/>
      <c r="Z825" s="22" t="str">
        <f t="shared" si="2517"/>
        <v>ضعيف</v>
      </c>
      <c r="AA825" s="657"/>
      <c r="AB825" s="72"/>
      <c r="AC825" s="654"/>
      <c r="AN825" s="607"/>
      <c r="AO825" s="607"/>
      <c r="AP825" s="613"/>
      <c r="AQ825" s="612"/>
      <c r="AR825" s="611"/>
      <c r="AS825" s="612"/>
    </row>
    <row r="826" spans="1:45" ht="15" customHeight="1" x14ac:dyDescent="0.25">
      <c r="A826" s="633"/>
      <c r="B826" s="630"/>
      <c r="C826" s="622"/>
      <c r="D826" s="625"/>
      <c r="E826" s="133" t="s">
        <v>32</v>
      </c>
      <c r="F826" s="589">
        <f>IFERROR(VLOOKUP($B824,اسماء,31,0),0)</f>
        <v>0</v>
      </c>
      <c r="G826" s="592"/>
      <c r="H826" s="608">
        <f>IFERROR(VLOOKUP($B824,اسماء,32,0),0)</f>
        <v>0</v>
      </c>
      <c r="I826" s="609"/>
      <c r="J826" s="589">
        <f>IFERROR(VLOOKUP($B824,اسماء,33,0),0)</f>
        <v>0</v>
      </c>
      <c r="K826" s="592"/>
      <c r="L826" s="589">
        <f>IFERROR(VLOOKUP($B824,اسماء,34,0),0)</f>
        <v>0</v>
      </c>
      <c r="M826" s="590"/>
      <c r="N826" s="589">
        <f>IFERROR(VLOOKUP($B824,اسماء,35,0),0)</f>
        <v>0</v>
      </c>
      <c r="O826" s="590"/>
      <c r="P826" s="589">
        <f>IFERROR(VLOOKUP($B824,اسماء,36,0),0)</f>
        <v>0</v>
      </c>
      <c r="Q826" s="609"/>
      <c r="R826" s="603">
        <f>IFERROR(VLOOKUP($B824,اسماء,37,0),0)</f>
        <v>0</v>
      </c>
      <c r="S826" s="592"/>
      <c r="T826" s="589">
        <f>IFERROR(VLOOKUP($B824,اسماء,38,0),0)</f>
        <v>0</v>
      </c>
      <c r="U826" s="590"/>
      <c r="V826" s="378">
        <f t="shared" si="2515"/>
        <v>0</v>
      </c>
      <c r="W826" s="374">
        <f>IFERROR(VLOOKUP($B824,اسماء,40,0),0)</f>
        <v>0</v>
      </c>
      <c r="X826" s="379">
        <f>IFERROR(VLOOKUP($B824,اسماء,41,0),0)</f>
        <v>0</v>
      </c>
      <c r="Y826" s="596"/>
      <c r="Z826" s="22" t="str">
        <f t="shared" ref="Z826" si="2520">LOOKUP(V826,$AI$6:$AJ$10)</f>
        <v>ضعيف</v>
      </c>
      <c r="AA826" s="657"/>
      <c r="AB826" s="72"/>
      <c r="AC826" s="654"/>
      <c r="AN826" s="607"/>
      <c r="AO826" s="607"/>
      <c r="AP826" s="613"/>
      <c r="AQ826" s="612"/>
      <c r="AR826" s="611"/>
      <c r="AS826" s="612"/>
    </row>
    <row r="827" spans="1:45" ht="15" customHeight="1" thickBot="1" x14ac:dyDescent="0.3">
      <c r="A827" s="634"/>
      <c r="B827" s="631"/>
      <c r="C827" s="623"/>
      <c r="D827" s="626"/>
      <c r="E827" s="127" t="s">
        <v>33</v>
      </c>
      <c r="F827" s="585">
        <f t="shared" ref="F827" si="2521">SUM(F824:G826)</f>
        <v>0</v>
      </c>
      <c r="G827" s="593"/>
      <c r="H827" s="604">
        <f t="shared" ref="H827" si="2522">SUM(H824:I826)</f>
        <v>0</v>
      </c>
      <c r="I827" s="601"/>
      <c r="J827" s="585">
        <f t="shared" ref="J827" si="2523">SUM(J824:K826)</f>
        <v>0</v>
      </c>
      <c r="K827" s="593"/>
      <c r="L827" s="585">
        <f t="shared" ref="L827" si="2524">SUM(L824:M826)</f>
        <v>0</v>
      </c>
      <c r="M827" s="586"/>
      <c r="N827" s="585">
        <f t="shared" ref="N827" si="2525">SUM(N824:O826)</f>
        <v>0</v>
      </c>
      <c r="O827" s="586"/>
      <c r="P827" s="585">
        <f t="shared" ref="P827" si="2526">SUM(P824:Q826)</f>
        <v>0</v>
      </c>
      <c r="Q827" s="601"/>
      <c r="R827" s="602">
        <f t="shared" ref="R827" si="2527">SUM(R824:S826)</f>
        <v>0</v>
      </c>
      <c r="S827" s="593"/>
      <c r="T827" s="585">
        <f t="shared" ref="T827" si="2528">SUM(T824:U826)</f>
        <v>0</v>
      </c>
      <c r="U827" s="586"/>
      <c r="V827" s="96">
        <f t="shared" ref="V827" si="2529">IF(AND(F827&gt;=$G$8,H827&gt;=$I$8,L827&gt;=$M$8,P827&gt;=$Q$8,R827&gt;=$S$8,T827&gt;=$U$8),SUM(F827:U827),0)</f>
        <v>0</v>
      </c>
      <c r="W827" s="380"/>
      <c r="X827" s="97"/>
      <c r="Y827" s="597"/>
      <c r="Z827" s="91" t="str">
        <f t="shared" ref="Z827" si="2530">LOOKUP(V827,$AL$6:$AM$10)</f>
        <v>ضعيف</v>
      </c>
      <c r="AA827" s="658"/>
      <c r="AB827" s="10"/>
      <c r="AC827" s="655"/>
      <c r="AN827" s="607"/>
      <c r="AO827" s="607"/>
      <c r="AP827" s="613"/>
      <c r="AQ827" s="612"/>
      <c r="AR827" s="611"/>
      <c r="AS827" s="612"/>
    </row>
    <row r="828" spans="1:45" ht="15" customHeight="1" x14ac:dyDescent="0.25">
      <c r="A828" s="632">
        <v>180</v>
      </c>
      <c r="B828" s="629">
        <f>VLOOKUP(A828,مسلسل,2,0)</f>
        <v>0</v>
      </c>
      <c r="C828" s="621" t="str">
        <f>IFERROR(VLOOKUP(B828,اسماء,2,0),"")</f>
        <v/>
      </c>
      <c r="D828" s="624" t="str">
        <f>IFERROR(VLOOKUP($B828,اسماء,3,0),"")</f>
        <v/>
      </c>
      <c r="E828" s="132" t="s">
        <v>30</v>
      </c>
      <c r="F828" s="627">
        <f>IFERROR(VLOOKUP($B828,اسماء,5,0),0)</f>
        <v>0</v>
      </c>
      <c r="G828" s="606"/>
      <c r="H828" s="628">
        <f>IFERROR(VLOOKUP($B828,اسماء,6,0),0)</f>
        <v>0</v>
      </c>
      <c r="I828" s="605"/>
      <c r="J828" s="587">
        <f>IFERROR(VLOOKUP($B828,اسماء,7,0),0)</f>
        <v>0</v>
      </c>
      <c r="K828" s="591"/>
      <c r="L828" s="587">
        <f>IFERROR(VLOOKUP($B828,اسماء,8,0),0)</f>
        <v>0</v>
      </c>
      <c r="M828" s="588"/>
      <c r="N828" s="587">
        <f>IFERROR(VLOOKUP($B828,اسماء,9,0),0)</f>
        <v>0</v>
      </c>
      <c r="O828" s="605"/>
      <c r="P828" s="587">
        <f>IFERROR(VLOOKUP($B828,اسماء,10,0),0)</f>
        <v>0</v>
      </c>
      <c r="Q828" s="605"/>
      <c r="R828" s="606">
        <f>IFERROR(VLOOKUP($B828,اسماء,11,0),0)</f>
        <v>0</v>
      </c>
      <c r="S828" s="591"/>
      <c r="T828" s="587">
        <f>IFERROR(VLOOKUP($B828,اسماء,12,0),0)</f>
        <v>0</v>
      </c>
      <c r="U828" s="588"/>
      <c r="V828" s="375">
        <f t="shared" ref="V828:V830" si="2531">SUM(F828:U828)</f>
        <v>0</v>
      </c>
      <c r="W828" s="376">
        <f>IFERROR(VLOOKUP($B828,اسماء,14,0),0)</f>
        <v>0</v>
      </c>
      <c r="X828" s="377">
        <f>IFERROR(VLOOKUP($B828,اسماء,15,0),0)</f>
        <v>0</v>
      </c>
      <c r="Y828" s="595" t="str">
        <f t="shared" ref="Y828" si="2532">IF(AC828="غائب","راسب",IF(AND(F831&gt;=$G$8,H831&gt;=$I$8,J831&gt;=$K$8,L831&gt;=$M$8,N831&gt;=$O$8,P831&gt;=$Q$8,R831&gt;=$S$8,T831&gt;=$U$8),"ناجح","له دور ثان"))</f>
        <v>له دور ثان</v>
      </c>
      <c r="Z828" s="21" t="str">
        <f t="shared" ref="Z828:Z829" si="2533">LOOKUP(V828,$AF$6:$AG$10)</f>
        <v>ضعيف</v>
      </c>
      <c r="AA828" s="656">
        <f t="shared" ref="AA828" si="2534">V831/$AF$3</f>
        <v>0</v>
      </c>
      <c r="AB828" s="72"/>
      <c r="AC828" s="653" t="str">
        <f>IFERROR(VLOOKUP($B828,اسماء,54,0),"")</f>
        <v/>
      </c>
      <c r="AN828" s="607" t="str">
        <f t="shared" ref="AN828" si="2535">IF(V831=0,"",V831/1+ROW()*0.00001)</f>
        <v/>
      </c>
      <c r="AO828" s="607">
        <f>B828</f>
        <v>0</v>
      </c>
      <c r="AP828" s="613"/>
      <c r="AQ828" s="612">
        <v>180</v>
      </c>
      <c r="AR828" s="611" t="str">
        <f>IFERROR(LARGE($AN$10:$AN$1006,AQ828),"")</f>
        <v/>
      </c>
      <c r="AS828" s="612" t="str">
        <f>VLOOKUP(AR828,$AN$10:$AO$1116,2,0)</f>
        <v>أحمد نورالدين أحمد الذيب</v>
      </c>
    </row>
    <row r="829" spans="1:45" ht="15" customHeight="1" x14ac:dyDescent="0.25">
      <c r="A829" s="633"/>
      <c r="B829" s="630"/>
      <c r="C829" s="622"/>
      <c r="D829" s="625"/>
      <c r="E829" s="133" t="s">
        <v>31</v>
      </c>
      <c r="F829" s="589">
        <f>IFERROR(VLOOKUP($B828,اسماء,18,0),0)</f>
        <v>0</v>
      </c>
      <c r="G829" s="592"/>
      <c r="H829" s="608">
        <f>IFERROR(VLOOKUP($B828,اسماء,19,0),0)</f>
        <v>0</v>
      </c>
      <c r="I829" s="609"/>
      <c r="J829" s="589">
        <f>IFERROR(VLOOKUP($B828,اسماء,20,0),0)</f>
        <v>0</v>
      </c>
      <c r="K829" s="592"/>
      <c r="L829" s="589">
        <f>IFERROR(VLOOKUP($B828,اسماء,21,0),0)</f>
        <v>0</v>
      </c>
      <c r="M829" s="590"/>
      <c r="N829" s="589">
        <f>IFERROR(VLOOKUP($B828,اسماء,22,0),0)</f>
        <v>0</v>
      </c>
      <c r="O829" s="590"/>
      <c r="P829" s="589">
        <f>IFERROR(VLOOKUP($B828,اسماء,23,0),0)</f>
        <v>0</v>
      </c>
      <c r="Q829" s="609"/>
      <c r="R829" s="603">
        <f>IFERROR(VLOOKUP($B828,اسماء,24,0),0)</f>
        <v>0</v>
      </c>
      <c r="S829" s="592"/>
      <c r="T829" s="589">
        <f>IFERROR(VLOOKUP($B828,اسماء,25,0),0)</f>
        <v>0</v>
      </c>
      <c r="U829" s="590"/>
      <c r="V829" s="378">
        <f t="shared" si="2531"/>
        <v>0</v>
      </c>
      <c r="W829" s="374">
        <f>IFERROR(VLOOKUP($B828,اسماء,27,0),0)</f>
        <v>0</v>
      </c>
      <c r="X829" s="379">
        <f>IFERROR(VLOOKUP($B828,اسماء,28,0),0)</f>
        <v>0</v>
      </c>
      <c r="Y829" s="596"/>
      <c r="Z829" s="22" t="str">
        <f t="shared" si="2533"/>
        <v>ضعيف</v>
      </c>
      <c r="AA829" s="657"/>
      <c r="AB829" s="72"/>
      <c r="AC829" s="654"/>
      <c r="AN829" s="607"/>
      <c r="AO829" s="607"/>
      <c r="AP829" s="613"/>
      <c r="AQ829" s="612"/>
      <c r="AR829" s="611"/>
      <c r="AS829" s="612"/>
    </row>
    <row r="830" spans="1:45" ht="15" customHeight="1" x14ac:dyDescent="0.25">
      <c r="A830" s="633"/>
      <c r="B830" s="630"/>
      <c r="C830" s="622"/>
      <c r="D830" s="625"/>
      <c r="E830" s="133" t="s">
        <v>32</v>
      </c>
      <c r="F830" s="589">
        <f>IFERROR(VLOOKUP($B828,اسماء,31,0),0)</f>
        <v>0</v>
      </c>
      <c r="G830" s="592"/>
      <c r="H830" s="608">
        <f>IFERROR(VLOOKUP($B828,اسماء,32,0),0)</f>
        <v>0</v>
      </c>
      <c r="I830" s="609"/>
      <c r="J830" s="589">
        <f>IFERROR(VLOOKUP($B828,اسماء,33,0),0)</f>
        <v>0</v>
      </c>
      <c r="K830" s="592"/>
      <c r="L830" s="589">
        <f>IFERROR(VLOOKUP($B828,اسماء,34,0),0)</f>
        <v>0</v>
      </c>
      <c r="M830" s="590"/>
      <c r="N830" s="589">
        <f>IFERROR(VLOOKUP($B828,اسماء,35,0),0)</f>
        <v>0</v>
      </c>
      <c r="O830" s="590"/>
      <c r="P830" s="589">
        <f>IFERROR(VLOOKUP($B828,اسماء,36,0),0)</f>
        <v>0</v>
      </c>
      <c r="Q830" s="609"/>
      <c r="R830" s="603">
        <f>IFERROR(VLOOKUP($B828,اسماء,37,0),0)</f>
        <v>0</v>
      </c>
      <c r="S830" s="592"/>
      <c r="T830" s="589">
        <f>IFERROR(VLOOKUP($B828,اسماء,38,0),0)</f>
        <v>0</v>
      </c>
      <c r="U830" s="590"/>
      <c r="V830" s="378">
        <f t="shared" si="2531"/>
        <v>0</v>
      </c>
      <c r="W830" s="374">
        <f>IFERROR(VLOOKUP($B828,اسماء,40,0),0)</f>
        <v>0</v>
      </c>
      <c r="X830" s="379">
        <f>IFERROR(VLOOKUP($B828,اسماء,41,0),0)</f>
        <v>0</v>
      </c>
      <c r="Y830" s="596"/>
      <c r="Z830" s="22" t="str">
        <f t="shared" ref="Z830" si="2536">LOOKUP(V830,$AI$6:$AJ$10)</f>
        <v>ضعيف</v>
      </c>
      <c r="AA830" s="657"/>
      <c r="AB830" s="10"/>
      <c r="AC830" s="654"/>
      <c r="AN830" s="607"/>
      <c r="AO830" s="607"/>
      <c r="AP830" s="613"/>
      <c r="AQ830" s="612"/>
      <c r="AR830" s="611"/>
      <c r="AS830" s="612"/>
    </row>
    <row r="831" spans="1:45" ht="15" customHeight="1" thickBot="1" x14ac:dyDescent="0.3">
      <c r="A831" s="634"/>
      <c r="B831" s="631"/>
      <c r="C831" s="623"/>
      <c r="D831" s="626"/>
      <c r="E831" s="127" t="s">
        <v>33</v>
      </c>
      <c r="F831" s="585">
        <f t="shared" ref="F831" si="2537">SUM(F828:G830)</f>
        <v>0</v>
      </c>
      <c r="G831" s="593"/>
      <c r="H831" s="604">
        <f t="shared" ref="H831" si="2538">SUM(H828:I830)</f>
        <v>0</v>
      </c>
      <c r="I831" s="601"/>
      <c r="J831" s="585">
        <f t="shared" ref="J831" si="2539">SUM(J828:K830)</f>
        <v>0</v>
      </c>
      <c r="K831" s="593"/>
      <c r="L831" s="585">
        <f t="shared" ref="L831" si="2540">SUM(L828:M830)</f>
        <v>0</v>
      </c>
      <c r="M831" s="586"/>
      <c r="N831" s="585">
        <f t="shared" ref="N831" si="2541">SUM(N828:O830)</f>
        <v>0</v>
      </c>
      <c r="O831" s="586"/>
      <c r="P831" s="585">
        <f t="shared" ref="P831" si="2542">SUM(P828:Q830)</f>
        <v>0</v>
      </c>
      <c r="Q831" s="601"/>
      <c r="R831" s="602">
        <f t="shared" ref="R831" si="2543">SUM(R828:S830)</f>
        <v>0</v>
      </c>
      <c r="S831" s="593"/>
      <c r="T831" s="585">
        <f t="shared" ref="T831" si="2544">SUM(T828:U830)</f>
        <v>0</v>
      </c>
      <c r="U831" s="586"/>
      <c r="V831" s="96">
        <f t="shared" ref="V831" si="2545">IF(AND(F831&gt;=$G$8,H831&gt;=$I$8,L831&gt;=$M$8,P831&gt;=$Q$8,R831&gt;=$S$8,T831&gt;=$U$8),SUM(F831:U831),0)</f>
        <v>0</v>
      </c>
      <c r="W831" s="380"/>
      <c r="X831" s="97"/>
      <c r="Y831" s="597"/>
      <c r="Z831" s="91" t="str">
        <f t="shared" ref="Z831" si="2546">LOOKUP(V831,$AL$6:$AM$10)</f>
        <v>ضعيف</v>
      </c>
      <c r="AA831" s="658"/>
      <c r="AB831" s="72"/>
      <c r="AC831" s="655"/>
      <c r="AN831" s="607"/>
      <c r="AO831" s="607"/>
      <c r="AP831" s="613"/>
      <c r="AQ831" s="612"/>
      <c r="AR831" s="611"/>
      <c r="AS831" s="612"/>
    </row>
    <row r="832" spans="1:45" ht="15" customHeight="1" thickBot="1" x14ac:dyDescent="0.3">
      <c r="F832" s="75"/>
      <c r="G832" s="76"/>
      <c r="H832" s="75"/>
      <c r="I832" s="76"/>
      <c r="J832" s="75"/>
      <c r="K832" s="76"/>
      <c r="L832" s="75"/>
      <c r="M832" s="76"/>
      <c r="N832" s="76"/>
      <c r="O832" s="76"/>
      <c r="P832" s="75"/>
      <c r="Q832" s="76"/>
      <c r="R832" s="75"/>
      <c r="S832" s="76"/>
      <c r="T832" s="75"/>
      <c r="U832" s="76"/>
      <c r="V832" s="74"/>
      <c r="W832" s="77"/>
      <c r="X832" s="74"/>
      <c r="Y832" s="362"/>
      <c r="Z832" s="74"/>
      <c r="AA832" s="267"/>
      <c r="AB832" s="72"/>
      <c r="AK832" s="78"/>
    </row>
    <row r="833" spans="1:45" customFormat="1" ht="15" customHeight="1" x14ac:dyDescent="0.3">
      <c r="A833" s="617" t="s">
        <v>9</v>
      </c>
      <c r="B833" s="618"/>
      <c r="C833" s="619"/>
      <c r="D833" s="288" t="s">
        <v>11</v>
      </c>
      <c r="E833" s="600" t="s">
        <v>97</v>
      </c>
      <c r="F833" s="598"/>
      <c r="G833" s="598"/>
      <c r="H833" s="598"/>
      <c r="I833" s="598"/>
      <c r="J833" s="9"/>
      <c r="K833" s="9"/>
      <c r="L833" s="9"/>
      <c r="M833" s="9"/>
      <c r="N833" s="9"/>
      <c r="O833" s="9"/>
      <c r="P833" s="9"/>
      <c r="Q833" s="9"/>
      <c r="R833" s="9"/>
      <c r="S833" s="598" t="s">
        <v>156</v>
      </c>
      <c r="T833" s="598"/>
      <c r="U833" s="598"/>
      <c r="V833" s="598"/>
      <c r="W833" s="598"/>
      <c r="X833" s="598"/>
      <c r="Y833" s="598"/>
      <c r="Z833" s="1"/>
      <c r="AA833" s="268"/>
      <c r="AC833" s="79"/>
      <c r="AD833" s="80"/>
      <c r="AE833" s="80"/>
      <c r="AF833" s="80"/>
      <c r="AG833" s="80"/>
    </row>
    <row r="834" spans="1:45" customFormat="1" ht="15" customHeight="1" x14ac:dyDescent="0.25">
      <c r="A834" s="81" t="s">
        <v>8</v>
      </c>
      <c r="B834" s="610">
        <f>ادخال1!$BP$3</f>
        <v>0</v>
      </c>
      <c r="C834" s="620"/>
      <c r="D834" s="289"/>
      <c r="E834" s="9" t="s">
        <v>9</v>
      </c>
      <c r="F834" s="599" t="str">
        <f>ادخال1!$BP$5</f>
        <v>د.عبدالرحمن خليفة العريبي</v>
      </c>
      <c r="G834" s="599"/>
      <c r="H834" s="599"/>
      <c r="I834" s="599"/>
      <c r="J834" s="599"/>
      <c r="K834" s="599"/>
      <c r="L834" s="599"/>
      <c r="M834" s="599"/>
      <c r="N834" s="599"/>
      <c r="O834" s="599"/>
      <c r="P834" s="599"/>
      <c r="Q834" s="599"/>
      <c r="R834" s="9"/>
      <c r="S834" s="599" t="str">
        <f>ادخال1!$BP$6</f>
        <v>تاجوراء</v>
      </c>
      <c r="T834" s="599"/>
      <c r="U834" s="599"/>
      <c r="V834" s="599"/>
      <c r="W834" s="599"/>
      <c r="X834" s="599"/>
      <c r="Y834" s="599"/>
      <c r="Z834" s="599"/>
      <c r="AA834" s="67"/>
      <c r="AB834" s="67"/>
      <c r="AC834" s="79"/>
      <c r="AD834" s="79"/>
      <c r="AE834" s="79"/>
      <c r="AF834" s="79"/>
    </row>
    <row r="835" spans="1:45" customFormat="1" ht="15" customHeight="1" thickBot="1" x14ac:dyDescent="0.3">
      <c r="A835" s="82" t="s">
        <v>98</v>
      </c>
      <c r="B835" s="615">
        <f>ادخال1!$BP$4</f>
        <v>0</v>
      </c>
      <c r="C835" s="616"/>
      <c r="D835" s="290"/>
      <c r="E835" s="9" t="s">
        <v>11</v>
      </c>
      <c r="F835" s="607"/>
      <c r="G835" s="607"/>
      <c r="H835" s="607"/>
      <c r="I835" s="607"/>
      <c r="J835" s="607"/>
      <c r="K835" s="607"/>
      <c r="L835" s="607"/>
      <c r="M835" s="607"/>
      <c r="N835" s="607"/>
      <c r="O835" s="607"/>
      <c r="P835" s="607"/>
      <c r="Q835" s="607"/>
      <c r="R835" s="9"/>
      <c r="S835" s="9" t="s">
        <v>11</v>
      </c>
      <c r="T835" s="9"/>
      <c r="U835" s="9" t="s">
        <v>11</v>
      </c>
      <c r="V835" s="1"/>
      <c r="W835" s="1"/>
      <c r="X835" s="1"/>
      <c r="Y835" s="363"/>
      <c r="Z835" s="1"/>
      <c r="AA835" s="268"/>
      <c r="AC835" s="79"/>
      <c r="AD835" s="79"/>
      <c r="AE835" s="79"/>
      <c r="AF835" s="79"/>
    </row>
    <row r="836" spans="1:45" customFormat="1" ht="15" customHeight="1" x14ac:dyDescent="0.25">
      <c r="A836" s="598" t="s">
        <v>99</v>
      </c>
      <c r="B836" s="598"/>
      <c r="C836" s="598"/>
      <c r="D836" s="598"/>
      <c r="E836" s="598" t="s">
        <v>100</v>
      </c>
      <c r="F836" s="598"/>
      <c r="G836" s="598"/>
      <c r="H836" s="598"/>
      <c r="I836" s="598"/>
      <c r="J836" s="598"/>
      <c r="K836" s="598"/>
      <c r="L836" s="598"/>
      <c r="M836" s="598"/>
      <c r="N836" s="598"/>
      <c r="O836" s="598"/>
      <c r="P836" s="598"/>
      <c r="Q836" s="598"/>
      <c r="R836" s="598"/>
      <c r="S836" s="598"/>
      <c r="T836" s="9"/>
      <c r="U836" s="9"/>
      <c r="V836" s="9"/>
      <c r="W836" s="594">
        <f ca="1">TODAY()</f>
        <v>46035</v>
      </c>
      <c r="X836" s="594"/>
      <c r="Y836" s="594"/>
      <c r="Z836" s="594"/>
      <c r="AA836" s="268"/>
    </row>
    <row r="837" spans="1:45" customFormat="1" ht="15" customHeight="1" thickBot="1" x14ac:dyDescent="0.3">
      <c r="A837" s="9"/>
      <c r="B837" s="598" t="s">
        <v>101</v>
      </c>
      <c r="C837" s="598"/>
      <c r="D837" s="598"/>
      <c r="E837" s="598" t="s">
        <v>102</v>
      </c>
      <c r="F837" s="598"/>
      <c r="G837" s="598"/>
      <c r="H837" s="598"/>
      <c r="I837" s="598"/>
      <c r="J837" s="598"/>
      <c r="K837" s="598"/>
      <c r="L837" s="598"/>
      <c r="M837" s="598"/>
      <c r="N837" s="598"/>
      <c r="O837" s="598"/>
      <c r="P837" s="598"/>
      <c r="Q837" s="598"/>
      <c r="R837" s="598"/>
      <c r="S837" s="598"/>
      <c r="T837" s="9"/>
      <c r="U837" s="9"/>
      <c r="V837" s="1"/>
      <c r="W837" s="1"/>
      <c r="X837" s="1"/>
      <c r="Y837" s="363"/>
      <c r="Z837" s="1"/>
      <c r="AA837" s="268"/>
    </row>
    <row r="838" spans="1:45" ht="15" customHeight="1" x14ac:dyDescent="0.25">
      <c r="A838" s="632">
        <v>181</v>
      </c>
      <c r="B838" s="629">
        <f>VLOOKUP(A838,مسلسل,2,0)</f>
        <v>0</v>
      </c>
      <c r="C838" s="621" t="str">
        <f>IFERROR(VLOOKUP(B838,اسماء,2,0),"")</f>
        <v/>
      </c>
      <c r="D838" s="624" t="str">
        <f>IFERROR(VLOOKUP($B838,اسماء,3,0),"")</f>
        <v/>
      </c>
      <c r="E838" s="132" t="s">
        <v>30</v>
      </c>
      <c r="F838" s="627">
        <f>IFERROR(VLOOKUP($B838,اسماء,5,0),0)</f>
        <v>0</v>
      </c>
      <c r="G838" s="606"/>
      <c r="H838" s="628">
        <f>IFERROR(VLOOKUP($B838,اسماء,6,0),0)</f>
        <v>0</v>
      </c>
      <c r="I838" s="605"/>
      <c r="J838" s="587">
        <f>IFERROR(VLOOKUP($B838,اسماء,7,0),0)</f>
        <v>0</v>
      </c>
      <c r="K838" s="591"/>
      <c r="L838" s="587">
        <f>IFERROR(VLOOKUP($B838,اسماء,8,0),0)</f>
        <v>0</v>
      </c>
      <c r="M838" s="588"/>
      <c r="N838" s="587">
        <f>IFERROR(VLOOKUP($B838,اسماء,9,0),0)</f>
        <v>0</v>
      </c>
      <c r="O838" s="605"/>
      <c r="P838" s="587">
        <f>IFERROR(VLOOKUP($B838,اسماء,10,0),0)</f>
        <v>0</v>
      </c>
      <c r="Q838" s="605"/>
      <c r="R838" s="606">
        <f>IFERROR(VLOOKUP($B838,اسماء,11,0),0)</f>
        <v>0</v>
      </c>
      <c r="S838" s="591"/>
      <c r="T838" s="587">
        <f>IFERROR(VLOOKUP($B838,اسماء,12,0),0)</f>
        <v>0</v>
      </c>
      <c r="U838" s="588"/>
      <c r="V838" s="375">
        <f t="shared" ref="V838:V840" si="2547">SUM(F838:U838)</f>
        <v>0</v>
      </c>
      <c r="W838" s="376">
        <f>IFERROR(VLOOKUP($B838,اسماء,14,0),0)</f>
        <v>0</v>
      </c>
      <c r="X838" s="377">
        <f>IFERROR(VLOOKUP($B838,اسماء,15,0),0)</f>
        <v>0</v>
      </c>
      <c r="Y838" s="595" t="str">
        <f>IF(AC838="غائب","راسب",IF(AND(F841&gt;=$G$8,H841&gt;=$I$8,J841&gt;=$K$8,L841&gt;=$M$8,N841&gt;=$O$8,P841&gt;=$Q$8,R841&gt;=$S$8,T841&gt;=$U$8),"ناجح","له دور ثان"))</f>
        <v>له دور ثان</v>
      </c>
      <c r="Z838" s="21" t="str">
        <f>LOOKUP(V838,$AF$6:$AG$10)</f>
        <v>ضعيف</v>
      </c>
      <c r="AA838" s="656">
        <f>V841/$AF$3</f>
        <v>0</v>
      </c>
      <c r="AB838" s="72"/>
      <c r="AC838" s="653" t="str">
        <f>IFERROR(VLOOKUP($B838,اسماء,54,0),"")</f>
        <v/>
      </c>
      <c r="AN838" s="610" t="str">
        <f>IF(V841=0,"",V841/1+ROW()*0.00001)</f>
        <v/>
      </c>
      <c r="AO838" s="610">
        <f>B838</f>
        <v>0</v>
      </c>
      <c r="AP838" s="613"/>
      <c r="AQ838" s="612">
        <v>181</v>
      </c>
      <c r="AR838" s="611" t="str">
        <f>IFERROR(LARGE($AN$10:$AN$1006,AQ838),"")</f>
        <v/>
      </c>
      <c r="AS838" s="612" t="str">
        <f>VLOOKUP(AR838,$AN$10:$AO$1116,2,0)</f>
        <v>أحمد نورالدين أحمد الذيب</v>
      </c>
    </row>
    <row r="839" spans="1:45" ht="15" customHeight="1" x14ac:dyDescent="0.25">
      <c r="A839" s="633"/>
      <c r="B839" s="630"/>
      <c r="C839" s="622"/>
      <c r="D839" s="625"/>
      <c r="E839" s="133" t="s">
        <v>31</v>
      </c>
      <c r="F839" s="589">
        <f>IFERROR(VLOOKUP($B838,اسماء,18,0),0)</f>
        <v>0</v>
      </c>
      <c r="G839" s="592"/>
      <c r="H839" s="608">
        <f>IFERROR(VLOOKUP($B838,اسماء,19,0),0)</f>
        <v>0</v>
      </c>
      <c r="I839" s="609"/>
      <c r="J839" s="589">
        <f>IFERROR(VLOOKUP($B838,اسماء,20,0),0)</f>
        <v>0</v>
      </c>
      <c r="K839" s="592"/>
      <c r="L839" s="589">
        <f>IFERROR(VLOOKUP($B838,اسماء,21,0),0)</f>
        <v>0</v>
      </c>
      <c r="M839" s="590"/>
      <c r="N839" s="589">
        <f>IFERROR(VLOOKUP($B838,اسماء,22,0),0)</f>
        <v>0</v>
      </c>
      <c r="O839" s="590"/>
      <c r="P839" s="589">
        <f>IFERROR(VLOOKUP($B838,اسماء,23,0),0)</f>
        <v>0</v>
      </c>
      <c r="Q839" s="609"/>
      <c r="R839" s="603">
        <f>IFERROR(VLOOKUP($B838,اسماء,24,0),0)</f>
        <v>0</v>
      </c>
      <c r="S839" s="592"/>
      <c r="T839" s="589">
        <f>IFERROR(VLOOKUP($B838,اسماء,25,0),0)</f>
        <v>0</v>
      </c>
      <c r="U839" s="590"/>
      <c r="V839" s="378">
        <f t="shared" si="2547"/>
        <v>0</v>
      </c>
      <c r="W839" s="374">
        <f>IFERROR(VLOOKUP($B838,اسماء,27,0),0)</f>
        <v>0</v>
      </c>
      <c r="X839" s="379">
        <f>IFERROR(VLOOKUP($B838,اسماء,28,0),0)</f>
        <v>0</v>
      </c>
      <c r="Y839" s="596"/>
      <c r="Z839" s="22" t="str">
        <f>LOOKUP(V839,$AF$6:$AG$10)</f>
        <v>ضعيف</v>
      </c>
      <c r="AA839" s="657"/>
      <c r="AB839" s="10"/>
      <c r="AC839" s="654"/>
      <c r="AN839" s="610"/>
      <c r="AO839" s="610"/>
      <c r="AP839" s="613"/>
      <c r="AQ839" s="612"/>
      <c r="AR839" s="611"/>
      <c r="AS839" s="612"/>
    </row>
    <row r="840" spans="1:45" ht="15" customHeight="1" x14ac:dyDescent="0.25">
      <c r="A840" s="633"/>
      <c r="B840" s="630"/>
      <c r="C840" s="622"/>
      <c r="D840" s="625"/>
      <c r="E840" s="133" t="s">
        <v>32</v>
      </c>
      <c r="F840" s="589">
        <f>IFERROR(VLOOKUP($B838,اسماء,31,0),0)</f>
        <v>0</v>
      </c>
      <c r="G840" s="592"/>
      <c r="H840" s="608">
        <f>IFERROR(VLOOKUP($B838,اسماء,32,0),0)</f>
        <v>0</v>
      </c>
      <c r="I840" s="609"/>
      <c r="J840" s="589">
        <f>IFERROR(VLOOKUP($B838,اسماء,33,0),0)</f>
        <v>0</v>
      </c>
      <c r="K840" s="592"/>
      <c r="L840" s="589">
        <f>IFERROR(VLOOKUP($B838,اسماء,34,0),0)</f>
        <v>0</v>
      </c>
      <c r="M840" s="590"/>
      <c r="N840" s="589">
        <f>IFERROR(VLOOKUP($B838,اسماء,35,0),0)</f>
        <v>0</v>
      </c>
      <c r="O840" s="590"/>
      <c r="P840" s="589">
        <f>IFERROR(VLOOKUP($B838,اسماء,36,0),0)</f>
        <v>0</v>
      </c>
      <c r="Q840" s="609"/>
      <c r="R840" s="603">
        <f>IFERROR(VLOOKUP($B838,اسماء,37,0),0)</f>
        <v>0</v>
      </c>
      <c r="S840" s="592"/>
      <c r="T840" s="589">
        <f>IFERROR(VLOOKUP($B838,اسماء,38,0),0)</f>
        <v>0</v>
      </c>
      <c r="U840" s="590"/>
      <c r="V840" s="378">
        <f t="shared" si="2547"/>
        <v>0</v>
      </c>
      <c r="W840" s="374">
        <f>IFERROR(VLOOKUP($B838,اسماء,40,0),0)</f>
        <v>0</v>
      </c>
      <c r="X840" s="379">
        <f>IFERROR(VLOOKUP($B838,اسماء,41,0),0)</f>
        <v>0</v>
      </c>
      <c r="Y840" s="596"/>
      <c r="Z840" s="22" t="str">
        <f>LOOKUP(V840,$AI$6:$AJ$10)</f>
        <v>ضعيف</v>
      </c>
      <c r="AA840" s="657"/>
      <c r="AB840" s="72"/>
      <c r="AC840" s="654"/>
      <c r="AN840" s="610"/>
      <c r="AO840" s="610"/>
      <c r="AP840" s="613"/>
      <c r="AQ840" s="612"/>
      <c r="AR840" s="611"/>
      <c r="AS840" s="612"/>
    </row>
    <row r="841" spans="1:45" ht="15" customHeight="1" thickBot="1" x14ac:dyDescent="0.3">
      <c r="A841" s="634"/>
      <c r="B841" s="631"/>
      <c r="C841" s="623"/>
      <c r="D841" s="626"/>
      <c r="E841" s="127" t="s">
        <v>33</v>
      </c>
      <c r="F841" s="585">
        <f t="shared" ref="F841" si="2548">SUM(F838:G840)</f>
        <v>0</v>
      </c>
      <c r="G841" s="593"/>
      <c r="H841" s="604">
        <f t="shared" ref="H841" si="2549">SUM(H838:I840)</f>
        <v>0</v>
      </c>
      <c r="I841" s="601"/>
      <c r="J841" s="585">
        <f t="shared" ref="J841" si="2550">SUM(J838:K840)</f>
        <v>0</v>
      </c>
      <c r="K841" s="593"/>
      <c r="L841" s="585">
        <f t="shared" ref="L841" si="2551">SUM(L838:M840)</f>
        <v>0</v>
      </c>
      <c r="M841" s="586"/>
      <c r="N841" s="585">
        <f t="shared" ref="N841" si="2552">SUM(N838:O840)</f>
        <v>0</v>
      </c>
      <c r="O841" s="586"/>
      <c r="P841" s="585">
        <f t="shared" ref="P841" si="2553">SUM(P838:Q840)</f>
        <v>0</v>
      </c>
      <c r="Q841" s="601"/>
      <c r="R841" s="602">
        <f t="shared" ref="R841" si="2554">SUM(R838:S840)</f>
        <v>0</v>
      </c>
      <c r="S841" s="593"/>
      <c r="T841" s="585">
        <f t="shared" ref="T841" si="2555">SUM(T838:U840)</f>
        <v>0</v>
      </c>
      <c r="U841" s="586"/>
      <c r="V841" s="96">
        <f t="shared" ref="V841" si="2556">IF(AND(F841&gt;=$G$8,H841&gt;=$I$8,L841&gt;=$M$8,P841&gt;=$Q$8,R841&gt;=$S$8,T841&gt;=$U$8),SUM(F841:U841),0)</f>
        <v>0</v>
      </c>
      <c r="W841" s="380"/>
      <c r="X841" s="97"/>
      <c r="Y841" s="597"/>
      <c r="Z841" s="91" t="str">
        <f>LOOKUP(V841,$AL$6:$AM$10)</f>
        <v>ضعيف</v>
      </c>
      <c r="AA841" s="658"/>
      <c r="AB841" s="72"/>
      <c r="AC841" s="655"/>
      <c r="AN841" s="610"/>
      <c r="AO841" s="610"/>
      <c r="AP841" s="613"/>
      <c r="AQ841" s="612"/>
      <c r="AR841" s="611"/>
      <c r="AS841" s="612"/>
    </row>
    <row r="842" spans="1:45" ht="15" customHeight="1" x14ac:dyDescent="0.25">
      <c r="A842" s="632">
        <v>182</v>
      </c>
      <c r="B842" s="629">
        <f>VLOOKUP(A842,مسلسل,2,0)</f>
        <v>0</v>
      </c>
      <c r="C842" s="621" t="str">
        <f>IFERROR(VLOOKUP(B842,اسماء,2,0),"")</f>
        <v/>
      </c>
      <c r="D842" s="624" t="str">
        <f>IFERROR(VLOOKUP($B842,اسماء,3,0),"")</f>
        <v/>
      </c>
      <c r="E842" s="132" t="s">
        <v>30</v>
      </c>
      <c r="F842" s="627">
        <f>IFERROR(VLOOKUP($B842,اسماء,5,0),0)</f>
        <v>0</v>
      </c>
      <c r="G842" s="606"/>
      <c r="H842" s="628">
        <f>IFERROR(VLOOKUP($B842,اسماء,6,0),0)</f>
        <v>0</v>
      </c>
      <c r="I842" s="605"/>
      <c r="J842" s="587">
        <f>IFERROR(VLOOKUP($B842,اسماء,7,0),0)</f>
        <v>0</v>
      </c>
      <c r="K842" s="591"/>
      <c r="L842" s="587">
        <f>IFERROR(VLOOKUP($B842,اسماء,8,0),0)</f>
        <v>0</v>
      </c>
      <c r="M842" s="588"/>
      <c r="N842" s="587">
        <f>IFERROR(VLOOKUP($B842,اسماء,9,0),0)</f>
        <v>0</v>
      </c>
      <c r="O842" s="605"/>
      <c r="P842" s="587">
        <f>IFERROR(VLOOKUP($B842,اسماء,10,0),0)</f>
        <v>0</v>
      </c>
      <c r="Q842" s="605"/>
      <c r="R842" s="606">
        <f>IFERROR(VLOOKUP($B842,اسماء,11,0),0)</f>
        <v>0</v>
      </c>
      <c r="S842" s="591"/>
      <c r="T842" s="587">
        <f>IFERROR(VLOOKUP($B842,اسماء,12,0),0)</f>
        <v>0</v>
      </c>
      <c r="U842" s="588"/>
      <c r="V842" s="375">
        <f t="shared" ref="V842:V844" si="2557">SUM(F842:U842)</f>
        <v>0</v>
      </c>
      <c r="W842" s="376">
        <f>IFERROR(VLOOKUP($B842,اسماء,14,0),0)</f>
        <v>0</v>
      </c>
      <c r="X842" s="377">
        <f>IFERROR(VLOOKUP($B842,اسماء,15,0),0)</f>
        <v>0</v>
      </c>
      <c r="Y842" s="595" t="str">
        <f t="shared" ref="Y842" si="2558">IF(AC842="غائب","راسب",IF(AND(F845&gt;=$G$8,H845&gt;=$I$8,J845&gt;=$K$8,L845&gt;=$M$8,N845&gt;=$O$8,P845&gt;=$Q$8,R845&gt;=$S$8,T845&gt;=$U$8),"ناجح","له دور ثان"))</f>
        <v>له دور ثان</v>
      </c>
      <c r="Z842" s="21" t="str">
        <f>LOOKUP(V842,$AF$6:$AG$10)</f>
        <v>ضعيف</v>
      </c>
      <c r="AA842" s="656">
        <f>V845/$AF$3</f>
        <v>0</v>
      </c>
      <c r="AB842" s="10"/>
      <c r="AC842" s="653" t="str">
        <f>IFERROR(VLOOKUP($B842,اسماء,54,0),"")</f>
        <v/>
      </c>
      <c r="AN842" s="607" t="str">
        <f t="shared" ref="AN842" si="2559">IF(V845=0,"",V845/1+ROW()*0.00001)</f>
        <v/>
      </c>
      <c r="AO842" s="607">
        <f>B842</f>
        <v>0</v>
      </c>
      <c r="AP842" s="613"/>
      <c r="AQ842" s="612">
        <v>182</v>
      </c>
      <c r="AR842" s="611" t="str">
        <f>IFERROR(LARGE($AN$10:$AN$1006,AQ842),"")</f>
        <v/>
      </c>
      <c r="AS842" s="612" t="str">
        <f>VLOOKUP(AR842,$AN$10:$AO$1116,2,0)</f>
        <v>أحمد نورالدين أحمد الذيب</v>
      </c>
    </row>
    <row r="843" spans="1:45" ht="15" customHeight="1" x14ac:dyDescent="0.25">
      <c r="A843" s="633"/>
      <c r="B843" s="630"/>
      <c r="C843" s="622"/>
      <c r="D843" s="625"/>
      <c r="E843" s="133" t="s">
        <v>31</v>
      </c>
      <c r="F843" s="589">
        <f>IFERROR(VLOOKUP($B842,اسماء,18,0),0)</f>
        <v>0</v>
      </c>
      <c r="G843" s="592"/>
      <c r="H843" s="608">
        <f>IFERROR(VLOOKUP($B842,اسماء,19,0),0)</f>
        <v>0</v>
      </c>
      <c r="I843" s="609"/>
      <c r="J843" s="589">
        <f>IFERROR(VLOOKUP($B842,اسماء,20,0),0)</f>
        <v>0</v>
      </c>
      <c r="K843" s="592"/>
      <c r="L843" s="589">
        <f>IFERROR(VLOOKUP($B842,اسماء,21,0),0)</f>
        <v>0</v>
      </c>
      <c r="M843" s="590"/>
      <c r="N843" s="589">
        <f>IFERROR(VLOOKUP($B842,اسماء,22,0),0)</f>
        <v>0</v>
      </c>
      <c r="O843" s="590"/>
      <c r="P843" s="589">
        <f>IFERROR(VLOOKUP($B842,اسماء,23,0),0)</f>
        <v>0</v>
      </c>
      <c r="Q843" s="609"/>
      <c r="R843" s="603">
        <f>IFERROR(VLOOKUP($B842,اسماء,24,0),0)</f>
        <v>0</v>
      </c>
      <c r="S843" s="592"/>
      <c r="T843" s="589">
        <f>IFERROR(VLOOKUP($B842,اسماء,25,0),0)</f>
        <v>0</v>
      </c>
      <c r="U843" s="590"/>
      <c r="V843" s="378">
        <f t="shared" si="2557"/>
        <v>0</v>
      </c>
      <c r="W843" s="374">
        <f>IFERROR(VLOOKUP($B842,اسماء,27,0),0)</f>
        <v>0</v>
      </c>
      <c r="X843" s="379">
        <f>IFERROR(VLOOKUP($B842,اسماء,28,0),0)</f>
        <v>0</v>
      </c>
      <c r="Y843" s="596"/>
      <c r="Z843" s="22" t="str">
        <f>LOOKUP(V843,$AF$6:$AG$10)</f>
        <v>ضعيف</v>
      </c>
      <c r="AA843" s="657"/>
      <c r="AB843" s="72"/>
      <c r="AC843" s="654"/>
      <c r="AN843" s="607"/>
      <c r="AO843" s="607"/>
      <c r="AP843" s="613"/>
      <c r="AQ843" s="612"/>
      <c r="AR843" s="611"/>
      <c r="AS843" s="612"/>
    </row>
    <row r="844" spans="1:45" ht="15" customHeight="1" x14ac:dyDescent="0.25">
      <c r="A844" s="633"/>
      <c r="B844" s="630"/>
      <c r="C844" s="622"/>
      <c r="D844" s="625"/>
      <c r="E844" s="133" t="s">
        <v>32</v>
      </c>
      <c r="F844" s="589">
        <f>IFERROR(VLOOKUP($B842,اسماء,31,0),0)</f>
        <v>0</v>
      </c>
      <c r="G844" s="592"/>
      <c r="H844" s="608">
        <f>IFERROR(VLOOKUP($B842,اسماء,32,0),0)</f>
        <v>0</v>
      </c>
      <c r="I844" s="609"/>
      <c r="J844" s="589">
        <f>IFERROR(VLOOKUP($B842,اسماء,33,0),0)</f>
        <v>0</v>
      </c>
      <c r="K844" s="592"/>
      <c r="L844" s="589">
        <f>IFERROR(VLOOKUP($B842,اسماء,34,0),0)</f>
        <v>0</v>
      </c>
      <c r="M844" s="590"/>
      <c r="N844" s="589">
        <f>IFERROR(VLOOKUP($B842,اسماء,35,0),0)</f>
        <v>0</v>
      </c>
      <c r="O844" s="590"/>
      <c r="P844" s="589">
        <f>IFERROR(VLOOKUP($B842,اسماء,36,0),0)</f>
        <v>0</v>
      </c>
      <c r="Q844" s="609"/>
      <c r="R844" s="603">
        <f>IFERROR(VLOOKUP($B842,اسماء,37,0),0)</f>
        <v>0</v>
      </c>
      <c r="S844" s="592"/>
      <c r="T844" s="589">
        <f>IFERROR(VLOOKUP($B842,اسماء,38,0),0)</f>
        <v>0</v>
      </c>
      <c r="U844" s="590"/>
      <c r="V844" s="378">
        <f t="shared" si="2557"/>
        <v>0</v>
      </c>
      <c r="W844" s="374">
        <f>IFERROR(VLOOKUP($B842,اسماء,40,0),0)</f>
        <v>0</v>
      </c>
      <c r="X844" s="379">
        <f>IFERROR(VLOOKUP($B842,اسماء,41,0),0)</f>
        <v>0</v>
      </c>
      <c r="Y844" s="596"/>
      <c r="Z844" s="22" t="str">
        <f>LOOKUP(V844,$AI$6:$AJ$10)</f>
        <v>ضعيف</v>
      </c>
      <c r="AA844" s="657"/>
      <c r="AB844" s="72"/>
      <c r="AC844" s="654"/>
      <c r="AN844" s="607"/>
      <c r="AO844" s="607"/>
      <c r="AP844" s="613"/>
      <c r="AQ844" s="612"/>
      <c r="AR844" s="611"/>
      <c r="AS844" s="612"/>
    </row>
    <row r="845" spans="1:45" ht="15" customHeight="1" thickBot="1" x14ac:dyDescent="0.3">
      <c r="A845" s="634"/>
      <c r="B845" s="631"/>
      <c r="C845" s="623"/>
      <c r="D845" s="626"/>
      <c r="E845" s="127" t="s">
        <v>33</v>
      </c>
      <c r="F845" s="585">
        <f t="shared" ref="F845" si="2560">SUM(F842:G844)</f>
        <v>0</v>
      </c>
      <c r="G845" s="593"/>
      <c r="H845" s="604">
        <f t="shared" ref="H845" si="2561">SUM(H842:I844)</f>
        <v>0</v>
      </c>
      <c r="I845" s="601"/>
      <c r="J845" s="585">
        <f t="shared" ref="J845" si="2562">SUM(J842:K844)</f>
        <v>0</v>
      </c>
      <c r="K845" s="593"/>
      <c r="L845" s="585">
        <f t="shared" ref="L845" si="2563">SUM(L842:M844)</f>
        <v>0</v>
      </c>
      <c r="M845" s="586"/>
      <c r="N845" s="585">
        <f t="shared" ref="N845" si="2564">SUM(N842:O844)</f>
        <v>0</v>
      </c>
      <c r="O845" s="586"/>
      <c r="P845" s="585">
        <f t="shared" ref="P845" si="2565">SUM(P842:Q844)</f>
        <v>0</v>
      </c>
      <c r="Q845" s="601"/>
      <c r="R845" s="602">
        <f t="shared" ref="R845" si="2566">SUM(R842:S844)</f>
        <v>0</v>
      </c>
      <c r="S845" s="593"/>
      <c r="T845" s="585">
        <f t="shared" ref="T845" si="2567">SUM(T842:U844)</f>
        <v>0</v>
      </c>
      <c r="U845" s="586"/>
      <c r="V845" s="96">
        <f t="shared" ref="V845" si="2568">IF(AND(F845&gt;=$G$8,H845&gt;=$I$8,L845&gt;=$M$8,P845&gt;=$Q$8,R845&gt;=$S$8,T845&gt;=$U$8),SUM(F845:U845),0)</f>
        <v>0</v>
      </c>
      <c r="W845" s="380"/>
      <c r="X845" s="97"/>
      <c r="Y845" s="597"/>
      <c r="Z845" s="91" t="str">
        <f>LOOKUP(V845,$AL$6:$AM$10)</f>
        <v>ضعيف</v>
      </c>
      <c r="AA845" s="658"/>
      <c r="AB845" s="10"/>
      <c r="AC845" s="655"/>
      <c r="AN845" s="607"/>
      <c r="AO845" s="607"/>
      <c r="AP845" s="613"/>
      <c r="AQ845" s="612"/>
      <c r="AR845" s="611"/>
      <c r="AS845" s="612"/>
    </row>
    <row r="846" spans="1:45" ht="15" customHeight="1" x14ac:dyDescent="0.25">
      <c r="A846" s="632">
        <v>183</v>
      </c>
      <c r="B846" s="629">
        <f>VLOOKUP(A846,مسلسل,2,0)</f>
        <v>0</v>
      </c>
      <c r="C846" s="621" t="str">
        <f>IFERROR(VLOOKUP(B846,اسماء,2,0),"")</f>
        <v/>
      </c>
      <c r="D846" s="624" t="str">
        <f>IFERROR(VLOOKUP($B846,اسماء,3,0),"")</f>
        <v/>
      </c>
      <c r="E846" s="132" t="s">
        <v>30</v>
      </c>
      <c r="F846" s="627">
        <f>IFERROR(VLOOKUP($B846,اسماء,5,0),0)</f>
        <v>0</v>
      </c>
      <c r="G846" s="606"/>
      <c r="H846" s="628">
        <f>IFERROR(VLOOKUP($B846,اسماء,6,0),0)</f>
        <v>0</v>
      </c>
      <c r="I846" s="605"/>
      <c r="J846" s="587">
        <f>IFERROR(VLOOKUP($B846,اسماء,7,0),0)</f>
        <v>0</v>
      </c>
      <c r="K846" s="591"/>
      <c r="L846" s="587">
        <f>IFERROR(VLOOKUP($B846,اسماء,8,0),0)</f>
        <v>0</v>
      </c>
      <c r="M846" s="588"/>
      <c r="N846" s="587">
        <f>IFERROR(VLOOKUP($B846,اسماء,9,0),0)</f>
        <v>0</v>
      </c>
      <c r="O846" s="605"/>
      <c r="P846" s="587">
        <f>IFERROR(VLOOKUP($B846,اسماء,10,0),0)</f>
        <v>0</v>
      </c>
      <c r="Q846" s="605"/>
      <c r="R846" s="606">
        <f>IFERROR(VLOOKUP($B846,اسماء,11,0),0)</f>
        <v>0</v>
      </c>
      <c r="S846" s="591"/>
      <c r="T846" s="587">
        <f>IFERROR(VLOOKUP($B846,اسماء,12,0),0)</f>
        <v>0</v>
      </c>
      <c r="U846" s="588"/>
      <c r="V846" s="375">
        <f t="shared" ref="V846:V848" si="2569">SUM(F846:U846)</f>
        <v>0</v>
      </c>
      <c r="W846" s="376">
        <f>IFERROR(VLOOKUP($B846,اسماء,14,0),0)</f>
        <v>0</v>
      </c>
      <c r="X846" s="377">
        <f>IFERROR(VLOOKUP($B846,اسماء,15,0),0)</f>
        <v>0</v>
      </c>
      <c r="Y846" s="595" t="str">
        <f t="shared" ref="Y846" si="2570">IF(AC846="غائب","راسب",IF(AND(F849&gt;=$G$8,H849&gt;=$I$8,J849&gt;=$K$8,L849&gt;=$M$8,N849&gt;=$O$8,P849&gt;=$Q$8,R849&gt;=$S$8,T849&gt;=$U$8),"ناجح","له دور ثان"))</f>
        <v>له دور ثان</v>
      </c>
      <c r="Z846" s="21" t="str">
        <f>LOOKUP(V846,$AF$6:$AG$10)</f>
        <v>ضعيف</v>
      </c>
      <c r="AA846" s="656">
        <f>V849/$AF$3</f>
        <v>0</v>
      </c>
      <c r="AB846" s="72"/>
      <c r="AC846" s="653" t="str">
        <f>IFERROR(VLOOKUP($B846,اسماء,54,0),"")</f>
        <v/>
      </c>
      <c r="AN846" s="607" t="str">
        <f t="shared" ref="AN846" si="2571">IF(V849=0,"",V849/1+ROW()*0.00001)</f>
        <v/>
      </c>
      <c r="AO846" s="607">
        <f>B846</f>
        <v>0</v>
      </c>
      <c r="AP846" s="613"/>
      <c r="AQ846" s="612">
        <v>183</v>
      </c>
      <c r="AR846" s="611" t="str">
        <f>IFERROR(LARGE($AN$10:$AN$1006,AQ846),"")</f>
        <v/>
      </c>
      <c r="AS846" s="612" t="str">
        <f>VLOOKUP(AR846,$AN$10:$AO$1116,2,0)</f>
        <v>أحمد نورالدين أحمد الذيب</v>
      </c>
    </row>
    <row r="847" spans="1:45" ht="15" customHeight="1" x14ac:dyDescent="0.25">
      <c r="A847" s="633"/>
      <c r="B847" s="630"/>
      <c r="C847" s="622"/>
      <c r="D847" s="625"/>
      <c r="E847" s="133" t="s">
        <v>31</v>
      </c>
      <c r="F847" s="589">
        <f>IFERROR(VLOOKUP($B846,اسماء,18,0),0)</f>
        <v>0</v>
      </c>
      <c r="G847" s="592"/>
      <c r="H847" s="608">
        <f>IFERROR(VLOOKUP($B846,اسماء,19,0),0)</f>
        <v>0</v>
      </c>
      <c r="I847" s="609"/>
      <c r="J847" s="589">
        <f>IFERROR(VLOOKUP($B846,اسماء,20,0),0)</f>
        <v>0</v>
      </c>
      <c r="K847" s="592"/>
      <c r="L847" s="589">
        <f>IFERROR(VLOOKUP($B846,اسماء,21,0),0)</f>
        <v>0</v>
      </c>
      <c r="M847" s="590"/>
      <c r="N847" s="589">
        <f>IFERROR(VLOOKUP($B846,اسماء,22,0),0)</f>
        <v>0</v>
      </c>
      <c r="O847" s="590"/>
      <c r="P847" s="589">
        <f>IFERROR(VLOOKUP($B846,اسماء,23,0),0)</f>
        <v>0</v>
      </c>
      <c r="Q847" s="609"/>
      <c r="R847" s="603">
        <f>IFERROR(VLOOKUP($B846,اسماء,24,0),0)</f>
        <v>0</v>
      </c>
      <c r="S847" s="592"/>
      <c r="T847" s="589">
        <f>IFERROR(VLOOKUP($B846,اسماء,25,0),0)</f>
        <v>0</v>
      </c>
      <c r="U847" s="590"/>
      <c r="V847" s="378">
        <f t="shared" si="2569"/>
        <v>0</v>
      </c>
      <c r="W847" s="374">
        <f>IFERROR(VLOOKUP($B846,اسماء,27,0),0)</f>
        <v>0</v>
      </c>
      <c r="X847" s="379">
        <f>IFERROR(VLOOKUP($B846,اسماء,28,0),0)</f>
        <v>0</v>
      </c>
      <c r="Y847" s="596"/>
      <c r="Z847" s="22" t="str">
        <f>LOOKUP(V847,$AF$6:$AG$10)</f>
        <v>ضعيف</v>
      </c>
      <c r="AA847" s="657"/>
      <c r="AB847" s="72"/>
      <c r="AC847" s="654"/>
      <c r="AN847" s="607"/>
      <c r="AO847" s="607"/>
      <c r="AP847" s="613"/>
      <c r="AQ847" s="612"/>
      <c r="AR847" s="611"/>
      <c r="AS847" s="612"/>
    </row>
    <row r="848" spans="1:45" ht="15" customHeight="1" x14ac:dyDescent="0.25">
      <c r="A848" s="633"/>
      <c r="B848" s="630"/>
      <c r="C848" s="622"/>
      <c r="D848" s="625"/>
      <c r="E848" s="133" t="s">
        <v>32</v>
      </c>
      <c r="F848" s="589">
        <f>IFERROR(VLOOKUP($B846,اسماء,31,0),0)</f>
        <v>0</v>
      </c>
      <c r="G848" s="592"/>
      <c r="H848" s="608">
        <f>IFERROR(VLOOKUP($B846,اسماء,32,0),0)</f>
        <v>0</v>
      </c>
      <c r="I848" s="609"/>
      <c r="J848" s="589">
        <f>IFERROR(VLOOKUP($B846,اسماء,33,0),0)</f>
        <v>0</v>
      </c>
      <c r="K848" s="592"/>
      <c r="L848" s="589">
        <f>IFERROR(VLOOKUP($B846,اسماء,34,0),0)</f>
        <v>0</v>
      </c>
      <c r="M848" s="590"/>
      <c r="N848" s="589">
        <f>IFERROR(VLOOKUP($B846,اسماء,35,0),0)</f>
        <v>0</v>
      </c>
      <c r="O848" s="590"/>
      <c r="P848" s="589">
        <f>IFERROR(VLOOKUP($B846,اسماء,36,0),0)</f>
        <v>0</v>
      </c>
      <c r="Q848" s="609"/>
      <c r="R848" s="603">
        <f>IFERROR(VLOOKUP($B846,اسماء,37,0),0)</f>
        <v>0</v>
      </c>
      <c r="S848" s="592"/>
      <c r="T848" s="589">
        <f>IFERROR(VLOOKUP($B846,اسماء,38,0),0)</f>
        <v>0</v>
      </c>
      <c r="U848" s="590"/>
      <c r="V848" s="378">
        <f t="shared" si="2569"/>
        <v>0</v>
      </c>
      <c r="W848" s="374">
        <f>IFERROR(VLOOKUP($B846,اسماء,40,0),0)</f>
        <v>0</v>
      </c>
      <c r="X848" s="379">
        <f>IFERROR(VLOOKUP($B846,اسماء,41,0),0)</f>
        <v>0</v>
      </c>
      <c r="Y848" s="596"/>
      <c r="Z848" s="22" t="str">
        <f>LOOKUP(V848,$AI$6:$AJ$10)</f>
        <v>ضعيف</v>
      </c>
      <c r="AA848" s="657"/>
      <c r="AB848" s="10"/>
      <c r="AC848" s="654"/>
      <c r="AN848" s="607"/>
      <c r="AO848" s="607"/>
      <c r="AP848" s="613"/>
      <c r="AQ848" s="612"/>
      <c r="AR848" s="611"/>
      <c r="AS848" s="612"/>
    </row>
    <row r="849" spans="1:45" ht="15" customHeight="1" thickBot="1" x14ac:dyDescent="0.3">
      <c r="A849" s="634"/>
      <c r="B849" s="631"/>
      <c r="C849" s="623"/>
      <c r="D849" s="626"/>
      <c r="E849" s="127" t="s">
        <v>33</v>
      </c>
      <c r="F849" s="585">
        <f t="shared" ref="F849" si="2572">SUM(F846:G848)</f>
        <v>0</v>
      </c>
      <c r="G849" s="593"/>
      <c r="H849" s="604">
        <f t="shared" ref="H849" si="2573">SUM(H846:I848)</f>
        <v>0</v>
      </c>
      <c r="I849" s="601"/>
      <c r="J849" s="585">
        <f t="shared" ref="J849" si="2574">SUM(J846:K848)</f>
        <v>0</v>
      </c>
      <c r="K849" s="593"/>
      <c r="L849" s="585">
        <f t="shared" ref="L849" si="2575">SUM(L846:M848)</f>
        <v>0</v>
      </c>
      <c r="M849" s="586"/>
      <c r="N849" s="585">
        <f t="shared" ref="N849" si="2576">SUM(N846:O848)</f>
        <v>0</v>
      </c>
      <c r="O849" s="586"/>
      <c r="P849" s="585">
        <f t="shared" ref="P849" si="2577">SUM(P846:Q848)</f>
        <v>0</v>
      </c>
      <c r="Q849" s="601"/>
      <c r="R849" s="602">
        <f t="shared" ref="R849" si="2578">SUM(R846:S848)</f>
        <v>0</v>
      </c>
      <c r="S849" s="593"/>
      <c r="T849" s="585">
        <f t="shared" ref="T849" si="2579">SUM(T846:U848)</f>
        <v>0</v>
      </c>
      <c r="U849" s="586"/>
      <c r="V849" s="96">
        <f t="shared" ref="V849" si="2580">IF(AND(F849&gt;=$G$8,H849&gt;=$I$8,L849&gt;=$M$8,P849&gt;=$Q$8,R849&gt;=$S$8,T849&gt;=$U$8),SUM(F849:U849),0)</f>
        <v>0</v>
      </c>
      <c r="W849" s="380"/>
      <c r="X849" s="97"/>
      <c r="Y849" s="597"/>
      <c r="Z849" s="91" t="str">
        <f>LOOKUP(V849,$AL$6:$AM$10)</f>
        <v>ضعيف</v>
      </c>
      <c r="AA849" s="658"/>
      <c r="AB849" s="72"/>
      <c r="AC849" s="655"/>
      <c r="AN849" s="607"/>
      <c r="AO849" s="607"/>
      <c r="AP849" s="613"/>
      <c r="AQ849" s="612"/>
      <c r="AR849" s="611"/>
      <c r="AS849" s="612"/>
    </row>
    <row r="850" spans="1:45" ht="15" customHeight="1" x14ac:dyDescent="0.25">
      <c r="A850" s="632">
        <v>184</v>
      </c>
      <c r="B850" s="629">
        <f>VLOOKUP(A850,مسلسل,2,0)</f>
        <v>0</v>
      </c>
      <c r="C850" s="621" t="str">
        <f>IFERROR(VLOOKUP(B850,اسماء,2,0),"")</f>
        <v/>
      </c>
      <c r="D850" s="624" t="str">
        <f>IFERROR(VLOOKUP($B850,اسماء,3,0),"")</f>
        <v/>
      </c>
      <c r="E850" s="132" t="s">
        <v>30</v>
      </c>
      <c r="F850" s="627">
        <f>IFERROR(VLOOKUP($B850,اسماء,5,0),0)</f>
        <v>0</v>
      </c>
      <c r="G850" s="606"/>
      <c r="H850" s="628">
        <f>IFERROR(VLOOKUP($B850,اسماء,6,0),0)</f>
        <v>0</v>
      </c>
      <c r="I850" s="605"/>
      <c r="J850" s="587">
        <f>IFERROR(VLOOKUP($B850,اسماء,7,0),0)</f>
        <v>0</v>
      </c>
      <c r="K850" s="591"/>
      <c r="L850" s="587">
        <f>IFERROR(VLOOKUP($B850,اسماء,8,0),0)</f>
        <v>0</v>
      </c>
      <c r="M850" s="588"/>
      <c r="N850" s="587">
        <f>IFERROR(VLOOKUP($B850,اسماء,9,0),0)</f>
        <v>0</v>
      </c>
      <c r="O850" s="605"/>
      <c r="P850" s="587">
        <f>IFERROR(VLOOKUP($B850,اسماء,10,0),0)</f>
        <v>0</v>
      </c>
      <c r="Q850" s="605"/>
      <c r="R850" s="606">
        <f>IFERROR(VLOOKUP($B850,اسماء,11,0),0)</f>
        <v>0</v>
      </c>
      <c r="S850" s="591"/>
      <c r="T850" s="587">
        <f>IFERROR(VLOOKUP($B850,اسماء,12,0),0)</f>
        <v>0</v>
      </c>
      <c r="U850" s="588"/>
      <c r="V850" s="375">
        <f t="shared" ref="V850:V852" si="2581">SUM(F850:U850)</f>
        <v>0</v>
      </c>
      <c r="W850" s="376">
        <f>IFERROR(VLOOKUP($B850,اسماء,14,0),0)</f>
        <v>0</v>
      </c>
      <c r="X850" s="377">
        <f>IFERROR(VLOOKUP($B850,اسماء,15,0),0)</f>
        <v>0</v>
      </c>
      <c r="Y850" s="595" t="str">
        <f t="shared" ref="Y850" si="2582">IF(AC850="غائب","راسب",IF(AND(F853&gt;=$G$8,H853&gt;=$I$8,J853&gt;=$K$8,L853&gt;=$M$8,N853&gt;=$O$8,P853&gt;=$Q$8,R853&gt;=$S$8,T853&gt;=$U$8),"ناجح","له دور ثان"))</f>
        <v>له دور ثان</v>
      </c>
      <c r="Z850" s="21" t="str">
        <f>LOOKUP(V850,$AF$6:$AG$10)</f>
        <v>ضعيف</v>
      </c>
      <c r="AA850" s="656">
        <f>V853/$AF$3</f>
        <v>0</v>
      </c>
      <c r="AB850" s="72"/>
      <c r="AC850" s="653" t="str">
        <f>IFERROR(VLOOKUP($B850,اسماء,54,0),"")</f>
        <v/>
      </c>
      <c r="AN850" s="607" t="str">
        <f t="shared" ref="AN850" si="2583">IF(V853=0,"",V853/1+ROW()*0.00001)</f>
        <v/>
      </c>
      <c r="AO850" s="607">
        <f>B850</f>
        <v>0</v>
      </c>
      <c r="AP850" s="613"/>
      <c r="AQ850" s="612">
        <v>184</v>
      </c>
      <c r="AR850" s="611" t="str">
        <f>IFERROR(LARGE($AN$10:$AN$1006,AQ850),"")</f>
        <v/>
      </c>
      <c r="AS850" s="612" t="str">
        <f>VLOOKUP(AR850,$AN$10:$AO$1116,2,0)</f>
        <v>أحمد نورالدين أحمد الذيب</v>
      </c>
    </row>
    <row r="851" spans="1:45" ht="15" customHeight="1" x14ac:dyDescent="0.25">
      <c r="A851" s="633"/>
      <c r="B851" s="630"/>
      <c r="C851" s="622"/>
      <c r="D851" s="625"/>
      <c r="E851" s="133" t="s">
        <v>31</v>
      </c>
      <c r="F851" s="589">
        <f>IFERROR(VLOOKUP($B850,اسماء,18,0),0)</f>
        <v>0</v>
      </c>
      <c r="G851" s="592"/>
      <c r="H851" s="608">
        <f>IFERROR(VLOOKUP($B850,اسماء,19,0),0)</f>
        <v>0</v>
      </c>
      <c r="I851" s="609"/>
      <c r="J851" s="589">
        <f>IFERROR(VLOOKUP($B850,اسماء,20,0),0)</f>
        <v>0</v>
      </c>
      <c r="K851" s="592"/>
      <c r="L851" s="589">
        <f>IFERROR(VLOOKUP($B850,اسماء,21,0),0)</f>
        <v>0</v>
      </c>
      <c r="M851" s="590"/>
      <c r="N851" s="589">
        <f>IFERROR(VLOOKUP($B850,اسماء,22,0),0)</f>
        <v>0</v>
      </c>
      <c r="O851" s="590"/>
      <c r="P851" s="589">
        <f>IFERROR(VLOOKUP($B850,اسماء,23,0),0)</f>
        <v>0</v>
      </c>
      <c r="Q851" s="609"/>
      <c r="R851" s="603">
        <f>IFERROR(VLOOKUP($B850,اسماء,24,0),0)</f>
        <v>0</v>
      </c>
      <c r="S851" s="592"/>
      <c r="T851" s="589">
        <f>IFERROR(VLOOKUP($B850,اسماء,25,0),0)</f>
        <v>0</v>
      </c>
      <c r="U851" s="590"/>
      <c r="V851" s="378">
        <f t="shared" si="2581"/>
        <v>0</v>
      </c>
      <c r="W851" s="374">
        <f>IFERROR(VLOOKUP($B850,اسماء,27,0),0)</f>
        <v>0</v>
      </c>
      <c r="X851" s="379">
        <f>IFERROR(VLOOKUP($B850,اسماء,28,0),0)</f>
        <v>0</v>
      </c>
      <c r="Y851" s="596"/>
      <c r="Z851" s="22" t="str">
        <f>LOOKUP(V851,$AF$6:$AG$10)</f>
        <v>ضعيف</v>
      </c>
      <c r="AA851" s="657"/>
      <c r="AB851" s="10"/>
      <c r="AC851" s="654"/>
      <c r="AN851" s="607"/>
      <c r="AO851" s="607"/>
      <c r="AP851" s="613"/>
      <c r="AQ851" s="612"/>
      <c r="AR851" s="611"/>
      <c r="AS851" s="612"/>
    </row>
    <row r="852" spans="1:45" ht="15" customHeight="1" x14ac:dyDescent="0.25">
      <c r="A852" s="633"/>
      <c r="B852" s="630"/>
      <c r="C852" s="622"/>
      <c r="D852" s="625"/>
      <c r="E852" s="133" t="s">
        <v>32</v>
      </c>
      <c r="F852" s="589">
        <f>IFERROR(VLOOKUP($B850,اسماء,31,0),0)</f>
        <v>0</v>
      </c>
      <c r="G852" s="592"/>
      <c r="H852" s="608">
        <f>IFERROR(VLOOKUP($B850,اسماء,32,0),0)</f>
        <v>0</v>
      </c>
      <c r="I852" s="609"/>
      <c r="J852" s="589">
        <f>IFERROR(VLOOKUP($B850,اسماء,33,0),0)</f>
        <v>0</v>
      </c>
      <c r="K852" s="592"/>
      <c r="L852" s="589">
        <f>IFERROR(VLOOKUP($B850,اسماء,34,0),0)</f>
        <v>0</v>
      </c>
      <c r="M852" s="590"/>
      <c r="N852" s="589">
        <f>IFERROR(VLOOKUP($B850,اسماء,35,0),0)</f>
        <v>0</v>
      </c>
      <c r="O852" s="590"/>
      <c r="P852" s="589">
        <f>IFERROR(VLOOKUP($B850,اسماء,36,0),0)</f>
        <v>0</v>
      </c>
      <c r="Q852" s="609"/>
      <c r="R852" s="603">
        <f>IFERROR(VLOOKUP($B850,اسماء,37,0),0)</f>
        <v>0</v>
      </c>
      <c r="S852" s="592"/>
      <c r="T852" s="589">
        <f>IFERROR(VLOOKUP($B850,اسماء,38,0),0)</f>
        <v>0</v>
      </c>
      <c r="U852" s="590"/>
      <c r="V852" s="378">
        <f t="shared" si="2581"/>
        <v>0</v>
      </c>
      <c r="W852" s="374">
        <f>IFERROR(VLOOKUP($B850,اسماء,40,0),0)</f>
        <v>0</v>
      </c>
      <c r="X852" s="379">
        <f>IFERROR(VLOOKUP($B850,اسماء,41,0),0)</f>
        <v>0</v>
      </c>
      <c r="Y852" s="596"/>
      <c r="Z852" s="22" t="str">
        <f>LOOKUP(V852,$AI$6:$AJ$10)</f>
        <v>ضعيف</v>
      </c>
      <c r="AA852" s="657"/>
      <c r="AB852" s="72"/>
      <c r="AC852" s="654"/>
      <c r="AN852" s="607"/>
      <c r="AO852" s="607"/>
      <c r="AP852" s="613"/>
      <c r="AQ852" s="612"/>
      <c r="AR852" s="611"/>
      <c r="AS852" s="612"/>
    </row>
    <row r="853" spans="1:45" ht="15" customHeight="1" thickBot="1" x14ac:dyDescent="0.3">
      <c r="A853" s="634"/>
      <c r="B853" s="631"/>
      <c r="C853" s="623"/>
      <c r="D853" s="626"/>
      <c r="E853" s="127" t="s">
        <v>33</v>
      </c>
      <c r="F853" s="585">
        <f t="shared" ref="F853" si="2584">SUM(F850:G852)</f>
        <v>0</v>
      </c>
      <c r="G853" s="593"/>
      <c r="H853" s="604">
        <f t="shared" ref="H853" si="2585">SUM(H850:I852)</f>
        <v>0</v>
      </c>
      <c r="I853" s="601"/>
      <c r="J853" s="585">
        <f t="shared" ref="J853" si="2586">SUM(J850:K852)</f>
        <v>0</v>
      </c>
      <c r="K853" s="593"/>
      <c r="L853" s="585">
        <f t="shared" ref="L853" si="2587">SUM(L850:M852)</f>
        <v>0</v>
      </c>
      <c r="M853" s="586"/>
      <c r="N853" s="585">
        <f t="shared" ref="N853" si="2588">SUM(N850:O852)</f>
        <v>0</v>
      </c>
      <c r="O853" s="586"/>
      <c r="P853" s="585">
        <f t="shared" ref="P853" si="2589">SUM(P850:Q852)</f>
        <v>0</v>
      </c>
      <c r="Q853" s="601"/>
      <c r="R853" s="602">
        <f t="shared" ref="R853" si="2590">SUM(R850:S852)</f>
        <v>0</v>
      </c>
      <c r="S853" s="593"/>
      <c r="T853" s="585">
        <f t="shared" ref="T853" si="2591">SUM(T850:U852)</f>
        <v>0</v>
      </c>
      <c r="U853" s="586"/>
      <c r="V853" s="96">
        <f t="shared" ref="V853" si="2592">IF(AND(F853&gt;=$G$8,H853&gt;=$I$8,L853&gt;=$M$8,P853&gt;=$Q$8,R853&gt;=$S$8,T853&gt;=$U$8),SUM(F853:U853),0)</f>
        <v>0</v>
      </c>
      <c r="W853" s="380"/>
      <c r="X853" s="97"/>
      <c r="Y853" s="597"/>
      <c r="Z853" s="91" t="str">
        <f>LOOKUP(V853,$AL$6:$AM$10)</f>
        <v>ضعيف</v>
      </c>
      <c r="AA853" s="658"/>
      <c r="AB853" s="72"/>
      <c r="AC853" s="655"/>
      <c r="AN853" s="607"/>
      <c r="AO853" s="607"/>
      <c r="AP853" s="613"/>
      <c r="AQ853" s="612"/>
      <c r="AR853" s="611"/>
      <c r="AS853" s="612"/>
    </row>
    <row r="854" spans="1:45" ht="15" customHeight="1" x14ac:dyDescent="0.25">
      <c r="A854" s="632">
        <v>185</v>
      </c>
      <c r="B854" s="629">
        <f>VLOOKUP(A854,مسلسل,2,0)</f>
        <v>0</v>
      </c>
      <c r="C854" s="621" t="str">
        <f>IFERROR(VLOOKUP(B854,اسماء,2,0),"")</f>
        <v/>
      </c>
      <c r="D854" s="624" t="str">
        <f>IFERROR(VLOOKUP($B854,اسماء,3,0),"")</f>
        <v/>
      </c>
      <c r="E854" s="132" t="s">
        <v>30</v>
      </c>
      <c r="F854" s="627">
        <f>IFERROR(VLOOKUP($B854,اسماء,5,0),0)</f>
        <v>0</v>
      </c>
      <c r="G854" s="606"/>
      <c r="H854" s="628">
        <f>IFERROR(VLOOKUP($B854,اسماء,6,0),0)</f>
        <v>0</v>
      </c>
      <c r="I854" s="605"/>
      <c r="J854" s="587">
        <f>IFERROR(VLOOKUP($B854,اسماء,7,0),0)</f>
        <v>0</v>
      </c>
      <c r="K854" s="591"/>
      <c r="L854" s="587">
        <f>IFERROR(VLOOKUP($B854,اسماء,8,0),0)</f>
        <v>0</v>
      </c>
      <c r="M854" s="588"/>
      <c r="N854" s="587">
        <f>IFERROR(VLOOKUP($B854,اسماء,9,0),0)</f>
        <v>0</v>
      </c>
      <c r="O854" s="605"/>
      <c r="P854" s="587">
        <f>IFERROR(VLOOKUP($B854,اسماء,10,0),0)</f>
        <v>0</v>
      </c>
      <c r="Q854" s="605"/>
      <c r="R854" s="606">
        <f>IFERROR(VLOOKUP($B854,اسماء,11,0),0)</f>
        <v>0</v>
      </c>
      <c r="S854" s="591"/>
      <c r="T854" s="587">
        <f>IFERROR(VLOOKUP($B854,اسماء,12,0),0)</f>
        <v>0</v>
      </c>
      <c r="U854" s="588"/>
      <c r="V854" s="375">
        <f t="shared" ref="V854:V856" si="2593">SUM(F854:U854)</f>
        <v>0</v>
      </c>
      <c r="W854" s="376">
        <f>IFERROR(VLOOKUP($B854,اسماء,14,0),0)</f>
        <v>0</v>
      </c>
      <c r="X854" s="377">
        <f>IFERROR(VLOOKUP($B854,اسماء,15,0),0)</f>
        <v>0</v>
      </c>
      <c r="Y854" s="595" t="str">
        <f t="shared" ref="Y854" si="2594">IF(AC854="غائب","راسب",IF(AND(F857&gt;=$G$8,H857&gt;=$I$8,J857&gt;=$K$8,L857&gt;=$M$8,N857&gt;=$O$8,P857&gt;=$Q$8,R857&gt;=$S$8,T857&gt;=$U$8),"ناجح","له دور ثان"))</f>
        <v>له دور ثان</v>
      </c>
      <c r="Z854" s="21" t="str">
        <f t="shared" ref="Z854:Z855" si="2595">LOOKUP(V854,$AF$6:$AG$10)</f>
        <v>ضعيف</v>
      </c>
      <c r="AA854" s="656">
        <f t="shared" ref="AA854" si="2596">V857/$AF$3</f>
        <v>0</v>
      </c>
      <c r="AB854" s="10"/>
      <c r="AC854" s="653" t="str">
        <f>IFERROR(VLOOKUP($B854,اسماء,54,0),"")</f>
        <v/>
      </c>
      <c r="AN854" s="607" t="str">
        <f t="shared" ref="AN854" si="2597">IF(V857=0,"",V857/1+ROW()*0.00001)</f>
        <v/>
      </c>
      <c r="AO854" s="607">
        <f>B854</f>
        <v>0</v>
      </c>
      <c r="AP854" s="613"/>
      <c r="AQ854" s="612">
        <v>185</v>
      </c>
      <c r="AR854" s="611" t="str">
        <f>IFERROR(LARGE($AN$10:$AN$1006,AQ854),"")</f>
        <v/>
      </c>
      <c r="AS854" s="612" t="str">
        <f>VLOOKUP(AR854,$AN$10:$AO$1116,2,0)</f>
        <v>أحمد نورالدين أحمد الذيب</v>
      </c>
    </row>
    <row r="855" spans="1:45" ht="15" customHeight="1" x14ac:dyDescent="0.25">
      <c r="A855" s="633"/>
      <c r="B855" s="630"/>
      <c r="C855" s="622"/>
      <c r="D855" s="625"/>
      <c r="E855" s="133" t="s">
        <v>31</v>
      </c>
      <c r="F855" s="589">
        <f>IFERROR(VLOOKUP($B854,اسماء,18,0),0)</f>
        <v>0</v>
      </c>
      <c r="G855" s="592"/>
      <c r="H855" s="608">
        <f>IFERROR(VLOOKUP($B854,اسماء,19,0),0)</f>
        <v>0</v>
      </c>
      <c r="I855" s="609"/>
      <c r="J855" s="589">
        <f>IFERROR(VLOOKUP($B854,اسماء,20,0),0)</f>
        <v>0</v>
      </c>
      <c r="K855" s="592"/>
      <c r="L855" s="589">
        <f>IFERROR(VLOOKUP($B854,اسماء,21,0),0)</f>
        <v>0</v>
      </c>
      <c r="M855" s="590"/>
      <c r="N855" s="589">
        <f>IFERROR(VLOOKUP($B854,اسماء,22,0),0)</f>
        <v>0</v>
      </c>
      <c r="O855" s="590"/>
      <c r="P855" s="589">
        <f>IFERROR(VLOOKUP($B854,اسماء,23,0),0)</f>
        <v>0</v>
      </c>
      <c r="Q855" s="609"/>
      <c r="R855" s="603">
        <f>IFERROR(VLOOKUP($B854,اسماء,24,0),0)</f>
        <v>0</v>
      </c>
      <c r="S855" s="592"/>
      <c r="T855" s="589">
        <f>IFERROR(VLOOKUP($B854,اسماء,25,0),0)</f>
        <v>0</v>
      </c>
      <c r="U855" s="590"/>
      <c r="V855" s="378">
        <f t="shared" si="2593"/>
        <v>0</v>
      </c>
      <c r="W855" s="374">
        <f>IFERROR(VLOOKUP($B854,اسماء,27,0),0)</f>
        <v>0</v>
      </c>
      <c r="X855" s="379">
        <f>IFERROR(VLOOKUP($B854,اسماء,28,0),0)</f>
        <v>0</v>
      </c>
      <c r="Y855" s="596"/>
      <c r="Z855" s="22" t="str">
        <f t="shared" si="2595"/>
        <v>ضعيف</v>
      </c>
      <c r="AA855" s="657"/>
      <c r="AB855" s="72"/>
      <c r="AC855" s="654"/>
      <c r="AN855" s="607"/>
      <c r="AO855" s="607"/>
      <c r="AP855" s="613"/>
      <c r="AQ855" s="612"/>
      <c r="AR855" s="611"/>
      <c r="AS855" s="612"/>
    </row>
    <row r="856" spans="1:45" ht="15" customHeight="1" x14ac:dyDescent="0.25">
      <c r="A856" s="633"/>
      <c r="B856" s="630"/>
      <c r="C856" s="622"/>
      <c r="D856" s="625"/>
      <c r="E856" s="133" t="s">
        <v>32</v>
      </c>
      <c r="F856" s="589">
        <f>IFERROR(VLOOKUP($B854,اسماء,31,0),0)</f>
        <v>0</v>
      </c>
      <c r="G856" s="592"/>
      <c r="H856" s="608">
        <f>IFERROR(VLOOKUP($B854,اسماء,32,0),0)</f>
        <v>0</v>
      </c>
      <c r="I856" s="609"/>
      <c r="J856" s="589">
        <f>IFERROR(VLOOKUP($B854,اسماء,33,0),0)</f>
        <v>0</v>
      </c>
      <c r="K856" s="592"/>
      <c r="L856" s="589">
        <f>IFERROR(VLOOKUP($B854,اسماء,34,0),0)</f>
        <v>0</v>
      </c>
      <c r="M856" s="590"/>
      <c r="N856" s="589">
        <f>IFERROR(VLOOKUP($B854,اسماء,35,0),0)</f>
        <v>0</v>
      </c>
      <c r="O856" s="590"/>
      <c r="P856" s="589">
        <f>IFERROR(VLOOKUP($B854,اسماء,36,0),0)</f>
        <v>0</v>
      </c>
      <c r="Q856" s="609"/>
      <c r="R856" s="603">
        <f>IFERROR(VLOOKUP($B854,اسماء,37,0),0)</f>
        <v>0</v>
      </c>
      <c r="S856" s="592"/>
      <c r="T856" s="589">
        <f>IFERROR(VLOOKUP($B854,اسماء,38,0),0)</f>
        <v>0</v>
      </c>
      <c r="U856" s="590"/>
      <c r="V856" s="378">
        <f t="shared" si="2593"/>
        <v>0</v>
      </c>
      <c r="W856" s="374">
        <f>IFERROR(VLOOKUP($B854,اسماء,40,0),0)</f>
        <v>0</v>
      </c>
      <c r="X856" s="379">
        <f>IFERROR(VLOOKUP($B854,اسماء,41,0),0)</f>
        <v>0</v>
      </c>
      <c r="Y856" s="596"/>
      <c r="Z856" s="22" t="str">
        <f t="shared" ref="Z856" si="2598">LOOKUP(V856,$AI$6:$AJ$10)</f>
        <v>ضعيف</v>
      </c>
      <c r="AA856" s="657"/>
      <c r="AB856" s="72"/>
      <c r="AC856" s="654"/>
      <c r="AN856" s="607"/>
      <c r="AO856" s="607"/>
      <c r="AP856" s="613"/>
      <c r="AQ856" s="612"/>
      <c r="AR856" s="611"/>
      <c r="AS856" s="612"/>
    </row>
    <row r="857" spans="1:45" ht="15" customHeight="1" thickBot="1" x14ac:dyDescent="0.3">
      <c r="A857" s="634"/>
      <c r="B857" s="631"/>
      <c r="C857" s="623"/>
      <c r="D857" s="626"/>
      <c r="E857" s="127" t="s">
        <v>33</v>
      </c>
      <c r="F857" s="585">
        <f t="shared" ref="F857" si="2599">SUM(F854:G856)</f>
        <v>0</v>
      </c>
      <c r="G857" s="593"/>
      <c r="H857" s="604">
        <f t="shared" ref="H857" si="2600">SUM(H854:I856)</f>
        <v>0</v>
      </c>
      <c r="I857" s="601"/>
      <c r="J857" s="585">
        <f t="shared" ref="J857" si="2601">SUM(J854:K856)</f>
        <v>0</v>
      </c>
      <c r="K857" s="593"/>
      <c r="L857" s="585">
        <f t="shared" ref="L857" si="2602">SUM(L854:M856)</f>
        <v>0</v>
      </c>
      <c r="M857" s="586"/>
      <c r="N857" s="585">
        <f t="shared" ref="N857" si="2603">SUM(N854:O856)</f>
        <v>0</v>
      </c>
      <c r="O857" s="586"/>
      <c r="P857" s="585">
        <f t="shared" ref="P857" si="2604">SUM(P854:Q856)</f>
        <v>0</v>
      </c>
      <c r="Q857" s="601"/>
      <c r="R857" s="602">
        <f t="shared" ref="R857" si="2605">SUM(R854:S856)</f>
        <v>0</v>
      </c>
      <c r="S857" s="593"/>
      <c r="T857" s="585">
        <f t="shared" ref="T857" si="2606">SUM(T854:U856)</f>
        <v>0</v>
      </c>
      <c r="U857" s="586"/>
      <c r="V857" s="96">
        <f t="shared" ref="V857" si="2607">IF(AND(F857&gt;=$G$8,H857&gt;=$I$8,L857&gt;=$M$8,P857&gt;=$Q$8,R857&gt;=$S$8,T857&gt;=$U$8),SUM(F857:U857),0)</f>
        <v>0</v>
      </c>
      <c r="W857" s="380"/>
      <c r="X857" s="97"/>
      <c r="Y857" s="597"/>
      <c r="Z857" s="91" t="str">
        <f t="shared" ref="Z857" si="2608">LOOKUP(V857,$AL$6:$AM$10)</f>
        <v>ضعيف</v>
      </c>
      <c r="AA857" s="658"/>
      <c r="AB857" s="10"/>
      <c r="AC857" s="655"/>
      <c r="AN857" s="607"/>
      <c r="AO857" s="607"/>
      <c r="AP857" s="613"/>
      <c r="AQ857" s="612"/>
      <c r="AR857" s="611"/>
      <c r="AS857" s="612"/>
    </row>
    <row r="858" spans="1:45" ht="15" customHeight="1" x14ac:dyDescent="0.25">
      <c r="A858" s="632">
        <v>186</v>
      </c>
      <c r="B858" s="629">
        <f>VLOOKUP(A858,مسلسل,2,0)</f>
        <v>0</v>
      </c>
      <c r="C858" s="621" t="str">
        <f>IFERROR(VLOOKUP(B858,اسماء,2,0),"")</f>
        <v/>
      </c>
      <c r="D858" s="624" t="str">
        <f>IFERROR(VLOOKUP($B858,اسماء,3,0),"")</f>
        <v/>
      </c>
      <c r="E858" s="132" t="s">
        <v>30</v>
      </c>
      <c r="F858" s="627">
        <f>IFERROR(VLOOKUP($B858,اسماء,5,0),0)</f>
        <v>0</v>
      </c>
      <c r="G858" s="606"/>
      <c r="H858" s="628">
        <f>IFERROR(VLOOKUP($B858,اسماء,6,0),0)</f>
        <v>0</v>
      </c>
      <c r="I858" s="605"/>
      <c r="J858" s="587">
        <f>IFERROR(VLOOKUP($B858,اسماء,7,0),0)</f>
        <v>0</v>
      </c>
      <c r="K858" s="591"/>
      <c r="L858" s="587">
        <f>IFERROR(VLOOKUP($B858,اسماء,8,0),0)</f>
        <v>0</v>
      </c>
      <c r="M858" s="588"/>
      <c r="N858" s="587">
        <f>IFERROR(VLOOKUP($B858,اسماء,9,0),0)</f>
        <v>0</v>
      </c>
      <c r="O858" s="605"/>
      <c r="P858" s="587">
        <f>IFERROR(VLOOKUP($B858,اسماء,10,0),0)</f>
        <v>0</v>
      </c>
      <c r="Q858" s="605"/>
      <c r="R858" s="606">
        <f>IFERROR(VLOOKUP($B858,اسماء,11,0),0)</f>
        <v>0</v>
      </c>
      <c r="S858" s="591"/>
      <c r="T858" s="587">
        <f>IFERROR(VLOOKUP($B858,اسماء,12,0),0)</f>
        <v>0</v>
      </c>
      <c r="U858" s="588"/>
      <c r="V858" s="375">
        <f t="shared" ref="V858:V860" si="2609">SUM(F858:U858)</f>
        <v>0</v>
      </c>
      <c r="W858" s="376">
        <f>IFERROR(VLOOKUP($B858,اسماء,14,0),0)</f>
        <v>0</v>
      </c>
      <c r="X858" s="377">
        <f>IFERROR(VLOOKUP($B858,اسماء,15,0),0)</f>
        <v>0</v>
      </c>
      <c r="Y858" s="595" t="str">
        <f t="shared" ref="Y858" si="2610">IF(AC858="غائب","راسب",IF(AND(F861&gt;=$G$8,H861&gt;=$I$8,J861&gt;=$K$8,L861&gt;=$M$8,N861&gt;=$O$8,P861&gt;=$Q$8,R861&gt;=$S$8,T861&gt;=$U$8),"ناجح","له دور ثان"))</f>
        <v>له دور ثان</v>
      </c>
      <c r="Z858" s="21" t="str">
        <f t="shared" ref="Z858:Z859" si="2611">LOOKUP(V858,$AF$6:$AG$10)</f>
        <v>ضعيف</v>
      </c>
      <c r="AA858" s="656">
        <f t="shared" ref="AA858" si="2612">V861/$AF$3</f>
        <v>0</v>
      </c>
      <c r="AB858" s="72"/>
      <c r="AC858" s="653" t="str">
        <f>IFERROR(VLOOKUP($B858,اسماء,54,0),"")</f>
        <v/>
      </c>
      <c r="AN858" s="607" t="str">
        <f t="shared" ref="AN858" si="2613">IF(V861=0,"",V861/1+ROW()*0.00001)</f>
        <v/>
      </c>
      <c r="AO858" s="607">
        <f>B858</f>
        <v>0</v>
      </c>
      <c r="AP858" s="613"/>
      <c r="AQ858" s="612">
        <v>186</v>
      </c>
      <c r="AR858" s="611" t="str">
        <f>IFERROR(LARGE($AN$10:$AN$1006,AQ858),"")</f>
        <v/>
      </c>
      <c r="AS858" s="612" t="str">
        <f>VLOOKUP(AR858,$AN$10:$AO$1116,2,0)</f>
        <v>أحمد نورالدين أحمد الذيب</v>
      </c>
    </row>
    <row r="859" spans="1:45" ht="15" customHeight="1" x14ac:dyDescent="0.25">
      <c r="A859" s="633"/>
      <c r="B859" s="630"/>
      <c r="C859" s="622"/>
      <c r="D859" s="625"/>
      <c r="E859" s="133" t="s">
        <v>31</v>
      </c>
      <c r="F859" s="589">
        <f>IFERROR(VLOOKUP($B858,اسماء,18,0),0)</f>
        <v>0</v>
      </c>
      <c r="G859" s="592"/>
      <c r="H859" s="608">
        <f>IFERROR(VLOOKUP($B858,اسماء,19,0),0)</f>
        <v>0</v>
      </c>
      <c r="I859" s="609"/>
      <c r="J859" s="589">
        <f>IFERROR(VLOOKUP($B858,اسماء,20,0),0)</f>
        <v>0</v>
      </c>
      <c r="K859" s="592"/>
      <c r="L859" s="589">
        <f>IFERROR(VLOOKUP($B858,اسماء,21,0),0)</f>
        <v>0</v>
      </c>
      <c r="M859" s="590"/>
      <c r="N859" s="589">
        <f>IFERROR(VLOOKUP($B858,اسماء,22,0),0)</f>
        <v>0</v>
      </c>
      <c r="O859" s="590"/>
      <c r="P859" s="589">
        <f>IFERROR(VLOOKUP($B858,اسماء,23,0),0)</f>
        <v>0</v>
      </c>
      <c r="Q859" s="609"/>
      <c r="R859" s="603">
        <f>IFERROR(VLOOKUP($B858,اسماء,24,0),0)</f>
        <v>0</v>
      </c>
      <c r="S859" s="592"/>
      <c r="T859" s="589">
        <f>IFERROR(VLOOKUP($B858,اسماء,25,0),0)</f>
        <v>0</v>
      </c>
      <c r="U859" s="590"/>
      <c r="V859" s="378">
        <f t="shared" si="2609"/>
        <v>0</v>
      </c>
      <c r="W859" s="374">
        <f>IFERROR(VLOOKUP($B858,اسماء,27,0),0)</f>
        <v>0</v>
      </c>
      <c r="X859" s="379">
        <f>IFERROR(VLOOKUP($B858,اسماء,28,0),0)</f>
        <v>0</v>
      </c>
      <c r="Y859" s="596"/>
      <c r="Z859" s="22" t="str">
        <f t="shared" si="2611"/>
        <v>ضعيف</v>
      </c>
      <c r="AA859" s="657"/>
      <c r="AB859" s="72"/>
      <c r="AC859" s="654"/>
      <c r="AN859" s="607"/>
      <c r="AO859" s="607"/>
      <c r="AP859" s="613"/>
      <c r="AQ859" s="612"/>
      <c r="AR859" s="611"/>
      <c r="AS859" s="612"/>
    </row>
    <row r="860" spans="1:45" ht="15" customHeight="1" x14ac:dyDescent="0.25">
      <c r="A860" s="633"/>
      <c r="B860" s="630"/>
      <c r="C860" s="622"/>
      <c r="D860" s="625"/>
      <c r="E860" s="133" t="s">
        <v>32</v>
      </c>
      <c r="F860" s="589">
        <f>IFERROR(VLOOKUP($B858,اسماء,31,0),0)</f>
        <v>0</v>
      </c>
      <c r="G860" s="592"/>
      <c r="H860" s="608">
        <f>IFERROR(VLOOKUP($B858,اسماء,32,0),0)</f>
        <v>0</v>
      </c>
      <c r="I860" s="609"/>
      <c r="J860" s="589">
        <f>IFERROR(VLOOKUP($B858,اسماء,33,0),0)</f>
        <v>0</v>
      </c>
      <c r="K860" s="592"/>
      <c r="L860" s="589">
        <f>IFERROR(VLOOKUP($B858,اسماء,34,0),0)</f>
        <v>0</v>
      </c>
      <c r="M860" s="590"/>
      <c r="N860" s="589">
        <f>IFERROR(VLOOKUP($B858,اسماء,35,0),0)</f>
        <v>0</v>
      </c>
      <c r="O860" s="590"/>
      <c r="P860" s="589">
        <f>IFERROR(VLOOKUP($B858,اسماء,36,0),0)</f>
        <v>0</v>
      </c>
      <c r="Q860" s="609"/>
      <c r="R860" s="603">
        <f>IFERROR(VLOOKUP($B858,اسماء,37,0),0)</f>
        <v>0</v>
      </c>
      <c r="S860" s="592"/>
      <c r="T860" s="589">
        <f>IFERROR(VLOOKUP($B858,اسماء,38,0),0)</f>
        <v>0</v>
      </c>
      <c r="U860" s="590"/>
      <c r="V860" s="378">
        <f t="shared" si="2609"/>
        <v>0</v>
      </c>
      <c r="W860" s="374">
        <f>IFERROR(VLOOKUP($B858,اسماء,40,0),0)</f>
        <v>0</v>
      </c>
      <c r="X860" s="379">
        <f>IFERROR(VLOOKUP($B858,اسماء,41,0),0)</f>
        <v>0</v>
      </c>
      <c r="Y860" s="596"/>
      <c r="Z860" s="22" t="str">
        <f t="shared" ref="Z860" si="2614">LOOKUP(V860,$AI$6:$AJ$10)</f>
        <v>ضعيف</v>
      </c>
      <c r="AA860" s="657"/>
      <c r="AB860" s="10"/>
      <c r="AC860" s="654"/>
      <c r="AN860" s="607"/>
      <c r="AO860" s="607"/>
      <c r="AP860" s="613"/>
      <c r="AQ860" s="612"/>
      <c r="AR860" s="611"/>
      <c r="AS860" s="612"/>
    </row>
    <row r="861" spans="1:45" ht="15" customHeight="1" thickBot="1" x14ac:dyDescent="0.3">
      <c r="A861" s="634"/>
      <c r="B861" s="631"/>
      <c r="C861" s="623"/>
      <c r="D861" s="626"/>
      <c r="E861" s="127" t="s">
        <v>33</v>
      </c>
      <c r="F861" s="585">
        <f t="shared" ref="F861" si="2615">SUM(F858:G860)</f>
        <v>0</v>
      </c>
      <c r="G861" s="593"/>
      <c r="H861" s="604">
        <f t="shared" ref="H861" si="2616">SUM(H858:I860)</f>
        <v>0</v>
      </c>
      <c r="I861" s="601"/>
      <c r="J861" s="585">
        <f t="shared" ref="J861" si="2617">SUM(J858:K860)</f>
        <v>0</v>
      </c>
      <c r="K861" s="593"/>
      <c r="L861" s="585">
        <f t="shared" ref="L861" si="2618">SUM(L858:M860)</f>
        <v>0</v>
      </c>
      <c r="M861" s="586"/>
      <c r="N861" s="585">
        <f t="shared" ref="N861" si="2619">SUM(N858:O860)</f>
        <v>0</v>
      </c>
      <c r="O861" s="586"/>
      <c r="P861" s="585">
        <f t="shared" ref="P861" si="2620">SUM(P858:Q860)</f>
        <v>0</v>
      </c>
      <c r="Q861" s="601"/>
      <c r="R861" s="602">
        <f t="shared" ref="R861" si="2621">SUM(R858:S860)</f>
        <v>0</v>
      </c>
      <c r="S861" s="593"/>
      <c r="T861" s="585">
        <f t="shared" ref="T861" si="2622">SUM(T858:U860)</f>
        <v>0</v>
      </c>
      <c r="U861" s="586"/>
      <c r="V861" s="96">
        <f t="shared" ref="V861" si="2623">IF(AND(F861&gt;=$G$8,H861&gt;=$I$8,L861&gt;=$M$8,P861&gt;=$Q$8,R861&gt;=$S$8,T861&gt;=$U$8),SUM(F861:U861),0)</f>
        <v>0</v>
      </c>
      <c r="W861" s="380"/>
      <c r="X861" s="97"/>
      <c r="Y861" s="597"/>
      <c r="Z861" s="91" t="str">
        <f t="shared" ref="Z861" si="2624">LOOKUP(V861,$AL$6:$AM$10)</f>
        <v>ضعيف</v>
      </c>
      <c r="AA861" s="658"/>
      <c r="AB861" s="72"/>
      <c r="AC861" s="655"/>
      <c r="AN861" s="607"/>
      <c r="AO861" s="607"/>
      <c r="AP861" s="613"/>
      <c r="AQ861" s="612"/>
      <c r="AR861" s="611"/>
      <c r="AS861" s="612"/>
    </row>
    <row r="862" spans="1:45" ht="15" customHeight="1" x14ac:dyDescent="0.25">
      <c r="A862" s="632">
        <v>187</v>
      </c>
      <c r="B862" s="629">
        <f>VLOOKUP(A862,مسلسل,2,0)</f>
        <v>0</v>
      </c>
      <c r="C862" s="621" t="str">
        <f>IFERROR(VLOOKUP(B862,اسماء,2,0),"")</f>
        <v/>
      </c>
      <c r="D862" s="624" t="str">
        <f>IFERROR(VLOOKUP($B862,اسماء,3,0),"")</f>
        <v/>
      </c>
      <c r="E862" s="132" t="s">
        <v>30</v>
      </c>
      <c r="F862" s="627">
        <f>IFERROR(VLOOKUP($B862,اسماء,5,0),0)</f>
        <v>0</v>
      </c>
      <c r="G862" s="606"/>
      <c r="H862" s="628">
        <f>IFERROR(VLOOKUP($B862,اسماء,6,0),0)</f>
        <v>0</v>
      </c>
      <c r="I862" s="605"/>
      <c r="J862" s="587">
        <f>IFERROR(VLOOKUP($B862,اسماء,7,0),0)</f>
        <v>0</v>
      </c>
      <c r="K862" s="591"/>
      <c r="L862" s="587">
        <f>IFERROR(VLOOKUP($B862,اسماء,8,0),0)</f>
        <v>0</v>
      </c>
      <c r="M862" s="588"/>
      <c r="N862" s="587">
        <f>IFERROR(VLOOKUP($B862,اسماء,9,0),0)</f>
        <v>0</v>
      </c>
      <c r="O862" s="605"/>
      <c r="P862" s="587">
        <f>IFERROR(VLOOKUP($B862,اسماء,10,0),0)</f>
        <v>0</v>
      </c>
      <c r="Q862" s="605"/>
      <c r="R862" s="606">
        <f>IFERROR(VLOOKUP($B862,اسماء,11,0),0)</f>
        <v>0</v>
      </c>
      <c r="S862" s="591"/>
      <c r="T862" s="587">
        <f>IFERROR(VLOOKUP($B862,اسماء,12,0),0)</f>
        <v>0</v>
      </c>
      <c r="U862" s="588"/>
      <c r="V862" s="375">
        <f t="shared" ref="V862:V864" si="2625">SUM(F862:U862)</f>
        <v>0</v>
      </c>
      <c r="W862" s="376">
        <f>IFERROR(VLOOKUP($B862,اسماء,14,0),0)</f>
        <v>0</v>
      </c>
      <c r="X862" s="377">
        <f>IFERROR(VLOOKUP($B862,اسماء,15,0),0)</f>
        <v>0</v>
      </c>
      <c r="Y862" s="595" t="str">
        <f t="shared" ref="Y862" si="2626">IF(AC862="غائب","راسب",IF(AND(F865&gt;=$G$8,H865&gt;=$I$8,J865&gt;=$K$8,L865&gt;=$M$8,N865&gt;=$O$8,P865&gt;=$Q$8,R865&gt;=$S$8,T865&gt;=$U$8),"ناجح","له دور ثان"))</f>
        <v>له دور ثان</v>
      </c>
      <c r="Z862" s="21" t="str">
        <f t="shared" ref="Z862:Z863" si="2627">LOOKUP(V862,$AF$6:$AG$10)</f>
        <v>ضعيف</v>
      </c>
      <c r="AA862" s="656">
        <f t="shared" ref="AA862" si="2628">V865/$AF$3</f>
        <v>0</v>
      </c>
      <c r="AB862" s="72"/>
      <c r="AC862" s="653" t="str">
        <f>IFERROR(VLOOKUP($B862,اسماء,54,0),"")</f>
        <v/>
      </c>
      <c r="AN862" s="607" t="str">
        <f t="shared" ref="AN862" si="2629">IF(V865=0,"",V865/1+ROW()*0.00001)</f>
        <v/>
      </c>
      <c r="AO862" s="607">
        <f>B862</f>
        <v>0</v>
      </c>
      <c r="AP862" s="613"/>
      <c r="AQ862" s="612">
        <v>187</v>
      </c>
      <c r="AR862" s="611" t="str">
        <f>IFERROR(LARGE($AN$10:$AN$1006,AQ862),"")</f>
        <v/>
      </c>
      <c r="AS862" s="612" t="str">
        <f>VLOOKUP(AR862,$AN$10:$AO$1116,2,0)</f>
        <v>أحمد نورالدين أحمد الذيب</v>
      </c>
    </row>
    <row r="863" spans="1:45" ht="15" customHeight="1" x14ac:dyDescent="0.25">
      <c r="A863" s="633"/>
      <c r="B863" s="630"/>
      <c r="C863" s="622"/>
      <c r="D863" s="625"/>
      <c r="E863" s="133" t="s">
        <v>31</v>
      </c>
      <c r="F863" s="589">
        <f>IFERROR(VLOOKUP($B862,اسماء,18,0),0)</f>
        <v>0</v>
      </c>
      <c r="G863" s="592"/>
      <c r="H863" s="608">
        <f>IFERROR(VLOOKUP($B862,اسماء,19,0),0)</f>
        <v>0</v>
      </c>
      <c r="I863" s="609"/>
      <c r="J863" s="589">
        <f>IFERROR(VLOOKUP($B862,اسماء,20,0),0)</f>
        <v>0</v>
      </c>
      <c r="K863" s="592"/>
      <c r="L863" s="589">
        <f>IFERROR(VLOOKUP($B862,اسماء,21,0),0)</f>
        <v>0</v>
      </c>
      <c r="M863" s="590"/>
      <c r="N863" s="589">
        <f>IFERROR(VLOOKUP($B862,اسماء,22,0),0)</f>
        <v>0</v>
      </c>
      <c r="O863" s="590"/>
      <c r="P863" s="589">
        <f>IFERROR(VLOOKUP($B862,اسماء,23,0),0)</f>
        <v>0</v>
      </c>
      <c r="Q863" s="609"/>
      <c r="R863" s="603">
        <f>IFERROR(VLOOKUP($B862,اسماء,24,0),0)</f>
        <v>0</v>
      </c>
      <c r="S863" s="592"/>
      <c r="T863" s="589">
        <f>IFERROR(VLOOKUP($B862,اسماء,25,0),0)</f>
        <v>0</v>
      </c>
      <c r="U863" s="590"/>
      <c r="V863" s="378">
        <f t="shared" si="2625"/>
        <v>0</v>
      </c>
      <c r="W863" s="374">
        <f>IFERROR(VLOOKUP($B862,اسماء,27,0),0)</f>
        <v>0</v>
      </c>
      <c r="X863" s="379">
        <f>IFERROR(VLOOKUP($B862,اسماء,28,0),0)</f>
        <v>0</v>
      </c>
      <c r="Y863" s="596"/>
      <c r="Z863" s="22" t="str">
        <f t="shared" si="2627"/>
        <v>ضعيف</v>
      </c>
      <c r="AA863" s="657"/>
      <c r="AB863" s="10"/>
      <c r="AC863" s="654"/>
      <c r="AN863" s="607"/>
      <c r="AO863" s="607"/>
      <c r="AP863" s="613"/>
      <c r="AQ863" s="612"/>
      <c r="AR863" s="611"/>
      <c r="AS863" s="612"/>
    </row>
    <row r="864" spans="1:45" ht="15" customHeight="1" x14ac:dyDescent="0.25">
      <c r="A864" s="633"/>
      <c r="B864" s="630"/>
      <c r="C864" s="622"/>
      <c r="D864" s="625"/>
      <c r="E864" s="133" t="s">
        <v>32</v>
      </c>
      <c r="F864" s="589">
        <f>IFERROR(VLOOKUP($B862,اسماء,31,0),0)</f>
        <v>0</v>
      </c>
      <c r="G864" s="592"/>
      <c r="H864" s="608">
        <f>IFERROR(VLOOKUP($B862,اسماء,32,0),0)</f>
        <v>0</v>
      </c>
      <c r="I864" s="609"/>
      <c r="J864" s="589">
        <f>IFERROR(VLOOKUP($B862,اسماء,33,0),0)</f>
        <v>0</v>
      </c>
      <c r="K864" s="592"/>
      <c r="L864" s="589">
        <f>IFERROR(VLOOKUP($B862,اسماء,34,0),0)</f>
        <v>0</v>
      </c>
      <c r="M864" s="590"/>
      <c r="N864" s="589">
        <f>IFERROR(VLOOKUP($B862,اسماء,35,0),0)</f>
        <v>0</v>
      </c>
      <c r="O864" s="590"/>
      <c r="P864" s="589">
        <f>IFERROR(VLOOKUP($B862,اسماء,36,0),0)</f>
        <v>0</v>
      </c>
      <c r="Q864" s="609"/>
      <c r="R864" s="603">
        <f>IFERROR(VLOOKUP($B862,اسماء,37,0),0)</f>
        <v>0</v>
      </c>
      <c r="S864" s="592"/>
      <c r="T864" s="589">
        <f>IFERROR(VLOOKUP($B862,اسماء,38,0),0)</f>
        <v>0</v>
      </c>
      <c r="U864" s="590"/>
      <c r="V864" s="378">
        <f t="shared" si="2625"/>
        <v>0</v>
      </c>
      <c r="W864" s="374">
        <f>IFERROR(VLOOKUP($B862,اسماء,40,0),0)</f>
        <v>0</v>
      </c>
      <c r="X864" s="379">
        <f>IFERROR(VLOOKUP($B862,اسماء,41,0),0)</f>
        <v>0</v>
      </c>
      <c r="Y864" s="596"/>
      <c r="Z864" s="22" t="str">
        <f t="shared" ref="Z864" si="2630">LOOKUP(V864,$AI$6:$AJ$10)</f>
        <v>ضعيف</v>
      </c>
      <c r="AA864" s="657"/>
      <c r="AB864" s="72"/>
      <c r="AC864" s="654"/>
      <c r="AN864" s="607"/>
      <c r="AO864" s="607"/>
      <c r="AP864" s="613"/>
      <c r="AQ864" s="612"/>
      <c r="AR864" s="611"/>
      <c r="AS864" s="612"/>
    </row>
    <row r="865" spans="1:45" ht="15" customHeight="1" thickBot="1" x14ac:dyDescent="0.3">
      <c r="A865" s="634"/>
      <c r="B865" s="631"/>
      <c r="C865" s="623"/>
      <c r="D865" s="626"/>
      <c r="E865" s="127" t="s">
        <v>33</v>
      </c>
      <c r="F865" s="585">
        <f t="shared" ref="F865" si="2631">SUM(F862:G864)</f>
        <v>0</v>
      </c>
      <c r="G865" s="593"/>
      <c r="H865" s="604">
        <f t="shared" ref="H865" si="2632">SUM(H862:I864)</f>
        <v>0</v>
      </c>
      <c r="I865" s="601"/>
      <c r="J865" s="585">
        <f t="shared" ref="J865" si="2633">SUM(J862:K864)</f>
        <v>0</v>
      </c>
      <c r="K865" s="593"/>
      <c r="L865" s="585">
        <f t="shared" ref="L865" si="2634">SUM(L862:M864)</f>
        <v>0</v>
      </c>
      <c r="M865" s="586"/>
      <c r="N865" s="585">
        <f t="shared" ref="N865" si="2635">SUM(N862:O864)</f>
        <v>0</v>
      </c>
      <c r="O865" s="586"/>
      <c r="P865" s="585">
        <f t="shared" ref="P865" si="2636">SUM(P862:Q864)</f>
        <v>0</v>
      </c>
      <c r="Q865" s="601"/>
      <c r="R865" s="602">
        <f t="shared" ref="R865" si="2637">SUM(R862:S864)</f>
        <v>0</v>
      </c>
      <c r="S865" s="593"/>
      <c r="T865" s="585">
        <f t="shared" ref="T865" si="2638">SUM(T862:U864)</f>
        <v>0</v>
      </c>
      <c r="U865" s="586"/>
      <c r="V865" s="96">
        <f t="shared" ref="V865" si="2639">IF(AND(F865&gt;=$G$8,H865&gt;=$I$8,L865&gt;=$M$8,P865&gt;=$Q$8,R865&gt;=$S$8,T865&gt;=$U$8),SUM(F865:U865),0)</f>
        <v>0</v>
      </c>
      <c r="W865" s="380"/>
      <c r="X865" s="97"/>
      <c r="Y865" s="597"/>
      <c r="Z865" s="91" t="str">
        <f t="shared" ref="Z865" si="2640">LOOKUP(V865,$AL$6:$AM$10)</f>
        <v>ضعيف</v>
      </c>
      <c r="AA865" s="658"/>
      <c r="AB865" s="72"/>
      <c r="AC865" s="655"/>
      <c r="AN865" s="607"/>
      <c r="AO865" s="607"/>
      <c r="AP865" s="613"/>
      <c r="AQ865" s="612"/>
      <c r="AR865" s="611"/>
      <c r="AS865" s="612"/>
    </row>
    <row r="866" spans="1:45" ht="15" customHeight="1" x14ac:dyDescent="0.25">
      <c r="A866" s="632">
        <v>188</v>
      </c>
      <c r="B866" s="629">
        <f>VLOOKUP(A866,مسلسل,2,0)</f>
        <v>0</v>
      </c>
      <c r="C866" s="621" t="str">
        <f>IFERROR(VLOOKUP(B866,اسماء,2,0),"")</f>
        <v/>
      </c>
      <c r="D866" s="624" t="str">
        <f>IFERROR(VLOOKUP($B866,اسماء,3,0),"")</f>
        <v/>
      </c>
      <c r="E866" s="132" t="s">
        <v>30</v>
      </c>
      <c r="F866" s="627">
        <f>IFERROR(VLOOKUP($B866,اسماء,5,0),0)</f>
        <v>0</v>
      </c>
      <c r="G866" s="606"/>
      <c r="H866" s="628">
        <f>IFERROR(VLOOKUP($B866,اسماء,6,0),0)</f>
        <v>0</v>
      </c>
      <c r="I866" s="605"/>
      <c r="J866" s="587">
        <f>IFERROR(VLOOKUP($B866,اسماء,7,0),0)</f>
        <v>0</v>
      </c>
      <c r="K866" s="591"/>
      <c r="L866" s="587">
        <f>IFERROR(VLOOKUP($B866,اسماء,8,0),0)</f>
        <v>0</v>
      </c>
      <c r="M866" s="588"/>
      <c r="N866" s="587">
        <f>IFERROR(VLOOKUP($B866,اسماء,9,0),0)</f>
        <v>0</v>
      </c>
      <c r="O866" s="605"/>
      <c r="P866" s="587">
        <f>IFERROR(VLOOKUP($B866,اسماء,10,0),0)</f>
        <v>0</v>
      </c>
      <c r="Q866" s="605"/>
      <c r="R866" s="606">
        <f>IFERROR(VLOOKUP($B866,اسماء,11,0),0)</f>
        <v>0</v>
      </c>
      <c r="S866" s="591"/>
      <c r="T866" s="587">
        <f>IFERROR(VLOOKUP($B866,اسماء,12,0),0)</f>
        <v>0</v>
      </c>
      <c r="U866" s="588"/>
      <c r="V866" s="375">
        <f t="shared" ref="V866:V868" si="2641">SUM(F866:U866)</f>
        <v>0</v>
      </c>
      <c r="W866" s="376">
        <f>IFERROR(VLOOKUP($B866,اسماء,14,0),0)</f>
        <v>0</v>
      </c>
      <c r="X866" s="377">
        <f>IFERROR(VLOOKUP($B866,اسماء,15,0),0)</f>
        <v>0</v>
      </c>
      <c r="Y866" s="595" t="str">
        <f t="shared" ref="Y866" si="2642">IF(AC866="غائب","راسب",IF(AND(F869&gt;=$G$8,H869&gt;=$I$8,J869&gt;=$K$8,L869&gt;=$M$8,N869&gt;=$O$8,P869&gt;=$Q$8,R869&gt;=$S$8,T869&gt;=$U$8),"ناجح","له دور ثان"))</f>
        <v>له دور ثان</v>
      </c>
      <c r="Z866" s="21" t="str">
        <f t="shared" ref="Z866:Z867" si="2643">LOOKUP(V866,$AF$6:$AG$10)</f>
        <v>ضعيف</v>
      </c>
      <c r="AA866" s="656">
        <f t="shared" ref="AA866" si="2644">V869/$AF$3</f>
        <v>0</v>
      </c>
      <c r="AB866" s="10"/>
      <c r="AC866" s="653" t="str">
        <f>IFERROR(VLOOKUP($B866,اسماء,54,0),"")</f>
        <v/>
      </c>
      <c r="AN866" s="607" t="str">
        <f t="shared" ref="AN866" si="2645">IF(V869=0,"",V869/1+ROW()*0.00001)</f>
        <v/>
      </c>
      <c r="AO866" s="607">
        <f>B866</f>
        <v>0</v>
      </c>
      <c r="AP866" s="613"/>
      <c r="AQ866" s="612">
        <v>188</v>
      </c>
      <c r="AR866" s="611" t="str">
        <f>IFERROR(LARGE($AN$10:$AN$1006,AQ866),"")</f>
        <v/>
      </c>
      <c r="AS866" s="612" t="str">
        <f>VLOOKUP(AR866,$AN$10:$AO$1116,2,0)</f>
        <v>أحمد نورالدين أحمد الذيب</v>
      </c>
    </row>
    <row r="867" spans="1:45" ht="15" customHeight="1" x14ac:dyDescent="0.25">
      <c r="A867" s="633"/>
      <c r="B867" s="630"/>
      <c r="C867" s="622"/>
      <c r="D867" s="625"/>
      <c r="E867" s="133" t="s">
        <v>31</v>
      </c>
      <c r="F867" s="589">
        <f>IFERROR(VLOOKUP($B866,اسماء,18,0),0)</f>
        <v>0</v>
      </c>
      <c r="G867" s="592"/>
      <c r="H867" s="608">
        <f>IFERROR(VLOOKUP($B866,اسماء,19,0),0)</f>
        <v>0</v>
      </c>
      <c r="I867" s="609"/>
      <c r="J867" s="589">
        <f>IFERROR(VLOOKUP($B866,اسماء,20,0),0)</f>
        <v>0</v>
      </c>
      <c r="K867" s="592"/>
      <c r="L867" s="589">
        <f>IFERROR(VLOOKUP($B866,اسماء,21,0),0)</f>
        <v>0</v>
      </c>
      <c r="M867" s="590"/>
      <c r="N867" s="589">
        <f>IFERROR(VLOOKUP($B866,اسماء,22,0),0)</f>
        <v>0</v>
      </c>
      <c r="O867" s="590"/>
      <c r="P867" s="589">
        <f>IFERROR(VLOOKUP($B866,اسماء,23,0),0)</f>
        <v>0</v>
      </c>
      <c r="Q867" s="609"/>
      <c r="R867" s="603">
        <f>IFERROR(VLOOKUP($B866,اسماء,24,0),0)</f>
        <v>0</v>
      </c>
      <c r="S867" s="592"/>
      <c r="T867" s="589">
        <f>IFERROR(VLOOKUP($B866,اسماء,25,0),0)</f>
        <v>0</v>
      </c>
      <c r="U867" s="590"/>
      <c r="V867" s="378">
        <f t="shared" si="2641"/>
        <v>0</v>
      </c>
      <c r="W867" s="374">
        <f>IFERROR(VLOOKUP($B866,اسماء,27,0),0)</f>
        <v>0</v>
      </c>
      <c r="X867" s="379">
        <f>IFERROR(VLOOKUP($B866,اسماء,28,0),0)</f>
        <v>0</v>
      </c>
      <c r="Y867" s="596"/>
      <c r="Z867" s="22" t="str">
        <f t="shared" si="2643"/>
        <v>ضعيف</v>
      </c>
      <c r="AA867" s="657"/>
      <c r="AB867" s="72"/>
      <c r="AC867" s="654"/>
      <c r="AN867" s="607"/>
      <c r="AO867" s="607"/>
      <c r="AP867" s="613"/>
      <c r="AQ867" s="612"/>
      <c r="AR867" s="611"/>
      <c r="AS867" s="612"/>
    </row>
    <row r="868" spans="1:45" ht="15" customHeight="1" x14ac:dyDescent="0.25">
      <c r="A868" s="633"/>
      <c r="B868" s="630"/>
      <c r="C868" s="622"/>
      <c r="D868" s="625"/>
      <c r="E868" s="133" t="s">
        <v>32</v>
      </c>
      <c r="F868" s="589">
        <f>IFERROR(VLOOKUP($B866,اسماء,31,0),0)</f>
        <v>0</v>
      </c>
      <c r="G868" s="592"/>
      <c r="H868" s="608">
        <f>IFERROR(VLOOKUP($B866,اسماء,32,0),0)</f>
        <v>0</v>
      </c>
      <c r="I868" s="609"/>
      <c r="J868" s="589">
        <f>IFERROR(VLOOKUP($B866,اسماء,33,0),0)</f>
        <v>0</v>
      </c>
      <c r="K868" s="592"/>
      <c r="L868" s="589">
        <f>IFERROR(VLOOKUP($B866,اسماء,34,0),0)</f>
        <v>0</v>
      </c>
      <c r="M868" s="590"/>
      <c r="N868" s="589">
        <f>IFERROR(VLOOKUP($B866,اسماء,35,0),0)</f>
        <v>0</v>
      </c>
      <c r="O868" s="590"/>
      <c r="P868" s="589">
        <f>IFERROR(VLOOKUP($B866,اسماء,36,0),0)</f>
        <v>0</v>
      </c>
      <c r="Q868" s="609"/>
      <c r="R868" s="603">
        <f>IFERROR(VLOOKUP($B866,اسماء,37,0),0)</f>
        <v>0</v>
      </c>
      <c r="S868" s="592"/>
      <c r="T868" s="589">
        <f>IFERROR(VLOOKUP($B866,اسماء,38,0),0)</f>
        <v>0</v>
      </c>
      <c r="U868" s="590"/>
      <c r="V868" s="378">
        <f t="shared" si="2641"/>
        <v>0</v>
      </c>
      <c r="W868" s="374">
        <f>IFERROR(VLOOKUP($B866,اسماء,40,0),0)</f>
        <v>0</v>
      </c>
      <c r="X868" s="379">
        <f>IFERROR(VLOOKUP($B866,اسماء,41,0),0)</f>
        <v>0</v>
      </c>
      <c r="Y868" s="596"/>
      <c r="Z868" s="22" t="str">
        <f t="shared" ref="Z868" si="2646">LOOKUP(V868,$AI$6:$AJ$10)</f>
        <v>ضعيف</v>
      </c>
      <c r="AA868" s="657"/>
      <c r="AB868" s="72"/>
      <c r="AC868" s="654"/>
      <c r="AN868" s="607"/>
      <c r="AO868" s="607"/>
      <c r="AP868" s="613"/>
      <c r="AQ868" s="612"/>
      <c r="AR868" s="611"/>
      <c r="AS868" s="612"/>
    </row>
    <row r="869" spans="1:45" ht="15" customHeight="1" thickBot="1" x14ac:dyDescent="0.3">
      <c r="A869" s="634"/>
      <c r="B869" s="631"/>
      <c r="C869" s="623"/>
      <c r="D869" s="626"/>
      <c r="E869" s="127" t="s">
        <v>33</v>
      </c>
      <c r="F869" s="585">
        <f t="shared" ref="F869" si="2647">SUM(F866:G868)</f>
        <v>0</v>
      </c>
      <c r="G869" s="593"/>
      <c r="H869" s="604">
        <f t="shared" ref="H869" si="2648">SUM(H866:I868)</f>
        <v>0</v>
      </c>
      <c r="I869" s="601"/>
      <c r="J869" s="585">
        <f t="shared" ref="J869" si="2649">SUM(J866:K868)</f>
        <v>0</v>
      </c>
      <c r="K869" s="593"/>
      <c r="L869" s="585">
        <f t="shared" ref="L869" si="2650">SUM(L866:M868)</f>
        <v>0</v>
      </c>
      <c r="M869" s="586"/>
      <c r="N869" s="585">
        <f t="shared" ref="N869" si="2651">SUM(N866:O868)</f>
        <v>0</v>
      </c>
      <c r="O869" s="586"/>
      <c r="P869" s="585">
        <f t="shared" ref="P869" si="2652">SUM(P866:Q868)</f>
        <v>0</v>
      </c>
      <c r="Q869" s="601"/>
      <c r="R869" s="602">
        <f t="shared" ref="R869" si="2653">SUM(R866:S868)</f>
        <v>0</v>
      </c>
      <c r="S869" s="593"/>
      <c r="T869" s="585">
        <f t="shared" ref="T869" si="2654">SUM(T866:U868)</f>
        <v>0</v>
      </c>
      <c r="U869" s="586"/>
      <c r="V869" s="96">
        <f t="shared" ref="V869" si="2655">IF(AND(F869&gt;=$G$8,H869&gt;=$I$8,L869&gt;=$M$8,P869&gt;=$Q$8,R869&gt;=$S$8,T869&gt;=$U$8),SUM(F869:U869),0)</f>
        <v>0</v>
      </c>
      <c r="W869" s="380"/>
      <c r="X869" s="97"/>
      <c r="Y869" s="597"/>
      <c r="Z869" s="91" t="str">
        <f t="shared" ref="Z869" si="2656">LOOKUP(V869,$AL$6:$AM$10)</f>
        <v>ضعيف</v>
      </c>
      <c r="AA869" s="658"/>
      <c r="AB869" s="10"/>
      <c r="AC869" s="655"/>
      <c r="AN869" s="607"/>
      <c r="AO869" s="607"/>
      <c r="AP869" s="613"/>
      <c r="AQ869" s="612"/>
      <c r="AR869" s="611"/>
      <c r="AS869" s="612"/>
    </row>
    <row r="870" spans="1:45" ht="15" customHeight="1" x14ac:dyDescent="0.25">
      <c r="A870" s="632">
        <v>189</v>
      </c>
      <c r="B870" s="629">
        <f>VLOOKUP(A870,مسلسل,2,0)</f>
        <v>0</v>
      </c>
      <c r="C870" s="621" t="str">
        <f>IFERROR(VLOOKUP(B870,اسماء,2,0),"")</f>
        <v/>
      </c>
      <c r="D870" s="624" t="str">
        <f>IFERROR(VLOOKUP($B870,اسماء,3,0),"")</f>
        <v/>
      </c>
      <c r="E870" s="132" t="s">
        <v>30</v>
      </c>
      <c r="F870" s="627">
        <f>IFERROR(VLOOKUP($B870,اسماء,5,0),0)</f>
        <v>0</v>
      </c>
      <c r="G870" s="606"/>
      <c r="H870" s="628">
        <f>IFERROR(VLOOKUP($B870,اسماء,6,0),0)</f>
        <v>0</v>
      </c>
      <c r="I870" s="605"/>
      <c r="J870" s="587">
        <f>IFERROR(VLOOKUP($B870,اسماء,7,0),0)</f>
        <v>0</v>
      </c>
      <c r="K870" s="591"/>
      <c r="L870" s="587">
        <f>IFERROR(VLOOKUP($B870,اسماء,8,0),0)</f>
        <v>0</v>
      </c>
      <c r="M870" s="588"/>
      <c r="N870" s="587">
        <f>IFERROR(VLOOKUP($B870,اسماء,9,0),0)</f>
        <v>0</v>
      </c>
      <c r="O870" s="605"/>
      <c r="P870" s="587">
        <f>IFERROR(VLOOKUP($B870,اسماء,10,0),0)</f>
        <v>0</v>
      </c>
      <c r="Q870" s="605"/>
      <c r="R870" s="606">
        <f>IFERROR(VLOOKUP($B870,اسماء,11,0),0)</f>
        <v>0</v>
      </c>
      <c r="S870" s="591"/>
      <c r="T870" s="587">
        <f>IFERROR(VLOOKUP($B870,اسماء,12,0),0)</f>
        <v>0</v>
      </c>
      <c r="U870" s="588"/>
      <c r="V870" s="375">
        <f t="shared" ref="V870:V872" si="2657">SUM(F870:U870)</f>
        <v>0</v>
      </c>
      <c r="W870" s="376">
        <f>IFERROR(VLOOKUP($B870,اسماء,14,0),0)</f>
        <v>0</v>
      </c>
      <c r="X870" s="377">
        <f>IFERROR(VLOOKUP($B870,اسماء,15,0),0)</f>
        <v>0</v>
      </c>
      <c r="Y870" s="595" t="str">
        <f t="shared" ref="Y870" si="2658">IF(AC870="غائب","راسب",IF(AND(F873&gt;=$G$8,H873&gt;=$I$8,J873&gt;=$K$8,L873&gt;=$M$8,N873&gt;=$O$8,P873&gt;=$Q$8,R873&gt;=$S$8,T873&gt;=$U$8),"ناجح","له دور ثان"))</f>
        <v>له دور ثان</v>
      </c>
      <c r="Z870" s="21" t="str">
        <f t="shared" ref="Z870:Z871" si="2659">LOOKUP(V870,$AF$6:$AG$10)</f>
        <v>ضعيف</v>
      </c>
      <c r="AA870" s="656">
        <f t="shared" ref="AA870" si="2660">V873/$AF$3</f>
        <v>0</v>
      </c>
      <c r="AB870" s="72"/>
      <c r="AC870" s="653" t="str">
        <f>IFERROR(VLOOKUP($B870,اسماء,54,0),"")</f>
        <v/>
      </c>
      <c r="AN870" s="607" t="str">
        <f t="shared" ref="AN870" si="2661">IF(V873=0,"",V873/1+ROW()*0.00001)</f>
        <v/>
      </c>
      <c r="AO870" s="607">
        <f>B870</f>
        <v>0</v>
      </c>
      <c r="AP870" s="613"/>
      <c r="AQ870" s="612">
        <v>189</v>
      </c>
      <c r="AR870" s="611" t="str">
        <f>IFERROR(LARGE($AN$10:$AN$1006,AQ870),"")</f>
        <v/>
      </c>
      <c r="AS870" s="612" t="str">
        <f>VLOOKUP(AR870,$AN$10:$AO$1116,2,0)</f>
        <v>أحمد نورالدين أحمد الذيب</v>
      </c>
    </row>
    <row r="871" spans="1:45" ht="15" customHeight="1" x14ac:dyDescent="0.25">
      <c r="A871" s="633"/>
      <c r="B871" s="630"/>
      <c r="C871" s="622"/>
      <c r="D871" s="625"/>
      <c r="E871" s="133" t="s">
        <v>31</v>
      </c>
      <c r="F871" s="589">
        <f>IFERROR(VLOOKUP($B870,اسماء,18,0),0)</f>
        <v>0</v>
      </c>
      <c r="G871" s="592"/>
      <c r="H871" s="608">
        <f>IFERROR(VLOOKUP($B870,اسماء,19,0),0)</f>
        <v>0</v>
      </c>
      <c r="I871" s="609"/>
      <c r="J871" s="589">
        <f>IFERROR(VLOOKUP($B870,اسماء,20,0),0)</f>
        <v>0</v>
      </c>
      <c r="K871" s="592"/>
      <c r="L871" s="589">
        <f>IFERROR(VLOOKUP($B870,اسماء,21,0),0)</f>
        <v>0</v>
      </c>
      <c r="M871" s="590"/>
      <c r="N871" s="589">
        <f>IFERROR(VLOOKUP($B870,اسماء,22,0),0)</f>
        <v>0</v>
      </c>
      <c r="O871" s="590"/>
      <c r="P871" s="589">
        <f>IFERROR(VLOOKUP($B870,اسماء,23,0),0)</f>
        <v>0</v>
      </c>
      <c r="Q871" s="609"/>
      <c r="R871" s="603">
        <f>IFERROR(VLOOKUP($B870,اسماء,24,0),0)</f>
        <v>0</v>
      </c>
      <c r="S871" s="592"/>
      <c r="T871" s="589">
        <f>IFERROR(VLOOKUP($B870,اسماء,25,0),0)</f>
        <v>0</v>
      </c>
      <c r="U871" s="590"/>
      <c r="V871" s="378">
        <f t="shared" si="2657"/>
        <v>0</v>
      </c>
      <c r="W871" s="374">
        <f>IFERROR(VLOOKUP($B870,اسماء,27,0),0)</f>
        <v>0</v>
      </c>
      <c r="X871" s="379">
        <f>IFERROR(VLOOKUP($B870,اسماء,28,0),0)</f>
        <v>0</v>
      </c>
      <c r="Y871" s="596"/>
      <c r="Z871" s="22" t="str">
        <f t="shared" si="2659"/>
        <v>ضعيف</v>
      </c>
      <c r="AA871" s="657"/>
      <c r="AB871" s="72"/>
      <c r="AC871" s="654"/>
      <c r="AN871" s="607"/>
      <c r="AO871" s="607"/>
      <c r="AP871" s="613"/>
      <c r="AQ871" s="612"/>
      <c r="AR871" s="611"/>
      <c r="AS871" s="612"/>
    </row>
    <row r="872" spans="1:45" ht="15" customHeight="1" x14ac:dyDescent="0.25">
      <c r="A872" s="633"/>
      <c r="B872" s="630"/>
      <c r="C872" s="622"/>
      <c r="D872" s="625"/>
      <c r="E872" s="133" t="s">
        <v>32</v>
      </c>
      <c r="F872" s="589">
        <f>IFERROR(VLOOKUP($B870,اسماء,31,0),0)</f>
        <v>0</v>
      </c>
      <c r="G872" s="592"/>
      <c r="H872" s="608">
        <f>IFERROR(VLOOKUP($B870,اسماء,32,0),0)</f>
        <v>0</v>
      </c>
      <c r="I872" s="609"/>
      <c r="J872" s="589">
        <f>IFERROR(VLOOKUP($B870,اسماء,33,0),0)</f>
        <v>0</v>
      </c>
      <c r="K872" s="592"/>
      <c r="L872" s="589">
        <f>IFERROR(VLOOKUP($B870,اسماء,34,0),0)</f>
        <v>0</v>
      </c>
      <c r="M872" s="590"/>
      <c r="N872" s="589">
        <f>IFERROR(VLOOKUP($B870,اسماء,35,0),0)</f>
        <v>0</v>
      </c>
      <c r="O872" s="590"/>
      <c r="P872" s="589">
        <f>IFERROR(VLOOKUP($B870,اسماء,36,0),0)</f>
        <v>0</v>
      </c>
      <c r="Q872" s="609"/>
      <c r="R872" s="603">
        <f>IFERROR(VLOOKUP($B870,اسماء,37,0),0)</f>
        <v>0</v>
      </c>
      <c r="S872" s="592"/>
      <c r="T872" s="589">
        <f>IFERROR(VLOOKUP($B870,اسماء,38,0),0)</f>
        <v>0</v>
      </c>
      <c r="U872" s="590"/>
      <c r="V872" s="378">
        <f t="shared" si="2657"/>
        <v>0</v>
      </c>
      <c r="W872" s="374">
        <f>IFERROR(VLOOKUP($B870,اسماء,40,0),0)</f>
        <v>0</v>
      </c>
      <c r="X872" s="379">
        <f>IFERROR(VLOOKUP($B870,اسماء,41,0),0)</f>
        <v>0</v>
      </c>
      <c r="Y872" s="596"/>
      <c r="Z872" s="22" t="str">
        <f t="shared" ref="Z872" si="2662">LOOKUP(V872,$AI$6:$AJ$10)</f>
        <v>ضعيف</v>
      </c>
      <c r="AA872" s="657"/>
      <c r="AB872" s="10"/>
      <c r="AC872" s="654"/>
      <c r="AN872" s="607"/>
      <c r="AO872" s="607"/>
      <c r="AP872" s="613"/>
      <c r="AQ872" s="612"/>
      <c r="AR872" s="611"/>
      <c r="AS872" s="612"/>
    </row>
    <row r="873" spans="1:45" ht="15" customHeight="1" thickBot="1" x14ac:dyDescent="0.3">
      <c r="A873" s="634"/>
      <c r="B873" s="631"/>
      <c r="C873" s="623"/>
      <c r="D873" s="626"/>
      <c r="E873" s="127" t="s">
        <v>33</v>
      </c>
      <c r="F873" s="585">
        <f t="shared" ref="F873" si="2663">SUM(F870:G872)</f>
        <v>0</v>
      </c>
      <c r="G873" s="593"/>
      <c r="H873" s="604">
        <f t="shared" ref="H873" si="2664">SUM(H870:I872)</f>
        <v>0</v>
      </c>
      <c r="I873" s="601"/>
      <c r="J873" s="585">
        <f t="shared" ref="J873" si="2665">SUM(J870:K872)</f>
        <v>0</v>
      </c>
      <c r="K873" s="593"/>
      <c r="L873" s="585">
        <f t="shared" ref="L873" si="2666">SUM(L870:M872)</f>
        <v>0</v>
      </c>
      <c r="M873" s="586"/>
      <c r="N873" s="585">
        <f t="shared" ref="N873" si="2667">SUM(N870:O872)</f>
        <v>0</v>
      </c>
      <c r="O873" s="586"/>
      <c r="P873" s="585">
        <f t="shared" ref="P873" si="2668">SUM(P870:Q872)</f>
        <v>0</v>
      </c>
      <c r="Q873" s="601"/>
      <c r="R873" s="602">
        <f t="shared" ref="R873" si="2669">SUM(R870:S872)</f>
        <v>0</v>
      </c>
      <c r="S873" s="593"/>
      <c r="T873" s="585">
        <f t="shared" ref="T873" si="2670">SUM(T870:U872)</f>
        <v>0</v>
      </c>
      <c r="U873" s="586"/>
      <c r="V873" s="96">
        <f t="shared" ref="V873" si="2671">IF(AND(F873&gt;=$G$8,H873&gt;=$I$8,L873&gt;=$M$8,P873&gt;=$Q$8,R873&gt;=$S$8,T873&gt;=$U$8),SUM(F873:U873),0)</f>
        <v>0</v>
      </c>
      <c r="W873" s="380"/>
      <c r="X873" s="97"/>
      <c r="Y873" s="597"/>
      <c r="Z873" s="91" t="str">
        <f t="shared" ref="Z873" si="2672">LOOKUP(V873,$AL$6:$AM$10)</f>
        <v>ضعيف</v>
      </c>
      <c r="AA873" s="658"/>
      <c r="AB873" s="72"/>
      <c r="AC873" s="655"/>
      <c r="AN873" s="607"/>
      <c r="AO873" s="607"/>
      <c r="AP873" s="613"/>
      <c r="AQ873" s="612"/>
      <c r="AR873" s="611"/>
      <c r="AS873" s="612"/>
    </row>
    <row r="874" spans="1:45" ht="15" customHeight="1" x14ac:dyDescent="0.25">
      <c r="A874" s="632">
        <v>190</v>
      </c>
      <c r="B874" s="629">
        <f>VLOOKUP(A874,مسلسل,2,0)</f>
        <v>0</v>
      </c>
      <c r="C874" s="621" t="str">
        <f>IFERROR(VLOOKUP(B874,اسماء,2,0),"")</f>
        <v/>
      </c>
      <c r="D874" s="624" t="str">
        <f>IFERROR(VLOOKUP($B874,اسماء,3,0),"")</f>
        <v/>
      </c>
      <c r="E874" s="132" t="s">
        <v>30</v>
      </c>
      <c r="F874" s="627">
        <f>IFERROR(VLOOKUP($B874,اسماء,5,0),0)</f>
        <v>0</v>
      </c>
      <c r="G874" s="606"/>
      <c r="H874" s="628">
        <f>IFERROR(VLOOKUP($B874,اسماء,6,0),0)</f>
        <v>0</v>
      </c>
      <c r="I874" s="605"/>
      <c r="J874" s="587">
        <f>IFERROR(VLOOKUP($B874,اسماء,7,0),0)</f>
        <v>0</v>
      </c>
      <c r="K874" s="591"/>
      <c r="L874" s="587">
        <f>IFERROR(VLOOKUP($B874,اسماء,8,0),0)</f>
        <v>0</v>
      </c>
      <c r="M874" s="588"/>
      <c r="N874" s="587">
        <f>IFERROR(VLOOKUP($B874,اسماء,9,0),0)</f>
        <v>0</v>
      </c>
      <c r="O874" s="605"/>
      <c r="P874" s="587">
        <f>IFERROR(VLOOKUP($B874,اسماء,10,0),0)</f>
        <v>0</v>
      </c>
      <c r="Q874" s="605"/>
      <c r="R874" s="606">
        <f>IFERROR(VLOOKUP($B874,اسماء,11,0),0)</f>
        <v>0</v>
      </c>
      <c r="S874" s="591"/>
      <c r="T874" s="587">
        <f>IFERROR(VLOOKUP($B874,اسماء,12,0),0)</f>
        <v>0</v>
      </c>
      <c r="U874" s="588"/>
      <c r="V874" s="375">
        <f t="shared" ref="V874:V876" si="2673">SUM(F874:U874)</f>
        <v>0</v>
      </c>
      <c r="W874" s="376">
        <f>IFERROR(VLOOKUP($B874,اسماء,14,0),0)</f>
        <v>0</v>
      </c>
      <c r="X874" s="377">
        <f>IFERROR(VLOOKUP($B874,اسماء,15,0),0)</f>
        <v>0</v>
      </c>
      <c r="Y874" s="595" t="str">
        <f t="shared" ref="Y874" si="2674">IF(AC874="غائب","راسب",IF(AND(F877&gt;=$G$8,H877&gt;=$I$8,J877&gt;=$K$8,L877&gt;=$M$8,N877&gt;=$O$8,P877&gt;=$Q$8,R877&gt;=$S$8,T877&gt;=$U$8),"ناجح","له دور ثان"))</f>
        <v>له دور ثان</v>
      </c>
      <c r="Z874" s="21" t="str">
        <f t="shared" ref="Z874:Z875" si="2675">LOOKUP(V874,$AF$6:$AG$10)</f>
        <v>ضعيف</v>
      </c>
      <c r="AA874" s="656">
        <f t="shared" ref="AA874" si="2676">V877/$AF$3</f>
        <v>0</v>
      </c>
      <c r="AB874" s="72"/>
      <c r="AC874" s="653" t="str">
        <f>IFERROR(VLOOKUP($B874,اسماء,54,0),"")</f>
        <v/>
      </c>
      <c r="AN874" s="607" t="str">
        <f t="shared" ref="AN874" si="2677">IF(V877=0,"",V877/1+ROW()*0.00001)</f>
        <v/>
      </c>
      <c r="AO874" s="607">
        <f>B874</f>
        <v>0</v>
      </c>
      <c r="AP874" s="613"/>
      <c r="AQ874" s="612">
        <v>190</v>
      </c>
      <c r="AR874" s="611" t="str">
        <f>IFERROR(LARGE($AN$10:$AN$1006,AQ874),"")</f>
        <v/>
      </c>
      <c r="AS874" s="612" t="str">
        <f>VLOOKUP(AR874,$AN$10:$AO$1116,2,0)</f>
        <v>أحمد نورالدين أحمد الذيب</v>
      </c>
    </row>
    <row r="875" spans="1:45" ht="15" customHeight="1" x14ac:dyDescent="0.25">
      <c r="A875" s="633"/>
      <c r="B875" s="630"/>
      <c r="C875" s="622"/>
      <c r="D875" s="625"/>
      <c r="E875" s="133" t="s">
        <v>31</v>
      </c>
      <c r="F875" s="589">
        <f>IFERROR(VLOOKUP($B874,اسماء,18,0),0)</f>
        <v>0</v>
      </c>
      <c r="G875" s="592"/>
      <c r="H875" s="608">
        <f>IFERROR(VLOOKUP($B874,اسماء,19,0),0)</f>
        <v>0</v>
      </c>
      <c r="I875" s="609"/>
      <c r="J875" s="589">
        <f>IFERROR(VLOOKUP($B874,اسماء,20,0),0)</f>
        <v>0</v>
      </c>
      <c r="K875" s="592"/>
      <c r="L875" s="589">
        <f>IFERROR(VLOOKUP($B874,اسماء,21,0),0)</f>
        <v>0</v>
      </c>
      <c r="M875" s="590"/>
      <c r="N875" s="589">
        <f>IFERROR(VLOOKUP($B874,اسماء,22,0),0)</f>
        <v>0</v>
      </c>
      <c r="O875" s="590"/>
      <c r="P875" s="589">
        <f>IFERROR(VLOOKUP($B874,اسماء,23,0),0)</f>
        <v>0</v>
      </c>
      <c r="Q875" s="609"/>
      <c r="R875" s="603">
        <f>IFERROR(VLOOKUP($B874,اسماء,24,0),0)</f>
        <v>0</v>
      </c>
      <c r="S875" s="592"/>
      <c r="T875" s="589">
        <f>IFERROR(VLOOKUP($B874,اسماء,25,0),0)</f>
        <v>0</v>
      </c>
      <c r="U875" s="590"/>
      <c r="V875" s="378">
        <f t="shared" si="2673"/>
        <v>0</v>
      </c>
      <c r="W875" s="374">
        <f>IFERROR(VLOOKUP($B874,اسماء,27,0),0)</f>
        <v>0</v>
      </c>
      <c r="X875" s="379">
        <f>IFERROR(VLOOKUP($B874,اسماء,28,0),0)</f>
        <v>0</v>
      </c>
      <c r="Y875" s="596"/>
      <c r="Z875" s="22" t="str">
        <f t="shared" si="2675"/>
        <v>ضعيف</v>
      </c>
      <c r="AA875" s="657"/>
      <c r="AB875" s="10"/>
      <c r="AC875" s="654"/>
      <c r="AN875" s="607"/>
      <c r="AO875" s="607"/>
      <c r="AP875" s="613"/>
      <c r="AQ875" s="612"/>
      <c r="AR875" s="611"/>
      <c r="AS875" s="612"/>
    </row>
    <row r="876" spans="1:45" ht="15" customHeight="1" x14ac:dyDescent="0.25">
      <c r="A876" s="633"/>
      <c r="B876" s="630"/>
      <c r="C876" s="622"/>
      <c r="D876" s="625"/>
      <c r="E876" s="133" t="s">
        <v>32</v>
      </c>
      <c r="F876" s="589">
        <f>IFERROR(VLOOKUP($B874,اسماء,31,0),0)</f>
        <v>0</v>
      </c>
      <c r="G876" s="592"/>
      <c r="H876" s="608">
        <f>IFERROR(VLOOKUP($B874,اسماء,32,0),0)</f>
        <v>0</v>
      </c>
      <c r="I876" s="609"/>
      <c r="J876" s="589">
        <f>IFERROR(VLOOKUP($B874,اسماء,33,0),0)</f>
        <v>0</v>
      </c>
      <c r="K876" s="592"/>
      <c r="L876" s="589">
        <f>IFERROR(VLOOKUP($B874,اسماء,34,0),0)</f>
        <v>0</v>
      </c>
      <c r="M876" s="590"/>
      <c r="N876" s="589">
        <f>IFERROR(VLOOKUP($B874,اسماء,35,0),0)</f>
        <v>0</v>
      </c>
      <c r="O876" s="590"/>
      <c r="P876" s="589">
        <f>IFERROR(VLOOKUP($B874,اسماء,36,0),0)</f>
        <v>0</v>
      </c>
      <c r="Q876" s="609"/>
      <c r="R876" s="603">
        <f>IFERROR(VLOOKUP($B874,اسماء,37,0),0)</f>
        <v>0</v>
      </c>
      <c r="S876" s="592"/>
      <c r="T876" s="589">
        <f>IFERROR(VLOOKUP($B874,اسماء,38,0),0)</f>
        <v>0</v>
      </c>
      <c r="U876" s="590"/>
      <c r="V876" s="378">
        <f t="shared" si="2673"/>
        <v>0</v>
      </c>
      <c r="W876" s="374">
        <f>IFERROR(VLOOKUP($B874,اسماء,40,0),0)</f>
        <v>0</v>
      </c>
      <c r="X876" s="379">
        <f>IFERROR(VLOOKUP($B874,اسماء,41,0),0)</f>
        <v>0</v>
      </c>
      <c r="Y876" s="596"/>
      <c r="Z876" s="22" t="str">
        <f t="shared" ref="Z876" si="2678">LOOKUP(V876,$AI$6:$AJ$10)</f>
        <v>ضعيف</v>
      </c>
      <c r="AA876" s="657"/>
      <c r="AB876" s="72"/>
      <c r="AC876" s="654"/>
      <c r="AN876" s="607"/>
      <c r="AO876" s="607"/>
      <c r="AP876" s="613"/>
      <c r="AQ876" s="612"/>
      <c r="AR876" s="611"/>
      <c r="AS876" s="612"/>
    </row>
    <row r="877" spans="1:45" ht="15" customHeight="1" thickBot="1" x14ac:dyDescent="0.3">
      <c r="A877" s="634"/>
      <c r="B877" s="631"/>
      <c r="C877" s="623"/>
      <c r="D877" s="626"/>
      <c r="E877" s="127" t="s">
        <v>33</v>
      </c>
      <c r="F877" s="585">
        <f t="shared" ref="F877" si="2679">SUM(F874:G876)</f>
        <v>0</v>
      </c>
      <c r="G877" s="593"/>
      <c r="H877" s="604">
        <f t="shared" ref="H877" si="2680">SUM(H874:I876)</f>
        <v>0</v>
      </c>
      <c r="I877" s="601"/>
      <c r="J877" s="585">
        <f t="shared" ref="J877" si="2681">SUM(J874:K876)</f>
        <v>0</v>
      </c>
      <c r="K877" s="593"/>
      <c r="L877" s="585">
        <f t="shared" ref="L877" si="2682">SUM(L874:M876)</f>
        <v>0</v>
      </c>
      <c r="M877" s="586"/>
      <c r="N877" s="585">
        <f t="shared" ref="N877" si="2683">SUM(N874:O876)</f>
        <v>0</v>
      </c>
      <c r="O877" s="586"/>
      <c r="P877" s="585">
        <f t="shared" ref="P877" si="2684">SUM(P874:Q876)</f>
        <v>0</v>
      </c>
      <c r="Q877" s="601"/>
      <c r="R877" s="602">
        <f t="shared" ref="R877" si="2685">SUM(R874:S876)</f>
        <v>0</v>
      </c>
      <c r="S877" s="593"/>
      <c r="T877" s="585">
        <f t="shared" ref="T877" si="2686">SUM(T874:U876)</f>
        <v>0</v>
      </c>
      <c r="U877" s="586"/>
      <c r="V877" s="96">
        <f t="shared" ref="V877" si="2687">IF(AND(F877&gt;=$G$8,H877&gt;=$I$8,L877&gt;=$M$8,P877&gt;=$Q$8,R877&gt;=$S$8,T877&gt;=$U$8),SUM(F877:U877),0)</f>
        <v>0</v>
      </c>
      <c r="W877" s="380"/>
      <c r="X877" s="97"/>
      <c r="Y877" s="597"/>
      <c r="Z877" s="91" t="str">
        <f t="shared" ref="Z877" si="2688">LOOKUP(V877,$AL$6:$AM$10)</f>
        <v>ضعيف</v>
      </c>
      <c r="AA877" s="658"/>
      <c r="AB877" s="72"/>
      <c r="AC877" s="655"/>
      <c r="AN877" s="607"/>
      <c r="AO877" s="607"/>
      <c r="AP877" s="613"/>
      <c r="AQ877" s="612"/>
      <c r="AR877" s="611"/>
      <c r="AS877" s="612"/>
    </row>
    <row r="878" spans="1:45" ht="15" customHeight="1" thickBot="1" x14ac:dyDescent="0.3">
      <c r="F878" s="75"/>
      <c r="G878" s="76"/>
      <c r="H878" s="75"/>
      <c r="I878" s="76"/>
      <c r="J878" s="75"/>
      <c r="K878" s="76"/>
      <c r="L878" s="75"/>
      <c r="M878" s="76"/>
      <c r="N878" s="76"/>
      <c r="O878" s="76"/>
      <c r="P878" s="75"/>
      <c r="Q878" s="76"/>
      <c r="R878" s="75"/>
      <c r="S878" s="76"/>
      <c r="T878" s="75"/>
      <c r="U878" s="76"/>
      <c r="V878" s="74"/>
      <c r="W878" s="77"/>
      <c r="X878" s="74"/>
      <c r="Y878" s="362"/>
      <c r="Z878" s="74"/>
      <c r="AA878" s="267"/>
      <c r="AB878" s="72"/>
      <c r="AK878" s="78"/>
    </row>
    <row r="879" spans="1:45" customFormat="1" ht="15" customHeight="1" x14ac:dyDescent="0.3">
      <c r="A879" s="617" t="s">
        <v>9</v>
      </c>
      <c r="B879" s="618"/>
      <c r="C879" s="619"/>
      <c r="D879" s="288" t="s">
        <v>11</v>
      </c>
      <c r="E879" s="600" t="s">
        <v>97</v>
      </c>
      <c r="F879" s="598"/>
      <c r="G879" s="598"/>
      <c r="H879" s="598"/>
      <c r="I879" s="598"/>
      <c r="J879" s="9"/>
      <c r="K879" s="9"/>
      <c r="L879" s="9"/>
      <c r="M879" s="9"/>
      <c r="N879" s="9"/>
      <c r="O879" s="9"/>
      <c r="P879" s="9"/>
      <c r="Q879" s="9"/>
      <c r="R879" s="9"/>
      <c r="S879" s="598" t="s">
        <v>156</v>
      </c>
      <c r="T879" s="598"/>
      <c r="U879" s="598"/>
      <c r="V879" s="598"/>
      <c r="W879" s="598"/>
      <c r="X879" s="598"/>
      <c r="Y879" s="598"/>
      <c r="Z879" s="1"/>
      <c r="AA879" s="268"/>
      <c r="AC879" s="79"/>
      <c r="AD879" s="80"/>
      <c r="AE879" s="80"/>
      <c r="AF879" s="80"/>
      <c r="AG879" s="80"/>
    </row>
    <row r="880" spans="1:45" customFormat="1" ht="15" customHeight="1" x14ac:dyDescent="0.25">
      <c r="A880" s="81" t="s">
        <v>8</v>
      </c>
      <c r="B880" s="610">
        <f>ادخال1!$BP$3</f>
        <v>0</v>
      </c>
      <c r="C880" s="620"/>
      <c r="D880" s="289"/>
      <c r="E880" s="9" t="s">
        <v>9</v>
      </c>
      <c r="F880" s="599" t="str">
        <f>ادخال1!$BP$5</f>
        <v>د.عبدالرحمن خليفة العريبي</v>
      </c>
      <c r="G880" s="599"/>
      <c r="H880" s="599"/>
      <c r="I880" s="599"/>
      <c r="J880" s="599"/>
      <c r="K880" s="599"/>
      <c r="L880" s="599"/>
      <c r="M880" s="599"/>
      <c r="N880" s="599"/>
      <c r="O880" s="599"/>
      <c r="P880" s="599"/>
      <c r="Q880" s="599"/>
      <c r="R880" s="9"/>
      <c r="S880" s="599" t="str">
        <f>ادخال1!$BP$6</f>
        <v>تاجوراء</v>
      </c>
      <c r="T880" s="599"/>
      <c r="U880" s="599"/>
      <c r="V880" s="599"/>
      <c r="W880" s="599"/>
      <c r="X880" s="599"/>
      <c r="Y880" s="599"/>
      <c r="Z880" s="599"/>
      <c r="AA880" s="67"/>
      <c r="AB880" s="67"/>
      <c r="AC880" s="79"/>
      <c r="AD880" s="79"/>
      <c r="AE880" s="79"/>
      <c r="AF880" s="79"/>
    </row>
    <row r="881" spans="1:45" customFormat="1" ht="15" customHeight="1" thickBot="1" x14ac:dyDescent="0.3">
      <c r="A881" s="82" t="s">
        <v>98</v>
      </c>
      <c r="B881" s="615">
        <f>ادخال1!$BP$4</f>
        <v>0</v>
      </c>
      <c r="C881" s="616"/>
      <c r="D881" s="290"/>
      <c r="E881" s="9" t="s">
        <v>11</v>
      </c>
      <c r="F881" s="607"/>
      <c r="G881" s="607"/>
      <c r="H881" s="607"/>
      <c r="I881" s="607"/>
      <c r="J881" s="607"/>
      <c r="K881" s="607"/>
      <c r="L881" s="607"/>
      <c r="M881" s="607"/>
      <c r="N881" s="607"/>
      <c r="O881" s="607"/>
      <c r="P881" s="607"/>
      <c r="Q881" s="607"/>
      <c r="R881" s="9"/>
      <c r="S881" s="9" t="s">
        <v>11</v>
      </c>
      <c r="T881" s="9"/>
      <c r="U881" s="9" t="s">
        <v>11</v>
      </c>
      <c r="V881" s="1"/>
      <c r="W881" s="1"/>
      <c r="X881" s="1"/>
      <c r="Y881" s="363"/>
      <c r="Z881" s="1"/>
      <c r="AA881" s="268"/>
      <c r="AC881" s="79"/>
      <c r="AD881" s="79"/>
      <c r="AE881" s="79"/>
      <c r="AF881" s="79"/>
    </row>
    <row r="882" spans="1:45" customFormat="1" ht="15" customHeight="1" x14ac:dyDescent="0.25">
      <c r="A882" s="598" t="s">
        <v>99</v>
      </c>
      <c r="B882" s="598"/>
      <c r="C882" s="598"/>
      <c r="D882" s="598"/>
      <c r="E882" s="598" t="s">
        <v>100</v>
      </c>
      <c r="F882" s="598"/>
      <c r="G882" s="598"/>
      <c r="H882" s="598"/>
      <c r="I882" s="598"/>
      <c r="J882" s="598"/>
      <c r="K882" s="598"/>
      <c r="L882" s="598"/>
      <c r="M882" s="598"/>
      <c r="N882" s="598"/>
      <c r="O882" s="598"/>
      <c r="P882" s="598"/>
      <c r="Q882" s="598"/>
      <c r="R882" s="598"/>
      <c r="S882" s="598"/>
      <c r="T882" s="9"/>
      <c r="U882" s="9"/>
      <c r="V882" s="9"/>
      <c r="W882" s="594">
        <f ca="1">TODAY()</f>
        <v>46035</v>
      </c>
      <c r="X882" s="594"/>
      <c r="Y882" s="594"/>
      <c r="Z882" s="594"/>
      <c r="AA882" s="268"/>
    </row>
    <row r="883" spans="1:45" customFormat="1" ht="15" customHeight="1" thickBot="1" x14ac:dyDescent="0.3">
      <c r="A883" s="9"/>
      <c r="B883" s="598" t="s">
        <v>101</v>
      </c>
      <c r="C883" s="598"/>
      <c r="D883" s="598"/>
      <c r="E883" s="598" t="s">
        <v>102</v>
      </c>
      <c r="F883" s="598"/>
      <c r="G883" s="598"/>
      <c r="H883" s="598"/>
      <c r="I883" s="598"/>
      <c r="J883" s="598"/>
      <c r="K883" s="598"/>
      <c r="L883" s="598"/>
      <c r="M883" s="598"/>
      <c r="N883" s="598"/>
      <c r="O883" s="598"/>
      <c r="P883" s="598"/>
      <c r="Q883" s="598"/>
      <c r="R883" s="598"/>
      <c r="S883" s="598"/>
      <c r="T883" s="9"/>
      <c r="U883" s="9"/>
      <c r="V883" s="1"/>
      <c r="W883" s="1"/>
      <c r="X883" s="1"/>
      <c r="Y883" s="363"/>
      <c r="Z883" s="1"/>
      <c r="AA883" s="268"/>
    </row>
    <row r="884" spans="1:45" ht="15" customHeight="1" x14ac:dyDescent="0.25">
      <c r="A884" s="632">
        <v>191</v>
      </c>
      <c r="B884" s="629">
        <f>VLOOKUP(A884,مسلسل,2,0)</f>
        <v>0</v>
      </c>
      <c r="C884" s="621" t="str">
        <f>IFERROR(VLOOKUP(B884,اسماء,2,0),"")</f>
        <v/>
      </c>
      <c r="D884" s="624" t="str">
        <f>IFERROR(VLOOKUP($B884,اسماء,3,0),"")</f>
        <v/>
      </c>
      <c r="E884" s="132" t="s">
        <v>30</v>
      </c>
      <c r="F884" s="627">
        <f>IFERROR(VLOOKUP($B884,اسماء,5,0),0)</f>
        <v>0</v>
      </c>
      <c r="G884" s="606"/>
      <c r="H884" s="628">
        <f>IFERROR(VLOOKUP($B884,اسماء,6,0),0)</f>
        <v>0</v>
      </c>
      <c r="I884" s="605"/>
      <c r="J884" s="587">
        <f>IFERROR(VLOOKUP($B884,اسماء,7,0),0)</f>
        <v>0</v>
      </c>
      <c r="K884" s="591"/>
      <c r="L884" s="587">
        <f>IFERROR(VLOOKUP($B884,اسماء,8,0),0)</f>
        <v>0</v>
      </c>
      <c r="M884" s="588"/>
      <c r="N884" s="587">
        <f>IFERROR(VLOOKUP($B884,اسماء,9,0),0)</f>
        <v>0</v>
      </c>
      <c r="O884" s="605"/>
      <c r="P884" s="587">
        <f>IFERROR(VLOOKUP($B884,اسماء,10,0),0)</f>
        <v>0</v>
      </c>
      <c r="Q884" s="605"/>
      <c r="R884" s="606">
        <f>IFERROR(VLOOKUP($B884,اسماء,11,0),0)</f>
        <v>0</v>
      </c>
      <c r="S884" s="591"/>
      <c r="T884" s="587">
        <f>IFERROR(VLOOKUP($B884,اسماء,12,0),0)</f>
        <v>0</v>
      </c>
      <c r="U884" s="588"/>
      <c r="V884" s="375">
        <f t="shared" ref="V884:V886" si="2689">SUM(F884:U884)</f>
        <v>0</v>
      </c>
      <c r="W884" s="376">
        <f>IFERROR(VLOOKUP($B884,اسماء,14,0),0)</f>
        <v>0</v>
      </c>
      <c r="X884" s="377">
        <f>IFERROR(VLOOKUP($B884,اسماء,15,0),0)</f>
        <v>0</v>
      </c>
      <c r="Y884" s="595" t="str">
        <f>IF(AC884="غائب","راسب",IF(AND(F887&gt;=$G$8,H887&gt;=$I$8,J887&gt;=$K$8,L887&gt;=$M$8,N887&gt;=$O$8,P887&gt;=$Q$8,R887&gt;=$S$8,T887&gt;=$U$8),"ناجح","له دور ثان"))</f>
        <v>له دور ثان</v>
      </c>
      <c r="Z884" s="21" t="str">
        <f>LOOKUP(V884,$AF$6:$AG$10)</f>
        <v>ضعيف</v>
      </c>
      <c r="AA884" s="656">
        <f>V887/$AF$3</f>
        <v>0</v>
      </c>
      <c r="AB884" s="10"/>
      <c r="AC884" s="653" t="str">
        <f>IFERROR(VLOOKUP($B884,اسماء,54,0),"")</f>
        <v/>
      </c>
      <c r="AN884" s="610" t="str">
        <f>IF(V887=0,"",V887/1+ROW()*0.00001)</f>
        <v/>
      </c>
      <c r="AO884" s="610">
        <f>B884</f>
        <v>0</v>
      </c>
      <c r="AP884" s="613"/>
      <c r="AQ884" s="612">
        <v>191</v>
      </c>
      <c r="AR884" s="611" t="str">
        <f>IFERROR(LARGE($AN$10:$AN$1006,AQ884),"")</f>
        <v/>
      </c>
      <c r="AS884" s="612" t="str">
        <f>VLOOKUP(AR884,$AN$10:$AO$1116,2,0)</f>
        <v>أحمد نورالدين أحمد الذيب</v>
      </c>
    </row>
    <row r="885" spans="1:45" ht="15" customHeight="1" x14ac:dyDescent="0.25">
      <c r="A885" s="633"/>
      <c r="B885" s="630"/>
      <c r="C885" s="622"/>
      <c r="D885" s="625"/>
      <c r="E885" s="133" t="s">
        <v>31</v>
      </c>
      <c r="F885" s="589">
        <f>IFERROR(VLOOKUP($B884,اسماء,18,0),0)</f>
        <v>0</v>
      </c>
      <c r="G885" s="592"/>
      <c r="H885" s="608">
        <f>IFERROR(VLOOKUP($B884,اسماء,19,0),0)</f>
        <v>0</v>
      </c>
      <c r="I885" s="609"/>
      <c r="J885" s="589">
        <f>IFERROR(VLOOKUP($B884,اسماء,20,0),0)</f>
        <v>0</v>
      </c>
      <c r="K885" s="592"/>
      <c r="L885" s="589">
        <f>IFERROR(VLOOKUP($B884,اسماء,21,0),0)</f>
        <v>0</v>
      </c>
      <c r="M885" s="590"/>
      <c r="N885" s="589">
        <f>IFERROR(VLOOKUP($B884,اسماء,22,0),0)</f>
        <v>0</v>
      </c>
      <c r="O885" s="590"/>
      <c r="P885" s="589">
        <f>IFERROR(VLOOKUP($B884,اسماء,23,0),0)</f>
        <v>0</v>
      </c>
      <c r="Q885" s="609"/>
      <c r="R885" s="603">
        <f>IFERROR(VLOOKUP($B884,اسماء,24,0),0)</f>
        <v>0</v>
      </c>
      <c r="S885" s="592"/>
      <c r="T885" s="589">
        <f>IFERROR(VLOOKUP($B884,اسماء,25,0),0)</f>
        <v>0</v>
      </c>
      <c r="U885" s="590"/>
      <c r="V885" s="378">
        <f t="shared" si="2689"/>
        <v>0</v>
      </c>
      <c r="W885" s="374">
        <f>IFERROR(VLOOKUP($B884,اسماء,27,0),0)</f>
        <v>0</v>
      </c>
      <c r="X885" s="379">
        <f>IFERROR(VLOOKUP($B884,اسماء,28,0),0)</f>
        <v>0</v>
      </c>
      <c r="Y885" s="596"/>
      <c r="Z885" s="22" t="str">
        <f>LOOKUP(V885,$AF$6:$AG$10)</f>
        <v>ضعيف</v>
      </c>
      <c r="AA885" s="657"/>
      <c r="AB885" s="72"/>
      <c r="AC885" s="654"/>
      <c r="AN885" s="610"/>
      <c r="AO885" s="610"/>
      <c r="AP885" s="613"/>
      <c r="AQ885" s="612"/>
      <c r="AR885" s="611"/>
      <c r="AS885" s="612"/>
    </row>
    <row r="886" spans="1:45" ht="15" customHeight="1" x14ac:dyDescent="0.25">
      <c r="A886" s="633"/>
      <c r="B886" s="630"/>
      <c r="C886" s="622"/>
      <c r="D886" s="625"/>
      <c r="E886" s="133" t="s">
        <v>32</v>
      </c>
      <c r="F886" s="589">
        <f>IFERROR(VLOOKUP($B884,اسماء,31,0),0)</f>
        <v>0</v>
      </c>
      <c r="G886" s="592"/>
      <c r="H886" s="608">
        <f>IFERROR(VLOOKUP($B884,اسماء,32,0),0)</f>
        <v>0</v>
      </c>
      <c r="I886" s="609"/>
      <c r="J886" s="589">
        <f>IFERROR(VLOOKUP($B884,اسماء,33,0),0)</f>
        <v>0</v>
      </c>
      <c r="K886" s="592"/>
      <c r="L886" s="589">
        <f>IFERROR(VLOOKUP($B884,اسماء,34,0),0)</f>
        <v>0</v>
      </c>
      <c r="M886" s="590"/>
      <c r="N886" s="589">
        <f>IFERROR(VLOOKUP($B884,اسماء,35,0),0)</f>
        <v>0</v>
      </c>
      <c r="O886" s="590"/>
      <c r="P886" s="589">
        <f>IFERROR(VLOOKUP($B884,اسماء,36,0),0)</f>
        <v>0</v>
      </c>
      <c r="Q886" s="609"/>
      <c r="R886" s="603">
        <f>IFERROR(VLOOKUP($B884,اسماء,37,0),0)</f>
        <v>0</v>
      </c>
      <c r="S886" s="592"/>
      <c r="T886" s="589">
        <f>IFERROR(VLOOKUP($B884,اسماء,38,0),0)</f>
        <v>0</v>
      </c>
      <c r="U886" s="590"/>
      <c r="V886" s="378">
        <f t="shared" si="2689"/>
        <v>0</v>
      </c>
      <c r="W886" s="374">
        <f>IFERROR(VLOOKUP($B884,اسماء,40,0),0)</f>
        <v>0</v>
      </c>
      <c r="X886" s="379">
        <f>IFERROR(VLOOKUP($B884,اسماء,41,0),0)</f>
        <v>0</v>
      </c>
      <c r="Y886" s="596"/>
      <c r="Z886" s="22" t="str">
        <f>LOOKUP(V886,$AI$6:$AJ$10)</f>
        <v>ضعيف</v>
      </c>
      <c r="AA886" s="657"/>
      <c r="AB886" s="72"/>
      <c r="AC886" s="654"/>
      <c r="AN886" s="610"/>
      <c r="AO886" s="610"/>
      <c r="AP886" s="613"/>
      <c r="AQ886" s="612"/>
      <c r="AR886" s="611"/>
      <c r="AS886" s="612"/>
    </row>
    <row r="887" spans="1:45" ht="15" customHeight="1" thickBot="1" x14ac:dyDescent="0.3">
      <c r="A887" s="634"/>
      <c r="B887" s="631"/>
      <c r="C887" s="623"/>
      <c r="D887" s="626"/>
      <c r="E887" s="127" t="s">
        <v>33</v>
      </c>
      <c r="F887" s="585">
        <f t="shared" ref="F887" si="2690">SUM(F884:G886)</f>
        <v>0</v>
      </c>
      <c r="G887" s="593"/>
      <c r="H887" s="604">
        <f t="shared" ref="H887" si="2691">SUM(H884:I886)</f>
        <v>0</v>
      </c>
      <c r="I887" s="601"/>
      <c r="J887" s="585">
        <f t="shared" ref="J887" si="2692">SUM(J884:K886)</f>
        <v>0</v>
      </c>
      <c r="K887" s="593"/>
      <c r="L887" s="585">
        <f t="shared" ref="L887" si="2693">SUM(L884:M886)</f>
        <v>0</v>
      </c>
      <c r="M887" s="586"/>
      <c r="N887" s="585">
        <f t="shared" ref="N887" si="2694">SUM(N884:O886)</f>
        <v>0</v>
      </c>
      <c r="O887" s="586"/>
      <c r="P887" s="585">
        <f t="shared" ref="P887" si="2695">SUM(P884:Q886)</f>
        <v>0</v>
      </c>
      <c r="Q887" s="601"/>
      <c r="R887" s="602">
        <f t="shared" ref="R887" si="2696">SUM(R884:S886)</f>
        <v>0</v>
      </c>
      <c r="S887" s="593"/>
      <c r="T887" s="585">
        <f t="shared" ref="T887" si="2697">SUM(T884:U886)</f>
        <v>0</v>
      </c>
      <c r="U887" s="586"/>
      <c r="V887" s="96">
        <f t="shared" ref="V887" si="2698">IF(AND(F887&gt;=$G$8,H887&gt;=$I$8,L887&gt;=$M$8,P887&gt;=$Q$8,R887&gt;=$S$8,T887&gt;=$U$8),SUM(F887:U887),0)</f>
        <v>0</v>
      </c>
      <c r="W887" s="380"/>
      <c r="X887" s="97"/>
      <c r="Y887" s="597"/>
      <c r="Z887" s="91" t="str">
        <f>LOOKUP(V887,$AL$6:$AM$10)</f>
        <v>ضعيف</v>
      </c>
      <c r="AA887" s="658"/>
      <c r="AB887" s="10"/>
      <c r="AC887" s="655"/>
      <c r="AN887" s="610"/>
      <c r="AO887" s="610"/>
      <c r="AP887" s="613"/>
      <c r="AQ887" s="612"/>
      <c r="AR887" s="611"/>
      <c r="AS887" s="612"/>
    </row>
    <row r="888" spans="1:45" ht="15" customHeight="1" x14ac:dyDescent="0.25">
      <c r="A888" s="632">
        <v>192</v>
      </c>
      <c r="B888" s="629">
        <f>VLOOKUP(A888,مسلسل,2,0)</f>
        <v>0</v>
      </c>
      <c r="C888" s="621" t="str">
        <f>IFERROR(VLOOKUP(B888,اسماء,2,0),"")</f>
        <v/>
      </c>
      <c r="D888" s="624" t="str">
        <f>IFERROR(VLOOKUP($B888,اسماء,3,0),"")</f>
        <v/>
      </c>
      <c r="E888" s="132" t="s">
        <v>30</v>
      </c>
      <c r="F888" s="627">
        <f>IFERROR(VLOOKUP($B888,اسماء,5,0),0)</f>
        <v>0</v>
      </c>
      <c r="G888" s="606"/>
      <c r="H888" s="628">
        <f>IFERROR(VLOOKUP($B888,اسماء,6,0),0)</f>
        <v>0</v>
      </c>
      <c r="I888" s="605"/>
      <c r="J888" s="587">
        <f>IFERROR(VLOOKUP($B888,اسماء,7,0),0)</f>
        <v>0</v>
      </c>
      <c r="K888" s="591"/>
      <c r="L888" s="587">
        <f>IFERROR(VLOOKUP($B888,اسماء,8,0),0)</f>
        <v>0</v>
      </c>
      <c r="M888" s="588"/>
      <c r="N888" s="587">
        <f>IFERROR(VLOOKUP($B888,اسماء,9,0),0)</f>
        <v>0</v>
      </c>
      <c r="O888" s="605"/>
      <c r="P888" s="587">
        <f>IFERROR(VLOOKUP($B888,اسماء,10,0),0)</f>
        <v>0</v>
      </c>
      <c r="Q888" s="605"/>
      <c r="R888" s="606">
        <f>IFERROR(VLOOKUP($B888,اسماء,11,0),0)</f>
        <v>0</v>
      </c>
      <c r="S888" s="591"/>
      <c r="T888" s="587">
        <f>IFERROR(VLOOKUP($B888,اسماء,12,0),0)</f>
        <v>0</v>
      </c>
      <c r="U888" s="588"/>
      <c r="V888" s="375">
        <f t="shared" ref="V888:V890" si="2699">SUM(F888:U888)</f>
        <v>0</v>
      </c>
      <c r="W888" s="376">
        <f>IFERROR(VLOOKUP($B888,اسماء,14,0),0)</f>
        <v>0</v>
      </c>
      <c r="X888" s="377">
        <f>IFERROR(VLOOKUP($B888,اسماء,15,0),0)</f>
        <v>0</v>
      </c>
      <c r="Y888" s="595" t="str">
        <f t="shared" ref="Y888" si="2700">IF(AC888="غائب","راسب",IF(AND(F891&gt;=$G$8,H891&gt;=$I$8,J891&gt;=$K$8,L891&gt;=$M$8,N891&gt;=$O$8,P891&gt;=$Q$8,R891&gt;=$S$8,T891&gt;=$U$8),"ناجح","له دور ثان"))</f>
        <v>له دور ثان</v>
      </c>
      <c r="Z888" s="21" t="str">
        <f>LOOKUP(V888,$AF$6:$AG$10)</f>
        <v>ضعيف</v>
      </c>
      <c r="AA888" s="656">
        <f>V891/$AF$3</f>
        <v>0</v>
      </c>
      <c r="AB888" s="72"/>
      <c r="AC888" s="653" t="str">
        <f>IFERROR(VLOOKUP($B888,اسماء,54,0),"")</f>
        <v/>
      </c>
      <c r="AN888" s="607" t="str">
        <f t="shared" ref="AN888" si="2701">IF(V891=0,"",V891/1+ROW()*0.00001)</f>
        <v/>
      </c>
      <c r="AO888" s="607">
        <f>B888</f>
        <v>0</v>
      </c>
      <c r="AP888" s="613"/>
      <c r="AQ888" s="612">
        <v>192</v>
      </c>
      <c r="AR888" s="611" t="str">
        <f>IFERROR(LARGE($AN$10:$AN$1006,AQ888),"")</f>
        <v/>
      </c>
      <c r="AS888" s="612" t="str">
        <f>VLOOKUP(AR888,$AN$10:$AO$1116,2,0)</f>
        <v>أحمد نورالدين أحمد الذيب</v>
      </c>
    </row>
    <row r="889" spans="1:45" ht="15" customHeight="1" x14ac:dyDescent="0.25">
      <c r="A889" s="633"/>
      <c r="B889" s="630"/>
      <c r="C889" s="622"/>
      <c r="D889" s="625"/>
      <c r="E889" s="133" t="s">
        <v>31</v>
      </c>
      <c r="F889" s="589">
        <f>IFERROR(VLOOKUP($B888,اسماء,18,0),0)</f>
        <v>0</v>
      </c>
      <c r="G889" s="592"/>
      <c r="H889" s="608">
        <f>IFERROR(VLOOKUP($B888,اسماء,19,0),0)</f>
        <v>0</v>
      </c>
      <c r="I889" s="609"/>
      <c r="J889" s="589">
        <f>IFERROR(VLOOKUP($B888,اسماء,20,0),0)</f>
        <v>0</v>
      </c>
      <c r="K889" s="592"/>
      <c r="L889" s="589">
        <f>IFERROR(VLOOKUP($B888,اسماء,21,0),0)</f>
        <v>0</v>
      </c>
      <c r="M889" s="590"/>
      <c r="N889" s="589">
        <f>IFERROR(VLOOKUP($B888,اسماء,22,0),0)</f>
        <v>0</v>
      </c>
      <c r="O889" s="590"/>
      <c r="P889" s="589">
        <f>IFERROR(VLOOKUP($B888,اسماء,23,0),0)</f>
        <v>0</v>
      </c>
      <c r="Q889" s="609"/>
      <c r="R889" s="603">
        <f>IFERROR(VLOOKUP($B888,اسماء,24,0),0)</f>
        <v>0</v>
      </c>
      <c r="S889" s="592"/>
      <c r="T889" s="589">
        <f>IFERROR(VLOOKUP($B888,اسماء,25,0),0)</f>
        <v>0</v>
      </c>
      <c r="U889" s="590"/>
      <c r="V889" s="378">
        <f t="shared" si="2699"/>
        <v>0</v>
      </c>
      <c r="W889" s="374">
        <f>IFERROR(VLOOKUP($B888,اسماء,27,0),0)</f>
        <v>0</v>
      </c>
      <c r="X889" s="379">
        <f>IFERROR(VLOOKUP($B888,اسماء,28,0),0)</f>
        <v>0</v>
      </c>
      <c r="Y889" s="596"/>
      <c r="Z889" s="22" t="str">
        <f>LOOKUP(V889,$AF$6:$AG$10)</f>
        <v>ضعيف</v>
      </c>
      <c r="AA889" s="657"/>
      <c r="AB889" s="72"/>
      <c r="AC889" s="654"/>
      <c r="AN889" s="607"/>
      <c r="AO889" s="607"/>
      <c r="AP889" s="613"/>
      <c r="AQ889" s="612"/>
      <c r="AR889" s="611"/>
      <c r="AS889" s="612"/>
    </row>
    <row r="890" spans="1:45" ht="15" customHeight="1" x14ac:dyDescent="0.25">
      <c r="A890" s="633"/>
      <c r="B890" s="630"/>
      <c r="C890" s="622"/>
      <c r="D890" s="625"/>
      <c r="E890" s="133" t="s">
        <v>32</v>
      </c>
      <c r="F890" s="589">
        <f>IFERROR(VLOOKUP($B888,اسماء,31,0),0)</f>
        <v>0</v>
      </c>
      <c r="G890" s="592"/>
      <c r="H890" s="608">
        <f>IFERROR(VLOOKUP($B888,اسماء,32,0),0)</f>
        <v>0</v>
      </c>
      <c r="I890" s="609"/>
      <c r="J890" s="589">
        <f>IFERROR(VLOOKUP($B888,اسماء,33,0),0)</f>
        <v>0</v>
      </c>
      <c r="K890" s="592"/>
      <c r="L890" s="589">
        <f>IFERROR(VLOOKUP($B888,اسماء,34,0),0)</f>
        <v>0</v>
      </c>
      <c r="M890" s="590"/>
      <c r="N890" s="589">
        <f>IFERROR(VLOOKUP($B888,اسماء,35,0),0)</f>
        <v>0</v>
      </c>
      <c r="O890" s="590"/>
      <c r="P890" s="589">
        <f>IFERROR(VLOOKUP($B888,اسماء,36,0),0)</f>
        <v>0</v>
      </c>
      <c r="Q890" s="609"/>
      <c r="R890" s="603">
        <f>IFERROR(VLOOKUP($B888,اسماء,37,0),0)</f>
        <v>0</v>
      </c>
      <c r="S890" s="592"/>
      <c r="T890" s="589">
        <f>IFERROR(VLOOKUP($B888,اسماء,38,0),0)</f>
        <v>0</v>
      </c>
      <c r="U890" s="590"/>
      <c r="V890" s="378">
        <f t="shared" si="2699"/>
        <v>0</v>
      </c>
      <c r="W890" s="374">
        <f>IFERROR(VLOOKUP($B888,اسماء,40,0),0)</f>
        <v>0</v>
      </c>
      <c r="X890" s="379">
        <f>IFERROR(VLOOKUP($B888,اسماء,41,0),0)</f>
        <v>0</v>
      </c>
      <c r="Y890" s="596"/>
      <c r="Z890" s="22" t="str">
        <f>LOOKUP(V890,$AI$6:$AJ$10)</f>
        <v>ضعيف</v>
      </c>
      <c r="AA890" s="657"/>
      <c r="AB890" s="10"/>
      <c r="AC890" s="654"/>
      <c r="AN890" s="607"/>
      <c r="AO890" s="607"/>
      <c r="AP890" s="613"/>
      <c r="AQ890" s="612"/>
      <c r="AR890" s="611"/>
      <c r="AS890" s="612"/>
    </row>
    <row r="891" spans="1:45" ht="15" customHeight="1" thickBot="1" x14ac:dyDescent="0.3">
      <c r="A891" s="634"/>
      <c r="B891" s="631"/>
      <c r="C891" s="623"/>
      <c r="D891" s="626"/>
      <c r="E891" s="127" t="s">
        <v>33</v>
      </c>
      <c r="F891" s="585">
        <f t="shared" ref="F891" si="2702">SUM(F888:G890)</f>
        <v>0</v>
      </c>
      <c r="G891" s="593"/>
      <c r="H891" s="604">
        <f t="shared" ref="H891" si="2703">SUM(H888:I890)</f>
        <v>0</v>
      </c>
      <c r="I891" s="601"/>
      <c r="J891" s="585">
        <f t="shared" ref="J891" si="2704">SUM(J888:K890)</f>
        <v>0</v>
      </c>
      <c r="K891" s="593"/>
      <c r="L891" s="585">
        <f t="shared" ref="L891" si="2705">SUM(L888:M890)</f>
        <v>0</v>
      </c>
      <c r="M891" s="586"/>
      <c r="N891" s="585">
        <f t="shared" ref="N891" si="2706">SUM(N888:O890)</f>
        <v>0</v>
      </c>
      <c r="O891" s="586"/>
      <c r="P891" s="585">
        <f t="shared" ref="P891" si="2707">SUM(P888:Q890)</f>
        <v>0</v>
      </c>
      <c r="Q891" s="601"/>
      <c r="R891" s="602">
        <f t="shared" ref="R891" si="2708">SUM(R888:S890)</f>
        <v>0</v>
      </c>
      <c r="S891" s="593"/>
      <c r="T891" s="585">
        <f t="shared" ref="T891" si="2709">SUM(T888:U890)</f>
        <v>0</v>
      </c>
      <c r="U891" s="586"/>
      <c r="V891" s="96">
        <f t="shared" ref="V891" si="2710">IF(AND(F891&gt;=$G$8,H891&gt;=$I$8,L891&gt;=$M$8,P891&gt;=$Q$8,R891&gt;=$S$8,T891&gt;=$U$8),SUM(F891:U891),0)</f>
        <v>0</v>
      </c>
      <c r="W891" s="380"/>
      <c r="X891" s="97"/>
      <c r="Y891" s="597"/>
      <c r="Z891" s="91" t="str">
        <f>LOOKUP(V891,$AL$6:$AM$10)</f>
        <v>ضعيف</v>
      </c>
      <c r="AA891" s="658"/>
      <c r="AB891" s="72"/>
      <c r="AC891" s="655"/>
      <c r="AN891" s="607"/>
      <c r="AO891" s="607"/>
      <c r="AP891" s="613"/>
      <c r="AQ891" s="612"/>
      <c r="AR891" s="611"/>
      <c r="AS891" s="612"/>
    </row>
    <row r="892" spans="1:45" ht="15" customHeight="1" x14ac:dyDescent="0.25">
      <c r="A892" s="632">
        <v>193</v>
      </c>
      <c r="B892" s="629">
        <f>VLOOKUP(A892,مسلسل,2,0)</f>
        <v>0</v>
      </c>
      <c r="C892" s="621" t="str">
        <f>IFERROR(VLOOKUP(B892,اسماء,2,0),"")</f>
        <v/>
      </c>
      <c r="D892" s="624" t="str">
        <f>IFERROR(VLOOKUP($B892,اسماء,3,0),"")</f>
        <v/>
      </c>
      <c r="E892" s="132" t="s">
        <v>30</v>
      </c>
      <c r="F892" s="627">
        <f>IFERROR(VLOOKUP($B892,اسماء,5,0),0)</f>
        <v>0</v>
      </c>
      <c r="G892" s="606"/>
      <c r="H892" s="628">
        <f>IFERROR(VLOOKUP($B892,اسماء,6,0),0)</f>
        <v>0</v>
      </c>
      <c r="I892" s="605"/>
      <c r="J892" s="587">
        <f>IFERROR(VLOOKUP($B892,اسماء,7,0),0)</f>
        <v>0</v>
      </c>
      <c r="K892" s="591"/>
      <c r="L892" s="587">
        <f>IFERROR(VLOOKUP($B892,اسماء,8,0),0)</f>
        <v>0</v>
      </c>
      <c r="M892" s="588"/>
      <c r="N892" s="587">
        <f>IFERROR(VLOOKUP($B892,اسماء,9,0),0)</f>
        <v>0</v>
      </c>
      <c r="O892" s="605"/>
      <c r="P892" s="587">
        <f>IFERROR(VLOOKUP($B892,اسماء,10,0),0)</f>
        <v>0</v>
      </c>
      <c r="Q892" s="605"/>
      <c r="R892" s="606">
        <f>IFERROR(VLOOKUP($B892,اسماء,11,0),0)</f>
        <v>0</v>
      </c>
      <c r="S892" s="591"/>
      <c r="T892" s="587">
        <f>IFERROR(VLOOKUP($B892,اسماء,12,0),0)</f>
        <v>0</v>
      </c>
      <c r="U892" s="588"/>
      <c r="V892" s="375">
        <f t="shared" ref="V892:V894" si="2711">SUM(F892:U892)</f>
        <v>0</v>
      </c>
      <c r="W892" s="376">
        <f>IFERROR(VLOOKUP($B892,اسماء,14,0),0)</f>
        <v>0</v>
      </c>
      <c r="X892" s="377">
        <f>IFERROR(VLOOKUP($B892,اسماء,15,0),0)</f>
        <v>0</v>
      </c>
      <c r="Y892" s="595" t="str">
        <f t="shared" ref="Y892" si="2712">IF(AC892="غائب","راسب",IF(AND(F895&gt;=$G$8,H895&gt;=$I$8,J895&gt;=$K$8,L895&gt;=$M$8,N895&gt;=$O$8,P895&gt;=$Q$8,R895&gt;=$S$8,T895&gt;=$U$8),"ناجح","له دور ثان"))</f>
        <v>له دور ثان</v>
      </c>
      <c r="Z892" s="21" t="str">
        <f>LOOKUP(V892,$AF$6:$AG$10)</f>
        <v>ضعيف</v>
      </c>
      <c r="AA892" s="656">
        <f>V895/$AF$3</f>
        <v>0</v>
      </c>
      <c r="AB892" s="72"/>
      <c r="AC892" s="653" t="str">
        <f>IFERROR(VLOOKUP($B892,اسماء,54,0),"")</f>
        <v/>
      </c>
      <c r="AN892" s="607" t="str">
        <f t="shared" ref="AN892" si="2713">IF(V895=0,"",V895/1+ROW()*0.00001)</f>
        <v/>
      </c>
      <c r="AO892" s="607">
        <f>B892</f>
        <v>0</v>
      </c>
      <c r="AP892" s="613"/>
      <c r="AQ892" s="612">
        <v>193</v>
      </c>
      <c r="AR892" s="611" t="str">
        <f>IFERROR(LARGE($AN$10:$AN$1006,AQ892),"")</f>
        <v/>
      </c>
      <c r="AS892" s="612" t="str">
        <f>VLOOKUP(AR892,$AN$10:$AO$1116,2,0)</f>
        <v>أحمد نورالدين أحمد الذيب</v>
      </c>
    </row>
    <row r="893" spans="1:45" ht="15" customHeight="1" x14ac:dyDescent="0.25">
      <c r="A893" s="633"/>
      <c r="B893" s="630"/>
      <c r="C893" s="622"/>
      <c r="D893" s="625"/>
      <c r="E893" s="133" t="s">
        <v>31</v>
      </c>
      <c r="F893" s="589">
        <f>IFERROR(VLOOKUP($B892,اسماء,18,0),0)</f>
        <v>0</v>
      </c>
      <c r="G893" s="592"/>
      <c r="H893" s="608">
        <f>IFERROR(VLOOKUP($B892,اسماء,19,0),0)</f>
        <v>0</v>
      </c>
      <c r="I893" s="609"/>
      <c r="J893" s="589">
        <f>IFERROR(VLOOKUP($B892,اسماء,20,0),0)</f>
        <v>0</v>
      </c>
      <c r="K893" s="592"/>
      <c r="L893" s="589">
        <f>IFERROR(VLOOKUP($B892,اسماء,21,0),0)</f>
        <v>0</v>
      </c>
      <c r="M893" s="590"/>
      <c r="N893" s="589">
        <f>IFERROR(VLOOKUP($B892,اسماء,22,0),0)</f>
        <v>0</v>
      </c>
      <c r="O893" s="590"/>
      <c r="P893" s="589">
        <f>IFERROR(VLOOKUP($B892,اسماء,23,0),0)</f>
        <v>0</v>
      </c>
      <c r="Q893" s="609"/>
      <c r="R893" s="603">
        <f>IFERROR(VLOOKUP($B892,اسماء,24,0),0)</f>
        <v>0</v>
      </c>
      <c r="S893" s="592"/>
      <c r="T893" s="589">
        <f>IFERROR(VLOOKUP($B892,اسماء,25,0),0)</f>
        <v>0</v>
      </c>
      <c r="U893" s="590"/>
      <c r="V893" s="378">
        <f t="shared" si="2711"/>
        <v>0</v>
      </c>
      <c r="W893" s="374">
        <f>IFERROR(VLOOKUP($B892,اسماء,27,0),0)</f>
        <v>0</v>
      </c>
      <c r="X893" s="379">
        <f>IFERROR(VLOOKUP($B892,اسماء,28,0),0)</f>
        <v>0</v>
      </c>
      <c r="Y893" s="596"/>
      <c r="Z893" s="22" t="str">
        <f>LOOKUP(V893,$AF$6:$AG$10)</f>
        <v>ضعيف</v>
      </c>
      <c r="AA893" s="657"/>
      <c r="AB893" s="10"/>
      <c r="AC893" s="654"/>
      <c r="AN893" s="607"/>
      <c r="AO893" s="607"/>
      <c r="AP893" s="613"/>
      <c r="AQ893" s="612"/>
      <c r="AR893" s="611"/>
      <c r="AS893" s="612"/>
    </row>
    <row r="894" spans="1:45" ht="15" customHeight="1" x14ac:dyDescent="0.25">
      <c r="A894" s="633"/>
      <c r="B894" s="630"/>
      <c r="C894" s="622"/>
      <c r="D894" s="625"/>
      <c r="E894" s="133" t="s">
        <v>32</v>
      </c>
      <c r="F894" s="589">
        <f>IFERROR(VLOOKUP($B892,اسماء,31,0),0)</f>
        <v>0</v>
      </c>
      <c r="G894" s="592"/>
      <c r="H894" s="608">
        <f>IFERROR(VLOOKUP($B892,اسماء,32,0),0)</f>
        <v>0</v>
      </c>
      <c r="I894" s="609"/>
      <c r="J894" s="589">
        <f>IFERROR(VLOOKUP($B892,اسماء,33,0),0)</f>
        <v>0</v>
      </c>
      <c r="K894" s="592"/>
      <c r="L894" s="589">
        <f>IFERROR(VLOOKUP($B892,اسماء,34,0),0)</f>
        <v>0</v>
      </c>
      <c r="M894" s="590"/>
      <c r="N894" s="589">
        <f>IFERROR(VLOOKUP($B892,اسماء,35,0),0)</f>
        <v>0</v>
      </c>
      <c r="O894" s="590"/>
      <c r="P894" s="589">
        <f>IFERROR(VLOOKUP($B892,اسماء,36,0),0)</f>
        <v>0</v>
      </c>
      <c r="Q894" s="609"/>
      <c r="R894" s="603">
        <f>IFERROR(VLOOKUP($B892,اسماء,37,0),0)</f>
        <v>0</v>
      </c>
      <c r="S894" s="592"/>
      <c r="T894" s="589">
        <f>IFERROR(VLOOKUP($B892,اسماء,38,0),0)</f>
        <v>0</v>
      </c>
      <c r="U894" s="590"/>
      <c r="V894" s="378">
        <f t="shared" si="2711"/>
        <v>0</v>
      </c>
      <c r="W894" s="374">
        <f>IFERROR(VLOOKUP($B892,اسماء,40,0),0)</f>
        <v>0</v>
      </c>
      <c r="X894" s="379">
        <f>IFERROR(VLOOKUP($B892,اسماء,41,0),0)</f>
        <v>0</v>
      </c>
      <c r="Y894" s="596"/>
      <c r="Z894" s="22" t="str">
        <f>LOOKUP(V894,$AI$6:$AJ$10)</f>
        <v>ضعيف</v>
      </c>
      <c r="AA894" s="657"/>
      <c r="AB894" s="72"/>
      <c r="AC894" s="654"/>
      <c r="AN894" s="607"/>
      <c r="AO894" s="607"/>
      <c r="AP894" s="613"/>
      <c r="AQ894" s="612"/>
      <c r="AR894" s="611"/>
      <c r="AS894" s="612"/>
    </row>
    <row r="895" spans="1:45" ht="15" customHeight="1" thickBot="1" x14ac:dyDescent="0.3">
      <c r="A895" s="634"/>
      <c r="B895" s="631"/>
      <c r="C895" s="623"/>
      <c r="D895" s="626"/>
      <c r="E895" s="127" t="s">
        <v>33</v>
      </c>
      <c r="F895" s="585">
        <f t="shared" ref="F895" si="2714">SUM(F892:G894)</f>
        <v>0</v>
      </c>
      <c r="G895" s="593"/>
      <c r="H895" s="604">
        <f t="shared" ref="H895" si="2715">SUM(H892:I894)</f>
        <v>0</v>
      </c>
      <c r="I895" s="601"/>
      <c r="J895" s="585">
        <f t="shared" ref="J895" si="2716">SUM(J892:K894)</f>
        <v>0</v>
      </c>
      <c r="K895" s="593"/>
      <c r="L895" s="585">
        <f t="shared" ref="L895" si="2717">SUM(L892:M894)</f>
        <v>0</v>
      </c>
      <c r="M895" s="586"/>
      <c r="N895" s="585">
        <f t="shared" ref="N895" si="2718">SUM(N892:O894)</f>
        <v>0</v>
      </c>
      <c r="O895" s="586"/>
      <c r="P895" s="585">
        <f t="shared" ref="P895" si="2719">SUM(P892:Q894)</f>
        <v>0</v>
      </c>
      <c r="Q895" s="601"/>
      <c r="R895" s="602">
        <f t="shared" ref="R895" si="2720">SUM(R892:S894)</f>
        <v>0</v>
      </c>
      <c r="S895" s="593"/>
      <c r="T895" s="585">
        <f t="shared" ref="T895" si="2721">SUM(T892:U894)</f>
        <v>0</v>
      </c>
      <c r="U895" s="586"/>
      <c r="V895" s="96">
        <f t="shared" ref="V895" si="2722">IF(AND(F895&gt;=$G$8,H895&gt;=$I$8,L895&gt;=$M$8,P895&gt;=$Q$8,R895&gt;=$S$8,T895&gt;=$U$8),SUM(F895:U895),0)</f>
        <v>0</v>
      </c>
      <c r="W895" s="380"/>
      <c r="X895" s="97"/>
      <c r="Y895" s="597"/>
      <c r="Z895" s="91" t="str">
        <f>LOOKUP(V895,$AL$6:$AM$10)</f>
        <v>ضعيف</v>
      </c>
      <c r="AA895" s="658"/>
      <c r="AB895" s="72"/>
      <c r="AC895" s="655"/>
      <c r="AN895" s="607"/>
      <c r="AO895" s="607"/>
      <c r="AP895" s="613"/>
      <c r="AQ895" s="612"/>
      <c r="AR895" s="611"/>
      <c r="AS895" s="612"/>
    </row>
    <row r="896" spans="1:45" ht="15" customHeight="1" x14ac:dyDescent="0.25">
      <c r="A896" s="632">
        <v>194</v>
      </c>
      <c r="B896" s="629">
        <f>VLOOKUP(A896,مسلسل,2,0)</f>
        <v>0</v>
      </c>
      <c r="C896" s="621" t="str">
        <f>IFERROR(VLOOKUP(B896,اسماء,2,0),"")</f>
        <v/>
      </c>
      <c r="D896" s="624" t="str">
        <f>IFERROR(VLOOKUP($B896,اسماء,3,0),"")</f>
        <v/>
      </c>
      <c r="E896" s="132" t="s">
        <v>30</v>
      </c>
      <c r="F896" s="627">
        <f>IFERROR(VLOOKUP($B896,اسماء,5,0),0)</f>
        <v>0</v>
      </c>
      <c r="G896" s="606"/>
      <c r="H896" s="628">
        <f>IFERROR(VLOOKUP($B896,اسماء,6,0),0)</f>
        <v>0</v>
      </c>
      <c r="I896" s="605"/>
      <c r="J896" s="587">
        <f>IFERROR(VLOOKUP($B896,اسماء,7,0),0)</f>
        <v>0</v>
      </c>
      <c r="K896" s="591"/>
      <c r="L896" s="587">
        <f>IFERROR(VLOOKUP($B896,اسماء,8,0),0)</f>
        <v>0</v>
      </c>
      <c r="M896" s="588"/>
      <c r="N896" s="587">
        <f>IFERROR(VLOOKUP($B896,اسماء,9,0),0)</f>
        <v>0</v>
      </c>
      <c r="O896" s="605"/>
      <c r="P896" s="587">
        <f>IFERROR(VLOOKUP($B896,اسماء,10,0),0)</f>
        <v>0</v>
      </c>
      <c r="Q896" s="605"/>
      <c r="R896" s="606">
        <f>IFERROR(VLOOKUP($B896,اسماء,11,0),0)</f>
        <v>0</v>
      </c>
      <c r="S896" s="591"/>
      <c r="T896" s="587">
        <f>IFERROR(VLOOKUP($B896,اسماء,12,0),0)</f>
        <v>0</v>
      </c>
      <c r="U896" s="588"/>
      <c r="V896" s="375">
        <f t="shared" ref="V896:V898" si="2723">SUM(F896:U896)</f>
        <v>0</v>
      </c>
      <c r="W896" s="376">
        <f>IFERROR(VLOOKUP($B896,اسماء,14,0),0)</f>
        <v>0</v>
      </c>
      <c r="X896" s="377">
        <f>IFERROR(VLOOKUP($B896,اسماء,15,0),0)</f>
        <v>0</v>
      </c>
      <c r="Y896" s="595" t="str">
        <f t="shared" ref="Y896" si="2724">IF(AC896="غائب","راسب",IF(AND(F899&gt;=$G$8,H899&gt;=$I$8,J899&gt;=$K$8,L899&gt;=$M$8,N899&gt;=$O$8,P899&gt;=$Q$8,R899&gt;=$S$8,T899&gt;=$U$8),"ناجح","له دور ثان"))</f>
        <v>له دور ثان</v>
      </c>
      <c r="Z896" s="21" t="str">
        <f>LOOKUP(V896,$AF$6:$AG$10)</f>
        <v>ضعيف</v>
      </c>
      <c r="AA896" s="656">
        <f>V899/$AF$3</f>
        <v>0</v>
      </c>
      <c r="AB896" s="10"/>
      <c r="AC896" s="653" t="str">
        <f>IFERROR(VLOOKUP($B896,اسماء,54,0),"")</f>
        <v/>
      </c>
      <c r="AN896" s="607" t="str">
        <f t="shared" ref="AN896" si="2725">IF(V899=0,"",V899/1+ROW()*0.00001)</f>
        <v/>
      </c>
      <c r="AO896" s="607">
        <f>B896</f>
        <v>0</v>
      </c>
      <c r="AP896" s="613"/>
      <c r="AQ896" s="612">
        <v>194</v>
      </c>
      <c r="AR896" s="611" t="str">
        <f>IFERROR(LARGE($AN$10:$AN$1006,AQ896),"")</f>
        <v/>
      </c>
      <c r="AS896" s="612" t="str">
        <f>VLOOKUP(AR896,$AN$10:$AO$1116,2,0)</f>
        <v>أحمد نورالدين أحمد الذيب</v>
      </c>
    </row>
    <row r="897" spans="1:45" ht="15" customHeight="1" x14ac:dyDescent="0.25">
      <c r="A897" s="633"/>
      <c r="B897" s="630"/>
      <c r="C897" s="622"/>
      <c r="D897" s="625"/>
      <c r="E897" s="133" t="s">
        <v>31</v>
      </c>
      <c r="F897" s="589">
        <f>IFERROR(VLOOKUP($B896,اسماء,18,0),0)</f>
        <v>0</v>
      </c>
      <c r="G897" s="592"/>
      <c r="H897" s="608">
        <f>IFERROR(VLOOKUP($B896,اسماء,19,0),0)</f>
        <v>0</v>
      </c>
      <c r="I897" s="609"/>
      <c r="J897" s="589">
        <f>IFERROR(VLOOKUP($B896,اسماء,20,0),0)</f>
        <v>0</v>
      </c>
      <c r="K897" s="592"/>
      <c r="L897" s="589">
        <f>IFERROR(VLOOKUP($B896,اسماء,21,0),0)</f>
        <v>0</v>
      </c>
      <c r="M897" s="590"/>
      <c r="N897" s="589">
        <f>IFERROR(VLOOKUP($B896,اسماء,22,0),0)</f>
        <v>0</v>
      </c>
      <c r="O897" s="590"/>
      <c r="P897" s="589">
        <f>IFERROR(VLOOKUP($B896,اسماء,23,0),0)</f>
        <v>0</v>
      </c>
      <c r="Q897" s="609"/>
      <c r="R897" s="603">
        <f>IFERROR(VLOOKUP($B896,اسماء,24,0),0)</f>
        <v>0</v>
      </c>
      <c r="S897" s="592"/>
      <c r="T897" s="589">
        <f>IFERROR(VLOOKUP($B896,اسماء,25,0),0)</f>
        <v>0</v>
      </c>
      <c r="U897" s="590"/>
      <c r="V897" s="378">
        <f t="shared" si="2723"/>
        <v>0</v>
      </c>
      <c r="W897" s="374">
        <f>IFERROR(VLOOKUP($B896,اسماء,27,0),0)</f>
        <v>0</v>
      </c>
      <c r="X897" s="379">
        <f>IFERROR(VLOOKUP($B896,اسماء,28,0),0)</f>
        <v>0</v>
      </c>
      <c r="Y897" s="596"/>
      <c r="Z897" s="22" t="str">
        <f>LOOKUP(V897,$AF$6:$AG$10)</f>
        <v>ضعيف</v>
      </c>
      <c r="AA897" s="657"/>
      <c r="AB897" s="72"/>
      <c r="AC897" s="654"/>
      <c r="AN897" s="607"/>
      <c r="AO897" s="607"/>
      <c r="AP897" s="613"/>
      <c r="AQ897" s="612"/>
      <c r="AR897" s="611"/>
      <c r="AS897" s="612"/>
    </row>
    <row r="898" spans="1:45" ht="15" customHeight="1" x14ac:dyDescent="0.25">
      <c r="A898" s="633"/>
      <c r="B898" s="630"/>
      <c r="C898" s="622"/>
      <c r="D898" s="625"/>
      <c r="E898" s="133" t="s">
        <v>32</v>
      </c>
      <c r="F898" s="589">
        <f>IFERROR(VLOOKUP($B896,اسماء,31,0),0)</f>
        <v>0</v>
      </c>
      <c r="G898" s="592"/>
      <c r="H898" s="608">
        <f>IFERROR(VLOOKUP($B896,اسماء,32,0),0)</f>
        <v>0</v>
      </c>
      <c r="I898" s="609"/>
      <c r="J898" s="589">
        <f>IFERROR(VLOOKUP($B896,اسماء,33,0),0)</f>
        <v>0</v>
      </c>
      <c r="K898" s="592"/>
      <c r="L898" s="589">
        <f>IFERROR(VLOOKUP($B896,اسماء,34,0),0)</f>
        <v>0</v>
      </c>
      <c r="M898" s="590"/>
      <c r="N898" s="589">
        <f>IFERROR(VLOOKUP($B896,اسماء,35,0),0)</f>
        <v>0</v>
      </c>
      <c r="O898" s="590"/>
      <c r="P898" s="589">
        <f>IFERROR(VLOOKUP($B896,اسماء,36,0),0)</f>
        <v>0</v>
      </c>
      <c r="Q898" s="609"/>
      <c r="R898" s="603">
        <f>IFERROR(VLOOKUP($B896,اسماء,37,0),0)</f>
        <v>0</v>
      </c>
      <c r="S898" s="592"/>
      <c r="T898" s="589">
        <f>IFERROR(VLOOKUP($B896,اسماء,38,0),0)</f>
        <v>0</v>
      </c>
      <c r="U898" s="590"/>
      <c r="V898" s="378">
        <f t="shared" si="2723"/>
        <v>0</v>
      </c>
      <c r="W898" s="374">
        <f>IFERROR(VLOOKUP($B896,اسماء,40,0),0)</f>
        <v>0</v>
      </c>
      <c r="X898" s="379">
        <f>IFERROR(VLOOKUP($B896,اسماء,41,0),0)</f>
        <v>0</v>
      </c>
      <c r="Y898" s="596"/>
      <c r="Z898" s="22" t="str">
        <f>LOOKUP(V898,$AI$6:$AJ$10)</f>
        <v>ضعيف</v>
      </c>
      <c r="AA898" s="657"/>
      <c r="AB898" s="72"/>
      <c r="AC898" s="654"/>
      <c r="AN898" s="607"/>
      <c r="AO898" s="607"/>
      <c r="AP898" s="613"/>
      <c r="AQ898" s="612"/>
      <c r="AR898" s="611"/>
      <c r="AS898" s="612"/>
    </row>
    <row r="899" spans="1:45" ht="15" customHeight="1" thickBot="1" x14ac:dyDescent="0.3">
      <c r="A899" s="634"/>
      <c r="B899" s="631"/>
      <c r="C899" s="623"/>
      <c r="D899" s="626"/>
      <c r="E899" s="127" t="s">
        <v>33</v>
      </c>
      <c r="F899" s="585">
        <f t="shared" ref="F899" si="2726">SUM(F896:G898)</f>
        <v>0</v>
      </c>
      <c r="G899" s="593"/>
      <c r="H899" s="604">
        <f t="shared" ref="H899" si="2727">SUM(H896:I898)</f>
        <v>0</v>
      </c>
      <c r="I899" s="601"/>
      <c r="J899" s="585">
        <f t="shared" ref="J899" si="2728">SUM(J896:K898)</f>
        <v>0</v>
      </c>
      <c r="K899" s="593"/>
      <c r="L899" s="585">
        <f t="shared" ref="L899" si="2729">SUM(L896:M898)</f>
        <v>0</v>
      </c>
      <c r="M899" s="586"/>
      <c r="N899" s="585">
        <f t="shared" ref="N899" si="2730">SUM(N896:O898)</f>
        <v>0</v>
      </c>
      <c r="O899" s="586"/>
      <c r="P899" s="585">
        <f t="shared" ref="P899" si="2731">SUM(P896:Q898)</f>
        <v>0</v>
      </c>
      <c r="Q899" s="601"/>
      <c r="R899" s="602">
        <f t="shared" ref="R899" si="2732">SUM(R896:S898)</f>
        <v>0</v>
      </c>
      <c r="S899" s="593"/>
      <c r="T899" s="585">
        <f t="shared" ref="T899" si="2733">SUM(T896:U898)</f>
        <v>0</v>
      </c>
      <c r="U899" s="586"/>
      <c r="V899" s="96">
        <f t="shared" ref="V899" si="2734">IF(AND(F899&gt;=$G$8,H899&gt;=$I$8,L899&gt;=$M$8,P899&gt;=$Q$8,R899&gt;=$S$8,T899&gt;=$U$8),SUM(F899:U899),0)</f>
        <v>0</v>
      </c>
      <c r="W899" s="380"/>
      <c r="X899" s="97"/>
      <c r="Y899" s="597"/>
      <c r="Z899" s="91" t="str">
        <f>LOOKUP(V899,$AL$6:$AM$10)</f>
        <v>ضعيف</v>
      </c>
      <c r="AA899" s="658"/>
      <c r="AB899" s="10"/>
      <c r="AC899" s="655"/>
      <c r="AN899" s="607"/>
      <c r="AO899" s="607"/>
      <c r="AP899" s="613"/>
      <c r="AQ899" s="612"/>
      <c r="AR899" s="611"/>
      <c r="AS899" s="612"/>
    </row>
    <row r="900" spans="1:45" ht="15" customHeight="1" x14ac:dyDescent="0.25">
      <c r="A900" s="632">
        <v>195</v>
      </c>
      <c r="B900" s="629">
        <f>VLOOKUP(A900,مسلسل,2,0)</f>
        <v>0</v>
      </c>
      <c r="C900" s="621" t="str">
        <f>IFERROR(VLOOKUP(B900,اسماء,2,0),"")</f>
        <v/>
      </c>
      <c r="D900" s="624" t="str">
        <f>IFERROR(VLOOKUP($B900,اسماء,3,0),"")</f>
        <v/>
      </c>
      <c r="E900" s="132" t="s">
        <v>30</v>
      </c>
      <c r="F900" s="627">
        <f>IFERROR(VLOOKUP($B900,اسماء,5,0),0)</f>
        <v>0</v>
      </c>
      <c r="G900" s="606"/>
      <c r="H900" s="628">
        <f>IFERROR(VLOOKUP($B900,اسماء,6,0),0)</f>
        <v>0</v>
      </c>
      <c r="I900" s="605"/>
      <c r="J900" s="587">
        <f>IFERROR(VLOOKUP($B900,اسماء,7,0),0)</f>
        <v>0</v>
      </c>
      <c r="K900" s="591"/>
      <c r="L900" s="587">
        <f>IFERROR(VLOOKUP($B900,اسماء,8,0),0)</f>
        <v>0</v>
      </c>
      <c r="M900" s="588"/>
      <c r="N900" s="587">
        <f>IFERROR(VLOOKUP($B900,اسماء,9,0),0)</f>
        <v>0</v>
      </c>
      <c r="O900" s="605"/>
      <c r="P900" s="587">
        <f>IFERROR(VLOOKUP($B900,اسماء,10,0),0)</f>
        <v>0</v>
      </c>
      <c r="Q900" s="605"/>
      <c r="R900" s="606">
        <f>IFERROR(VLOOKUP($B900,اسماء,11,0),0)</f>
        <v>0</v>
      </c>
      <c r="S900" s="591"/>
      <c r="T900" s="587">
        <f>IFERROR(VLOOKUP($B900,اسماء,12,0),0)</f>
        <v>0</v>
      </c>
      <c r="U900" s="588"/>
      <c r="V900" s="375">
        <f t="shared" ref="V900:V902" si="2735">SUM(F900:U900)</f>
        <v>0</v>
      </c>
      <c r="W900" s="376">
        <f>IFERROR(VLOOKUP($B900,اسماء,14,0),0)</f>
        <v>0</v>
      </c>
      <c r="X900" s="377">
        <f>IFERROR(VLOOKUP($B900,اسماء,15,0),0)</f>
        <v>0</v>
      </c>
      <c r="Y900" s="595" t="str">
        <f t="shared" ref="Y900" si="2736">IF(AC900="غائب","راسب",IF(AND(F903&gt;=$G$8,H903&gt;=$I$8,J903&gt;=$K$8,L903&gt;=$M$8,N903&gt;=$O$8,P903&gt;=$Q$8,R903&gt;=$S$8,T903&gt;=$U$8),"ناجح","له دور ثان"))</f>
        <v>له دور ثان</v>
      </c>
      <c r="Z900" s="21" t="str">
        <f t="shared" ref="Z900:Z901" si="2737">LOOKUP(V900,$AF$6:$AG$10)</f>
        <v>ضعيف</v>
      </c>
      <c r="AA900" s="656">
        <f t="shared" ref="AA900" si="2738">V903/$AF$3</f>
        <v>0</v>
      </c>
      <c r="AB900" s="72"/>
      <c r="AC900" s="653" t="str">
        <f>IFERROR(VLOOKUP($B900,اسماء,54,0),"")</f>
        <v/>
      </c>
      <c r="AN900" s="607" t="str">
        <f t="shared" ref="AN900" si="2739">IF(V903=0,"",V903/1+ROW()*0.00001)</f>
        <v/>
      </c>
      <c r="AO900" s="607">
        <f>B900</f>
        <v>0</v>
      </c>
      <c r="AP900" s="613"/>
      <c r="AQ900" s="612">
        <v>195</v>
      </c>
      <c r="AR900" s="611" t="str">
        <f>IFERROR(LARGE($AN$10:$AN$1006,AQ900),"")</f>
        <v/>
      </c>
      <c r="AS900" s="612" t="str">
        <f>VLOOKUP(AR900,$AN$10:$AO$1116,2,0)</f>
        <v>أحمد نورالدين أحمد الذيب</v>
      </c>
    </row>
    <row r="901" spans="1:45" ht="15" customHeight="1" x14ac:dyDescent="0.25">
      <c r="A901" s="633"/>
      <c r="B901" s="630"/>
      <c r="C901" s="622"/>
      <c r="D901" s="625"/>
      <c r="E901" s="133" t="s">
        <v>31</v>
      </c>
      <c r="F901" s="589">
        <f>IFERROR(VLOOKUP($B900,اسماء,18,0),0)</f>
        <v>0</v>
      </c>
      <c r="G901" s="592"/>
      <c r="H901" s="608">
        <f>IFERROR(VLOOKUP($B900,اسماء,19,0),0)</f>
        <v>0</v>
      </c>
      <c r="I901" s="609"/>
      <c r="J901" s="589">
        <f>IFERROR(VLOOKUP($B900,اسماء,20,0),0)</f>
        <v>0</v>
      </c>
      <c r="K901" s="592"/>
      <c r="L901" s="589">
        <f>IFERROR(VLOOKUP($B900,اسماء,21,0),0)</f>
        <v>0</v>
      </c>
      <c r="M901" s="590"/>
      <c r="N901" s="589">
        <f>IFERROR(VLOOKUP($B900,اسماء,22,0),0)</f>
        <v>0</v>
      </c>
      <c r="O901" s="590"/>
      <c r="P901" s="589">
        <f>IFERROR(VLOOKUP($B900,اسماء,23,0),0)</f>
        <v>0</v>
      </c>
      <c r="Q901" s="609"/>
      <c r="R901" s="603">
        <f>IFERROR(VLOOKUP($B900,اسماء,24,0),0)</f>
        <v>0</v>
      </c>
      <c r="S901" s="592"/>
      <c r="T901" s="589">
        <f>IFERROR(VLOOKUP($B900,اسماء,25,0),0)</f>
        <v>0</v>
      </c>
      <c r="U901" s="590"/>
      <c r="V901" s="378">
        <f t="shared" si="2735"/>
        <v>0</v>
      </c>
      <c r="W901" s="374">
        <f>IFERROR(VLOOKUP($B900,اسماء,27,0),0)</f>
        <v>0</v>
      </c>
      <c r="X901" s="379">
        <f>IFERROR(VLOOKUP($B900,اسماء,28,0),0)</f>
        <v>0</v>
      </c>
      <c r="Y901" s="596"/>
      <c r="Z901" s="22" t="str">
        <f t="shared" si="2737"/>
        <v>ضعيف</v>
      </c>
      <c r="AA901" s="657"/>
      <c r="AB901" s="72"/>
      <c r="AC901" s="654"/>
      <c r="AN901" s="607"/>
      <c r="AO901" s="607"/>
      <c r="AP901" s="613"/>
      <c r="AQ901" s="612"/>
      <c r="AR901" s="611"/>
      <c r="AS901" s="612"/>
    </row>
    <row r="902" spans="1:45" ht="15" customHeight="1" x14ac:dyDescent="0.25">
      <c r="A902" s="633"/>
      <c r="B902" s="630"/>
      <c r="C902" s="622"/>
      <c r="D902" s="625"/>
      <c r="E902" s="133" t="s">
        <v>32</v>
      </c>
      <c r="F902" s="589">
        <f>IFERROR(VLOOKUP($B900,اسماء,31,0),0)</f>
        <v>0</v>
      </c>
      <c r="G902" s="592"/>
      <c r="H902" s="608">
        <f>IFERROR(VLOOKUP($B900,اسماء,32,0),0)</f>
        <v>0</v>
      </c>
      <c r="I902" s="609"/>
      <c r="J902" s="589">
        <f>IFERROR(VLOOKUP($B900,اسماء,33,0),0)</f>
        <v>0</v>
      </c>
      <c r="K902" s="592"/>
      <c r="L902" s="589">
        <f>IFERROR(VLOOKUP($B900,اسماء,34,0),0)</f>
        <v>0</v>
      </c>
      <c r="M902" s="590"/>
      <c r="N902" s="589">
        <f>IFERROR(VLOOKUP($B900,اسماء,35,0),0)</f>
        <v>0</v>
      </c>
      <c r="O902" s="590"/>
      <c r="P902" s="589">
        <f>IFERROR(VLOOKUP($B900,اسماء,36,0),0)</f>
        <v>0</v>
      </c>
      <c r="Q902" s="609"/>
      <c r="R902" s="603">
        <f>IFERROR(VLOOKUP($B900,اسماء,37,0),0)</f>
        <v>0</v>
      </c>
      <c r="S902" s="592"/>
      <c r="T902" s="589">
        <f>IFERROR(VLOOKUP($B900,اسماء,38,0),0)</f>
        <v>0</v>
      </c>
      <c r="U902" s="590"/>
      <c r="V902" s="378">
        <f t="shared" si="2735"/>
        <v>0</v>
      </c>
      <c r="W902" s="374">
        <f>IFERROR(VLOOKUP($B900,اسماء,40,0),0)</f>
        <v>0</v>
      </c>
      <c r="X902" s="379">
        <f>IFERROR(VLOOKUP($B900,اسماء,41,0),0)</f>
        <v>0</v>
      </c>
      <c r="Y902" s="596"/>
      <c r="Z902" s="22" t="str">
        <f t="shared" ref="Z902" si="2740">LOOKUP(V902,$AI$6:$AJ$10)</f>
        <v>ضعيف</v>
      </c>
      <c r="AA902" s="657"/>
      <c r="AB902" s="10"/>
      <c r="AC902" s="654"/>
      <c r="AN902" s="607"/>
      <c r="AO902" s="607"/>
      <c r="AP902" s="613"/>
      <c r="AQ902" s="612"/>
      <c r="AR902" s="611"/>
      <c r="AS902" s="612"/>
    </row>
    <row r="903" spans="1:45" ht="15" customHeight="1" thickBot="1" x14ac:dyDescent="0.3">
      <c r="A903" s="634"/>
      <c r="B903" s="631"/>
      <c r="C903" s="623"/>
      <c r="D903" s="626"/>
      <c r="E903" s="127" t="s">
        <v>33</v>
      </c>
      <c r="F903" s="585">
        <f t="shared" ref="F903" si="2741">SUM(F900:G902)</f>
        <v>0</v>
      </c>
      <c r="G903" s="593"/>
      <c r="H903" s="604">
        <f t="shared" ref="H903" si="2742">SUM(H900:I902)</f>
        <v>0</v>
      </c>
      <c r="I903" s="601"/>
      <c r="J903" s="585">
        <f t="shared" ref="J903" si="2743">SUM(J900:K902)</f>
        <v>0</v>
      </c>
      <c r="K903" s="593"/>
      <c r="L903" s="585">
        <f t="shared" ref="L903" si="2744">SUM(L900:M902)</f>
        <v>0</v>
      </c>
      <c r="M903" s="586"/>
      <c r="N903" s="585">
        <f t="shared" ref="N903" si="2745">SUM(N900:O902)</f>
        <v>0</v>
      </c>
      <c r="O903" s="586"/>
      <c r="P903" s="585">
        <f t="shared" ref="P903" si="2746">SUM(P900:Q902)</f>
        <v>0</v>
      </c>
      <c r="Q903" s="601"/>
      <c r="R903" s="602">
        <f t="shared" ref="R903" si="2747">SUM(R900:S902)</f>
        <v>0</v>
      </c>
      <c r="S903" s="593"/>
      <c r="T903" s="585">
        <f t="shared" ref="T903" si="2748">SUM(T900:U902)</f>
        <v>0</v>
      </c>
      <c r="U903" s="586"/>
      <c r="V903" s="96">
        <f t="shared" ref="V903" si="2749">IF(AND(F903&gt;=$G$8,H903&gt;=$I$8,L903&gt;=$M$8,P903&gt;=$Q$8,R903&gt;=$S$8,T903&gt;=$U$8),SUM(F903:U903),0)</f>
        <v>0</v>
      </c>
      <c r="W903" s="380"/>
      <c r="X903" s="97"/>
      <c r="Y903" s="597"/>
      <c r="Z903" s="91" t="str">
        <f t="shared" ref="Z903" si="2750">LOOKUP(V903,$AL$6:$AM$10)</f>
        <v>ضعيف</v>
      </c>
      <c r="AA903" s="658"/>
      <c r="AB903" s="72"/>
      <c r="AC903" s="655"/>
      <c r="AN903" s="607"/>
      <c r="AO903" s="607"/>
      <c r="AP903" s="613"/>
      <c r="AQ903" s="612"/>
      <c r="AR903" s="611"/>
      <c r="AS903" s="612"/>
    </row>
    <row r="904" spans="1:45" ht="15" customHeight="1" x14ac:dyDescent="0.25">
      <c r="A904" s="632">
        <v>196</v>
      </c>
      <c r="B904" s="629">
        <f>VLOOKUP(A904,مسلسل,2,0)</f>
        <v>0</v>
      </c>
      <c r="C904" s="621" t="str">
        <f>IFERROR(VLOOKUP(B904,اسماء,2,0),"")</f>
        <v/>
      </c>
      <c r="D904" s="624" t="str">
        <f>IFERROR(VLOOKUP($B904,اسماء,3,0),"")</f>
        <v/>
      </c>
      <c r="E904" s="132" t="s">
        <v>30</v>
      </c>
      <c r="F904" s="627">
        <f>IFERROR(VLOOKUP($B904,اسماء,5,0),0)</f>
        <v>0</v>
      </c>
      <c r="G904" s="606"/>
      <c r="H904" s="628">
        <f>IFERROR(VLOOKUP($B904,اسماء,6,0),0)</f>
        <v>0</v>
      </c>
      <c r="I904" s="605"/>
      <c r="J904" s="587">
        <f>IFERROR(VLOOKUP($B904,اسماء,7,0),0)</f>
        <v>0</v>
      </c>
      <c r="K904" s="591"/>
      <c r="L904" s="587">
        <f>IFERROR(VLOOKUP($B904,اسماء,8,0),0)</f>
        <v>0</v>
      </c>
      <c r="M904" s="588"/>
      <c r="N904" s="587">
        <f>IFERROR(VLOOKUP($B904,اسماء,9,0),0)</f>
        <v>0</v>
      </c>
      <c r="O904" s="605"/>
      <c r="P904" s="587">
        <f>IFERROR(VLOOKUP($B904,اسماء,10,0),0)</f>
        <v>0</v>
      </c>
      <c r="Q904" s="605"/>
      <c r="R904" s="606">
        <f>IFERROR(VLOOKUP($B904,اسماء,11,0),0)</f>
        <v>0</v>
      </c>
      <c r="S904" s="591"/>
      <c r="T904" s="587">
        <f>IFERROR(VLOOKUP($B904,اسماء,12,0),0)</f>
        <v>0</v>
      </c>
      <c r="U904" s="588"/>
      <c r="V904" s="375">
        <f t="shared" ref="V904:V906" si="2751">SUM(F904:U904)</f>
        <v>0</v>
      </c>
      <c r="W904" s="376">
        <f>IFERROR(VLOOKUP($B904,اسماء,14,0),0)</f>
        <v>0</v>
      </c>
      <c r="X904" s="377">
        <f>IFERROR(VLOOKUP($B904,اسماء,15,0),0)</f>
        <v>0</v>
      </c>
      <c r="Y904" s="595" t="str">
        <f t="shared" ref="Y904" si="2752">IF(AC904="غائب","راسب",IF(AND(F907&gt;=$G$8,H907&gt;=$I$8,J907&gt;=$K$8,L907&gt;=$M$8,N907&gt;=$O$8,P907&gt;=$Q$8,R907&gt;=$S$8,T907&gt;=$U$8),"ناجح","له دور ثان"))</f>
        <v>له دور ثان</v>
      </c>
      <c r="Z904" s="21" t="str">
        <f t="shared" ref="Z904:Z905" si="2753">LOOKUP(V904,$AF$6:$AG$10)</f>
        <v>ضعيف</v>
      </c>
      <c r="AA904" s="656">
        <f t="shared" ref="AA904" si="2754">V907/$AF$3</f>
        <v>0</v>
      </c>
      <c r="AB904" s="72"/>
      <c r="AC904" s="653" t="str">
        <f>IFERROR(VLOOKUP($B904,اسماء,54,0),"")</f>
        <v/>
      </c>
      <c r="AN904" s="607" t="str">
        <f t="shared" ref="AN904" si="2755">IF(V907=0,"",V907/1+ROW()*0.00001)</f>
        <v/>
      </c>
      <c r="AO904" s="607">
        <f>B904</f>
        <v>0</v>
      </c>
      <c r="AP904" s="613"/>
      <c r="AQ904" s="612">
        <v>196</v>
      </c>
      <c r="AR904" s="611" t="str">
        <f>IFERROR(LARGE($AN$10:$AN$1006,AQ904),"")</f>
        <v/>
      </c>
      <c r="AS904" s="612" t="str">
        <f>VLOOKUP(AR904,$AN$10:$AO$1116,2,0)</f>
        <v>أحمد نورالدين أحمد الذيب</v>
      </c>
    </row>
    <row r="905" spans="1:45" ht="15" customHeight="1" x14ac:dyDescent="0.25">
      <c r="A905" s="633"/>
      <c r="B905" s="630"/>
      <c r="C905" s="622"/>
      <c r="D905" s="625"/>
      <c r="E905" s="133" t="s">
        <v>31</v>
      </c>
      <c r="F905" s="589">
        <f>IFERROR(VLOOKUP($B904,اسماء,18,0),0)</f>
        <v>0</v>
      </c>
      <c r="G905" s="592"/>
      <c r="H905" s="608">
        <f>IFERROR(VLOOKUP($B904,اسماء,19,0),0)</f>
        <v>0</v>
      </c>
      <c r="I905" s="609"/>
      <c r="J905" s="589">
        <f>IFERROR(VLOOKUP($B904,اسماء,20,0),0)</f>
        <v>0</v>
      </c>
      <c r="K905" s="592"/>
      <c r="L905" s="589">
        <f>IFERROR(VLOOKUP($B904,اسماء,21,0),0)</f>
        <v>0</v>
      </c>
      <c r="M905" s="590"/>
      <c r="N905" s="589">
        <f>IFERROR(VLOOKUP($B904,اسماء,22,0),0)</f>
        <v>0</v>
      </c>
      <c r="O905" s="590"/>
      <c r="P905" s="589">
        <f>IFERROR(VLOOKUP($B904,اسماء,23,0),0)</f>
        <v>0</v>
      </c>
      <c r="Q905" s="609"/>
      <c r="R905" s="603">
        <f>IFERROR(VLOOKUP($B904,اسماء,24,0),0)</f>
        <v>0</v>
      </c>
      <c r="S905" s="592"/>
      <c r="T905" s="589">
        <f>IFERROR(VLOOKUP($B904,اسماء,25,0),0)</f>
        <v>0</v>
      </c>
      <c r="U905" s="590"/>
      <c r="V905" s="378">
        <f t="shared" si="2751"/>
        <v>0</v>
      </c>
      <c r="W905" s="374">
        <f>IFERROR(VLOOKUP($B904,اسماء,27,0),0)</f>
        <v>0</v>
      </c>
      <c r="X905" s="379">
        <f>IFERROR(VLOOKUP($B904,اسماء,28,0),0)</f>
        <v>0</v>
      </c>
      <c r="Y905" s="596"/>
      <c r="Z905" s="22" t="str">
        <f t="shared" si="2753"/>
        <v>ضعيف</v>
      </c>
      <c r="AA905" s="657"/>
      <c r="AB905" s="10"/>
      <c r="AC905" s="654"/>
      <c r="AN905" s="607"/>
      <c r="AO905" s="607"/>
      <c r="AP905" s="613"/>
      <c r="AQ905" s="612"/>
      <c r="AR905" s="611"/>
      <c r="AS905" s="612"/>
    </row>
    <row r="906" spans="1:45" ht="15" customHeight="1" x14ac:dyDescent="0.25">
      <c r="A906" s="633"/>
      <c r="B906" s="630"/>
      <c r="C906" s="622"/>
      <c r="D906" s="625"/>
      <c r="E906" s="133" t="s">
        <v>32</v>
      </c>
      <c r="F906" s="589">
        <f>IFERROR(VLOOKUP($B904,اسماء,31,0),0)</f>
        <v>0</v>
      </c>
      <c r="G906" s="592"/>
      <c r="H906" s="608">
        <f>IFERROR(VLOOKUP($B904,اسماء,32,0),0)</f>
        <v>0</v>
      </c>
      <c r="I906" s="609"/>
      <c r="J906" s="589">
        <f>IFERROR(VLOOKUP($B904,اسماء,33,0),0)</f>
        <v>0</v>
      </c>
      <c r="K906" s="592"/>
      <c r="L906" s="589">
        <f>IFERROR(VLOOKUP($B904,اسماء,34,0),0)</f>
        <v>0</v>
      </c>
      <c r="M906" s="590"/>
      <c r="N906" s="589">
        <f>IFERROR(VLOOKUP($B904,اسماء,35,0),0)</f>
        <v>0</v>
      </c>
      <c r="O906" s="590"/>
      <c r="P906" s="589">
        <f>IFERROR(VLOOKUP($B904,اسماء,36,0),0)</f>
        <v>0</v>
      </c>
      <c r="Q906" s="609"/>
      <c r="R906" s="603">
        <f>IFERROR(VLOOKUP($B904,اسماء,37,0),0)</f>
        <v>0</v>
      </c>
      <c r="S906" s="592"/>
      <c r="T906" s="589">
        <f>IFERROR(VLOOKUP($B904,اسماء,38,0),0)</f>
        <v>0</v>
      </c>
      <c r="U906" s="590"/>
      <c r="V906" s="378">
        <f t="shared" si="2751"/>
        <v>0</v>
      </c>
      <c r="W906" s="374">
        <f>IFERROR(VLOOKUP($B904,اسماء,40,0),0)</f>
        <v>0</v>
      </c>
      <c r="X906" s="379">
        <f>IFERROR(VLOOKUP($B904,اسماء,41,0),0)</f>
        <v>0</v>
      </c>
      <c r="Y906" s="596"/>
      <c r="Z906" s="22" t="str">
        <f t="shared" ref="Z906" si="2756">LOOKUP(V906,$AI$6:$AJ$10)</f>
        <v>ضعيف</v>
      </c>
      <c r="AA906" s="657"/>
      <c r="AB906" s="72"/>
      <c r="AC906" s="654"/>
      <c r="AN906" s="607"/>
      <c r="AO906" s="607"/>
      <c r="AP906" s="613"/>
      <c r="AQ906" s="612"/>
      <c r="AR906" s="611"/>
      <c r="AS906" s="612"/>
    </row>
    <row r="907" spans="1:45" ht="15" customHeight="1" thickBot="1" x14ac:dyDescent="0.3">
      <c r="A907" s="634"/>
      <c r="B907" s="631"/>
      <c r="C907" s="623"/>
      <c r="D907" s="626"/>
      <c r="E907" s="127" t="s">
        <v>33</v>
      </c>
      <c r="F907" s="585">
        <f t="shared" ref="F907" si="2757">SUM(F904:G906)</f>
        <v>0</v>
      </c>
      <c r="G907" s="593"/>
      <c r="H907" s="604">
        <f t="shared" ref="H907" si="2758">SUM(H904:I906)</f>
        <v>0</v>
      </c>
      <c r="I907" s="601"/>
      <c r="J907" s="585">
        <f t="shared" ref="J907" si="2759">SUM(J904:K906)</f>
        <v>0</v>
      </c>
      <c r="K907" s="593"/>
      <c r="L907" s="585">
        <f t="shared" ref="L907" si="2760">SUM(L904:M906)</f>
        <v>0</v>
      </c>
      <c r="M907" s="586"/>
      <c r="N907" s="585">
        <f t="shared" ref="N907" si="2761">SUM(N904:O906)</f>
        <v>0</v>
      </c>
      <c r="O907" s="586"/>
      <c r="P907" s="585">
        <f t="shared" ref="P907" si="2762">SUM(P904:Q906)</f>
        <v>0</v>
      </c>
      <c r="Q907" s="601"/>
      <c r="R907" s="602">
        <f t="shared" ref="R907" si="2763">SUM(R904:S906)</f>
        <v>0</v>
      </c>
      <c r="S907" s="593"/>
      <c r="T907" s="585">
        <f t="shared" ref="T907" si="2764">SUM(T904:U906)</f>
        <v>0</v>
      </c>
      <c r="U907" s="586"/>
      <c r="V907" s="96">
        <f t="shared" ref="V907" si="2765">IF(AND(F907&gt;=$G$8,H907&gt;=$I$8,L907&gt;=$M$8,P907&gt;=$Q$8,R907&gt;=$S$8,T907&gt;=$U$8),SUM(F907:U907),0)</f>
        <v>0</v>
      </c>
      <c r="W907" s="380"/>
      <c r="X907" s="97"/>
      <c r="Y907" s="597"/>
      <c r="Z907" s="91" t="str">
        <f t="shared" ref="Z907" si="2766">LOOKUP(V907,$AL$6:$AM$10)</f>
        <v>ضعيف</v>
      </c>
      <c r="AA907" s="658"/>
      <c r="AB907" s="72"/>
      <c r="AC907" s="655"/>
      <c r="AN907" s="607"/>
      <c r="AO907" s="607"/>
      <c r="AP907" s="613"/>
      <c r="AQ907" s="612"/>
      <c r="AR907" s="611"/>
      <c r="AS907" s="612"/>
    </row>
    <row r="908" spans="1:45" ht="15" customHeight="1" x14ac:dyDescent="0.25">
      <c r="A908" s="632">
        <v>197</v>
      </c>
      <c r="B908" s="629">
        <f>VLOOKUP(A908,مسلسل,2,0)</f>
        <v>0</v>
      </c>
      <c r="C908" s="621" t="str">
        <f>IFERROR(VLOOKUP(B908,اسماء,2,0),"")</f>
        <v/>
      </c>
      <c r="D908" s="624" t="str">
        <f>IFERROR(VLOOKUP($B908,اسماء,3,0),"")</f>
        <v/>
      </c>
      <c r="E908" s="132" t="s">
        <v>30</v>
      </c>
      <c r="F908" s="627">
        <f>IFERROR(VLOOKUP($B908,اسماء,5,0),0)</f>
        <v>0</v>
      </c>
      <c r="G908" s="606"/>
      <c r="H908" s="628">
        <f>IFERROR(VLOOKUP($B908,اسماء,6,0),0)</f>
        <v>0</v>
      </c>
      <c r="I908" s="605"/>
      <c r="J908" s="587">
        <f>IFERROR(VLOOKUP($B908,اسماء,7,0),0)</f>
        <v>0</v>
      </c>
      <c r="K908" s="591"/>
      <c r="L908" s="587">
        <f>IFERROR(VLOOKUP($B908,اسماء,8,0),0)</f>
        <v>0</v>
      </c>
      <c r="M908" s="588"/>
      <c r="N908" s="587">
        <f>IFERROR(VLOOKUP($B908,اسماء,9,0),0)</f>
        <v>0</v>
      </c>
      <c r="O908" s="605"/>
      <c r="P908" s="587">
        <f>IFERROR(VLOOKUP($B908,اسماء,10,0),0)</f>
        <v>0</v>
      </c>
      <c r="Q908" s="605"/>
      <c r="R908" s="606">
        <f>IFERROR(VLOOKUP($B908,اسماء,11,0),0)</f>
        <v>0</v>
      </c>
      <c r="S908" s="591"/>
      <c r="T908" s="587">
        <f>IFERROR(VLOOKUP($B908,اسماء,12,0),0)</f>
        <v>0</v>
      </c>
      <c r="U908" s="588"/>
      <c r="V908" s="375">
        <f t="shared" ref="V908:V910" si="2767">SUM(F908:U908)</f>
        <v>0</v>
      </c>
      <c r="W908" s="376">
        <f>IFERROR(VLOOKUP($B908,اسماء,14,0),0)</f>
        <v>0</v>
      </c>
      <c r="X908" s="377">
        <f>IFERROR(VLOOKUP($B908,اسماء,15,0),0)</f>
        <v>0</v>
      </c>
      <c r="Y908" s="595" t="str">
        <f t="shared" ref="Y908" si="2768">IF(AC908="غائب","راسب",IF(AND(F911&gt;=$G$8,H911&gt;=$I$8,J911&gt;=$K$8,L911&gt;=$M$8,N911&gt;=$O$8,P911&gt;=$Q$8,R911&gt;=$S$8,T911&gt;=$U$8),"ناجح","له دور ثان"))</f>
        <v>له دور ثان</v>
      </c>
      <c r="Z908" s="21" t="str">
        <f t="shared" ref="Z908:Z909" si="2769">LOOKUP(V908,$AF$6:$AG$10)</f>
        <v>ضعيف</v>
      </c>
      <c r="AA908" s="656">
        <f t="shared" ref="AA908" si="2770">V911/$AF$3</f>
        <v>0</v>
      </c>
      <c r="AB908" s="10"/>
      <c r="AC908" s="653" t="str">
        <f>IFERROR(VLOOKUP($B908,اسماء,54,0),"")</f>
        <v/>
      </c>
      <c r="AN908" s="607" t="str">
        <f t="shared" ref="AN908" si="2771">IF(V911=0,"",V911/1+ROW()*0.00001)</f>
        <v/>
      </c>
      <c r="AO908" s="607">
        <f>B908</f>
        <v>0</v>
      </c>
      <c r="AP908" s="613"/>
      <c r="AQ908" s="612">
        <v>197</v>
      </c>
      <c r="AR908" s="611" t="str">
        <f>IFERROR(LARGE($AN$10:$AN$1006,AQ908),"")</f>
        <v/>
      </c>
      <c r="AS908" s="612" t="str">
        <f>VLOOKUP(AR908,$AN$10:$AO$1116,2,0)</f>
        <v>أحمد نورالدين أحمد الذيب</v>
      </c>
    </row>
    <row r="909" spans="1:45" ht="15" customHeight="1" x14ac:dyDescent="0.25">
      <c r="A909" s="633"/>
      <c r="B909" s="630"/>
      <c r="C909" s="622"/>
      <c r="D909" s="625"/>
      <c r="E909" s="133" t="s">
        <v>31</v>
      </c>
      <c r="F909" s="589">
        <f>IFERROR(VLOOKUP($B908,اسماء,18,0),0)</f>
        <v>0</v>
      </c>
      <c r="G909" s="592"/>
      <c r="H909" s="608">
        <f>IFERROR(VLOOKUP($B908,اسماء,19,0),0)</f>
        <v>0</v>
      </c>
      <c r="I909" s="609"/>
      <c r="J909" s="589">
        <f>IFERROR(VLOOKUP($B908,اسماء,20,0),0)</f>
        <v>0</v>
      </c>
      <c r="K909" s="592"/>
      <c r="L909" s="589">
        <f>IFERROR(VLOOKUP($B908,اسماء,21,0),0)</f>
        <v>0</v>
      </c>
      <c r="M909" s="590"/>
      <c r="N909" s="589">
        <f>IFERROR(VLOOKUP($B908,اسماء,22,0),0)</f>
        <v>0</v>
      </c>
      <c r="O909" s="590"/>
      <c r="P909" s="589">
        <f>IFERROR(VLOOKUP($B908,اسماء,23,0),0)</f>
        <v>0</v>
      </c>
      <c r="Q909" s="609"/>
      <c r="R909" s="603">
        <f>IFERROR(VLOOKUP($B908,اسماء,24,0),0)</f>
        <v>0</v>
      </c>
      <c r="S909" s="592"/>
      <c r="T909" s="589">
        <f>IFERROR(VLOOKUP($B908,اسماء,25,0),0)</f>
        <v>0</v>
      </c>
      <c r="U909" s="590"/>
      <c r="V909" s="378">
        <f t="shared" si="2767"/>
        <v>0</v>
      </c>
      <c r="W909" s="374">
        <f>IFERROR(VLOOKUP($B908,اسماء,27,0),0)</f>
        <v>0</v>
      </c>
      <c r="X909" s="379">
        <f>IFERROR(VLOOKUP($B908,اسماء,28,0),0)</f>
        <v>0</v>
      </c>
      <c r="Y909" s="596"/>
      <c r="Z909" s="22" t="str">
        <f t="shared" si="2769"/>
        <v>ضعيف</v>
      </c>
      <c r="AA909" s="657"/>
      <c r="AB909" s="72"/>
      <c r="AC909" s="654"/>
      <c r="AN909" s="607"/>
      <c r="AO909" s="607"/>
      <c r="AP909" s="613"/>
      <c r="AQ909" s="612"/>
      <c r="AR909" s="611"/>
      <c r="AS909" s="612"/>
    </row>
    <row r="910" spans="1:45" ht="15" customHeight="1" x14ac:dyDescent="0.25">
      <c r="A910" s="633"/>
      <c r="B910" s="630"/>
      <c r="C910" s="622"/>
      <c r="D910" s="625"/>
      <c r="E910" s="133" t="s">
        <v>32</v>
      </c>
      <c r="F910" s="589">
        <f>IFERROR(VLOOKUP($B908,اسماء,31,0),0)</f>
        <v>0</v>
      </c>
      <c r="G910" s="592"/>
      <c r="H910" s="608">
        <f>IFERROR(VLOOKUP($B908,اسماء,32,0),0)</f>
        <v>0</v>
      </c>
      <c r="I910" s="609"/>
      <c r="J910" s="589">
        <f>IFERROR(VLOOKUP($B908,اسماء,33,0),0)</f>
        <v>0</v>
      </c>
      <c r="K910" s="592"/>
      <c r="L910" s="589">
        <f>IFERROR(VLOOKUP($B908,اسماء,34,0),0)</f>
        <v>0</v>
      </c>
      <c r="M910" s="590"/>
      <c r="N910" s="589">
        <f>IFERROR(VLOOKUP($B908,اسماء,35,0),0)</f>
        <v>0</v>
      </c>
      <c r="O910" s="590"/>
      <c r="P910" s="589">
        <f>IFERROR(VLOOKUP($B908,اسماء,36,0),0)</f>
        <v>0</v>
      </c>
      <c r="Q910" s="609"/>
      <c r="R910" s="603">
        <f>IFERROR(VLOOKUP($B908,اسماء,37,0),0)</f>
        <v>0</v>
      </c>
      <c r="S910" s="592"/>
      <c r="T910" s="589">
        <f>IFERROR(VLOOKUP($B908,اسماء,38,0),0)</f>
        <v>0</v>
      </c>
      <c r="U910" s="590"/>
      <c r="V910" s="378">
        <f t="shared" si="2767"/>
        <v>0</v>
      </c>
      <c r="W910" s="374">
        <f>IFERROR(VLOOKUP($B908,اسماء,40,0),0)</f>
        <v>0</v>
      </c>
      <c r="X910" s="379">
        <f>IFERROR(VLOOKUP($B908,اسماء,41,0),0)</f>
        <v>0</v>
      </c>
      <c r="Y910" s="596"/>
      <c r="Z910" s="22" t="str">
        <f t="shared" ref="Z910" si="2772">LOOKUP(V910,$AI$6:$AJ$10)</f>
        <v>ضعيف</v>
      </c>
      <c r="AA910" s="657"/>
      <c r="AB910" s="72"/>
      <c r="AC910" s="654"/>
      <c r="AN910" s="607"/>
      <c r="AO910" s="607"/>
      <c r="AP910" s="613"/>
      <c r="AQ910" s="612"/>
      <c r="AR910" s="611"/>
      <c r="AS910" s="612"/>
    </row>
    <row r="911" spans="1:45" ht="15" customHeight="1" thickBot="1" x14ac:dyDescent="0.3">
      <c r="A911" s="634"/>
      <c r="B911" s="631"/>
      <c r="C911" s="623"/>
      <c r="D911" s="626"/>
      <c r="E911" s="127" t="s">
        <v>33</v>
      </c>
      <c r="F911" s="585">
        <f t="shared" ref="F911" si="2773">SUM(F908:G910)</f>
        <v>0</v>
      </c>
      <c r="G911" s="593"/>
      <c r="H911" s="604">
        <f t="shared" ref="H911" si="2774">SUM(H908:I910)</f>
        <v>0</v>
      </c>
      <c r="I911" s="601"/>
      <c r="J911" s="585">
        <f t="shared" ref="J911" si="2775">SUM(J908:K910)</f>
        <v>0</v>
      </c>
      <c r="K911" s="593"/>
      <c r="L911" s="585">
        <f t="shared" ref="L911" si="2776">SUM(L908:M910)</f>
        <v>0</v>
      </c>
      <c r="M911" s="586"/>
      <c r="N911" s="585">
        <f t="shared" ref="N911" si="2777">SUM(N908:O910)</f>
        <v>0</v>
      </c>
      <c r="O911" s="586"/>
      <c r="P911" s="585">
        <f t="shared" ref="P911" si="2778">SUM(P908:Q910)</f>
        <v>0</v>
      </c>
      <c r="Q911" s="601"/>
      <c r="R911" s="602">
        <f t="shared" ref="R911" si="2779">SUM(R908:S910)</f>
        <v>0</v>
      </c>
      <c r="S911" s="593"/>
      <c r="T911" s="585">
        <f t="shared" ref="T911" si="2780">SUM(T908:U910)</f>
        <v>0</v>
      </c>
      <c r="U911" s="586"/>
      <c r="V911" s="96">
        <f t="shared" ref="V911" si="2781">IF(AND(F911&gt;=$G$8,H911&gt;=$I$8,L911&gt;=$M$8,P911&gt;=$Q$8,R911&gt;=$S$8,T911&gt;=$U$8),SUM(F911:U911),0)</f>
        <v>0</v>
      </c>
      <c r="W911" s="380"/>
      <c r="X911" s="97"/>
      <c r="Y911" s="597"/>
      <c r="Z911" s="91" t="str">
        <f t="shared" ref="Z911" si="2782">LOOKUP(V911,$AL$6:$AM$10)</f>
        <v>ضعيف</v>
      </c>
      <c r="AA911" s="658"/>
      <c r="AB911" s="10"/>
      <c r="AC911" s="655"/>
      <c r="AN911" s="607"/>
      <c r="AO911" s="607"/>
      <c r="AP911" s="613"/>
      <c r="AQ911" s="612"/>
      <c r="AR911" s="611"/>
      <c r="AS911" s="612"/>
    </row>
    <row r="912" spans="1:45" ht="15" customHeight="1" x14ac:dyDescent="0.25">
      <c r="A912" s="632">
        <v>198</v>
      </c>
      <c r="B912" s="629">
        <f>VLOOKUP(A912,مسلسل,2,0)</f>
        <v>0</v>
      </c>
      <c r="C912" s="621" t="str">
        <f>IFERROR(VLOOKUP(B912,اسماء,2,0),"")</f>
        <v/>
      </c>
      <c r="D912" s="624" t="str">
        <f>IFERROR(VLOOKUP($B912,اسماء,3,0),"")</f>
        <v/>
      </c>
      <c r="E912" s="132" t="s">
        <v>30</v>
      </c>
      <c r="F912" s="627">
        <f>IFERROR(VLOOKUP($B912,اسماء,5,0),0)</f>
        <v>0</v>
      </c>
      <c r="G912" s="606"/>
      <c r="H912" s="628">
        <f>IFERROR(VLOOKUP($B912,اسماء,6,0),0)</f>
        <v>0</v>
      </c>
      <c r="I912" s="605"/>
      <c r="J912" s="587">
        <f>IFERROR(VLOOKUP($B912,اسماء,7,0),0)</f>
        <v>0</v>
      </c>
      <c r="K912" s="591"/>
      <c r="L912" s="587">
        <f>IFERROR(VLOOKUP($B912,اسماء,8,0),0)</f>
        <v>0</v>
      </c>
      <c r="M912" s="588"/>
      <c r="N912" s="587">
        <f>IFERROR(VLOOKUP($B912,اسماء,9,0),0)</f>
        <v>0</v>
      </c>
      <c r="O912" s="605"/>
      <c r="P912" s="587">
        <f>IFERROR(VLOOKUP($B912,اسماء,10,0),0)</f>
        <v>0</v>
      </c>
      <c r="Q912" s="605"/>
      <c r="R912" s="606">
        <f>IFERROR(VLOOKUP($B912,اسماء,11,0),0)</f>
        <v>0</v>
      </c>
      <c r="S912" s="591"/>
      <c r="T912" s="587">
        <f>IFERROR(VLOOKUP($B912,اسماء,12,0),0)</f>
        <v>0</v>
      </c>
      <c r="U912" s="588"/>
      <c r="V912" s="375">
        <f t="shared" ref="V912:V914" si="2783">SUM(F912:U912)</f>
        <v>0</v>
      </c>
      <c r="W912" s="376">
        <f>IFERROR(VLOOKUP($B912,اسماء,14,0),0)</f>
        <v>0</v>
      </c>
      <c r="X912" s="377">
        <f>IFERROR(VLOOKUP($B912,اسماء,15,0),0)</f>
        <v>0</v>
      </c>
      <c r="Y912" s="595" t="str">
        <f t="shared" ref="Y912" si="2784">IF(AC912="غائب","راسب",IF(AND(F915&gt;=$G$8,H915&gt;=$I$8,J915&gt;=$K$8,L915&gt;=$M$8,N915&gt;=$O$8,P915&gt;=$Q$8,R915&gt;=$S$8,T915&gt;=$U$8),"ناجح","له دور ثان"))</f>
        <v>له دور ثان</v>
      </c>
      <c r="Z912" s="21" t="str">
        <f t="shared" ref="Z912:Z913" si="2785">LOOKUP(V912,$AF$6:$AG$10)</f>
        <v>ضعيف</v>
      </c>
      <c r="AA912" s="656">
        <f t="shared" ref="AA912" si="2786">V915/$AF$3</f>
        <v>0</v>
      </c>
      <c r="AB912" s="72"/>
      <c r="AC912" s="653" t="str">
        <f>IFERROR(VLOOKUP($B912,اسماء,54,0),"")</f>
        <v/>
      </c>
      <c r="AN912" s="607" t="str">
        <f t="shared" ref="AN912" si="2787">IF(V915=0,"",V915/1+ROW()*0.00001)</f>
        <v/>
      </c>
      <c r="AO912" s="607">
        <f>B912</f>
        <v>0</v>
      </c>
      <c r="AP912" s="613"/>
      <c r="AQ912" s="612">
        <v>198</v>
      </c>
      <c r="AR912" s="611" t="str">
        <f>IFERROR(LARGE($AN$10:$AN$1006,AQ912),"")</f>
        <v/>
      </c>
      <c r="AS912" s="612" t="str">
        <f>VLOOKUP(AR912,$AN$10:$AO$1116,2,0)</f>
        <v>أحمد نورالدين أحمد الذيب</v>
      </c>
    </row>
    <row r="913" spans="1:45" ht="15" customHeight="1" x14ac:dyDescent="0.25">
      <c r="A913" s="633"/>
      <c r="B913" s="630"/>
      <c r="C913" s="622"/>
      <c r="D913" s="625"/>
      <c r="E913" s="133" t="s">
        <v>31</v>
      </c>
      <c r="F913" s="589">
        <f>IFERROR(VLOOKUP($B912,اسماء,18,0),0)</f>
        <v>0</v>
      </c>
      <c r="G913" s="592"/>
      <c r="H913" s="608">
        <f>IFERROR(VLOOKUP($B912,اسماء,19,0),0)</f>
        <v>0</v>
      </c>
      <c r="I913" s="609"/>
      <c r="J913" s="589">
        <f>IFERROR(VLOOKUP($B912,اسماء,20,0),0)</f>
        <v>0</v>
      </c>
      <c r="K913" s="592"/>
      <c r="L913" s="589">
        <f>IFERROR(VLOOKUP($B912,اسماء,21,0),0)</f>
        <v>0</v>
      </c>
      <c r="M913" s="590"/>
      <c r="N913" s="589">
        <f>IFERROR(VLOOKUP($B912,اسماء,22,0),0)</f>
        <v>0</v>
      </c>
      <c r="O913" s="590"/>
      <c r="P913" s="589">
        <f>IFERROR(VLOOKUP($B912,اسماء,23,0),0)</f>
        <v>0</v>
      </c>
      <c r="Q913" s="609"/>
      <c r="R913" s="603">
        <f>IFERROR(VLOOKUP($B912,اسماء,24,0),0)</f>
        <v>0</v>
      </c>
      <c r="S913" s="592"/>
      <c r="T913" s="589">
        <f>IFERROR(VLOOKUP($B912,اسماء,25,0),0)</f>
        <v>0</v>
      </c>
      <c r="U913" s="590"/>
      <c r="V913" s="378">
        <f t="shared" si="2783"/>
        <v>0</v>
      </c>
      <c r="W913" s="374">
        <f>IFERROR(VLOOKUP($B912,اسماء,27,0),0)</f>
        <v>0</v>
      </c>
      <c r="X913" s="379">
        <f>IFERROR(VLOOKUP($B912,اسماء,28,0),0)</f>
        <v>0</v>
      </c>
      <c r="Y913" s="596"/>
      <c r="Z913" s="22" t="str">
        <f t="shared" si="2785"/>
        <v>ضعيف</v>
      </c>
      <c r="AA913" s="657"/>
      <c r="AB913" s="72"/>
      <c r="AC913" s="654"/>
      <c r="AN913" s="607"/>
      <c r="AO913" s="607"/>
      <c r="AP913" s="613"/>
      <c r="AQ913" s="612"/>
      <c r="AR913" s="611"/>
      <c r="AS913" s="612"/>
    </row>
    <row r="914" spans="1:45" ht="15" customHeight="1" x14ac:dyDescent="0.25">
      <c r="A914" s="633"/>
      <c r="B914" s="630"/>
      <c r="C914" s="622"/>
      <c r="D914" s="625"/>
      <c r="E914" s="133" t="s">
        <v>32</v>
      </c>
      <c r="F914" s="589">
        <f>IFERROR(VLOOKUP($B912,اسماء,31,0),0)</f>
        <v>0</v>
      </c>
      <c r="G914" s="592"/>
      <c r="H914" s="608">
        <f>IFERROR(VLOOKUP($B912,اسماء,32,0),0)</f>
        <v>0</v>
      </c>
      <c r="I914" s="609"/>
      <c r="J914" s="589">
        <f>IFERROR(VLOOKUP($B912,اسماء,33,0),0)</f>
        <v>0</v>
      </c>
      <c r="K914" s="592"/>
      <c r="L914" s="589">
        <f>IFERROR(VLOOKUP($B912,اسماء,34,0),0)</f>
        <v>0</v>
      </c>
      <c r="M914" s="590"/>
      <c r="N914" s="589">
        <f>IFERROR(VLOOKUP($B912,اسماء,35,0),0)</f>
        <v>0</v>
      </c>
      <c r="O914" s="590"/>
      <c r="P914" s="589">
        <f>IFERROR(VLOOKUP($B912,اسماء,36,0),0)</f>
        <v>0</v>
      </c>
      <c r="Q914" s="609"/>
      <c r="R914" s="603">
        <f>IFERROR(VLOOKUP($B912,اسماء,37,0),0)</f>
        <v>0</v>
      </c>
      <c r="S914" s="592"/>
      <c r="T914" s="589">
        <f>IFERROR(VLOOKUP($B912,اسماء,38,0),0)</f>
        <v>0</v>
      </c>
      <c r="U914" s="590"/>
      <c r="V914" s="378">
        <f t="shared" si="2783"/>
        <v>0</v>
      </c>
      <c r="W914" s="374">
        <f>IFERROR(VLOOKUP($B912,اسماء,40,0),0)</f>
        <v>0</v>
      </c>
      <c r="X914" s="379">
        <f>IFERROR(VLOOKUP($B912,اسماء,41,0),0)</f>
        <v>0</v>
      </c>
      <c r="Y914" s="596"/>
      <c r="Z914" s="22" t="str">
        <f t="shared" ref="Z914" si="2788">LOOKUP(V914,$AI$6:$AJ$10)</f>
        <v>ضعيف</v>
      </c>
      <c r="AA914" s="657"/>
      <c r="AB914" s="10"/>
      <c r="AC914" s="654"/>
      <c r="AN914" s="607"/>
      <c r="AO914" s="607"/>
      <c r="AP914" s="613"/>
      <c r="AQ914" s="612"/>
      <c r="AR914" s="611"/>
      <c r="AS914" s="612"/>
    </row>
    <row r="915" spans="1:45" ht="15" customHeight="1" thickBot="1" x14ac:dyDescent="0.3">
      <c r="A915" s="634"/>
      <c r="B915" s="631"/>
      <c r="C915" s="623"/>
      <c r="D915" s="626"/>
      <c r="E915" s="127" t="s">
        <v>33</v>
      </c>
      <c r="F915" s="585">
        <f t="shared" ref="F915" si="2789">SUM(F912:G914)</f>
        <v>0</v>
      </c>
      <c r="G915" s="593"/>
      <c r="H915" s="604">
        <f t="shared" ref="H915" si="2790">SUM(H912:I914)</f>
        <v>0</v>
      </c>
      <c r="I915" s="601"/>
      <c r="J915" s="585">
        <f t="shared" ref="J915" si="2791">SUM(J912:K914)</f>
        <v>0</v>
      </c>
      <c r="K915" s="593"/>
      <c r="L915" s="585">
        <f t="shared" ref="L915" si="2792">SUM(L912:M914)</f>
        <v>0</v>
      </c>
      <c r="M915" s="586"/>
      <c r="N915" s="585">
        <f t="shared" ref="N915" si="2793">SUM(N912:O914)</f>
        <v>0</v>
      </c>
      <c r="O915" s="586"/>
      <c r="P915" s="585">
        <f t="shared" ref="P915" si="2794">SUM(P912:Q914)</f>
        <v>0</v>
      </c>
      <c r="Q915" s="601"/>
      <c r="R915" s="602">
        <f t="shared" ref="R915" si="2795">SUM(R912:S914)</f>
        <v>0</v>
      </c>
      <c r="S915" s="593"/>
      <c r="T915" s="585">
        <f t="shared" ref="T915" si="2796">SUM(T912:U914)</f>
        <v>0</v>
      </c>
      <c r="U915" s="586"/>
      <c r="V915" s="96">
        <f t="shared" ref="V915" si="2797">IF(AND(F915&gt;=$G$8,H915&gt;=$I$8,L915&gt;=$M$8,P915&gt;=$Q$8,R915&gt;=$S$8,T915&gt;=$U$8),SUM(F915:U915),0)</f>
        <v>0</v>
      </c>
      <c r="W915" s="380"/>
      <c r="X915" s="97"/>
      <c r="Y915" s="597"/>
      <c r="Z915" s="91" t="str">
        <f t="shared" ref="Z915" si="2798">LOOKUP(V915,$AL$6:$AM$10)</f>
        <v>ضعيف</v>
      </c>
      <c r="AA915" s="658"/>
      <c r="AB915" s="72"/>
      <c r="AC915" s="655"/>
      <c r="AN915" s="607"/>
      <c r="AO915" s="607"/>
      <c r="AP915" s="613"/>
      <c r="AQ915" s="612"/>
      <c r="AR915" s="611"/>
      <c r="AS915" s="612"/>
    </row>
    <row r="916" spans="1:45" ht="15" customHeight="1" x14ac:dyDescent="0.25">
      <c r="A916" s="632">
        <v>199</v>
      </c>
      <c r="B916" s="629">
        <f>VLOOKUP(A916,مسلسل,2,0)</f>
        <v>0</v>
      </c>
      <c r="C916" s="621" t="str">
        <f>IFERROR(VLOOKUP(B916,اسماء,2,0),"")</f>
        <v/>
      </c>
      <c r="D916" s="624" t="str">
        <f>IFERROR(VLOOKUP($B916,اسماء,3,0),"")</f>
        <v/>
      </c>
      <c r="E916" s="132" t="s">
        <v>30</v>
      </c>
      <c r="F916" s="627">
        <f>IFERROR(VLOOKUP($B916,اسماء,5,0),0)</f>
        <v>0</v>
      </c>
      <c r="G916" s="606"/>
      <c r="H916" s="628">
        <f>IFERROR(VLOOKUP($B916,اسماء,6,0),0)</f>
        <v>0</v>
      </c>
      <c r="I916" s="605"/>
      <c r="J916" s="587">
        <f>IFERROR(VLOOKUP($B916,اسماء,7,0),0)</f>
        <v>0</v>
      </c>
      <c r="K916" s="591"/>
      <c r="L916" s="587">
        <f>IFERROR(VLOOKUP($B916,اسماء,8,0),0)</f>
        <v>0</v>
      </c>
      <c r="M916" s="588"/>
      <c r="N916" s="587">
        <f>IFERROR(VLOOKUP($B916,اسماء,9,0),0)</f>
        <v>0</v>
      </c>
      <c r="O916" s="605"/>
      <c r="P916" s="587">
        <f>IFERROR(VLOOKUP($B916,اسماء,10,0),0)</f>
        <v>0</v>
      </c>
      <c r="Q916" s="605"/>
      <c r="R916" s="606">
        <f>IFERROR(VLOOKUP($B916,اسماء,11,0),0)</f>
        <v>0</v>
      </c>
      <c r="S916" s="591"/>
      <c r="T916" s="587">
        <f>IFERROR(VLOOKUP($B916,اسماء,12,0),0)</f>
        <v>0</v>
      </c>
      <c r="U916" s="588"/>
      <c r="V916" s="375">
        <f t="shared" ref="V916:V918" si="2799">SUM(F916:U916)</f>
        <v>0</v>
      </c>
      <c r="W916" s="376">
        <f>IFERROR(VLOOKUP($B916,اسماء,14,0),0)</f>
        <v>0</v>
      </c>
      <c r="X916" s="377">
        <f>IFERROR(VLOOKUP($B916,اسماء,15,0),0)</f>
        <v>0</v>
      </c>
      <c r="Y916" s="595" t="str">
        <f t="shared" ref="Y916" si="2800">IF(AC916="غائب","راسب",IF(AND(F919&gt;=$G$8,H919&gt;=$I$8,J919&gt;=$K$8,L919&gt;=$M$8,N919&gt;=$O$8,P919&gt;=$Q$8,R919&gt;=$S$8,T919&gt;=$U$8),"ناجح","له دور ثان"))</f>
        <v>له دور ثان</v>
      </c>
      <c r="Z916" s="21" t="str">
        <f t="shared" ref="Z916:Z917" si="2801">LOOKUP(V916,$AF$6:$AG$10)</f>
        <v>ضعيف</v>
      </c>
      <c r="AA916" s="656">
        <f t="shared" ref="AA916" si="2802">V919/$AF$3</f>
        <v>0</v>
      </c>
      <c r="AB916" s="72"/>
      <c r="AC916" s="653" t="str">
        <f>IFERROR(VLOOKUP($B916,اسماء,54,0),"")</f>
        <v/>
      </c>
      <c r="AN916" s="607" t="str">
        <f t="shared" ref="AN916" si="2803">IF(V919=0,"",V919/1+ROW()*0.00001)</f>
        <v/>
      </c>
      <c r="AO916" s="607">
        <f>B916</f>
        <v>0</v>
      </c>
      <c r="AP916" s="613"/>
      <c r="AQ916" s="612">
        <v>199</v>
      </c>
      <c r="AR916" s="611" t="str">
        <f>IFERROR(LARGE($AN$10:$AN$1006,AQ916),"")</f>
        <v/>
      </c>
      <c r="AS916" s="612" t="str">
        <f>VLOOKUP(AR916,$AN$10:$AO$1116,2,0)</f>
        <v>أحمد نورالدين أحمد الذيب</v>
      </c>
    </row>
    <row r="917" spans="1:45" ht="15" customHeight="1" x14ac:dyDescent="0.25">
      <c r="A917" s="633"/>
      <c r="B917" s="630"/>
      <c r="C917" s="622"/>
      <c r="D917" s="625"/>
      <c r="E917" s="133" t="s">
        <v>31</v>
      </c>
      <c r="F917" s="589">
        <f>IFERROR(VLOOKUP($B916,اسماء,18,0),0)</f>
        <v>0</v>
      </c>
      <c r="G917" s="592"/>
      <c r="H917" s="608">
        <f>IFERROR(VLOOKUP($B916,اسماء,19,0),0)</f>
        <v>0</v>
      </c>
      <c r="I917" s="609"/>
      <c r="J917" s="589">
        <f>IFERROR(VLOOKUP($B916,اسماء,20,0),0)</f>
        <v>0</v>
      </c>
      <c r="K917" s="592"/>
      <c r="L917" s="589">
        <f>IFERROR(VLOOKUP($B916,اسماء,21,0),0)</f>
        <v>0</v>
      </c>
      <c r="M917" s="590"/>
      <c r="N917" s="589">
        <f>IFERROR(VLOOKUP($B916,اسماء,22,0),0)</f>
        <v>0</v>
      </c>
      <c r="O917" s="590"/>
      <c r="P917" s="589">
        <f>IFERROR(VLOOKUP($B916,اسماء,23,0),0)</f>
        <v>0</v>
      </c>
      <c r="Q917" s="609"/>
      <c r="R917" s="603">
        <f>IFERROR(VLOOKUP($B916,اسماء,24,0),0)</f>
        <v>0</v>
      </c>
      <c r="S917" s="592"/>
      <c r="T917" s="589">
        <f>IFERROR(VLOOKUP($B916,اسماء,25,0),0)</f>
        <v>0</v>
      </c>
      <c r="U917" s="590"/>
      <c r="V917" s="378">
        <f t="shared" si="2799"/>
        <v>0</v>
      </c>
      <c r="W917" s="374">
        <f>IFERROR(VLOOKUP($B916,اسماء,27,0),0)</f>
        <v>0</v>
      </c>
      <c r="X917" s="379">
        <f>IFERROR(VLOOKUP($B916,اسماء,28,0),0)</f>
        <v>0</v>
      </c>
      <c r="Y917" s="596"/>
      <c r="Z917" s="22" t="str">
        <f t="shared" si="2801"/>
        <v>ضعيف</v>
      </c>
      <c r="AA917" s="657"/>
      <c r="AB917" s="10"/>
      <c r="AC917" s="654"/>
      <c r="AN917" s="607"/>
      <c r="AO917" s="607"/>
      <c r="AP917" s="613"/>
      <c r="AQ917" s="612"/>
      <c r="AR917" s="611"/>
      <c r="AS917" s="612"/>
    </row>
    <row r="918" spans="1:45" ht="15" customHeight="1" x14ac:dyDescent="0.25">
      <c r="A918" s="633"/>
      <c r="B918" s="630"/>
      <c r="C918" s="622"/>
      <c r="D918" s="625"/>
      <c r="E918" s="133" t="s">
        <v>32</v>
      </c>
      <c r="F918" s="589">
        <f>IFERROR(VLOOKUP($B916,اسماء,31,0),0)</f>
        <v>0</v>
      </c>
      <c r="G918" s="592"/>
      <c r="H918" s="608">
        <f>IFERROR(VLOOKUP($B916,اسماء,32,0),0)</f>
        <v>0</v>
      </c>
      <c r="I918" s="609"/>
      <c r="J918" s="589">
        <f>IFERROR(VLOOKUP($B916,اسماء,33,0),0)</f>
        <v>0</v>
      </c>
      <c r="K918" s="592"/>
      <c r="L918" s="589">
        <f>IFERROR(VLOOKUP($B916,اسماء,34,0),0)</f>
        <v>0</v>
      </c>
      <c r="M918" s="590"/>
      <c r="N918" s="589">
        <f>IFERROR(VLOOKUP($B916,اسماء,35,0),0)</f>
        <v>0</v>
      </c>
      <c r="O918" s="590"/>
      <c r="P918" s="589">
        <f>IFERROR(VLOOKUP($B916,اسماء,36,0),0)</f>
        <v>0</v>
      </c>
      <c r="Q918" s="609"/>
      <c r="R918" s="603">
        <f>IFERROR(VLOOKUP($B916,اسماء,37,0),0)</f>
        <v>0</v>
      </c>
      <c r="S918" s="592"/>
      <c r="T918" s="589">
        <f>IFERROR(VLOOKUP($B916,اسماء,38,0),0)</f>
        <v>0</v>
      </c>
      <c r="U918" s="590"/>
      <c r="V918" s="378">
        <f t="shared" si="2799"/>
        <v>0</v>
      </c>
      <c r="W918" s="374">
        <f>IFERROR(VLOOKUP($B916,اسماء,40,0),0)</f>
        <v>0</v>
      </c>
      <c r="X918" s="379">
        <f>IFERROR(VLOOKUP($B916,اسماء,41,0),0)</f>
        <v>0</v>
      </c>
      <c r="Y918" s="596"/>
      <c r="Z918" s="22" t="str">
        <f t="shared" ref="Z918" si="2804">LOOKUP(V918,$AI$6:$AJ$10)</f>
        <v>ضعيف</v>
      </c>
      <c r="AA918" s="657"/>
      <c r="AB918" s="72"/>
      <c r="AC918" s="654"/>
      <c r="AN918" s="607"/>
      <c r="AO918" s="607"/>
      <c r="AP918" s="613"/>
      <c r="AQ918" s="612"/>
      <c r="AR918" s="611"/>
      <c r="AS918" s="612"/>
    </row>
    <row r="919" spans="1:45" ht="15" customHeight="1" thickBot="1" x14ac:dyDescent="0.3">
      <c r="A919" s="634"/>
      <c r="B919" s="631"/>
      <c r="C919" s="623"/>
      <c r="D919" s="626"/>
      <c r="E919" s="127" t="s">
        <v>33</v>
      </c>
      <c r="F919" s="585">
        <f t="shared" ref="F919" si="2805">SUM(F916:G918)</f>
        <v>0</v>
      </c>
      <c r="G919" s="593"/>
      <c r="H919" s="604">
        <f t="shared" ref="H919" si="2806">SUM(H916:I918)</f>
        <v>0</v>
      </c>
      <c r="I919" s="601"/>
      <c r="J919" s="585">
        <f t="shared" ref="J919" si="2807">SUM(J916:K918)</f>
        <v>0</v>
      </c>
      <c r="K919" s="593"/>
      <c r="L919" s="585">
        <f t="shared" ref="L919" si="2808">SUM(L916:M918)</f>
        <v>0</v>
      </c>
      <c r="M919" s="586"/>
      <c r="N919" s="585">
        <f t="shared" ref="N919" si="2809">SUM(N916:O918)</f>
        <v>0</v>
      </c>
      <c r="O919" s="586"/>
      <c r="P919" s="585">
        <f t="shared" ref="P919" si="2810">SUM(P916:Q918)</f>
        <v>0</v>
      </c>
      <c r="Q919" s="601"/>
      <c r="R919" s="602">
        <f t="shared" ref="R919" si="2811">SUM(R916:S918)</f>
        <v>0</v>
      </c>
      <c r="S919" s="593"/>
      <c r="T919" s="585">
        <f t="shared" ref="T919" si="2812">SUM(T916:U918)</f>
        <v>0</v>
      </c>
      <c r="U919" s="586"/>
      <c r="V919" s="96">
        <f t="shared" ref="V919" si="2813">IF(AND(F919&gt;=$G$8,H919&gt;=$I$8,L919&gt;=$M$8,P919&gt;=$Q$8,R919&gt;=$S$8,T919&gt;=$U$8),SUM(F919:U919),0)</f>
        <v>0</v>
      </c>
      <c r="W919" s="380"/>
      <c r="X919" s="97"/>
      <c r="Y919" s="597"/>
      <c r="Z919" s="91" t="str">
        <f t="shared" ref="Z919" si="2814">LOOKUP(V919,$AL$6:$AM$10)</f>
        <v>ضعيف</v>
      </c>
      <c r="AA919" s="658"/>
      <c r="AB919" s="72"/>
      <c r="AC919" s="655"/>
      <c r="AN919" s="607"/>
      <c r="AO919" s="607"/>
      <c r="AP919" s="613"/>
      <c r="AQ919" s="612"/>
      <c r="AR919" s="611"/>
      <c r="AS919" s="612"/>
    </row>
    <row r="920" spans="1:45" ht="15" customHeight="1" x14ac:dyDescent="0.25">
      <c r="A920" s="632">
        <v>200</v>
      </c>
      <c r="B920" s="629">
        <f>VLOOKUP(A920,مسلسل,2,0)</f>
        <v>0</v>
      </c>
      <c r="C920" s="621" t="str">
        <f>IFERROR(VLOOKUP(B920,اسماء,2,0),"")</f>
        <v/>
      </c>
      <c r="D920" s="624" t="str">
        <f>IFERROR(VLOOKUP($B920,اسماء,3,0),"")</f>
        <v/>
      </c>
      <c r="E920" s="132" t="s">
        <v>30</v>
      </c>
      <c r="F920" s="627">
        <f>IFERROR(VLOOKUP($B920,اسماء,5,0),0)</f>
        <v>0</v>
      </c>
      <c r="G920" s="606"/>
      <c r="H920" s="628">
        <f>IFERROR(VLOOKUP($B920,اسماء,6,0),0)</f>
        <v>0</v>
      </c>
      <c r="I920" s="605"/>
      <c r="J920" s="587">
        <f>IFERROR(VLOOKUP($B920,اسماء,7,0),0)</f>
        <v>0</v>
      </c>
      <c r="K920" s="591"/>
      <c r="L920" s="587">
        <f>IFERROR(VLOOKUP($B920,اسماء,8,0),0)</f>
        <v>0</v>
      </c>
      <c r="M920" s="588"/>
      <c r="N920" s="587">
        <f>IFERROR(VLOOKUP($B920,اسماء,9,0),0)</f>
        <v>0</v>
      </c>
      <c r="O920" s="605"/>
      <c r="P920" s="587">
        <f>IFERROR(VLOOKUP($B920,اسماء,10,0),0)</f>
        <v>0</v>
      </c>
      <c r="Q920" s="605"/>
      <c r="R920" s="606">
        <f>IFERROR(VLOOKUP($B920,اسماء,11,0),0)</f>
        <v>0</v>
      </c>
      <c r="S920" s="591"/>
      <c r="T920" s="587">
        <f>IFERROR(VLOOKUP($B920,اسماء,12,0),0)</f>
        <v>0</v>
      </c>
      <c r="U920" s="588"/>
      <c r="V920" s="375">
        <f t="shared" ref="V920:V922" si="2815">SUM(F920:U920)</f>
        <v>0</v>
      </c>
      <c r="W920" s="376">
        <f>IFERROR(VLOOKUP($B920,اسماء,14,0),0)</f>
        <v>0</v>
      </c>
      <c r="X920" s="377">
        <f>IFERROR(VLOOKUP($B920,اسماء,15,0),0)</f>
        <v>0</v>
      </c>
      <c r="Y920" s="595" t="str">
        <f t="shared" ref="Y920" si="2816">IF(AC920="غائب","راسب",IF(AND(F923&gt;=$G$8,H923&gt;=$I$8,J923&gt;=$K$8,L923&gt;=$M$8,N923&gt;=$O$8,P923&gt;=$Q$8,R923&gt;=$S$8,T923&gt;=$U$8),"ناجح","له دور ثان"))</f>
        <v>له دور ثان</v>
      </c>
      <c r="Z920" s="21" t="str">
        <f t="shared" ref="Z920:Z921" si="2817">LOOKUP(V920,$AF$6:$AG$10)</f>
        <v>ضعيف</v>
      </c>
      <c r="AA920" s="656">
        <f t="shared" ref="AA920" si="2818">V923/$AF$3</f>
        <v>0</v>
      </c>
      <c r="AB920" s="10"/>
      <c r="AC920" s="653" t="str">
        <f>IFERROR(VLOOKUP($B920,اسماء,54,0),"")</f>
        <v/>
      </c>
      <c r="AN920" s="607" t="str">
        <f t="shared" ref="AN920" si="2819">IF(V923=0,"",V923/1+ROW()*0.00001)</f>
        <v/>
      </c>
      <c r="AO920" s="607">
        <f>B920</f>
        <v>0</v>
      </c>
      <c r="AP920" s="613"/>
      <c r="AQ920" s="612">
        <v>200</v>
      </c>
      <c r="AR920" s="611" t="str">
        <f>IFERROR(LARGE($AN$10:$AN$1006,AQ920),"")</f>
        <v/>
      </c>
      <c r="AS920" s="612" t="str">
        <f>VLOOKUP(AR920,$AN$10:$AO$1116,2,0)</f>
        <v>أحمد نورالدين أحمد الذيب</v>
      </c>
    </row>
    <row r="921" spans="1:45" ht="15" customHeight="1" x14ac:dyDescent="0.25">
      <c r="A921" s="633"/>
      <c r="B921" s="630"/>
      <c r="C921" s="622"/>
      <c r="D921" s="625"/>
      <c r="E921" s="133" t="s">
        <v>31</v>
      </c>
      <c r="F921" s="589">
        <f>IFERROR(VLOOKUP($B920,اسماء,18,0),0)</f>
        <v>0</v>
      </c>
      <c r="G921" s="592"/>
      <c r="H921" s="608">
        <f>IFERROR(VLOOKUP($B920,اسماء,19,0),0)</f>
        <v>0</v>
      </c>
      <c r="I921" s="609"/>
      <c r="J921" s="589">
        <f>IFERROR(VLOOKUP($B920,اسماء,20,0),0)</f>
        <v>0</v>
      </c>
      <c r="K921" s="592"/>
      <c r="L921" s="589">
        <f>IFERROR(VLOOKUP($B920,اسماء,21,0),0)</f>
        <v>0</v>
      </c>
      <c r="M921" s="590"/>
      <c r="N921" s="589">
        <f>IFERROR(VLOOKUP($B920,اسماء,22,0),0)</f>
        <v>0</v>
      </c>
      <c r="O921" s="590"/>
      <c r="P921" s="589">
        <f>IFERROR(VLOOKUP($B920,اسماء,23,0),0)</f>
        <v>0</v>
      </c>
      <c r="Q921" s="609"/>
      <c r="R921" s="603">
        <f>IFERROR(VLOOKUP($B920,اسماء,24,0),0)</f>
        <v>0</v>
      </c>
      <c r="S921" s="592"/>
      <c r="T921" s="589">
        <f>IFERROR(VLOOKUP($B920,اسماء,25,0),0)</f>
        <v>0</v>
      </c>
      <c r="U921" s="590"/>
      <c r="V921" s="378">
        <f t="shared" si="2815"/>
        <v>0</v>
      </c>
      <c r="W921" s="374">
        <f>IFERROR(VLOOKUP($B920,اسماء,27,0),0)</f>
        <v>0</v>
      </c>
      <c r="X921" s="379">
        <f>IFERROR(VLOOKUP($B920,اسماء,28,0),0)</f>
        <v>0</v>
      </c>
      <c r="Y921" s="596"/>
      <c r="Z921" s="22" t="str">
        <f t="shared" si="2817"/>
        <v>ضعيف</v>
      </c>
      <c r="AA921" s="657"/>
      <c r="AB921" s="72"/>
      <c r="AC921" s="654"/>
      <c r="AN921" s="607"/>
      <c r="AO921" s="607"/>
      <c r="AP921" s="613"/>
      <c r="AQ921" s="612"/>
      <c r="AR921" s="611"/>
      <c r="AS921" s="612"/>
    </row>
    <row r="922" spans="1:45" ht="15" customHeight="1" x14ac:dyDescent="0.25">
      <c r="A922" s="633"/>
      <c r="B922" s="630"/>
      <c r="C922" s="622"/>
      <c r="D922" s="625"/>
      <c r="E922" s="133" t="s">
        <v>32</v>
      </c>
      <c r="F922" s="589">
        <f>IFERROR(VLOOKUP($B920,اسماء,31,0),0)</f>
        <v>0</v>
      </c>
      <c r="G922" s="592"/>
      <c r="H922" s="608">
        <f>IFERROR(VLOOKUP($B920,اسماء,32,0),0)</f>
        <v>0</v>
      </c>
      <c r="I922" s="609"/>
      <c r="J922" s="589">
        <f>IFERROR(VLOOKUP($B920,اسماء,33,0),0)</f>
        <v>0</v>
      </c>
      <c r="K922" s="592"/>
      <c r="L922" s="589">
        <f>IFERROR(VLOOKUP($B920,اسماء,34,0),0)</f>
        <v>0</v>
      </c>
      <c r="M922" s="590"/>
      <c r="N922" s="589">
        <f>IFERROR(VLOOKUP($B920,اسماء,35,0),0)</f>
        <v>0</v>
      </c>
      <c r="O922" s="590"/>
      <c r="P922" s="589">
        <f>IFERROR(VLOOKUP($B920,اسماء,36,0),0)</f>
        <v>0</v>
      </c>
      <c r="Q922" s="609"/>
      <c r="R922" s="603">
        <f>IFERROR(VLOOKUP($B920,اسماء,37,0),0)</f>
        <v>0</v>
      </c>
      <c r="S922" s="592"/>
      <c r="T922" s="589">
        <f>IFERROR(VLOOKUP($B920,اسماء,38,0),0)</f>
        <v>0</v>
      </c>
      <c r="U922" s="590"/>
      <c r="V922" s="378">
        <f t="shared" si="2815"/>
        <v>0</v>
      </c>
      <c r="W922" s="374">
        <f>IFERROR(VLOOKUP($B920,اسماء,40,0),0)</f>
        <v>0</v>
      </c>
      <c r="X922" s="379">
        <f>IFERROR(VLOOKUP($B920,اسماء,41,0),0)</f>
        <v>0</v>
      </c>
      <c r="Y922" s="596"/>
      <c r="Z922" s="22" t="str">
        <f t="shared" ref="Z922" si="2820">LOOKUP(V922,$AI$6:$AJ$10)</f>
        <v>ضعيف</v>
      </c>
      <c r="AA922" s="657"/>
      <c r="AB922" s="72"/>
      <c r="AC922" s="654"/>
      <c r="AN922" s="607"/>
      <c r="AO922" s="607"/>
      <c r="AP922" s="613"/>
      <c r="AQ922" s="612"/>
      <c r="AR922" s="611"/>
      <c r="AS922" s="612"/>
    </row>
    <row r="923" spans="1:45" ht="15" customHeight="1" thickBot="1" x14ac:dyDescent="0.3">
      <c r="A923" s="634"/>
      <c r="B923" s="631"/>
      <c r="C923" s="623"/>
      <c r="D923" s="626"/>
      <c r="E923" s="127" t="s">
        <v>33</v>
      </c>
      <c r="F923" s="585">
        <f t="shared" ref="F923" si="2821">SUM(F920:G922)</f>
        <v>0</v>
      </c>
      <c r="G923" s="593"/>
      <c r="H923" s="604">
        <f t="shared" ref="H923" si="2822">SUM(H920:I922)</f>
        <v>0</v>
      </c>
      <c r="I923" s="601"/>
      <c r="J923" s="585">
        <f t="shared" ref="J923" si="2823">SUM(J920:K922)</f>
        <v>0</v>
      </c>
      <c r="K923" s="593"/>
      <c r="L923" s="585">
        <f t="shared" ref="L923" si="2824">SUM(L920:M922)</f>
        <v>0</v>
      </c>
      <c r="M923" s="586"/>
      <c r="N923" s="585">
        <f t="shared" ref="N923" si="2825">SUM(N920:O922)</f>
        <v>0</v>
      </c>
      <c r="O923" s="586"/>
      <c r="P923" s="585">
        <f t="shared" ref="P923" si="2826">SUM(P920:Q922)</f>
        <v>0</v>
      </c>
      <c r="Q923" s="601"/>
      <c r="R923" s="602">
        <f t="shared" ref="R923" si="2827">SUM(R920:S922)</f>
        <v>0</v>
      </c>
      <c r="S923" s="593"/>
      <c r="T923" s="585">
        <f t="shared" ref="T923" si="2828">SUM(T920:U922)</f>
        <v>0</v>
      </c>
      <c r="U923" s="586"/>
      <c r="V923" s="96">
        <f t="shared" ref="V923" si="2829">IF(AND(F923&gt;=$G$8,H923&gt;=$I$8,L923&gt;=$M$8,P923&gt;=$Q$8,R923&gt;=$S$8,T923&gt;=$U$8),SUM(F923:U923),0)</f>
        <v>0</v>
      </c>
      <c r="W923" s="380"/>
      <c r="X923" s="97"/>
      <c r="Y923" s="597"/>
      <c r="Z923" s="91" t="str">
        <f t="shared" ref="Z923" si="2830">LOOKUP(V923,$AL$6:$AM$10)</f>
        <v>ضعيف</v>
      </c>
      <c r="AA923" s="658"/>
      <c r="AB923" s="10"/>
      <c r="AC923" s="655"/>
      <c r="AN923" s="607"/>
      <c r="AO923" s="607"/>
      <c r="AP923" s="613"/>
      <c r="AQ923" s="612"/>
      <c r="AR923" s="611"/>
      <c r="AS923" s="612"/>
    </row>
    <row r="924" spans="1:45" ht="15" customHeight="1" thickBot="1" x14ac:dyDescent="0.3">
      <c r="F924" s="75"/>
      <c r="G924" s="76"/>
      <c r="H924" s="75"/>
      <c r="I924" s="76"/>
      <c r="J924" s="75"/>
      <c r="K924" s="76"/>
      <c r="L924" s="75"/>
      <c r="M924" s="76"/>
      <c r="N924" s="76"/>
      <c r="O924" s="76"/>
      <c r="P924" s="75"/>
      <c r="Q924" s="76"/>
      <c r="R924" s="75"/>
      <c r="S924" s="76"/>
      <c r="T924" s="75"/>
      <c r="U924" s="76"/>
      <c r="V924" s="74"/>
      <c r="W924" s="77"/>
      <c r="X924" s="74"/>
      <c r="Y924" s="362"/>
      <c r="Z924" s="74"/>
      <c r="AA924" s="267"/>
      <c r="AB924" s="72"/>
      <c r="AK924" s="78"/>
    </row>
    <row r="925" spans="1:45" customFormat="1" ht="15" customHeight="1" x14ac:dyDescent="0.3">
      <c r="A925" s="617" t="s">
        <v>9</v>
      </c>
      <c r="B925" s="618"/>
      <c r="C925" s="619"/>
      <c r="D925" s="288" t="s">
        <v>11</v>
      </c>
      <c r="E925" s="600" t="s">
        <v>97</v>
      </c>
      <c r="F925" s="598"/>
      <c r="G925" s="598"/>
      <c r="H925" s="598"/>
      <c r="I925" s="598"/>
      <c r="J925" s="9"/>
      <c r="K925" s="9"/>
      <c r="L925" s="9"/>
      <c r="M925" s="9"/>
      <c r="N925" s="9"/>
      <c r="O925" s="9"/>
      <c r="P925" s="9"/>
      <c r="Q925" s="9"/>
      <c r="R925" s="9"/>
      <c r="S925" s="598" t="s">
        <v>156</v>
      </c>
      <c r="T925" s="598"/>
      <c r="U925" s="598"/>
      <c r="V925" s="598"/>
      <c r="W925" s="598"/>
      <c r="X925" s="598"/>
      <c r="Y925" s="598"/>
      <c r="Z925" s="1"/>
      <c r="AA925" s="268"/>
      <c r="AC925" s="79"/>
      <c r="AD925" s="80"/>
      <c r="AE925" s="80"/>
      <c r="AF925" s="80"/>
      <c r="AG925" s="80"/>
    </row>
    <row r="926" spans="1:45" customFormat="1" ht="15" customHeight="1" x14ac:dyDescent="0.25">
      <c r="A926" s="81" t="s">
        <v>8</v>
      </c>
      <c r="B926" s="610">
        <f>ادخال1!$BP$3</f>
        <v>0</v>
      </c>
      <c r="C926" s="620"/>
      <c r="D926" s="289"/>
      <c r="E926" s="9" t="s">
        <v>9</v>
      </c>
      <c r="F926" s="599" t="str">
        <f>ادخال1!$BP$5</f>
        <v>د.عبدالرحمن خليفة العريبي</v>
      </c>
      <c r="G926" s="599"/>
      <c r="H926" s="599"/>
      <c r="I926" s="599"/>
      <c r="J926" s="599"/>
      <c r="K926" s="599"/>
      <c r="L926" s="599"/>
      <c r="M926" s="599"/>
      <c r="N926" s="599"/>
      <c r="O926" s="599"/>
      <c r="P926" s="599"/>
      <c r="Q926" s="599"/>
      <c r="R926" s="9"/>
      <c r="S926" s="599" t="str">
        <f>ادخال1!$BP$6</f>
        <v>تاجوراء</v>
      </c>
      <c r="T926" s="599"/>
      <c r="U926" s="599"/>
      <c r="V926" s="599"/>
      <c r="W926" s="599"/>
      <c r="X926" s="599"/>
      <c r="Y926" s="599"/>
      <c r="Z926" s="599"/>
      <c r="AA926" s="67"/>
      <c r="AB926" s="67"/>
      <c r="AC926" s="79"/>
      <c r="AD926" s="79"/>
      <c r="AE926" s="79"/>
      <c r="AF926" s="79"/>
    </row>
    <row r="927" spans="1:45" customFormat="1" ht="15" customHeight="1" thickBot="1" x14ac:dyDescent="0.3">
      <c r="A927" s="82" t="s">
        <v>98</v>
      </c>
      <c r="B927" s="615">
        <f>ادخال1!$BP$4</f>
        <v>0</v>
      </c>
      <c r="C927" s="616"/>
      <c r="D927" s="290"/>
      <c r="E927" s="9" t="s">
        <v>11</v>
      </c>
      <c r="F927" s="607"/>
      <c r="G927" s="607"/>
      <c r="H927" s="607"/>
      <c r="I927" s="607"/>
      <c r="J927" s="607"/>
      <c r="K927" s="607"/>
      <c r="L927" s="607"/>
      <c r="M927" s="607"/>
      <c r="N927" s="607"/>
      <c r="O927" s="607"/>
      <c r="P927" s="607"/>
      <c r="Q927" s="607"/>
      <c r="R927" s="9"/>
      <c r="S927" s="9" t="s">
        <v>11</v>
      </c>
      <c r="T927" s="9"/>
      <c r="U927" s="9" t="s">
        <v>11</v>
      </c>
      <c r="V927" s="1"/>
      <c r="W927" s="1"/>
      <c r="X927" s="1"/>
      <c r="Y927" s="363"/>
      <c r="Z927" s="1"/>
      <c r="AA927" s="268"/>
      <c r="AC927" s="79"/>
      <c r="AD927" s="79"/>
      <c r="AE927" s="79"/>
      <c r="AF927" s="79"/>
    </row>
    <row r="928" spans="1:45" customFormat="1" ht="15" customHeight="1" x14ac:dyDescent="0.25">
      <c r="A928" s="598" t="s">
        <v>99</v>
      </c>
      <c r="B928" s="598"/>
      <c r="C928" s="598"/>
      <c r="D928" s="598"/>
      <c r="E928" s="598" t="s">
        <v>100</v>
      </c>
      <c r="F928" s="598"/>
      <c r="G928" s="598"/>
      <c r="H928" s="598"/>
      <c r="I928" s="598"/>
      <c r="J928" s="598"/>
      <c r="K928" s="598"/>
      <c r="L928" s="598"/>
      <c r="M928" s="598"/>
      <c r="N928" s="598"/>
      <c r="O928" s="598"/>
      <c r="P928" s="598"/>
      <c r="Q928" s="598"/>
      <c r="R928" s="598"/>
      <c r="S928" s="598"/>
      <c r="T928" s="9"/>
      <c r="U928" s="9"/>
      <c r="V928" s="9"/>
      <c r="W928" s="594">
        <f ca="1">TODAY()</f>
        <v>46035</v>
      </c>
      <c r="X928" s="594"/>
      <c r="Y928" s="594"/>
      <c r="Z928" s="594"/>
      <c r="AA928" s="268"/>
    </row>
    <row r="929" spans="1:45" customFormat="1" ht="15" customHeight="1" thickBot="1" x14ac:dyDescent="0.3">
      <c r="A929" s="9"/>
      <c r="B929" s="598" t="s">
        <v>101</v>
      </c>
      <c r="C929" s="598"/>
      <c r="D929" s="598"/>
      <c r="E929" s="598" t="s">
        <v>102</v>
      </c>
      <c r="F929" s="598"/>
      <c r="G929" s="598"/>
      <c r="H929" s="598"/>
      <c r="I929" s="598"/>
      <c r="J929" s="598"/>
      <c r="K929" s="598"/>
      <c r="L929" s="598"/>
      <c r="M929" s="598"/>
      <c r="N929" s="598"/>
      <c r="O929" s="598"/>
      <c r="P929" s="598"/>
      <c r="Q929" s="598"/>
      <c r="R929" s="598"/>
      <c r="S929" s="598"/>
      <c r="T929" s="9"/>
      <c r="U929" s="9"/>
      <c r="V929" s="1"/>
      <c r="W929" s="1"/>
      <c r="X929" s="1"/>
      <c r="Y929" s="363"/>
      <c r="Z929" s="1"/>
      <c r="AA929" s="268"/>
    </row>
    <row r="930" spans="1:45" ht="15" customHeight="1" x14ac:dyDescent="0.25">
      <c r="A930" s="632">
        <v>201</v>
      </c>
      <c r="B930" s="629">
        <f>VLOOKUP(A930,مسلسل,2,0)</f>
        <v>0</v>
      </c>
      <c r="C930" s="621" t="str">
        <f>IFERROR(VLOOKUP(B930,اسماء,2,0),"")</f>
        <v/>
      </c>
      <c r="D930" s="624" t="str">
        <f>IFERROR(VLOOKUP($B930,اسماء,3,0),"")</f>
        <v/>
      </c>
      <c r="E930" s="132" t="s">
        <v>30</v>
      </c>
      <c r="F930" s="627">
        <f>IFERROR(VLOOKUP($B930,اسماء,5,0),0)</f>
        <v>0</v>
      </c>
      <c r="G930" s="606"/>
      <c r="H930" s="628">
        <f>IFERROR(VLOOKUP($B930,اسماء,6,0),0)</f>
        <v>0</v>
      </c>
      <c r="I930" s="605"/>
      <c r="J930" s="587">
        <f>IFERROR(VLOOKUP($B930,اسماء,7,0),0)</f>
        <v>0</v>
      </c>
      <c r="K930" s="591"/>
      <c r="L930" s="587">
        <f>IFERROR(VLOOKUP($B930,اسماء,8,0),0)</f>
        <v>0</v>
      </c>
      <c r="M930" s="588"/>
      <c r="N930" s="587">
        <f>IFERROR(VLOOKUP($B930,اسماء,9,0),0)</f>
        <v>0</v>
      </c>
      <c r="O930" s="605"/>
      <c r="P930" s="587">
        <f>IFERROR(VLOOKUP($B930,اسماء,10,0),0)</f>
        <v>0</v>
      </c>
      <c r="Q930" s="605"/>
      <c r="R930" s="606">
        <f>IFERROR(VLOOKUP($B930,اسماء,11,0),0)</f>
        <v>0</v>
      </c>
      <c r="S930" s="591"/>
      <c r="T930" s="587">
        <f>IFERROR(VLOOKUP($B930,اسماء,12,0),0)</f>
        <v>0</v>
      </c>
      <c r="U930" s="588"/>
      <c r="V930" s="375">
        <f t="shared" ref="V930:V932" si="2831">SUM(F930:U930)</f>
        <v>0</v>
      </c>
      <c r="W930" s="376">
        <f>IFERROR(VLOOKUP($B930,اسماء,14,0),0)</f>
        <v>0</v>
      </c>
      <c r="X930" s="377">
        <f>IFERROR(VLOOKUP($B930,اسماء,15,0),0)</f>
        <v>0</v>
      </c>
      <c r="Y930" s="595" t="str">
        <f>IF(AC930="غائب","راسب",IF(AND(F933&gt;=$G$8,H933&gt;=$I$8,J933&gt;=$K$8,L933&gt;=$M$8,N933&gt;=$O$8,P933&gt;=$Q$8,R933&gt;=$S$8,T933&gt;=$U$8),"ناجح","له دور ثان"))</f>
        <v>له دور ثان</v>
      </c>
      <c r="Z930" s="21" t="str">
        <f>LOOKUP(V930,$AF$6:$AG$10)</f>
        <v>ضعيف</v>
      </c>
      <c r="AA930" s="656">
        <f>V933/$AF$3</f>
        <v>0</v>
      </c>
      <c r="AB930" s="72"/>
      <c r="AC930" s="653" t="str">
        <f>IFERROR(VLOOKUP($B930,اسماء,54,0),"")</f>
        <v/>
      </c>
      <c r="AN930" s="610" t="str">
        <f>IF(V933=0,"",V933/1+ROW()*0.00001)</f>
        <v/>
      </c>
      <c r="AO930" s="610">
        <f>B930</f>
        <v>0</v>
      </c>
      <c r="AP930" s="613"/>
      <c r="AQ930" s="612">
        <v>201</v>
      </c>
      <c r="AR930" s="611" t="str">
        <f>IFERROR(LARGE($AN$10:$AN$1006,AQ930),"")</f>
        <v/>
      </c>
      <c r="AS930" s="612" t="str">
        <f>VLOOKUP(AR930,$AN$10:$AO$1116,2,0)</f>
        <v>أحمد نورالدين أحمد الذيب</v>
      </c>
    </row>
    <row r="931" spans="1:45" ht="15" customHeight="1" x14ac:dyDescent="0.25">
      <c r="A931" s="633"/>
      <c r="B931" s="630"/>
      <c r="C931" s="622"/>
      <c r="D931" s="625"/>
      <c r="E931" s="133" t="s">
        <v>31</v>
      </c>
      <c r="F931" s="589">
        <f>IFERROR(VLOOKUP($B930,اسماء,18,0),0)</f>
        <v>0</v>
      </c>
      <c r="G931" s="592"/>
      <c r="H931" s="608">
        <f>IFERROR(VLOOKUP($B930,اسماء,19,0),0)</f>
        <v>0</v>
      </c>
      <c r="I931" s="609"/>
      <c r="J931" s="589">
        <f>IFERROR(VLOOKUP($B930,اسماء,20,0),0)</f>
        <v>0</v>
      </c>
      <c r="K931" s="592"/>
      <c r="L931" s="589">
        <f>IFERROR(VLOOKUP($B930,اسماء,21,0),0)</f>
        <v>0</v>
      </c>
      <c r="M931" s="590"/>
      <c r="N931" s="589">
        <f>IFERROR(VLOOKUP($B930,اسماء,22,0),0)</f>
        <v>0</v>
      </c>
      <c r="O931" s="590"/>
      <c r="P931" s="589">
        <f>IFERROR(VLOOKUP($B930,اسماء,23,0),0)</f>
        <v>0</v>
      </c>
      <c r="Q931" s="609"/>
      <c r="R931" s="603">
        <f>IFERROR(VLOOKUP($B930,اسماء,24,0),0)</f>
        <v>0</v>
      </c>
      <c r="S931" s="592"/>
      <c r="T931" s="589">
        <f>IFERROR(VLOOKUP($B930,اسماء,25,0),0)</f>
        <v>0</v>
      </c>
      <c r="U931" s="590"/>
      <c r="V931" s="378">
        <f t="shared" si="2831"/>
        <v>0</v>
      </c>
      <c r="W931" s="374">
        <f>IFERROR(VLOOKUP($B930,اسماء,27,0),0)</f>
        <v>0</v>
      </c>
      <c r="X931" s="379">
        <f>IFERROR(VLOOKUP($B930,اسماء,28,0),0)</f>
        <v>0</v>
      </c>
      <c r="Y931" s="596"/>
      <c r="Z931" s="22" t="str">
        <f>LOOKUP(V931,$AF$6:$AG$10)</f>
        <v>ضعيف</v>
      </c>
      <c r="AA931" s="657"/>
      <c r="AB931" s="72"/>
      <c r="AC931" s="654"/>
      <c r="AN931" s="610"/>
      <c r="AO931" s="610"/>
      <c r="AP931" s="613"/>
      <c r="AQ931" s="612"/>
      <c r="AR931" s="611"/>
      <c r="AS931" s="612"/>
    </row>
    <row r="932" spans="1:45" ht="15" customHeight="1" x14ac:dyDescent="0.25">
      <c r="A932" s="633"/>
      <c r="B932" s="630"/>
      <c r="C932" s="622"/>
      <c r="D932" s="625"/>
      <c r="E932" s="133" t="s">
        <v>32</v>
      </c>
      <c r="F932" s="589">
        <f>IFERROR(VLOOKUP($B930,اسماء,31,0),0)</f>
        <v>0</v>
      </c>
      <c r="G932" s="592"/>
      <c r="H932" s="608">
        <f>IFERROR(VLOOKUP($B930,اسماء,32,0),0)</f>
        <v>0</v>
      </c>
      <c r="I932" s="609"/>
      <c r="J932" s="589">
        <f>IFERROR(VLOOKUP($B930,اسماء,33,0),0)</f>
        <v>0</v>
      </c>
      <c r="K932" s="592"/>
      <c r="L932" s="589">
        <f>IFERROR(VLOOKUP($B930,اسماء,34,0),0)</f>
        <v>0</v>
      </c>
      <c r="M932" s="590"/>
      <c r="N932" s="589">
        <f>IFERROR(VLOOKUP($B930,اسماء,35,0),0)</f>
        <v>0</v>
      </c>
      <c r="O932" s="590"/>
      <c r="P932" s="589">
        <f>IFERROR(VLOOKUP($B930,اسماء,36,0),0)</f>
        <v>0</v>
      </c>
      <c r="Q932" s="609"/>
      <c r="R932" s="603">
        <f>IFERROR(VLOOKUP($B930,اسماء,37,0),0)</f>
        <v>0</v>
      </c>
      <c r="S932" s="592"/>
      <c r="T932" s="589">
        <f>IFERROR(VLOOKUP($B930,اسماء,38,0),0)</f>
        <v>0</v>
      </c>
      <c r="U932" s="590"/>
      <c r="V932" s="378">
        <f t="shared" si="2831"/>
        <v>0</v>
      </c>
      <c r="W932" s="374">
        <f>IFERROR(VLOOKUP($B930,اسماء,40,0),0)</f>
        <v>0</v>
      </c>
      <c r="X932" s="379">
        <f>IFERROR(VLOOKUP($B930,اسماء,41,0),0)</f>
        <v>0</v>
      </c>
      <c r="Y932" s="596"/>
      <c r="Z932" s="22" t="str">
        <f>LOOKUP(V932,$AI$6:$AJ$10)</f>
        <v>ضعيف</v>
      </c>
      <c r="AA932" s="657"/>
      <c r="AB932" s="10"/>
      <c r="AC932" s="654"/>
      <c r="AN932" s="610"/>
      <c r="AO932" s="610"/>
      <c r="AP932" s="613"/>
      <c r="AQ932" s="612"/>
      <c r="AR932" s="611"/>
      <c r="AS932" s="612"/>
    </row>
    <row r="933" spans="1:45" ht="15" customHeight="1" thickBot="1" x14ac:dyDescent="0.3">
      <c r="A933" s="634"/>
      <c r="B933" s="631"/>
      <c r="C933" s="623"/>
      <c r="D933" s="626"/>
      <c r="E933" s="127" t="s">
        <v>33</v>
      </c>
      <c r="F933" s="585">
        <f t="shared" ref="F933" si="2832">SUM(F930:G932)</f>
        <v>0</v>
      </c>
      <c r="G933" s="593"/>
      <c r="H933" s="604">
        <f t="shared" ref="H933" si="2833">SUM(H930:I932)</f>
        <v>0</v>
      </c>
      <c r="I933" s="601"/>
      <c r="J933" s="585">
        <f t="shared" ref="J933" si="2834">SUM(J930:K932)</f>
        <v>0</v>
      </c>
      <c r="K933" s="593"/>
      <c r="L933" s="585">
        <f t="shared" ref="L933" si="2835">SUM(L930:M932)</f>
        <v>0</v>
      </c>
      <c r="M933" s="586"/>
      <c r="N933" s="585">
        <f t="shared" ref="N933" si="2836">SUM(N930:O932)</f>
        <v>0</v>
      </c>
      <c r="O933" s="586"/>
      <c r="P933" s="585">
        <f t="shared" ref="P933" si="2837">SUM(P930:Q932)</f>
        <v>0</v>
      </c>
      <c r="Q933" s="601"/>
      <c r="R933" s="602">
        <f t="shared" ref="R933" si="2838">SUM(R930:S932)</f>
        <v>0</v>
      </c>
      <c r="S933" s="593"/>
      <c r="T933" s="585">
        <f t="shared" ref="T933" si="2839">SUM(T930:U932)</f>
        <v>0</v>
      </c>
      <c r="U933" s="586"/>
      <c r="V933" s="96">
        <f t="shared" ref="V933" si="2840">IF(AND(F933&gt;=$G$8,H933&gt;=$I$8,L933&gt;=$M$8,P933&gt;=$Q$8,R933&gt;=$S$8,T933&gt;=$U$8),SUM(F933:U933),0)</f>
        <v>0</v>
      </c>
      <c r="W933" s="380"/>
      <c r="X933" s="97"/>
      <c r="Y933" s="597"/>
      <c r="Z933" s="91" t="str">
        <f>LOOKUP(V933,$AL$6:$AM$10)</f>
        <v>ضعيف</v>
      </c>
      <c r="AA933" s="658"/>
      <c r="AB933" s="72"/>
      <c r="AC933" s="655"/>
      <c r="AN933" s="610"/>
      <c r="AO933" s="610"/>
      <c r="AP933" s="613"/>
      <c r="AQ933" s="612"/>
      <c r="AR933" s="611"/>
      <c r="AS933" s="612"/>
    </row>
    <row r="934" spans="1:45" ht="15" customHeight="1" x14ac:dyDescent="0.25">
      <c r="A934" s="632">
        <v>202</v>
      </c>
      <c r="B934" s="629">
        <f>VLOOKUP(A934,مسلسل,2,0)</f>
        <v>0</v>
      </c>
      <c r="C934" s="621" t="str">
        <f>IFERROR(VLOOKUP(B934,اسماء,2,0),"")</f>
        <v/>
      </c>
      <c r="D934" s="624" t="str">
        <f>IFERROR(VLOOKUP($B934,اسماء,3,0),"")</f>
        <v/>
      </c>
      <c r="E934" s="132" t="s">
        <v>30</v>
      </c>
      <c r="F934" s="627">
        <f>IFERROR(VLOOKUP($B934,اسماء,5,0),0)</f>
        <v>0</v>
      </c>
      <c r="G934" s="606"/>
      <c r="H934" s="628">
        <f>IFERROR(VLOOKUP($B934,اسماء,6,0),0)</f>
        <v>0</v>
      </c>
      <c r="I934" s="605"/>
      <c r="J934" s="587">
        <f>IFERROR(VLOOKUP($B934,اسماء,7,0),0)</f>
        <v>0</v>
      </c>
      <c r="K934" s="591"/>
      <c r="L934" s="587">
        <f>IFERROR(VLOOKUP($B934,اسماء,8,0),0)</f>
        <v>0</v>
      </c>
      <c r="M934" s="588"/>
      <c r="N934" s="587">
        <f>IFERROR(VLOOKUP($B934,اسماء,9,0),0)</f>
        <v>0</v>
      </c>
      <c r="O934" s="605"/>
      <c r="P934" s="587">
        <f>IFERROR(VLOOKUP($B934,اسماء,10,0),0)</f>
        <v>0</v>
      </c>
      <c r="Q934" s="605"/>
      <c r="R934" s="606">
        <f>IFERROR(VLOOKUP($B934,اسماء,11,0),0)</f>
        <v>0</v>
      </c>
      <c r="S934" s="591"/>
      <c r="T934" s="587">
        <f>IFERROR(VLOOKUP($B934,اسماء,12,0),0)</f>
        <v>0</v>
      </c>
      <c r="U934" s="588"/>
      <c r="V934" s="375">
        <f t="shared" ref="V934:V936" si="2841">SUM(F934:U934)</f>
        <v>0</v>
      </c>
      <c r="W934" s="376">
        <f>IFERROR(VLOOKUP($B934,اسماء,14,0),0)</f>
        <v>0</v>
      </c>
      <c r="X934" s="377">
        <f>IFERROR(VLOOKUP($B934,اسماء,15,0),0)</f>
        <v>0</v>
      </c>
      <c r="Y934" s="595" t="str">
        <f t="shared" ref="Y934" si="2842">IF(AC934="غائب","راسب",IF(AND(F937&gt;=$G$8,H937&gt;=$I$8,J937&gt;=$K$8,L937&gt;=$M$8,N937&gt;=$O$8,P937&gt;=$Q$8,R937&gt;=$S$8,T937&gt;=$U$8),"ناجح","له دور ثان"))</f>
        <v>له دور ثان</v>
      </c>
      <c r="Z934" s="21" t="str">
        <f>LOOKUP(V934,$AF$6:$AG$10)</f>
        <v>ضعيف</v>
      </c>
      <c r="AA934" s="656">
        <f>V937/$AF$3</f>
        <v>0</v>
      </c>
      <c r="AB934" s="72"/>
      <c r="AC934" s="653" t="str">
        <f>IFERROR(VLOOKUP($B934,اسماء,54,0),"")</f>
        <v/>
      </c>
      <c r="AN934" s="607" t="str">
        <f t="shared" ref="AN934" si="2843">IF(V937=0,"",V937/1+ROW()*0.00001)</f>
        <v/>
      </c>
      <c r="AO934" s="607">
        <f>B934</f>
        <v>0</v>
      </c>
      <c r="AP934" s="613"/>
      <c r="AQ934" s="612">
        <v>202</v>
      </c>
      <c r="AR934" s="611" t="str">
        <f>IFERROR(LARGE($AN$10:$AN$1006,AQ934),"")</f>
        <v/>
      </c>
      <c r="AS934" s="612" t="str">
        <f>VLOOKUP(AR934,$AN$10:$AO$1116,2,0)</f>
        <v>أحمد نورالدين أحمد الذيب</v>
      </c>
    </row>
    <row r="935" spans="1:45" ht="15" customHeight="1" x14ac:dyDescent="0.25">
      <c r="A935" s="633"/>
      <c r="B935" s="630"/>
      <c r="C935" s="622"/>
      <c r="D935" s="625"/>
      <c r="E935" s="133" t="s">
        <v>31</v>
      </c>
      <c r="F935" s="589">
        <f>IFERROR(VLOOKUP($B934,اسماء,18,0),0)</f>
        <v>0</v>
      </c>
      <c r="G935" s="592"/>
      <c r="H935" s="608">
        <f>IFERROR(VLOOKUP($B934,اسماء,19,0),0)</f>
        <v>0</v>
      </c>
      <c r="I935" s="609"/>
      <c r="J935" s="589">
        <f>IFERROR(VLOOKUP($B934,اسماء,20,0),0)</f>
        <v>0</v>
      </c>
      <c r="K935" s="592"/>
      <c r="L935" s="589">
        <f>IFERROR(VLOOKUP($B934,اسماء,21,0),0)</f>
        <v>0</v>
      </c>
      <c r="M935" s="590"/>
      <c r="N935" s="589">
        <f>IFERROR(VLOOKUP($B934,اسماء,22,0),0)</f>
        <v>0</v>
      </c>
      <c r="O935" s="590"/>
      <c r="P935" s="589">
        <f>IFERROR(VLOOKUP($B934,اسماء,23,0),0)</f>
        <v>0</v>
      </c>
      <c r="Q935" s="609"/>
      <c r="R935" s="603">
        <f>IFERROR(VLOOKUP($B934,اسماء,24,0),0)</f>
        <v>0</v>
      </c>
      <c r="S935" s="592"/>
      <c r="T935" s="589">
        <f>IFERROR(VLOOKUP($B934,اسماء,25,0),0)</f>
        <v>0</v>
      </c>
      <c r="U935" s="590"/>
      <c r="V935" s="378">
        <f t="shared" si="2841"/>
        <v>0</v>
      </c>
      <c r="W935" s="374">
        <f>IFERROR(VLOOKUP($B934,اسماء,27,0),0)</f>
        <v>0</v>
      </c>
      <c r="X935" s="379">
        <f>IFERROR(VLOOKUP($B934,اسماء,28,0),0)</f>
        <v>0</v>
      </c>
      <c r="Y935" s="596"/>
      <c r="Z935" s="22" t="str">
        <f>LOOKUP(V935,$AF$6:$AG$10)</f>
        <v>ضعيف</v>
      </c>
      <c r="AA935" s="657"/>
      <c r="AB935" s="10"/>
      <c r="AC935" s="654"/>
      <c r="AN935" s="607"/>
      <c r="AO935" s="607"/>
      <c r="AP935" s="613"/>
      <c r="AQ935" s="612"/>
      <c r="AR935" s="611"/>
      <c r="AS935" s="612"/>
    </row>
    <row r="936" spans="1:45" ht="15" customHeight="1" x14ac:dyDescent="0.25">
      <c r="A936" s="633"/>
      <c r="B936" s="630"/>
      <c r="C936" s="622"/>
      <c r="D936" s="625"/>
      <c r="E936" s="133" t="s">
        <v>32</v>
      </c>
      <c r="F936" s="589">
        <f>IFERROR(VLOOKUP($B934,اسماء,31,0),0)</f>
        <v>0</v>
      </c>
      <c r="G936" s="592"/>
      <c r="H936" s="608">
        <f>IFERROR(VLOOKUP($B934,اسماء,32,0),0)</f>
        <v>0</v>
      </c>
      <c r="I936" s="609"/>
      <c r="J936" s="589">
        <f>IFERROR(VLOOKUP($B934,اسماء,33,0),0)</f>
        <v>0</v>
      </c>
      <c r="K936" s="592"/>
      <c r="L936" s="589">
        <f>IFERROR(VLOOKUP($B934,اسماء,34,0),0)</f>
        <v>0</v>
      </c>
      <c r="M936" s="590"/>
      <c r="N936" s="589">
        <f>IFERROR(VLOOKUP($B934,اسماء,35,0),0)</f>
        <v>0</v>
      </c>
      <c r="O936" s="590"/>
      <c r="P936" s="589">
        <f>IFERROR(VLOOKUP($B934,اسماء,36,0),0)</f>
        <v>0</v>
      </c>
      <c r="Q936" s="609"/>
      <c r="R936" s="603">
        <f>IFERROR(VLOOKUP($B934,اسماء,37,0),0)</f>
        <v>0</v>
      </c>
      <c r="S936" s="592"/>
      <c r="T936" s="589">
        <f>IFERROR(VLOOKUP($B934,اسماء,38,0),0)</f>
        <v>0</v>
      </c>
      <c r="U936" s="590"/>
      <c r="V936" s="378">
        <f t="shared" si="2841"/>
        <v>0</v>
      </c>
      <c r="W936" s="374">
        <f>IFERROR(VLOOKUP($B934,اسماء,40,0),0)</f>
        <v>0</v>
      </c>
      <c r="X936" s="379">
        <f>IFERROR(VLOOKUP($B934,اسماء,41,0),0)</f>
        <v>0</v>
      </c>
      <c r="Y936" s="596"/>
      <c r="Z936" s="22" t="str">
        <f>LOOKUP(V936,$AI$6:$AJ$10)</f>
        <v>ضعيف</v>
      </c>
      <c r="AA936" s="657"/>
      <c r="AB936" s="72"/>
      <c r="AC936" s="654"/>
      <c r="AN936" s="607"/>
      <c r="AO936" s="607"/>
      <c r="AP936" s="613"/>
      <c r="AQ936" s="612"/>
      <c r="AR936" s="611"/>
      <c r="AS936" s="612"/>
    </row>
    <row r="937" spans="1:45" ht="15" customHeight="1" thickBot="1" x14ac:dyDescent="0.3">
      <c r="A937" s="634"/>
      <c r="B937" s="631"/>
      <c r="C937" s="623"/>
      <c r="D937" s="626"/>
      <c r="E937" s="127" t="s">
        <v>33</v>
      </c>
      <c r="F937" s="585">
        <f t="shared" ref="F937" si="2844">SUM(F934:G936)</f>
        <v>0</v>
      </c>
      <c r="G937" s="593"/>
      <c r="H937" s="604">
        <f t="shared" ref="H937" si="2845">SUM(H934:I936)</f>
        <v>0</v>
      </c>
      <c r="I937" s="601"/>
      <c r="J937" s="585">
        <f t="shared" ref="J937" si="2846">SUM(J934:K936)</f>
        <v>0</v>
      </c>
      <c r="K937" s="593"/>
      <c r="L937" s="585">
        <f t="shared" ref="L937" si="2847">SUM(L934:M936)</f>
        <v>0</v>
      </c>
      <c r="M937" s="586"/>
      <c r="N937" s="585">
        <f t="shared" ref="N937" si="2848">SUM(N934:O936)</f>
        <v>0</v>
      </c>
      <c r="O937" s="586"/>
      <c r="P937" s="585">
        <f t="shared" ref="P937" si="2849">SUM(P934:Q936)</f>
        <v>0</v>
      </c>
      <c r="Q937" s="601"/>
      <c r="R937" s="602">
        <f t="shared" ref="R937" si="2850">SUM(R934:S936)</f>
        <v>0</v>
      </c>
      <c r="S937" s="593"/>
      <c r="T937" s="585">
        <f t="shared" ref="T937" si="2851">SUM(T934:U936)</f>
        <v>0</v>
      </c>
      <c r="U937" s="586"/>
      <c r="V937" s="96">
        <f t="shared" ref="V937" si="2852">IF(AND(F937&gt;=$G$8,H937&gt;=$I$8,L937&gt;=$M$8,P937&gt;=$Q$8,R937&gt;=$S$8,T937&gt;=$U$8),SUM(F937:U937),0)</f>
        <v>0</v>
      </c>
      <c r="W937" s="380"/>
      <c r="X937" s="97"/>
      <c r="Y937" s="597"/>
      <c r="Z937" s="91" t="str">
        <f>LOOKUP(V937,$AL$6:$AM$10)</f>
        <v>ضعيف</v>
      </c>
      <c r="AA937" s="658"/>
      <c r="AB937" s="72"/>
      <c r="AC937" s="655"/>
      <c r="AN937" s="607"/>
      <c r="AO937" s="607"/>
      <c r="AP937" s="613"/>
      <c r="AQ937" s="612"/>
      <c r="AR937" s="611"/>
      <c r="AS937" s="612"/>
    </row>
    <row r="938" spans="1:45" ht="15" customHeight="1" x14ac:dyDescent="0.25">
      <c r="A938" s="632">
        <v>203</v>
      </c>
      <c r="B938" s="629">
        <f>VLOOKUP(A938,مسلسل,2,0)</f>
        <v>0</v>
      </c>
      <c r="C938" s="621" t="str">
        <f>IFERROR(VLOOKUP(B938,اسماء,2,0),"")</f>
        <v/>
      </c>
      <c r="D938" s="624" t="str">
        <f>IFERROR(VLOOKUP($B938,اسماء,3,0),"")</f>
        <v/>
      </c>
      <c r="E938" s="132" t="s">
        <v>30</v>
      </c>
      <c r="F938" s="627">
        <f>IFERROR(VLOOKUP($B938,اسماء,5,0),0)</f>
        <v>0</v>
      </c>
      <c r="G938" s="606"/>
      <c r="H938" s="628">
        <f>IFERROR(VLOOKUP($B938,اسماء,6,0),0)</f>
        <v>0</v>
      </c>
      <c r="I938" s="605"/>
      <c r="J938" s="587">
        <f>IFERROR(VLOOKUP($B938,اسماء,7,0),0)</f>
        <v>0</v>
      </c>
      <c r="K938" s="591"/>
      <c r="L938" s="587">
        <f>IFERROR(VLOOKUP($B938,اسماء,8,0),0)</f>
        <v>0</v>
      </c>
      <c r="M938" s="588"/>
      <c r="N938" s="587">
        <f>IFERROR(VLOOKUP($B938,اسماء,9,0),0)</f>
        <v>0</v>
      </c>
      <c r="O938" s="605"/>
      <c r="P938" s="587">
        <f>IFERROR(VLOOKUP($B938,اسماء,10,0),0)</f>
        <v>0</v>
      </c>
      <c r="Q938" s="605"/>
      <c r="R938" s="606">
        <f>IFERROR(VLOOKUP($B938,اسماء,11,0),0)</f>
        <v>0</v>
      </c>
      <c r="S938" s="591"/>
      <c r="T938" s="587">
        <f>IFERROR(VLOOKUP($B938,اسماء,12,0),0)</f>
        <v>0</v>
      </c>
      <c r="U938" s="588"/>
      <c r="V938" s="375">
        <f t="shared" ref="V938:V940" si="2853">SUM(F938:U938)</f>
        <v>0</v>
      </c>
      <c r="W938" s="376">
        <f>IFERROR(VLOOKUP($B938,اسماء,14,0),0)</f>
        <v>0</v>
      </c>
      <c r="X938" s="377">
        <f>IFERROR(VLOOKUP($B938,اسماء,15,0),0)</f>
        <v>0</v>
      </c>
      <c r="Y938" s="595" t="str">
        <f t="shared" ref="Y938" si="2854">IF(AC938="غائب","راسب",IF(AND(F941&gt;=$G$8,H941&gt;=$I$8,J941&gt;=$K$8,L941&gt;=$M$8,N941&gt;=$O$8,P941&gt;=$Q$8,R941&gt;=$S$8,T941&gt;=$U$8),"ناجح","له دور ثان"))</f>
        <v>له دور ثان</v>
      </c>
      <c r="Z938" s="21" t="str">
        <f>LOOKUP(V938,$AF$6:$AG$10)</f>
        <v>ضعيف</v>
      </c>
      <c r="AA938" s="656">
        <f>V941/$AF$3</f>
        <v>0</v>
      </c>
      <c r="AB938" s="10"/>
      <c r="AC938" s="653" t="str">
        <f>IFERROR(VLOOKUP($B938,اسماء,54,0),"")</f>
        <v/>
      </c>
      <c r="AN938" s="607" t="str">
        <f t="shared" ref="AN938" si="2855">IF(V941=0,"",V941/1+ROW()*0.00001)</f>
        <v/>
      </c>
      <c r="AO938" s="607">
        <f>B938</f>
        <v>0</v>
      </c>
      <c r="AP938" s="613"/>
      <c r="AQ938" s="612">
        <v>203</v>
      </c>
      <c r="AR938" s="611" t="str">
        <f>IFERROR(LARGE($AN$10:$AN$1006,AQ938),"")</f>
        <v/>
      </c>
      <c r="AS938" s="612" t="str">
        <f>VLOOKUP(AR938,$AN$10:$AO$1116,2,0)</f>
        <v>أحمد نورالدين أحمد الذيب</v>
      </c>
    </row>
    <row r="939" spans="1:45" ht="15" customHeight="1" x14ac:dyDescent="0.25">
      <c r="A939" s="633"/>
      <c r="B939" s="630"/>
      <c r="C939" s="622"/>
      <c r="D939" s="625"/>
      <c r="E939" s="133" t="s">
        <v>31</v>
      </c>
      <c r="F939" s="589">
        <f>IFERROR(VLOOKUP($B938,اسماء,18,0),0)</f>
        <v>0</v>
      </c>
      <c r="G939" s="592"/>
      <c r="H939" s="608">
        <f>IFERROR(VLOOKUP($B938,اسماء,19,0),0)</f>
        <v>0</v>
      </c>
      <c r="I939" s="609"/>
      <c r="J939" s="589">
        <f>IFERROR(VLOOKUP($B938,اسماء,20,0),0)</f>
        <v>0</v>
      </c>
      <c r="K939" s="592"/>
      <c r="L939" s="589">
        <f>IFERROR(VLOOKUP($B938,اسماء,21,0),0)</f>
        <v>0</v>
      </c>
      <c r="M939" s="590"/>
      <c r="N939" s="589">
        <f>IFERROR(VLOOKUP($B938,اسماء,22,0),0)</f>
        <v>0</v>
      </c>
      <c r="O939" s="590"/>
      <c r="P939" s="589">
        <f>IFERROR(VLOOKUP($B938,اسماء,23,0),0)</f>
        <v>0</v>
      </c>
      <c r="Q939" s="609"/>
      <c r="R939" s="603">
        <f>IFERROR(VLOOKUP($B938,اسماء,24,0),0)</f>
        <v>0</v>
      </c>
      <c r="S939" s="592"/>
      <c r="T939" s="589">
        <f>IFERROR(VLOOKUP($B938,اسماء,25,0),0)</f>
        <v>0</v>
      </c>
      <c r="U939" s="590"/>
      <c r="V939" s="378">
        <f t="shared" si="2853"/>
        <v>0</v>
      </c>
      <c r="W939" s="374">
        <f>IFERROR(VLOOKUP($B938,اسماء,27,0),0)</f>
        <v>0</v>
      </c>
      <c r="X939" s="379">
        <f>IFERROR(VLOOKUP($B938,اسماء,28,0),0)</f>
        <v>0</v>
      </c>
      <c r="Y939" s="596"/>
      <c r="Z939" s="22" t="str">
        <f>LOOKUP(V939,$AF$6:$AG$10)</f>
        <v>ضعيف</v>
      </c>
      <c r="AA939" s="657"/>
      <c r="AB939" s="72"/>
      <c r="AC939" s="654"/>
      <c r="AN939" s="607"/>
      <c r="AO939" s="607"/>
      <c r="AP939" s="613"/>
      <c r="AQ939" s="612"/>
      <c r="AR939" s="611"/>
      <c r="AS939" s="612"/>
    </row>
    <row r="940" spans="1:45" ht="15" customHeight="1" x14ac:dyDescent="0.25">
      <c r="A940" s="633"/>
      <c r="B940" s="630"/>
      <c r="C940" s="622"/>
      <c r="D940" s="625"/>
      <c r="E940" s="133" t="s">
        <v>32</v>
      </c>
      <c r="F940" s="589">
        <f>IFERROR(VLOOKUP($B938,اسماء,31,0),0)</f>
        <v>0</v>
      </c>
      <c r="G940" s="592"/>
      <c r="H940" s="608">
        <f>IFERROR(VLOOKUP($B938,اسماء,32,0),0)</f>
        <v>0</v>
      </c>
      <c r="I940" s="609"/>
      <c r="J940" s="589">
        <f>IFERROR(VLOOKUP($B938,اسماء,33,0),0)</f>
        <v>0</v>
      </c>
      <c r="K940" s="592"/>
      <c r="L940" s="589">
        <f>IFERROR(VLOOKUP($B938,اسماء,34,0),0)</f>
        <v>0</v>
      </c>
      <c r="M940" s="590"/>
      <c r="N940" s="589">
        <f>IFERROR(VLOOKUP($B938,اسماء,35,0),0)</f>
        <v>0</v>
      </c>
      <c r="O940" s="590"/>
      <c r="P940" s="589">
        <f>IFERROR(VLOOKUP($B938,اسماء,36,0),0)</f>
        <v>0</v>
      </c>
      <c r="Q940" s="609"/>
      <c r="R940" s="603">
        <f>IFERROR(VLOOKUP($B938,اسماء,37,0),0)</f>
        <v>0</v>
      </c>
      <c r="S940" s="592"/>
      <c r="T940" s="589">
        <f>IFERROR(VLOOKUP($B938,اسماء,38,0),0)</f>
        <v>0</v>
      </c>
      <c r="U940" s="590"/>
      <c r="V940" s="378">
        <f t="shared" si="2853"/>
        <v>0</v>
      </c>
      <c r="W940" s="374">
        <f>IFERROR(VLOOKUP($B938,اسماء,40,0),0)</f>
        <v>0</v>
      </c>
      <c r="X940" s="379">
        <f>IFERROR(VLOOKUP($B938,اسماء,41,0),0)</f>
        <v>0</v>
      </c>
      <c r="Y940" s="596"/>
      <c r="Z940" s="22" t="str">
        <f>LOOKUP(V940,$AI$6:$AJ$10)</f>
        <v>ضعيف</v>
      </c>
      <c r="AA940" s="657"/>
      <c r="AB940" s="72"/>
      <c r="AC940" s="654"/>
      <c r="AN940" s="607"/>
      <c r="AO940" s="607"/>
      <c r="AP940" s="613"/>
      <c r="AQ940" s="612"/>
      <c r="AR940" s="611"/>
      <c r="AS940" s="612"/>
    </row>
    <row r="941" spans="1:45" ht="15" customHeight="1" thickBot="1" x14ac:dyDescent="0.3">
      <c r="A941" s="634"/>
      <c r="B941" s="631"/>
      <c r="C941" s="623"/>
      <c r="D941" s="626"/>
      <c r="E941" s="127" t="s">
        <v>33</v>
      </c>
      <c r="F941" s="585">
        <f t="shared" ref="F941" si="2856">SUM(F938:G940)</f>
        <v>0</v>
      </c>
      <c r="G941" s="593"/>
      <c r="H941" s="604">
        <f t="shared" ref="H941" si="2857">SUM(H938:I940)</f>
        <v>0</v>
      </c>
      <c r="I941" s="601"/>
      <c r="J941" s="585">
        <f t="shared" ref="J941" si="2858">SUM(J938:K940)</f>
        <v>0</v>
      </c>
      <c r="K941" s="593"/>
      <c r="L941" s="585">
        <f t="shared" ref="L941" si="2859">SUM(L938:M940)</f>
        <v>0</v>
      </c>
      <c r="M941" s="586"/>
      <c r="N941" s="585">
        <f t="shared" ref="N941" si="2860">SUM(N938:O940)</f>
        <v>0</v>
      </c>
      <c r="O941" s="586"/>
      <c r="P941" s="585">
        <f t="shared" ref="P941" si="2861">SUM(P938:Q940)</f>
        <v>0</v>
      </c>
      <c r="Q941" s="601"/>
      <c r="R941" s="602">
        <f t="shared" ref="R941" si="2862">SUM(R938:S940)</f>
        <v>0</v>
      </c>
      <c r="S941" s="593"/>
      <c r="T941" s="585">
        <f t="shared" ref="T941" si="2863">SUM(T938:U940)</f>
        <v>0</v>
      </c>
      <c r="U941" s="586"/>
      <c r="V941" s="96">
        <f t="shared" ref="V941" si="2864">IF(AND(F941&gt;=$G$8,H941&gt;=$I$8,L941&gt;=$M$8,P941&gt;=$Q$8,R941&gt;=$S$8,T941&gt;=$U$8),SUM(F941:U941),0)</f>
        <v>0</v>
      </c>
      <c r="W941" s="380"/>
      <c r="X941" s="97"/>
      <c r="Y941" s="597"/>
      <c r="Z941" s="91" t="str">
        <f>LOOKUP(V941,$AL$6:$AM$10)</f>
        <v>ضعيف</v>
      </c>
      <c r="AA941" s="658"/>
      <c r="AB941" s="10"/>
      <c r="AC941" s="655"/>
      <c r="AN941" s="607"/>
      <c r="AO941" s="607"/>
      <c r="AP941" s="613"/>
      <c r="AQ941" s="612"/>
      <c r="AR941" s="611"/>
      <c r="AS941" s="612"/>
    </row>
    <row r="942" spans="1:45" ht="15" customHeight="1" x14ac:dyDescent="0.25">
      <c r="A942" s="632">
        <v>204</v>
      </c>
      <c r="B942" s="629">
        <f>VLOOKUP(A942,مسلسل,2,0)</f>
        <v>0</v>
      </c>
      <c r="C942" s="621" t="str">
        <f>IFERROR(VLOOKUP(B942,اسماء,2,0),"")</f>
        <v/>
      </c>
      <c r="D942" s="624" t="str">
        <f>IFERROR(VLOOKUP($B942,اسماء,3,0),"")</f>
        <v/>
      </c>
      <c r="E942" s="132" t="s">
        <v>30</v>
      </c>
      <c r="F942" s="627">
        <f>IFERROR(VLOOKUP($B942,اسماء,5,0),0)</f>
        <v>0</v>
      </c>
      <c r="G942" s="606"/>
      <c r="H942" s="628">
        <f>IFERROR(VLOOKUP($B942,اسماء,6,0),0)</f>
        <v>0</v>
      </c>
      <c r="I942" s="605"/>
      <c r="J942" s="587">
        <f>IFERROR(VLOOKUP($B942,اسماء,7,0),0)</f>
        <v>0</v>
      </c>
      <c r="K942" s="591"/>
      <c r="L942" s="587">
        <f>IFERROR(VLOOKUP($B942,اسماء,8,0),0)</f>
        <v>0</v>
      </c>
      <c r="M942" s="588"/>
      <c r="N942" s="587">
        <f>IFERROR(VLOOKUP($B942,اسماء,9,0),0)</f>
        <v>0</v>
      </c>
      <c r="O942" s="605"/>
      <c r="P942" s="587">
        <f>IFERROR(VLOOKUP($B942,اسماء,10,0),0)</f>
        <v>0</v>
      </c>
      <c r="Q942" s="605"/>
      <c r="R942" s="606">
        <f>IFERROR(VLOOKUP($B942,اسماء,11,0),0)</f>
        <v>0</v>
      </c>
      <c r="S942" s="591"/>
      <c r="T942" s="587">
        <f>IFERROR(VLOOKUP($B942,اسماء,12,0),0)</f>
        <v>0</v>
      </c>
      <c r="U942" s="588"/>
      <c r="V942" s="375">
        <f t="shared" ref="V942:V944" si="2865">SUM(F942:U942)</f>
        <v>0</v>
      </c>
      <c r="W942" s="376">
        <f>IFERROR(VLOOKUP($B942,اسماء,14,0),0)</f>
        <v>0</v>
      </c>
      <c r="X942" s="377">
        <f>IFERROR(VLOOKUP($B942,اسماء,15,0),0)</f>
        <v>0</v>
      </c>
      <c r="Y942" s="595" t="str">
        <f t="shared" ref="Y942" si="2866">IF(AC942="غائب","راسب",IF(AND(F945&gt;=$G$8,H945&gt;=$I$8,J945&gt;=$K$8,L945&gt;=$M$8,N945&gt;=$O$8,P945&gt;=$Q$8,R945&gt;=$S$8,T945&gt;=$U$8),"ناجح","له دور ثان"))</f>
        <v>له دور ثان</v>
      </c>
      <c r="Z942" s="21" t="str">
        <f>LOOKUP(V942,$AF$6:$AG$10)</f>
        <v>ضعيف</v>
      </c>
      <c r="AA942" s="656">
        <f>V945/$AF$3</f>
        <v>0</v>
      </c>
      <c r="AB942" s="72"/>
      <c r="AC942" s="653" t="str">
        <f>IFERROR(VLOOKUP($B942,اسماء,54,0),"")</f>
        <v/>
      </c>
      <c r="AN942" s="607" t="str">
        <f t="shared" ref="AN942" si="2867">IF(V945=0,"",V945/1+ROW()*0.00001)</f>
        <v/>
      </c>
      <c r="AO942" s="607">
        <f>B942</f>
        <v>0</v>
      </c>
      <c r="AP942" s="613"/>
      <c r="AQ942" s="612">
        <v>204</v>
      </c>
      <c r="AR942" s="611" t="str">
        <f>IFERROR(LARGE($AN$10:$AN$1006,AQ942),"")</f>
        <v/>
      </c>
      <c r="AS942" s="612" t="str">
        <f>VLOOKUP(AR942,$AN$10:$AO$1116,2,0)</f>
        <v>أحمد نورالدين أحمد الذيب</v>
      </c>
    </row>
    <row r="943" spans="1:45" ht="15" customHeight="1" x14ac:dyDescent="0.25">
      <c r="A943" s="633"/>
      <c r="B943" s="630"/>
      <c r="C943" s="622"/>
      <c r="D943" s="625"/>
      <c r="E943" s="133" t="s">
        <v>31</v>
      </c>
      <c r="F943" s="589">
        <f>IFERROR(VLOOKUP($B942,اسماء,18,0),0)</f>
        <v>0</v>
      </c>
      <c r="G943" s="592"/>
      <c r="H943" s="608">
        <f>IFERROR(VLOOKUP($B942,اسماء,19,0),0)</f>
        <v>0</v>
      </c>
      <c r="I943" s="609"/>
      <c r="J943" s="589">
        <f>IFERROR(VLOOKUP($B942,اسماء,20,0),0)</f>
        <v>0</v>
      </c>
      <c r="K943" s="592"/>
      <c r="L943" s="589">
        <f>IFERROR(VLOOKUP($B942,اسماء,21,0),0)</f>
        <v>0</v>
      </c>
      <c r="M943" s="590"/>
      <c r="N943" s="589">
        <f>IFERROR(VLOOKUP($B942,اسماء,22,0),0)</f>
        <v>0</v>
      </c>
      <c r="O943" s="590"/>
      <c r="P943" s="589">
        <f>IFERROR(VLOOKUP($B942,اسماء,23,0),0)</f>
        <v>0</v>
      </c>
      <c r="Q943" s="609"/>
      <c r="R943" s="603">
        <f>IFERROR(VLOOKUP($B942,اسماء,24,0),0)</f>
        <v>0</v>
      </c>
      <c r="S943" s="592"/>
      <c r="T943" s="589">
        <f>IFERROR(VLOOKUP($B942,اسماء,25,0),0)</f>
        <v>0</v>
      </c>
      <c r="U943" s="590"/>
      <c r="V943" s="378">
        <f t="shared" si="2865"/>
        <v>0</v>
      </c>
      <c r="W943" s="374">
        <f>IFERROR(VLOOKUP($B942,اسماء,27,0),0)</f>
        <v>0</v>
      </c>
      <c r="X943" s="379">
        <f>IFERROR(VLOOKUP($B942,اسماء,28,0),0)</f>
        <v>0</v>
      </c>
      <c r="Y943" s="596"/>
      <c r="Z943" s="22" t="str">
        <f>LOOKUP(V943,$AF$6:$AG$10)</f>
        <v>ضعيف</v>
      </c>
      <c r="AA943" s="657"/>
      <c r="AB943" s="72"/>
      <c r="AC943" s="654"/>
      <c r="AN943" s="607"/>
      <c r="AO943" s="607"/>
      <c r="AP943" s="613"/>
      <c r="AQ943" s="612"/>
      <c r="AR943" s="611"/>
      <c r="AS943" s="612"/>
    </row>
    <row r="944" spans="1:45" ht="15" customHeight="1" x14ac:dyDescent="0.25">
      <c r="A944" s="633"/>
      <c r="B944" s="630"/>
      <c r="C944" s="622"/>
      <c r="D944" s="625"/>
      <c r="E944" s="133" t="s">
        <v>32</v>
      </c>
      <c r="F944" s="589">
        <f>IFERROR(VLOOKUP($B942,اسماء,31,0),0)</f>
        <v>0</v>
      </c>
      <c r="G944" s="592"/>
      <c r="H944" s="608">
        <f>IFERROR(VLOOKUP($B942,اسماء,32,0),0)</f>
        <v>0</v>
      </c>
      <c r="I944" s="609"/>
      <c r="J944" s="589">
        <f>IFERROR(VLOOKUP($B942,اسماء,33,0),0)</f>
        <v>0</v>
      </c>
      <c r="K944" s="592"/>
      <c r="L944" s="589">
        <f>IFERROR(VLOOKUP($B942,اسماء,34,0),0)</f>
        <v>0</v>
      </c>
      <c r="M944" s="590"/>
      <c r="N944" s="589">
        <f>IFERROR(VLOOKUP($B942,اسماء,35,0),0)</f>
        <v>0</v>
      </c>
      <c r="O944" s="590"/>
      <c r="P944" s="589">
        <f>IFERROR(VLOOKUP($B942,اسماء,36,0),0)</f>
        <v>0</v>
      </c>
      <c r="Q944" s="609"/>
      <c r="R944" s="603">
        <f>IFERROR(VLOOKUP($B942,اسماء,37,0),0)</f>
        <v>0</v>
      </c>
      <c r="S944" s="592"/>
      <c r="T944" s="589">
        <f>IFERROR(VLOOKUP($B942,اسماء,38,0),0)</f>
        <v>0</v>
      </c>
      <c r="U944" s="590"/>
      <c r="V944" s="378">
        <f t="shared" si="2865"/>
        <v>0</v>
      </c>
      <c r="W944" s="374">
        <f>IFERROR(VLOOKUP($B942,اسماء,40,0),0)</f>
        <v>0</v>
      </c>
      <c r="X944" s="379">
        <f>IFERROR(VLOOKUP($B942,اسماء,41,0),0)</f>
        <v>0</v>
      </c>
      <c r="Y944" s="596"/>
      <c r="Z944" s="22" t="str">
        <f>LOOKUP(V944,$AI$6:$AJ$10)</f>
        <v>ضعيف</v>
      </c>
      <c r="AA944" s="657"/>
      <c r="AB944" s="10"/>
      <c r="AC944" s="654"/>
      <c r="AN944" s="607"/>
      <c r="AO944" s="607"/>
      <c r="AP944" s="613"/>
      <c r="AQ944" s="612"/>
      <c r="AR944" s="611"/>
      <c r="AS944" s="612"/>
    </row>
    <row r="945" spans="1:45" ht="15" customHeight="1" thickBot="1" x14ac:dyDescent="0.3">
      <c r="A945" s="634"/>
      <c r="B945" s="631"/>
      <c r="C945" s="623"/>
      <c r="D945" s="626"/>
      <c r="E945" s="127" t="s">
        <v>33</v>
      </c>
      <c r="F945" s="585">
        <f t="shared" ref="F945" si="2868">SUM(F942:G944)</f>
        <v>0</v>
      </c>
      <c r="G945" s="593"/>
      <c r="H945" s="604">
        <f t="shared" ref="H945" si="2869">SUM(H942:I944)</f>
        <v>0</v>
      </c>
      <c r="I945" s="601"/>
      <c r="J945" s="585">
        <f t="shared" ref="J945" si="2870">SUM(J942:K944)</f>
        <v>0</v>
      </c>
      <c r="K945" s="593"/>
      <c r="L945" s="585">
        <f t="shared" ref="L945" si="2871">SUM(L942:M944)</f>
        <v>0</v>
      </c>
      <c r="M945" s="586"/>
      <c r="N945" s="585">
        <f t="shared" ref="N945" si="2872">SUM(N942:O944)</f>
        <v>0</v>
      </c>
      <c r="O945" s="586"/>
      <c r="P945" s="585">
        <f t="shared" ref="P945" si="2873">SUM(P942:Q944)</f>
        <v>0</v>
      </c>
      <c r="Q945" s="601"/>
      <c r="R945" s="602">
        <f t="shared" ref="R945" si="2874">SUM(R942:S944)</f>
        <v>0</v>
      </c>
      <c r="S945" s="593"/>
      <c r="T945" s="585">
        <f t="shared" ref="T945" si="2875">SUM(T942:U944)</f>
        <v>0</v>
      </c>
      <c r="U945" s="586"/>
      <c r="V945" s="96">
        <f t="shared" ref="V945" si="2876">IF(AND(F945&gt;=$G$8,H945&gt;=$I$8,L945&gt;=$M$8,P945&gt;=$Q$8,R945&gt;=$S$8,T945&gt;=$U$8),SUM(F945:U945),0)</f>
        <v>0</v>
      </c>
      <c r="W945" s="380"/>
      <c r="X945" s="97"/>
      <c r="Y945" s="597"/>
      <c r="Z945" s="91" t="str">
        <f>LOOKUP(V945,$AL$6:$AM$10)</f>
        <v>ضعيف</v>
      </c>
      <c r="AA945" s="658"/>
      <c r="AB945" s="72"/>
      <c r="AC945" s="655"/>
      <c r="AN945" s="607"/>
      <c r="AO945" s="607"/>
      <c r="AP945" s="613"/>
      <c r="AQ945" s="612"/>
      <c r="AR945" s="611"/>
      <c r="AS945" s="612"/>
    </row>
    <row r="946" spans="1:45" ht="15" customHeight="1" x14ac:dyDescent="0.25">
      <c r="A946" s="632">
        <v>205</v>
      </c>
      <c r="B946" s="629">
        <f>VLOOKUP(A946,مسلسل,2,0)</f>
        <v>0</v>
      </c>
      <c r="C946" s="621" t="str">
        <f>IFERROR(VLOOKUP(B946,اسماء,2,0),"")</f>
        <v/>
      </c>
      <c r="D946" s="624" t="str">
        <f>IFERROR(VLOOKUP($B946,اسماء,3,0),"")</f>
        <v/>
      </c>
      <c r="E946" s="132" t="s">
        <v>30</v>
      </c>
      <c r="F946" s="627">
        <f>IFERROR(VLOOKUP($B946,اسماء,5,0),0)</f>
        <v>0</v>
      </c>
      <c r="G946" s="606"/>
      <c r="H946" s="628">
        <f>IFERROR(VLOOKUP($B946,اسماء,6,0),0)</f>
        <v>0</v>
      </c>
      <c r="I946" s="605"/>
      <c r="J946" s="587">
        <f>IFERROR(VLOOKUP($B946,اسماء,7,0),0)</f>
        <v>0</v>
      </c>
      <c r="K946" s="591"/>
      <c r="L946" s="587">
        <f>IFERROR(VLOOKUP($B946,اسماء,8,0),0)</f>
        <v>0</v>
      </c>
      <c r="M946" s="588"/>
      <c r="N946" s="587">
        <f>IFERROR(VLOOKUP($B946,اسماء,9,0),0)</f>
        <v>0</v>
      </c>
      <c r="O946" s="605"/>
      <c r="P946" s="587">
        <f>IFERROR(VLOOKUP($B946,اسماء,10,0),0)</f>
        <v>0</v>
      </c>
      <c r="Q946" s="605"/>
      <c r="R946" s="606">
        <f>IFERROR(VLOOKUP($B946,اسماء,11,0),0)</f>
        <v>0</v>
      </c>
      <c r="S946" s="591"/>
      <c r="T946" s="587">
        <f>IFERROR(VLOOKUP($B946,اسماء,12,0),0)</f>
        <v>0</v>
      </c>
      <c r="U946" s="588"/>
      <c r="V946" s="375">
        <f t="shared" ref="V946:V948" si="2877">SUM(F946:U946)</f>
        <v>0</v>
      </c>
      <c r="W946" s="376">
        <f>IFERROR(VLOOKUP($B946,اسماء,14,0),0)</f>
        <v>0</v>
      </c>
      <c r="X946" s="377">
        <f>IFERROR(VLOOKUP($B946,اسماء,15,0),0)</f>
        <v>0</v>
      </c>
      <c r="Y946" s="595" t="str">
        <f t="shared" ref="Y946" si="2878">IF(AC946="غائب","راسب",IF(AND(F949&gt;=$G$8,H949&gt;=$I$8,J949&gt;=$K$8,L949&gt;=$M$8,N949&gt;=$O$8,P949&gt;=$Q$8,R949&gt;=$S$8,T949&gt;=$U$8),"ناجح","له دور ثان"))</f>
        <v>له دور ثان</v>
      </c>
      <c r="Z946" s="21" t="str">
        <f t="shared" ref="Z946:Z947" si="2879">LOOKUP(V946,$AF$6:$AG$10)</f>
        <v>ضعيف</v>
      </c>
      <c r="AA946" s="656">
        <f t="shared" ref="AA946" si="2880">V949/$AF$3</f>
        <v>0</v>
      </c>
      <c r="AB946" s="72"/>
      <c r="AC946" s="653" t="str">
        <f>IFERROR(VLOOKUP($B946,اسماء,54,0),"")</f>
        <v/>
      </c>
      <c r="AN946" s="607" t="str">
        <f t="shared" ref="AN946" si="2881">IF(V949=0,"",V949/1+ROW()*0.00001)</f>
        <v/>
      </c>
      <c r="AO946" s="607">
        <f>B946</f>
        <v>0</v>
      </c>
      <c r="AP946" s="613"/>
      <c r="AQ946" s="612">
        <v>205</v>
      </c>
      <c r="AR946" s="611" t="str">
        <f>IFERROR(LARGE($AN$10:$AN$1006,AQ946),"")</f>
        <v/>
      </c>
      <c r="AS946" s="612" t="str">
        <f>VLOOKUP(AR946,$AN$10:$AO$1116,2,0)</f>
        <v>أحمد نورالدين أحمد الذيب</v>
      </c>
    </row>
    <row r="947" spans="1:45" ht="15" customHeight="1" x14ac:dyDescent="0.25">
      <c r="A947" s="633"/>
      <c r="B947" s="630"/>
      <c r="C947" s="622"/>
      <c r="D947" s="625"/>
      <c r="E947" s="133" t="s">
        <v>31</v>
      </c>
      <c r="F947" s="589">
        <f>IFERROR(VLOOKUP($B946,اسماء,18,0),0)</f>
        <v>0</v>
      </c>
      <c r="G947" s="592"/>
      <c r="H947" s="608">
        <f>IFERROR(VLOOKUP($B946,اسماء,19,0),0)</f>
        <v>0</v>
      </c>
      <c r="I947" s="609"/>
      <c r="J947" s="589">
        <f>IFERROR(VLOOKUP($B946,اسماء,20,0),0)</f>
        <v>0</v>
      </c>
      <c r="K947" s="592"/>
      <c r="L947" s="589">
        <f>IFERROR(VLOOKUP($B946,اسماء,21,0),0)</f>
        <v>0</v>
      </c>
      <c r="M947" s="590"/>
      <c r="N947" s="589">
        <f>IFERROR(VLOOKUP($B946,اسماء,22,0),0)</f>
        <v>0</v>
      </c>
      <c r="O947" s="590"/>
      <c r="P947" s="589">
        <f>IFERROR(VLOOKUP($B946,اسماء,23,0),0)</f>
        <v>0</v>
      </c>
      <c r="Q947" s="609"/>
      <c r="R947" s="603">
        <f>IFERROR(VLOOKUP($B946,اسماء,24,0),0)</f>
        <v>0</v>
      </c>
      <c r="S947" s="592"/>
      <c r="T947" s="589">
        <f>IFERROR(VLOOKUP($B946,اسماء,25,0),0)</f>
        <v>0</v>
      </c>
      <c r="U947" s="590"/>
      <c r="V947" s="378">
        <f t="shared" si="2877"/>
        <v>0</v>
      </c>
      <c r="W947" s="374">
        <f>IFERROR(VLOOKUP($B946,اسماء,27,0),0)</f>
        <v>0</v>
      </c>
      <c r="X947" s="379">
        <f>IFERROR(VLOOKUP($B946,اسماء,28,0),0)</f>
        <v>0</v>
      </c>
      <c r="Y947" s="596"/>
      <c r="Z947" s="22" t="str">
        <f t="shared" si="2879"/>
        <v>ضعيف</v>
      </c>
      <c r="AA947" s="657"/>
      <c r="AB947" s="10"/>
      <c r="AC947" s="654"/>
      <c r="AN947" s="607"/>
      <c r="AO947" s="607"/>
      <c r="AP947" s="613"/>
      <c r="AQ947" s="612"/>
      <c r="AR947" s="611"/>
      <c r="AS947" s="612"/>
    </row>
    <row r="948" spans="1:45" ht="15" customHeight="1" x14ac:dyDescent="0.25">
      <c r="A948" s="633"/>
      <c r="B948" s="630"/>
      <c r="C948" s="622"/>
      <c r="D948" s="625"/>
      <c r="E948" s="133" t="s">
        <v>32</v>
      </c>
      <c r="F948" s="589">
        <f>IFERROR(VLOOKUP($B946,اسماء,31,0),0)</f>
        <v>0</v>
      </c>
      <c r="G948" s="592"/>
      <c r="H948" s="608">
        <f>IFERROR(VLOOKUP($B946,اسماء,32,0),0)</f>
        <v>0</v>
      </c>
      <c r="I948" s="609"/>
      <c r="J948" s="589">
        <f>IFERROR(VLOOKUP($B946,اسماء,33,0),0)</f>
        <v>0</v>
      </c>
      <c r="K948" s="592"/>
      <c r="L948" s="589">
        <f>IFERROR(VLOOKUP($B946,اسماء,34,0),0)</f>
        <v>0</v>
      </c>
      <c r="M948" s="590"/>
      <c r="N948" s="589">
        <f>IFERROR(VLOOKUP($B946,اسماء,35,0),0)</f>
        <v>0</v>
      </c>
      <c r="O948" s="590"/>
      <c r="P948" s="589">
        <f>IFERROR(VLOOKUP($B946,اسماء,36,0),0)</f>
        <v>0</v>
      </c>
      <c r="Q948" s="609"/>
      <c r="R948" s="603">
        <f>IFERROR(VLOOKUP($B946,اسماء,37,0),0)</f>
        <v>0</v>
      </c>
      <c r="S948" s="592"/>
      <c r="T948" s="589">
        <f>IFERROR(VLOOKUP($B946,اسماء,38,0),0)</f>
        <v>0</v>
      </c>
      <c r="U948" s="590"/>
      <c r="V948" s="378">
        <f t="shared" si="2877"/>
        <v>0</v>
      </c>
      <c r="W948" s="374">
        <f>IFERROR(VLOOKUP($B946,اسماء,40,0),0)</f>
        <v>0</v>
      </c>
      <c r="X948" s="379">
        <f>IFERROR(VLOOKUP($B946,اسماء,41,0),0)</f>
        <v>0</v>
      </c>
      <c r="Y948" s="596"/>
      <c r="Z948" s="22" t="str">
        <f t="shared" ref="Z948" si="2882">LOOKUP(V948,$AI$6:$AJ$10)</f>
        <v>ضعيف</v>
      </c>
      <c r="AA948" s="657"/>
      <c r="AB948" s="72"/>
      <c r="AC948" s="654"/>
      <c r="AN948" s="607"/>
      <c r="AO948" s="607"/>
      <c r="AP948" s="613"/>
      <c r="AQ948" s="612"/>
      <c r="AR948" s="611"/>
      <c r="AS948" s="612"/>
    </row>
    <row r="949" spans="1:45" ht="15" customHeight="1" thickBot="1" x14ac:dyDescent="0.3">
      <c r="A949" s="634"/>
      <c r="B949" s="631"/>
      <c r="C949" s="623"/>
      <c r="D949" s="626"/>
      <c r="E949" s="127" t="s">
        <v>33</v>
      </c>
      <c r="F949" s="585">
        <f t="shared" ref="F949" si="2883">SUM(F946:G948)</f>
        <v>0</v>
      </c>
      <c r="G949" s="593"/>
      <c r="H949" s="604">
        <f t="shared" ref="H949" si="2884">SUM(H946:I948)</f>
        <v>0</v>
      </c>
      <c r="I949" s="601"/>
      <c r="J949" s="585">
        <f t="shared" ref="J949" si="2885">SUM(J946:K948)</f>
        <v>0</v>
      </c>
      <c r="K949" s="593"/>
      <c r="L949" s="585">
        <f t="shared" ref="L949" si="2886">SUM(L946:M948)</f>
        <v>0</v>
      </c>
      <c r="M949" s="586"/>
      <c r="N949" s="585">
        <f t="shared" ref="N949" si="2887">SUM(N946:O948)</f>
        <v>0</v>
      </c>
      <c r="O949" s="586"/>
      <c r="P949" s="585">
        <f t="shared" ref="P949" si="2888">SUM(P946:Q948)</f>
        <v>0</v>
      </c>
      <c r="Q949" s="601"/>
      <c r="R949" s="602">
        <f t="shared" ref="R949" si="2889">SUM(R946:S948)</f>
        <v>0</v>
      </c>
      <c r="S949" s="593"/>
      <c r="T949" s="585">
        <f t="shared" ref="T949" si="2890">SUM(T946:U948)</f>
        <v>0</v>
      </c>
      <c r="U949" s="586"/>
      <c r="V949" s="96">
        <f t="shared" ref="V949" si="2891">IF(AND(F949&gt;=$G$8,H949&gt;=$I$8,L949&gt;=$M$8,P949&gt;=$Q$8,R949&gt;=$S$8,T949&gt;=$U$8),SUM(F949:U949),0)</f>
        <v>0</v>
      </c>
      <c r="W949" s="380"/>
      <c r="X949" s="97"/>
      <c r="Y949" s="597"/>
      <c r="Z949" s="91" t="str">
        <f t="shared" ref="Z949" si="2892">LOOKUP(V949,$AL$6:$AM$10)</f>
        <v>ضعيف</v>
      </c>
      <c r="AA949" s="658"/>
      <c r="AB949" s="72"/>
      <c r="AC949" s="655"/>
      <c r="AN949" s="607"/>
      <c r="AO949" s="607"/>
      <c r="AP949" s="613"/>
      <c r="AQ949" s="612"/>
      <c r="AR949" s="611"/>
      <c r="AS949" s="612"/>
    </row>
    <row r="950" spans="1:45" ht="15" customHeight="1" x14ac:dyDescent="0.25">
      <c r="A950" s="632">
        <v>206</v>
      </c>
      <c r="B950" s="629">
        <f>VLOOKUP(A950,مسلسل,2,0)</f>
        <v>0</v>
      </c>
      <c r="C950" s="621" t="str">
        <f>IFERROR(VLOOKUP(B950,اسماء,2,0),"")</f>
        <v/>
      </c>
      <c r="D950" s="624" t="str">
        <f>IFERROR(VLOOKUP($B950,اسماء,3,0),"")</f>
        <v/>
      </c>
      <c r="E950" s="132" t="s">
        <v>30</v>
      </c>
      <c r="F950" s="627">
        <f>IFERROR(VLOOKUP($B950,اسماء,5,0),0)</f>
        <v>0</v>
      </c>
      <c r="G950" s="606"/>
      <c r="H950" s="628">
        <f>IFERROR(VLOOKUP($B950,اسماء,6,0),0)</f>
        <v>0</v>
      </c>
      <c r="I950" s="605"/>
      <c r="J950" s="587">
        <f>IFERROR(VLOOKUP($B950,اسماء,7,0),0)</f>
        <v>0</v>
      </c>
      <c r="K950" s="591"/>
      <c r="L950" s="587">
        <f>IFERROR(VLOOKUP($B950,اسماء,8,0),0)</f>
        <v>0</v>
      </c>
      <c r="M950" s="588"/>
      <c r="N950" s="587">
        <f>IFERROR(VLOOKUP($B950,اسماء,9,0),0)</f>
        <v>0</v>
      </c>
      <c r="O950" s="605"/>
      <c r="P950" s="587">
        <f>IFERROR(VLOOKUP($B950,اسماء,10,0),0)</f>
        <v>0</v>
      </c>
      <c r="Q950" s="605"/>
      <c r="R950" s="606">
        <f>IFERROR(VLOOKUP($B950,اسماء,11,0),0)</f>
        <v>0</v>
      </c>
      <c r="S950" s="591"/>
      <c r="T950" s="587">
        <f>IFERROR(VLOOKUP($B950,اسماء,12,0),0)</f>
        <v>0</v>
      </c>
      <c r="U950" s="588"/>
      <c r="V950" s="375">
        <f t="shared" ref="V950:V952" si="2893">SUM(F950:U950)</f>
        <v>0</v>
      </c>
      <c r="W950" s="376">
        <f>IFERROR(VLOOKUP($B950,اسماء,14,0),0)</f>
        <v>0</v>
      </c>
      <c r="X950" s="377">
        <f>IFERROR(VLOOKUP($B950,اسماء,15,0),0)</f>
        <v>0</v>
      </c>
      <c r="Y950" s="595" t="str">
        <f t="shared" ref="Y950" si="2894">IF(AC950="غائب","راسب",IF(AND(F953&gt;=$G$8,H953&gt;=$I$8,J953&gt;=$K$8,L953&gt;=$M$8,N953&gt;=$O$8,P953&gt;=$Q$8,R953&gt;=$S$8,T953&gt;=$U$8),"ناجح","له دور ثان"))</f>
        <v>له دور ثان</v>
      </c>
      <c r="Z950" s="21" t="str">
        <f t="shared" ref="Z950:Z951" si="2895">LOOKUP(V950,$AF$6:$AG$10)</f>
        <v>ضعيف</v>
      </c>
      <c r="AA950" s="656">
        <f t="shared" ref="AA950" si="2896">V953/$AF$3</f>
        <v>0</v>
      </c>
      <c r="AB950" s="10"/>
      <c r="AC950" s="653" t="str">
        <f>IFERROR(VLOOKUP($B950,اسماء,54,0),"")</f>
        <v/>
      </c>
      <c r="AN950" s="607" t="str">
        <f t="shared" ref="AN950" si="2897">IF(V953=0,"",V953/1+ROW()*0.00001)</f>
        <v/>
      </c>
      <c r="AO950" s="607">
        <f>B950</f>
        <v>0</v>
      </c>
      <c r="AP950" s="613"/>
      <c r="AQ950" s="612">
        <v>206</v>
      </c>
      <c r="AR950" s="611" t="str">
        <f>IFERROR(LARGE($AN$10:$AN$1006,AQ950),"")</f>
        <v/>
      </c>
      <c r="AS950" s="612" t="str">
        <f>VLOOKUP(AR950,$AN$10:$AO$1116,2,0)</f>
        <v>أحمد نورالدين أحمد الذيب</v>
      </c>
    </row>
    <row r="951" spans="1:45" ht="15" customHeight="1" x14ac:dyDescent="0.25">
      <c r="A951" s="633"/>
      <c r="B951" s="630"/>
      <c r="C951" s="622"/>
      <c r="D951" s="625"/>
      <c r="E951" s="133" t="s">
        <v>31</v>
      </c>
      <c r="F951" s="589">
        <f>IFERROR(VLOOKUP($B950,اسماء,18,0),0)</f>
        <v>0</v>
      </c>
      <c r="G951" s="592"/>
      <c r="H951" s="608">
        <f>IFERROR(VLOOKUP($B950,اسماء,19,0),0)</f>
        <v>0</v>
      </c>
      <c r="I951" s="609"/>
      <c r="J951" s="589">
        <f>IFERROR(VLOOKUP($B950,اسماء,20,0),0)</f>
        <v>0</v>
      </c>
      <c r="K951" s="592"/>
      <c r="L951" s="589">
        <f>IFERROR(VLOOKUP($B950,اسماء,21,0),0)</f>
        <v>0</v>
      </c>
      <c r="M951" s="590"/>
      <c r="N951" s="589">
        <f>IFERROR(VLOOKUP($B950,اسماء,22,0),0)</f>
        <v>0</v>
      </c>
      <c r="O951" s="590"/>
      <c r="P951" s="589">
        <f>IFERROR(VLOOKUP($B950,اسماء,23,0),0)</f>
        <v>0</v>
      </c>
      <c r="Q951" s="609"/>
      <c r="R951" s="603">
        <f>IFERROR(VLOOKUP($B950,اسماء,24,0),0)</f>
        <v>0</v>
      </c>
      <c r="S951" s="592"/>
      <c r="T951" s="589">
        <f>IFERROR(VLOOKUP($B950,اسماء,25,0),0)</f>
        <v>0</v>
      </c>
      <c r="U951" s="590"/>
      <c r="V951" s="378">
        <f t="shared" si="2893"/>
        <v>0</v>
      </c>
      <c r="W951" s="374">
        <f>IFERROR(VLOOKUP($B950,اسماء,27,0),0)</f>
        <v>0</v>
      </c>
      <c r="X951" s="379">
        <f>IFERROR(VLOOKUP($B950,اسماء,28,0),0)</f>
        <v>0</v>
      </c>
      <c r="Y951" s="596"/>
      <c r="Z951" s="22" t="str">
        <f t="shared" si="2895"/>
        <v>ضعيف</v>
      </c>
      <c r="AA951" s="657"/>
      <c r="AB951" s="72"/>
      <c r="AC951" s="654"/>
      <c r="AN951" s="607"/>
      <c r="AO951" s="607"/>
      <c r="AP951" s="613"/>
      <c r="AQ951" s="612"/>
      <c r="AR951" s="611"/>
      <c r="AS951" s="612"/>
    </row>
    <row r="952" spans="1:45" ht="15" customHeight="1" x14ac:dyDescent="0.25">
      <c r="A952" s="633"/>
      <c r="B952" s="630"/>
      <c r="C952" s="622"/>
      <c r="D952" s="625"/>
      <c r="E952" s="133" t="s">
        <v>32</v>
      </c>
      <c r="F952" s="589">
        <f>IFERROR(VLOOKUP($B950,اسماء,31,0),0)</f>
        <v>0</v>
      </c>
      <c r="G952" s="592"/>
      <c r="H952" s="608">
        <f>IFERROR(VLOOKUP($B950,اسماء,32,0),0)</f>
        <v>0</v>
      </c>
      <c r="I952" s="609"/>
      <c r="J952" s="589">
        <f>IFERROR(VLOOKUP($B950,اسماء,33,0),0)</f>
        <v>0</v>
      </c>
      <c r="K952" s="592"/>
      <c r="L952" s="589">
        <f>IFERROR(VLOOKUP($B950,اسماء,34,0),0)</f>
        <v>0</v>
      </c>
      <c r="M952" s="590"/>
      <c r="N952" s="589">
        <f>IFERROR(VLOOKUP($B950,اسماء,35,0),0)</f>
        <v>0</v>
      </c>
      <c r="O952" s="590"/>
      <c r="P952" s="589">
        <f>IFERROR(VLOOKUP($B950,اسماء,36,0),0)</f>
        <v>0</v>
      </c>
      <c r="Q952" s="609"/>
      <c r="R952" s="603">
        <f>IFERROR(VLOOKUP($B950,اسماء,37,0),0)</f>
        <v>0</v>
      </c>
      <c r="S952" s="592"/>
      <c r="T952" s="589">
        <f>IFERROR(VLOOKUP($B950,اسماء,38,0),0)</f>
        <v>0</v>
      </c>
      <c r="U952" s="590"/>
      <c r="V952" s="378">
        <f t="shared" si="2893"/>
        <v>0</v>
      </c>
      <c r="W952" s="374">
        <f>IFERROR(VLOOKUP($B950,اسماء,40,0),0)</f>
        <v>0</v>
      </c>
      <c r="X952" s="379">
        <f>IFERROR(VLOOKUP($B950,اسماء,41,0),0)</f>
        <v>0</v>
      </c>
      <c r="Y952" s="596"/>
      <c r="Z952" s="22" t="str">
        <f t="shared" ref="Z952" si="2898">LOOKUP(V952,$AI$6:$AJ$10)</f>
        <v>ضعيف</v>
      </c>
      <c r="AA952" s="657"/>
      <c r="AB952" s="72"/>
      <c r="AC952" s="654"/>
      <c r="AN952" s="607"/>
      <c r="AO952" s="607"/>
      <c r="AP952" s="613"/>
      <c r="AQ952" s="612"/>
      <c r="AR952" s="611"/>
      <c r="AS952" s="612"/>
    </row>
    <row r="953" spans="1:45" ht="15" customHeight="1" thickBot="1" x14ac:dyDescent="0.3">
      <c r="A953" s="634"/>
      <c r="B953" s="631"/>
      <c r="C953" s="623"/>
      <c r="D953" s="626"/>
      <c r="E953" s="127" t="s">
        <v>33</v>
      </c>
      <c r="F953" s="585">
        <f t="shared" ref="F953" si="2899">SUM(F950:G952)</f>
        <v>0</v>
      </c>
      <c r="G953" s="593"/>
      <c r="H953" s="604">
        <f t="shared" ref="H953" si="2900">SUM(H950:I952)</f>
        <v>0</v>
      </c>
      <c r="I953" s="601"/>
      <c r="J953" s="585">
        <f t="shared" ref="J953" si="2901">SUM(J950:K952)</f>
        <v>0</v>
      </c>
      <c r="K953" s="593"/>
      <c r="L953" s="585">
        <f t="shared" ref="L953" si="2902">SUM(L950:M952)</f>
        <v>0</v>
      </c>
      <c r="M953" s="586"/>
      <c r="N953" s="585">
        <f t="shared" ref="N953" si="2903">SUM(N950:O952)</f>
        <v>0</v>
      </c>
      <c r="O953" s="586"/>
      <c r="P953" s="585">
        <f t="shared" ref="P953" si="2904">SUM(P950:Q952)</f>
        <v>0</v>
      </c>
      <c r="Q953" s="601"/>
      <c r="R953" s="602">
        <f t="shared" ref="R953" si="2905">SUM(R950:S952)</f>
        <v>0</v>
      </c>
      <c r="S953" s="593"/>
      <c r="T953" s="585">
        <f t="shared" ref="T953" si="2906">SUM(T950:U952)</f>
        <v>0</v>
      </c>
      <c r="U953" s="586"/>
      <c r="V953" s="96">
        <f t="shared" ref="V953" si="2907">IF(AND(F953&gt;=$G$8,H953&gt;=$I$8,L953&gt;=$M$8,P953&gt;=$Q$8,R953&gt;=$S$8,T953&gt;=$U$8),SUM(F953:U953),0)</f>
        <v>0</v>
      </c>
      <c r="W953" s="380"/>
      <c r="X953" s="97"/>
      <c r="Y953" s="597"/>
      <c r="Z953" s="91" t="str">
        <f t="shared" ref="Z953" si="2908">LOOKUP(V953,$AL$6:$AM$10)</f>
        <v>ضعيف</v>
      </c>
      <c r="AA953" s="658"/>
      <c r="AB953" s="10"/>
      <c r="AC953" s="655"/>
      <c r="AN953" s="607"/>
      <c r="AO953" s="607"/>
      <c r="AP953" s="613"/>
      <c r="AQ953" s="612"/>
      <c r="AR953" s="611"/>
      <c r="AS953" s="612"/>
    </row>
    <row r="954" spans="1:45" ht="15" customHeight="1" x14ac:dyDescent="0.25">
      <c r="A954" s="632">
        <v>207</v>
      </c>
      <c r="B954" s="629">
        <f>VLOOKUP(A954,مسلسل,2,0)</f>
        <v>0</v>
      </c>
      <c r="C954" s="621" t="str">
        <f>IFERROR(VLOOKUP(B954,اسماء,2,0),"")</f>
        <v/>
      </c>
      <c r="D954" s="624" t="str">
        <f>IFERROR(VLOOKUP($B954,اسماء,3,0),"")</f>
        <v/>
      </c>
      <c r="E954" s="132" t="s">
        <v>30</v>
      </c>
      <c r="F954" s="627">
        <f>IFERROR(VLOOKUP($B954,اسماء,5,0),0)</f>
        <v>0</v>
      </c>
      <c r="G954" s="606"/>
      <c r="H954" s="628">
        <f>IFERROR(VLOOKUP($B954,اسماء,6,0),0)</f>
        <v>0</v>
      </c>
      <c r="I954" s="605"/>
      <c r="J954" s="587">
        <f>IFERROR(VLOOKUP($B954,اسماء,7,0),0)</f>
        <v>0</v>
      </c>
      <c r="K954" s="591"/>
      <c r="L954" s="587">
        <f>IFERROR(VLOOKUP($B954,اسماء,8,0),0)</f>
        <v>0</v>
      </c>
      <c r="M954" s="588"/>
      <c r="N954" s="587">
        <f>IFERROR(VLOOKUP($B954,اسماء,9,0),0)</f>
        <v>0</v>
      </c>
      <c r="O954" s="605"/>
      <c r="P954" s="587">
        <f>IFERROR(VLOOKUP($B954,اسماء,10,0),0)</f>
        <v>0</v>
      </c>
      <c r="Q954" s="605"/>
      <c r="R954" s="606">
        <f>IFERROR(VLOOKUP($B954,اسماء,11,0),0)</f>
        <v>0</v>
      </c>
      <c r="S954" s="591"/>
      <c r="T954" s="587">
        <f>IFERROR(VLOOKUP($B954,اسماء,12,0),0)</f>
        <v>0</v>
      </c>
      <c r="U954" s="588"/>
      <c r="V954" s="375">
        <f t="shared" ref="V954:V956" si="2909">SUM(F954:U954)</f>
        <v>0</v>
      </c>
      <c r="W954" s="376">
        <f>IFERROR(VLOOKUP($B954,اسماء,14,0),0)</f>
        <v>0</v>
      </c>
      <c r="X954" s="377">
        <f>IFERROR(VLOOKUP($B954,اسماء,15,0),0)</f>
        <v>0</v>
      </c>
      <c r="Y954" s="595" t="str">
        <f t="shared" ref="Y954" si="2910">IF(AC954="غائب","راسب",IF(AND(F957&gt;=$G$8,H957&gt;=$I$8,J957&gt;=$K$8,L957&gt;=$M$8,N957&gt;=$O$8,P957&gt;=$Q$8,R957&gt;=$S$8,T957&gt;=$U$8),"ناجح","له دور ثان"))</f>
        <v>له دور ثان</v>
      </c>
      <c r="Z954" s="21" t="str">
        <f t="shared" ref="Z954:Z955" si="2911">LOOKUP(V954,$AF$6:$AG$10)</f>
        <v>ضعيف</v>
      </c>
      <c r="AA954" s="656">
        <f t="shared" ref="AA954" si="2912">V957/$AF$3</f>
        <v>0</v>
      </c>
      <c r="AB954" s="72"/>
      <c r="AC954" s="653" t="str">
        <f>IFERROR(VLOOKUP($B954,اسماء,54,0),"")</f>
        <v/>
      </c>
      <c r="AN954" s="607" t="str">
        <f t="shared" ref="AN954" si="2913">IF(V957=0,"",V957/1+ROW()*0.00001)</f>
        <v/>
      </c>
      <c r="AO954" s="607">
        <f>B954</f>
        <v>0</v>
      </c>
      <c r="AP954" s="613"/>
      <c r="AQ954" s="612">
        <v>207</v>
      </c>
      <c r="AR954" s="611" t="str">
        <f>IFERROR(LARGE($AN$10:$AN$1006,AQ954),"")</f>
        <v/>
      </c>
      <c r="AS954" s="612" t="str">
        <f>VLOOKUP(AR954,$AN$10:$AO$1116,2,0)</f>
        <v>أحمد نورالدين أحمد الذيب</v>
      </c>
    </row>
    <row r="955" spans="1:45" ht="15" customHeight="1" x14ac:dyDescent="0.25">
      <c r="A955" s="633"/>
      <c r="B955" s="630"/>
      <c r="C955" s="622"/>
      <c r="D955" s="625"/>
      <c r="E955" s="133" t="s">
        <v>31</v>
      </c>
      <c r="F955" s="589">
        <f>IFERROR(VLOOKUP($B954,اسماء,18,0),0)</f>
        <v>0</v>
      </c>
      <c r="G955" s="592"/>
      <c r="H955" s="608">
        <f>IFERROR(VLOOKUP($B954,اسماء,19,0),0)</f>
        <v>0</v>
      </c>
      <c r="I955" s="609"/>
      <c r="J955" s="589">
        <f>IFERROR(VLOOKUP($B954,اسماء,20,0),0)</f>
        <v>0</v>
      </c>
      <c r="K955" s="592"/>
      <c r="L955" s="589">
        <f>IFERROR(VLOOKUP($B954,اسماء,21,0),0)</f>
        <v>0</v>
      </c>
      <c r="M955" s="590"/>
      <c r="N955" s="589">
        <f>IFERROR(VLOOKUP($B954,اسماء,22,0),0)</f>
        <v>0</v>
      </c>
      <c r="O955" s="590"/>
      <c r="P955" s="589">
        <f>IFERROR(VLOOKUP($B954,اسماء,23,0),0)</f>
        <v>0</v>
      </c>
      <c r="Q955" s="609"/>
      <c r="R955" s="603">
        <f>IFERROR(VLOOKUP($B954,اسماء,24,0),0)</f>
        <v>0</v>
      </c>
      <c r="S955" s="592"/>
      <c r="T955" s="589">
        <f>IFERROR(VLOOKUP($B954,اسماء,25,0),0)</f>
        <v>0</v>
      </c>
      <c r="U955" s="590"/>
      <c r="V955" s="378">
        <f t="shared" si="2909"/>
        <v>0</v>
      </c>
      <c r="W955" s="374">
        <f>IFERROR(VLOOKUP($B954,اسماء,27,0),0)</f>
        <v>0</v>
      </c>
      <c r="X955" s="379">
        <f>IFERROR(VLOOKUP($B954,اسماء,28,0),0)</f>
        <v>0</v>
      </c>
      <c r="Y955" s="596"/>
      <c r="Z955" s="22" t="str">
        <f t="shared" si="2911"/>
        <v>ضعيف</v>
      </c>
      <c r="AA955" s="657"/>
      <c r="AB955" s="72"/>
      <c r="AC955" s="654"/>
      <c r="AN955" s="607"/>
      <c r="AO955" s="607"/>
      <c r="AP955" s="613"/>
      <c r="AQ955" s="612"/>
      <c r="AR955" s="611"/>
      <c r="AS955" s="612"/>
    </row>
    <row r="956" spans="1:45" ht="15" customHeight="1" x14ac:dyDescent="0.25">
      <c r="A956" s="633"/>
      <c r="B956" s="630"/>
      <c r="C956" s="622"/>
      <c r="D956" s="625"/>
      <c r="E956" s="133" t="s">
        <v>32</v>
      </c>
      <c r="F956" s="589">
        <f>IFERROR(VLOOKUP($B954,اسماء,31,0),0)</f>
        <v>0</v>
      </c>
      <c r="G956" s="592"/>
      <c r="H956" s="608">
        <f>IFERROR(VLOOKUP($B954,اسماء,32,0),0)</f>
        <v>0</v>
      </c>
      <c r="I956" s="609"/>
      <c r="J956" s="589">
        <f>IFERROR(VLOOKUP($B954,اسماء,33,0),0)</f>
        <v>0</v>
      </c>
      <c r="K956" s="592"/>
      <c r="L956" s="589">
        <f>IFERROR(VLOOKUP($B954,اسماء,34,0),0)</f>
        <v>0</v>
      </c>
      <c r="M956" s="590"/>
      <c r="N956" s="589">
        <f>IFERROR(VLOOKUP($B954,اسماء,35,0),0)</f>
        <v>0</v>
      </c>
      <c r="O956" s="590"/>
      <c r="P956" s="589">
        <f>IFERROR(VLOOKUP($B954,اسماء,36,0),0)</f>
        <v>0</v>
      </c>
      <c r="Q956" s="609"/>
      <c r="R956" s="603">
        <f>IFERROR(VLOOKUP($B954,اسماء,37,0),0)</f>
        <v>0</v>
      </c>
      <c r="S956" s="592"/>
      <c r="T956" s="589">
        <f>IFERROR(VLOOKUP($B954,اسماء,38,0),0)</f>
        <v>0</v>
      </c>
      <c r="U956" s="590"/>
      <c r="V956" s="378">
        <f t="shared" si="2909"/>
        <v>0</v>
      </c>
      <c r="W956" s="374">
        <f>IFERROR(VLOOKUP($B954,اسماء,40,0),0)</f>
        <v>0</v>
      </c>
      <c r="X956" s="379">
        <f>IFERROR(VLOOKUP($B954,اسماء,41,0),0)</f>
        <v>0</v>
      </c>
      <c r="Y956" s="596"/>
      <c r="Z956" s="22" t="str">
        <f t="shared" ref="Z956" si="2914">LOOKUP(V956,$AI$6:$AJ$10)</f>
        <v>ضعيف</v>
      </c>
      <c r="AA956" s="657"/>
      <c r="AB956" s="10"/>
      <c r="AC956" s="654"/>
      <c r="AN956" s="607"/>
      <c r="AO956" s="607"/>
      <c r="AP956" s="613"/>
      <c r="AQ956" s="612"/>
      <c r="AR956" s="611"/>
      <c r="AS956" s="612"/>
    </row>
    <row r="957" spans="1:45" ht="15" customHeight="1" thickBot="1" x14ac:dyDescent="0.3">
      <c r="A957" s="634"/>
      <c r="B957" s="631"/>
      <c r="C957" s="623"/>
      <c r="D957" s="626"/>
      <c r="E957" s="127" t="s">
        <v>33</v>
      </c>
      <c r="F957" s="585">
        <f t="shared" ref="F957" si="2915">SUM(F954:G956)</f>
        <v>0</v>
      </c>
      <c r="G957" s="593"/>
      <c r="H957" s="604">
        <f t="shared" ref="H957" si="2916">SUM(H954:I956)</f>
        <v>0</v>
      </c>
      <c r="I957" s="601"/>
      <c r="J957" s="585">
        <f t="shared" ref="J957" si="2917">SUM(J954:K956)</f>
        <v>0</v>
      </c>
      <c r="K957" s="593"/>
      <c r="L957" s="585">
        <f t="shared" ref="L957" si="2918">SUM(L954:M956)</f>
        <v>0</v>
      </c>
      <c r="M957" s="586"/>
      <c r="N957" s="585">
        <f t="shared" ref="N957" si="2919">SUM(N954:O956)</f>
        <v>0</v>
      </c>
      <c r="O957" s="586"/>
      <c r="P957" s="585">
        <f t="shared" ref="P957" si="2920">SUM(P954:Q956)</f>
        <v>0</v>
      </c>
      <c r="Q957" s="601"/>
      <c r="R957" s="602">
        <f t="shared" ref="R957" si="2921">SUM(R954:S956)</f>
        <v>0</v>
      </c>
      <c r="S957" s="593"/>
      <c r="T957" s="585">
        <f t="shared" ref="T957" si="2922">SUM(T954:U956)</f>
        <v>0</v>
      </c>
      <c r="U957" s="586"/>
      <c r="V957" s="96">
        <f t="shared" ref="V957" si="2923">IF(AND(F957&gt;=$G$8,H957&gt;=$I$8,L957&gt;=$M$8,P957&gt;=$Q$8,R957&gt;=$S$8,T957&gt;=$U$8),SUM(F957:U957),0)</f>
        <v>0</v>
      </c>
      <c r="W957" s="380"/>
      <c r="X957" s="97"/>
      <c r="Y957" s="597"/>
      <c r="Z957" s="91" t="str">
        <f t="shared" ref="Z957" si="2924">LOOKUP(V957,$AL$6:$AM$10)</f>
        <v>ضعيف</v>
      </c>
      <c r="AA957" s="658"/>
      <c r="AB957" s="72"/>
      <c r="AC957" s="655"/>
      <c r="AN957" s="607"/>
      <c r="AO957" s="607"/>
      <c r="AP957" s="613"/>
      <c r="AQ957" s="612"/>
      <c r="AR957" s="611"/>
      <c r="AS957" s="612"/>
    </row>
    <row r="958" spans="1:45" ht="15" customHeight="1" x14ac:dyDescent="0.25">
      <c r="A958" s="632">
        <v>208</v>
      </c>
      <c r="B958" s="629">
        <f>VLOOKUP(A958,مسلسل,2,0)</f>
        <v>0</v>
      </c>
      <c r="C958" s="621" t="str">
        <f>IFERROR(VLOOKUP(B958,اسماء,2,0),"")</f>
        <v/>
      </c>
      <c r="D958" s="624" t="str">
        <f>IFERROR(VLOOKUP($B958,اسماء,3,0),"")</f>
        <v/>
      </c>
      <c r="E958" s="132" t="s">
        <v>30</v>
      </c>
      <c r="F958" s="627">
        <f>IFERROR(VLOOKUP($B958,اسماء,5,0),0)</f>
        <v>0</v>
      </c>
      <c r="G958" s="606"/>
      <c r="H958" s="628">
        <f>IFERROR(VLOOKUP($B958,اسماء,6,0),0)</f>
        <v>0</v>
      </c>
      <c r="I958" s="605"/>
      <c r="J958" s="587">
        <f>IFERROR(VLOOKUP($B958,اسماء,7,0),0)</f>
        <v>0</v>
      </c>
      <c r="K958" s="591"/>
      <c r="L958" s="587">
        <f>IFERROR(VLOOKUP($B958,اسماء,8,0),0)</f>
        <v>0</v>
      </c>
      <c r="M958" s="588"/>
      <c r="N958" s="587">
        <f>IFERROR(VLOOKUP($B958,اسماء,9,0),0)</f>
        <v>0</v>
      </c>
      <c r="O958" s="605"/>
      <c r="P958" s="587">
        <f>IFERROR(VLOOKUP($B958,اسماء,10,0),0)</f>
        <v>0</v>
      </c>
      <c r="Q958" s="605"/>
      <c r="R958" s="606">
        <f>IFERROR(VLOOKUP($B958,اسماء,11,0),0)</f>
        <v>0</v>
      </c>
      <c r="S958" s="591"/>
      <c r="T958" s="587">
        <f>IFERROR(VLOOKUP($B958,اسماء,12,0),0)</f>
        <v>0</v>
      </c>
      <c r="U958" s="588"/>
      <c r="V958" s="375">
        <f t="shared" ref="V958:V960" si="2925">SUM(F958:U958)</f>
        <v>0</v>
      </c>
      <c r="W958" s="376">
        <f>IFERROR(VLOOKUP($B958,اسماء,14,0),0)</f>
        <v>0</v>
      </c>
      <c r="X958" s="377">
        <f>IFERROR(VLOOKUP($B958,اسماء,15,0),0)</f>
        <v>0</v>
      </c>
      <c r="Y958" s="595" t="str">
        <f t="shared" ref="Y958" si="2926">IF(AC958="غائب","راسب",IF(AND(F961&gt;=$G$8,H961&gt;=$I$8,J961&gt;=$K$8,L961&gt;=$M$8,N961&gt;=$O$8,P961&gt;=$Q$8,R961&gt;=$S$8,T961&gt;=$U$8),"ناجح","له دور ثان"))</f>
        <v>له دور ثان</v>
      </c>
      <c r="Z958" s="21" t="str">
        <f t="shared" ref="Z958:Z959" si="2927">LOOKUP(V958,$AF$6:$AG$10)</f>
        <v>ضعيف</v>
      </c>
      <c r="AA958" s="656">
        <f t="shared" ref="AA958" si="2928">V961/$AF$3</f>
        <v>0</v>
      </c>
      <c r="AB958" s="72"/>
      <c r="AC958" s="653" t="str">
        <f>IFERROR(VLOOKUP($B958,اسماء,54,0),"")</f>
        <v/>
      </c>
      <c r="AN958" s="607" t="str">
        <f t="shared" ref="AN958" si="2929">IF(V961=0,"",V961/1+ROW()*0.00001)</f>
        <v/>
      </c>
      <c r="AO958" s="607">
        <f>B958</f>
        <v>0</v>
      </c>
      <c r="AP958" s="613"/>
      <c r="AQ958" s="612">
        <v>208</v>
      </c>
      <c r="AR958" s="611" t="str">
        <f>IFERROR(LARGE($AN$10:$AN$1006,AQ958),"")</f>
        <v/>
      </c>
      <c r="AS958" s="612" t="str">
        <f>VLOOKUP(AR958,$AN$10:$AO$1116,2,0)</f>
        <v>أحمد نورالدين أحمد الذيب</v>
      </c>
    </row>
    <row r="959" spans="1:45" ht="15" customHeight="1" x14ac:dyDescent="0.25">
      <c r="A959" s="633"/>
      <c r="B959" s="630"/>
      <c r="C959" s="622"/>
      <c r="D959" s="625"/>
      <c r="E959" s="133" t="s">
        <v>31</v>
      </c>
      <c r="F959" s="589">
        <f>IFERROR(VLOOKUP($B958,اسماء,18,0),0)</f>
        <v>0</v>
      </c>
      <c r="G959" s="592"/>
      <c r="H959" s="608">
        <f>IFERROR(VLOOKUP($B958,اسماء,19,0),0)</f>
        <v>0</v>
      </c>
      <c r="I959" s="609"/>
      <c r="J959" s="589">
        <f>IFERROR(VLOOKUP($B958,اسماء,20,0),0)</f>
        <v>0</v>
      </c>
      <c r="K959" s="592"/>
      <c r="L959" s="589">
        <f>IFERROR(VLOOKUP($B958,اسماء,21,0),0)</f>
        <v>0</v>
      </c>
      <c r="M959" s="590"/>
      <c r="N959" s="589">
        <f>IFERROR(VLOOKUP($B958,اسماء,22,0),0)</f>
        <v>0</v>
      </c>
      <c r="O959" s="590"/>
      <c r="P959" s="589">
        <f>IFERROR(VLOOKUP($B958,اسماء,23,0),0)</f>
        <v>0</v>
      </c>
      <c r="Q959" s="609"/>
      <c r="R959" s="603">
        <f>IFERROR(VLOOKUP($B958,اسماء,24,0),0)</f>
        <v>0</v>
      </c>
      <c r="S959" s="592"/>
      <c r="T959" s="589">
        <f>IFERROR(VLOOKUP($B958,اسماء,25,0),0)</f>
        <v>0</v>
      </c>
      <c r="U959" s="590"/>
      <c r="V959" s="378">
        <f t="shared" si="2925"/>
        <v>0</v>
      </c>
      <c r="W959" s="374">
        <f>IFERROR(VLOOKUP($B958,اسماء,27,0),0)</f>
        <v>0</v>
      </c>
      <c r="X959" s="379">
        <f>IFERROR(VLOOKUP($B958,اسماء,28,0),0)</f>
        <v>0</v>
      </c>
      <c r="Y959" s="596"/>
      <c r="Z959" s="22" t="str">
        <f t="shared" si="2927"/>
        <v>ضعيف</v>
      </c>
      <c r="AA959" s="657"/>
      <c r="AB959" s="10"/>
      <c r="AC959" s="654"/>
      <c r="AN959" s="607"/>
      <c r="AO959" s="607"/>
      <c r="AP959" s="613"/>
      <c r="AQ959" s="612"/>
      <c r="AR959" s="611"/>
      <c r="AS959" s="612"/>
    </row>
    <row r="960" spans="1:45" ht="15" customHeight="1" x14ac:dyDescent="0.25">
      <c r="A960" s="633"/>
      <c r="B960" s="630"/>
      <c r="C960" s="622"/>
      <c r="D960" s="625"/>
      <c r="E960" s="133" t="s">
        <v>32</v>
      </c>
      <c r="F960" s="589">
        <f>IFERROR(VLOOKUP($B958,اسماء,31,0),0)</f>
        <v>0</v>
      </c>
      <c r="G960" s="592"/>
      <c r="H960" s="608">
        <f>IFERROR(VLOOKUP($B958,اسماء,32,0),0)</f>
        <v>0</v>
      </c>
      <c r="I960" s="609"/>
      <c r="J960" s="589">
        <f>IFERROR(VLOOKUP($B958,اسماء,33,0),0)</f>
        <v>0</v>
      </c>
      <c r="K960" s="592"/>
      <c r="L960" s="589">
        <f>IFERROR(VLOOKUP($B958,اسماء,34,0),0)</f>
        <v>0</v>
      </c>
      <c r="M960" s="590"/>
      <c r="N960" s="589">
        <f>IFERROR(VLOOKUP($B958,اسماء,35,0),0)</f>
        <v>0</v>
      </c>
      <c r="O960" s="590"/>
      <c r="P960" s="589">
        <f>IFERROR(VLOOKUP($B958,اسماء,36,0),0)</f>
        <v>0</v>
      </c>
      <c r="Q960" s="609"/>
      <c r="R960" s="603">
        <f>IFERROR(VLOOKUP($B958,اسماء,37,0),0)</f>
        <v>0</v>
      </c>
      <c r="S960" s="592"/>
      <c r="T960" s="589">
        <f>IFERROR(VLOOKUP($B958,اسماء,38,0),0)</f>
        <v>0</v>
      </c>
      <c r="U960" s="590"/>
      <c r="V960" s="378">
        <f t="shared" si="2925"/>
        <v>0</v>
      </c>
      <c r="W960" s="374">
        <f>IFERROR(VLOOKUP($B958,اسماء,40,0),0)</f>
        <v>0</v>
      </c>
      <c r="X960" s="379">
        <f>IFERROR(VLOOKUP($B958,اسماء,41,0),0)</f>
        <v>0</v>
      </c>
      <c r="Y960" s="596"/>
      <c r="Z960" s="22" t="str">
        <f t="shared" ref="Z960" si="2930">LOOKUP(V960,$AI$6:$AJ$10)</f>
        <v>ضعيف</v>
      </c>
      <c r="AA960" s="657"/>
      <c r="AB960" s="72"/>
      <c r="AC960" s="654"/>
      <c r="AN960" s="607"/>
      <c r="AO960" s="607"/>
      <c r="AP960" s="613"/>
      <c r="AQ960" s="612"/>
      <c r="AR960" s="611"/>
      <c r="AS960" s="612"/>
    </row>
    <row r="961" spans="1:45" ht="15" customHeight="1" thickBot="1" x14ac:dyDescent="0.3">
      <c r="A961" s="634"/>
      <c r="B961" s="631"/>
      <c r="C961" s="623"/>
      <c r="D961" s="626"/>
      <c r="E961" s="127" t="s">
        <v>33</v>
      </c>
      <c r="F961" s="585">
        <f t="shared" ref="F961" si="2931">SUM(F958:G960)</f>
        <v>0</v>
      </c>
      <c r="G961" s="593"/>
      <c r="H961" s="604">
        <f t="shared" ref="H961" si="2932">SUM(H958:I960)</f>
        <v>0</v>
      </c>
      <c r="I961" s="601"/>
      <c r="J961" s="585">
        <f t="shared" ref="J961" si="2933">SUM(J958:K960)</f>
        <v>0</v>
      </c>
      <c r="K961" s="593"/>
      <c r="L961" s="585">
        <f t="shared" ref="L961" si="2934">SUM(L958:M960)</f>
        <v>0</v>
      </c>
      <c r="M961" s="586"/>
      <c r="N961" s="585">
        <f t="shared" ref="N961" si="2935">SUM(N958:O960)</f>
        <v>0</v>
      </c>
      <c r="O961" s="586"/>
      <c r="P961" s="585">
        <f t="shared" ref="P961" si="2936">SUM(P958:Q960)</f>
        <v>0</v>
      </c>
      <c r="Q961" s="601"/>
      <c r="R961" s="602">
        <f t="shared" ref="R961" si="2937">SUM(R958:S960)</f>
        <v>0</v>
      </c>
      <c r="S961" s="593"/>
      <c r="T961" s="585">
        <f t="shared" ref="T961" si="2938">SUM(T958:U960)</f>
        <v>0</v>
      </c>
      <c r="U961" s="586"/>
      <c r="V961" s="96">
        <f t="shared" ref="V961" si="2939">IF(AND(F961&gt;=$G$8,H961&gt;=$I$8,L961&gt;=$M$8,P961&gt;=$Q$8,R961&gt;=$S$8,T961&gt;=$U$8),SUM(F961:U961),0)</f>
        <v>0</v>
      </c>
      <c r="W961" s="380"/>
      <c r="X961" s="97"/>
      <c r="Y961" s="597"/>
      <c r="Z961" s="91" t="str">
        <f t="shared" ref="Z961" si="2940">LOOKUP(V961,$AL$6:$AM$10)</f>
        <v>ضعيف</v>
      </c>
      <c r="AA961" s="658"/>
      <c r="AB961" s="72"/>
      <c r="AC961" s="655"/>
      <c r="AN961" s="607"/>
      <c r="AO961" s="607"/>
      <c r="AP961" s="613"/>
      <c r="AQ961" s="612"/>
      <c r="AR961" s="611"/>
      <c r="AS961" s="612"/>
    </row>
    <row r="962" spans="1:45" ht="15" customHeight="1" x14ac:dyDescent="0.25">
      <c r="A962" s="632">
        <v>209</v>
      </c>
      <c r="B962" s="629">
        <f>VLOOKUP(A962,مسلسل,2,0)</f>
        <v>0</v>
      </c>
      <c r="C962" s="621" t="str">
        <f>IFERROR(VLOOKUP(B962,اسماء,2,0),"")</f>
        <v/>
      </c>
      <c r="D962" s="624" t="str">
        <f>IFERROR(VLOOKUP($B962,اسماء,3,0),"")</f>
        <v/>
      </c>
      <c r="E962" s="132" t="s">
        <v>30</v>
      </c>
      <c r="F962" s="627">
        <f>IFERROR(VLOOKUP($B962,اسماء,5,0),0)</f>
        <v>0</v>
      </c>
      <c r="G962" s="606"/>
      <c r="H962" s="628">
        <f>IFERROR(VLOOKUP($B962,اسماء,6,0),0)</f>
        <v>0</v>
      </c>
      <c r="I962" s="605"/>
      <c r="J962" s="587">
        <f>IFERROR(VLOOKUP($B962,اسماء,7,0),0)</f>
        <v>0</v>
      </c>
      <c r="K962" s="591"/>
      <c r="L962" s="587">
        <f>IFERROR(VLOOKUP($B962,اسماء,8,0),0)</f>
        <v>0</v>
      </c>
      <c r="M962" s="588"/>
      <c r="N962" s="587">
        <f>IFERROR(VLOOKUP($B962,اسماء,9,0),0)</f>
        <v>0</v>
      </c>
      <c r="O962" s="605"/>
      <c r="P962" s="587">
        <f>IFERROR(VLOOKUP($B962,اسماء,10,0),0)</f>
        <v>0</v>
      </c>
      <c r="Q962" s="605"/>
      <c r="R962" s="606">
        <f>IFERROR(VLOOKUP($B962,اسماء,11,0),0)</f>
        <v>0</v>
      </c>
      <c r="S962" s="591"/>
      <c r="T962" s="587">
        <f>IFERROR(VLOOKUP($B962,اسماء,12,0),0)</f>
        <v>0</v>
      </c>
      <c r="U962" s="588"/>
      <c r="V962" s="375">
        <f t="shared" ref="V962:V964" si="2941">SUM(F962:U962)</f>
        <v>0</v>
      </c>
      <c r="W962" s="376">
        <f>IFERROR(VLOOKUP($B962,اسماء,14,0),0)</f>
        <v>0</v>
      </c>
      <c r="X962" s="377">
        <f>IFERROR(VLOOKUP($B962,اسماء,15,0),0)</f>
        <v>0</v>
      </c>
      <c r="Y962" s="595" t="str">
        <f t="shared" ref="Y962" si="2942">IF(AC962="غائب","راسب",IF(AND(F965&gt;=$G$8,H965&gt;=$I$8,J965&gt;=$K$8,L965&gt;=$M$8,N965&gt;=$O$8,P965&gt;=$Q$8,R965&gt;=$S$8,T965&gt;=$U$8),"ناجح","له دور ثان"))</f>
        <v>له دور ثان</v>
      </c>
      <c r="Z962" s="21" t="str">
        <f t="shared" ref="Z962:Z963" si="2943">LOOKUP(V962,$AF$6:$AG$10)</f>
        <v>ضعيف</v>
      </c>
      <c r="AA962" s="656">
        <f t="shared" ref="AA962" si="2944">V965/$AF$3</f>
        <v>0</v>
      </c>
      <c r="AB962" s="10"/>
      <c r="AC962" s="653" t="str">
        <f>IFERROR(VLOOKUP($B962,اسماء,54,0),"")</f>
        <v/>
      </c>
      <c r="AN962" s="607" t="str">
        <f t="shared" ref="AN962" si="2945">IF(V965=0,"",V965/1+ROW()*0.00001)</f>
        <v/>
      </c>
      <c r="AO962" s="607">
        <f>B962</f>
        <v>0</v>
      </c>
      <c r="AP962" s="613"/>
      <c r="AQ962" s="612">
        <v>209</v>
      </c>
      <c r="AR962" s="611" t="str">
        <f>IFERROR(LARGE($AN$10:$AN$1006,AQ962),"")</f>
        <v/>
      </c>
      <c r="AS962" s="612" t="str">
        <f>VLOOKUP(AR962,$AN$10:$AO$1116,2,0)</f>
        <v>أحمد نورالدين أحمد الذيب</v>
      </c>
    </row>
    <row r="963" spans="1:45" ht="15" customHeight="1" x14ac:dyDescent="0.25">
      <c r="A963" s="633"/>
      <c r="B963" s="630"/>
      <c r="C963" s="622"/>
      <c r="D963" s="625"/>
      <c r="E963" s="133" t="s">
        <v>31</v>
      </c>
      <c r="F963" s="589">
        <f>IFERROR(VLOOKUP($B962,اسماء,18,0),0)</f>
        <v>0</v>
      </c>
      <c r="G963" s="592"/>
      <c r="H963" s="608">
        <f>IFERROR(VLOOKUP($B962,اسماء,19,0),0)</f>
        <v>0</v>
      </c>
      <c r="I963" s="609"/>
      <c r="J963" s="589">
        <f>IFERROR(VLOOKUP($B962,اسماء,20,0),0)</f>
        <v>0</v>
      </c>
      <c r="K963" s="592"/>
      <c r="L963" s="589">
        <f>IFERROR(VLOOKUP($B962,اسماء,21,0),0)</f>
        <v>0</v>
      </c>
      <c r="M963" s="590"/>
      <c r="N963" s="589">
        <f>IFERROR(VLOOKUP($B962,اسماء,22,0),0)</f>
        <v>0</v>
      </c>
      <c r="O963" s="590"/>
      <c r="P963" s="589">
        <f>IFERROR(VLOOKUP($B962,اسماء,23,0),0)</f>
        <v>0</v>
      </c>
      <c r="Q963" s="609"/>
      <c r="R963" s="603">
        <f>IFERROR(VLOOKUP($B962,اسماء,24,0),0)</f>
        <v>0</v>
      </c>
      <c r="S963" s="592"/>
      <c r="T963" s="589">
        <f>IFERROR(VLOOKUP($B962,اسماء,25,0),0)</f>
        <v>0</v>
      </c>
      <c r="U963" s="590"/>
      <c r="V963" s="378">
        <f t="shared" si="2941"/>
        <v>0</v>
      </c>
      <c r="W963" s="374">
        <f>IFERROR(VLOOKUP($B962,اسماء,27,0),0)</f>
        <v>0</v>
      </c>
      <c r="X963" s="379">
        <f>IFERROR(VLOOKUP($B962,اسماء,28,0),0)</f>
        <v>0</v>
      </c>
      <c r="Y963" s="596"/>
      <c r="Z963" s="22" t="str">
        <f t="shared" si="2943"/>
        <v>ضعيف</v>
      </c>
      <c r="AA963" s="657"/>
      <c r="AB963" s="72"/>
      <c r="AC963" s="654"/>
      <c r="AN963" s="607"/>
      <c r="AO963" s="607"/>
      <c r="AP963" s="613"/>
      <c r="AQ963" s="612"/>
      <c r="AR963" s="611"/>
      <c r="AS963" s="612"/>
    </row>
    <row r="964" spans="1:45" ht="15" customHeight="1" x14ac:dyDescent="0.25">
      <c r="A964" s="633"/>
      <c r="B964" s="630"/>
      <c r="C964" s="622"/>
      <c r="D964" s="625"/>
      <c r="E964" s="133" t="s">
        <v>32</v>
      </c>
      <c r="F964" s="589">
        <f>IFERROR(VLOOKUP($B962,اسماء,31,0),0)</f>
        <v>0</v>
      </c>
      <c r="G964" s="592"/>
      <c r="H964" s="608">
        <f>IFERROR(VLOOKUP($B962,اسماء,32,0),0)</f>
        <v>0</v>
      </c>
      <c r="I964" s="609"/>
      <c r="J964" s="589">
        <f>IFERROR(VLOOKUP($B962,اسماء,33,0),0)</f>
        <v>0</v>
      </c>
      <c r="K964" s="592"/>
      <c r="L964" s="589">
        <f>IFERROR(VLOOKUP($B962,اسماء,34,0),0)</f>
        <v>0</v>
      </c>
      <c r="M964" s="590"/>
      <c r="N964" s="589">
        <f>IFERROR(VLOOKUP($B962,اسماء,35,0),0)</f>
        <v>0</v>
      </c>
      <c r="O964" s="590"/>
      <c r="P964" s="589">
        <f>IFERROR(VLOOKUP($B962,اسماء,36,0),0)</f>
        <v>0</v>
      </c>
      <c r="Q964" s="609"/>
      <c r="R964" s="603">
        <f>IFERROR(VLOOKUP($B962,اسماء,37,0),0)</f>
        <v>0</v>
      </c>
      <c r="S964" s="592"/>
      <c r="T964" s="589">
        <f>IFERROR(VLOOKUP($B962,اسماء,38,0),0)</f>
        <v>0</v>
      </c>
      <c r="U964" s="590"/>
      <c r="V964" s="378">
        <f t="shared" si="2941"/>
        <v>0</v>
      </c>
      <c r="W964" s="374">
        <f>IFERROR(VLOOKUP($B962,اسماء,40,0),0)</f>
        <v>0</v>
      </c>
      <c r="X964" s="379">
        <f>IFERROR(VLOOKUP($B962,اسماء,41,0),0)</f>
        <v>0</v>
      </c>
      <c r="Y964" s="596"/>
      <c r="Z964" s="22" t="str">
        <f t="shared" ref="Z964" si="2946">LOOKUP(V964,$AI$6:$AJ$10)</f>
        <v>ضعيف</v>
      </c>
      <c r="AA964" s="657"/>
      <c r="AB964" s="72"/>
      <c r="AC964" s="654"/>
      <c r="AN964" s="607"/>
      <c r="AO964" s="607"/>
      <c r="AP964" s="613"/>
      <c r="AQ964" s="612"/>
      <c r="AR964" s="611"/>
      <c r="AS964" s="612"/>
    </row>
    <row r="965" spans="1:45" ht="15" customHeight="1" thickBot="1" x14ac:dyDescent="0.3">
      <c r="A965" s="634"/>
      <c r="B965" s="631"/>
      <c r="C965" s="623"/>
      <c r="D965" s="626"/>
      <c r="E965" s="127" t="s">
        <v>33</v>
      </c>
      <c r="F965" s="585">
        <f t="shared" ref="F965" si="2947">SUM(F962:G964)</f>
        <v>0</v>
      </c>
      <c r="G965" s="593"/>
      <c r="H965" s="604">
        <f t="shared" ref="H965" si="2948">SUM(H962:I964)</f>
        <v>0</v>
      </c>
      <c r="I965" s="601"/>
      <c r="J965" s="585">
        <f t="shared" ref="J965" si="2949">SUM(J962:K964)</f>
        <v>0</v>
      </c>
      <c r="K965" s="593"/>
      <c r="L965" s="585">
        <f t="shared" ref="L965" si="2950">SUM(L962:M964)</f>
        <v>0</v>
      </c>
      <c r="M965" s="586"/>
      <c r="N965" s="585">
        <f t="shared" ref="N965" si="2951">SUM(N962:O964)</f>
        <v>0</v>
      </c>
      <c r="O965" s="586"/>
      <c r="P965" s="585">
        <f t="shared" ref="P965" si="2952">SUM(P962:Q964)</f>
        <v>0</v>
      </c>
      <c r="Q965" s="601"/>
      <c r="R965" s="602">
        <f t="shared" ref="R965" si="2953">SUM(R962:S964)</f>
        <v>0</v>
      </c>
      <c r="S965" s="593"/>
      <c r="T965" s="585">
        <f t="shared" ref="T965" si="2954">SUM(T962:U964)</f>
        <v>0</v>
      </c>
      <c r="U965" s="586"/>
      <c r="V965" s="96">
        <f t="shared" ref="V965" si="2955">IF(AND(F965&gt;=$G$8,H965&gt;=$I$8,L965&gt;=$M$8,P965&gt;=$Q$8,R965&gt;=$S$8,T965&gt;=$U$8),SUM(F965:U965),0)</f>
        <v>0</v>
      </c>
      <c r="W965" s="380"/>
      <c r="X965" s="97"/>
      <c r="Y965" s="597"/>
      <c r="Z965" s="91" t="str">
        <f t="shared" ref="Z965" si="2956">LOOKUP(V965,$AL$6:$AM$10)</f>
        <v>ضعيف</v>
      </c>
      <c r="AA965" s="658"/>
      <c r="AB965" s="10"/>
      <c r="AC965" s="655"/>
      <c r="AN965" s="607"/>
      <c r="AO965" s="607"/>
      <c r="AP965" s="613"/>
      <c r="AQ965" s="612"/>
      <c r="AR965" s="611"/>
      <c r="AS965" s="612"/>
    </row>
    <row r="966" spans="1:45" ht="15" customHeight="1" x14ac:dyDescent="0.25">
      <c r="A966" s="632">
        <v>210</v>
      </c>
      <c r="B966" s="629">
        <f>VLOOKUP(A966,مسلسل,2,0)</f>
        <v>0</v>
      </c>
      <c r="C966" s="621" t="str">
        <f>IFERROR(VLOOKUP(B966,اسماء,2,0),"")</f>
        <v/>
      </c>
      <c r="D966" s="624" t="str">
        <f>IFERROR(VLOOKUP($B966,اسماء,3,0),"")</f>
        <v/>
      </c>
      <c r="E966" s="132" t="s">
        <v>30</v>
      </c>
      <c r="F966" s="627">
        <f>IFERROR(VLOOKUP($B966,اسماء,5,0),0)</f>
        <v>0</v>
      </c>
      <c r="G966" s="606"/>
      <c r="H966" s="628">
        <f>IFERROR(VLOOKUP($B966,اسماء,6,0),0)</f>
        <v>0</v>
      </c>
      <c r="I966" s="605"/>
      <c r="J966" s="587">
        <f>IFERROR(VLOOKUP($B966,اسماء,7,0),0)</f>
        <v>0</v>
      </c>
      <c r="K966" s="591"/>
      <c r="L966" s="587">
        <f>IFERROR(VLOOKUP($B966,اسماء,8,0),0)</f>
        <v>0</v>
      </c>
      <c r="M966" s="588"/>
      <c r="N966" s="587">
        <f>IFERROR(VLOOKUP($B966,اسماء,9,0),0)</f>
        <v>0</v>
      </c>
      <c r="O966" s="605"/>
      <c r="P966" s="587">
        <f>IFERROR(VLOOKUP($B966,اسماء,10,0),0)</f>
        <v>0</v>
      </c>
      <c r="Q966" s="605"/>
      <c r="R966" s="606">
        <f>IFERROR(VLOOKUP($B966,اسماء,11,0),0)</f>
        <v>0</v>
      </c>
      <c r="S966" s="591"/>
      <c r="T966" s="587">
        <f>IFERROR(VLOOKUP($B966,اسماء,12,0),0)</f>
        <v>0</v>
      </c>
      <c r="U966" s="588"/>
      <c r="V966" s="375">
        <f t="shared" ref="V966:V968" si="2957">SUM(F966:U966)</f>
        <v>0</v>
      </c>
      <c r="W966" s="376">
        <f>IFERROR(VLOOKUP($B966,اسماء,14,0),0)</f>
        <v>0</v>
      </c>
      <c r="X966" s="377">
        <f>IFERROR(VLOOKUP($B966,اسماء,15,0),0)</f>
        <v>0</v>
      </c>
      <c r="Y966" s="595" t="str">
        <f t="shared" ref="Y966" si="2958">IF(AC966="غائب","راسب",IF(AND(F969&gt;=$G$8,H969&gt;=$I$8,J969&gt;=$K$8,L969&gt;=$M$8,N969&gt;=$O$8,P969&gt;=$Q$8,R969&gt;=$S$8,T969&gt;=$U$8),"ناجح","له دور ثان"))</f>
        <v>له دور ثان</v>
      </c>
      <c r="Z966" s="21" t="str">
        <f t="shared" ref="Z966:Z967" si="2959">LOOKUP(V966,$AF$6:$AG$10)</f>
        <v>ضعيف</v>
      </c>
      <c r="AA966" s="656">
        <f t="shared" ref="AA966" si="2960">V969/$AF$3</f>
        <v>0</v>
      </c>
      <c r="AB966" s="72"/>
      <c r="AC966" s="653" t="str">
        <f>IFERROR(VLOOKUP($B966,اسماء,54,0),"")</f>
        <v/>
      </c>
      <c r="AN966" s="607" t="str">
        <f t="shared" ref="AN966" si="2961">IF(V969=0,"",V969/1+ROW()*0.00001)</f>
        <v/>
      </c>
      <c r="AO966" s="607">
        <f>B966</f>
        <v>0</v>
      </c>
      <c r="AP966" s="613"/>
      <c r="AQ966" s="612">
        <v>210</v>
      </c>
      <c r="AR966" s="611" t="str">
        <f>IFERROR(LARGE($AN$10:$AN$1006,AQ966),"")</f>
        <v/>
      </c>
      <c r="AS966" s="612" t="str">
        <f>VLOOKUP(AR966,$AN$10:$AO$1116,2,0)</f>
        <v>أحمد نورالدين أحمد الذيب</v>
      </c>
    </row>
    <row r="967" spans="1:45" ht="15" customHeight="1" x14ac:dyDescent="0.25">
      <c r="A967" s="633"/>
      <c r="B967" s="630"/>
      <c r="C967" s="622"/>
      <c r="D967" s="625"/>
      <c r="E967" s="133" t="s">
        <v>31</v>
      </c>
      <c r="F967" s="589">
        <f>IFERROR(VLOOKUP($B966,اسماء,18,0),0)</f>
        <v>0</v>
      </c>
      <c r="G967" s="592"/>
      <c r="H967" s="608">
        <f>IFERROR(VLOOKUP($B966,اسماء,19,0),0)</f>
        <v>0</v>
      </c>
      <c r="I967" s="609"/>
      <c r="J967" s="589">
        <f>IFERROR(VLOOKUP($B966,اسماء,20,0),0)</f>
        <v>0</v>
      </c>
      <c r="K967" s="592"/>
      <c r="L967" s="589">
        <f>IFERROR(VLOOKUP($B966,اسماء,21,0),0)</f>
        <v>0</v>
      </c>
      <c r="M967" s="590"/>
      <c r="N967" s="589">
        <f>IFERROR(VLOOKUP($B966,اسماء,22,0),0)</f>
        <v>0</v>
      </c>
      <c r="O967" s="590"/>
      <c r="P967" s="589">
        <f>IFERROR(VLOOKUP($B966,اسماء,23,0),0)</f>
        <v>0</v>
      </c>
      <c r="Q967" s="609"/>
      <c r="R967" s="603">
        <f>IFERROR(VLOOKUP($B966,اسماء,24,0),0)</f>
        <v>0</v>
      </c>
      <c r="S967" s="592"/>
      <c r="T967" s="589">
        <f>IFERROR(VLOOKUP($B966,اسماء,25,0),0)</f>
        <v>0</v>
      </c>
      <c r="U967" s="590"/>
      <c r="V967" s="378">
        <f t="shared" si="2957"/>
        <v>0</v>
      </c>
      <c r="W967" s="374">
        <f>IFERROR(VLOOKUP($B966,اسماء,27,0),0)</f>
        <v>0</v>
      </c>
      <c r="X967" s="379">
        <f>IFERROR(VLOOKUP($B966,اسماء,28,0),0)</f>
        <v>0</v>
      </c>
      <c r="Y967" s="596"/>
      <c r="Z967" s="22" t="str">
        <f t="shared" si="2959"/>
        <v>ضعيف</v>
      </c>
      <c r="AA967" s="657"/>
      <c r="AB967" s="72"/>
      <c r="AC967" s="654"/>
      <c r="AN967" s="607"/>
      <c r="AO967" s="607"/>
      <c r="AP967" s="613"/>
      <c r="AQ967" s="612"/>
      <c r="AR967" s="611"/>
      <c r="AS967" s="612"/>
    </row>
    <row r="968" spans="1:45" ht="15" customHeight="1" x14ac:dyDescent="0.25">
      <c r="A968" s="633"/>
      <c r="B968" s="630"/>
      <c r="C968" s="622"/>
      <c r="D968" s="625"/>
      <c r="E968" s="133" t="s">
        <v>32</v>
      </c>
      <c r="F968" s="589">
        <f>IFERROR(VLOOKUP($B966,اسماء,31,0),0)</f>
        <v>0</v>
      </c>
      <c r="G968" s="592"/>
      <c r="H968" s="608">
        <f>IFERROR(VLOOKUP($B966,اسماء,32,0),0)</f>
        <v>0</v>
      </c>
      <c r="I968" s="609"/>
      <c r="J968" s="589">
        <f>IFERROR(VLOOKUP($B966,اسماء,33,0),0)</f>
        <v>0</v>
      </c>
      <c r="K968" s="592"/>
      <c r="L968" s="589">
        <f>IFERROR(VLOOKUP($B966,اسماء,34,0),0)</f>
        <v>0</v>
      </c>
      <c r="M968" s="590"/>
      <c r="N968" s="589">
        <f>IFERROR(VLOOKUP($B966,اسماء,35,0),0)</f>
        <v>0</v>
      </c>
      <c r="O968" s="590"/>
      <c r="P968" s="589">
        <f>IFERROR(VLOOKUP($B966,اسماء,36,0),0)</f>
        <v>0</v>
      </c>
      <c r="Q968" s="609"/>
      <c r="R968" s="603">
        <f>IFERROR(VLOOKUP($B966,اسماء,37,0),0)</f>
        <v>0</v>
      </c>
      <c r="S968" s="592"/>
      <c r="T968" s="589">
        <f>IFERROR(VLOOKUP($B966,اسماء,38,0),0)</f>
        <v>0</v>
      </c>
      <c r="U968" s="590"/>
      <c r="V968" s="378">
        <f t="shared" si="2957"/>
        <v>0</v>
      </c>
      <c r="W968" s="374">
        <f>IFERROR(VLOOKUP($B966,اسماء,40,0),0)</f>
        <v>0</v>
      </c>
      <c r="X968" s="379">
        <f>IFERROR(VLOOKUP($B966,اسماء,41,0),0)</f>
        <v>0</v>
      </c>
      <c r="Y968" s="596"/>
      <c r="Z968" s="22" t="str">
        <f t="shared" ref="Z968" si="2962">LOOKUP(V968,$AI$6:$AJ$10)</f>
        <v>ضعيف</v>
      </c>
      <c r="AA968" s="657"/>
      <c r="AB968" s="10"/>
      <c r="AC968" s="654"/>
      <c r="AN968" s="607"/>
      <c r="AO968" s="607"/>
      <c r="AP968" s="613"/>
      <c r="AQ968" s="612"/>
      <c r="AR968" s="611"/>
      <c r="AS968" s="612"/>
    </row>
    <row r="969" spans="1:45" ht="15" customHeight="1" thickBot="1" x14ac:dyDescent="0.3">
      <c r="A969" s="634"/>
      <c r="B969" s="631"/>
      <c r="C969" s="623"/>
      <c r="D969" s="626"/>
      <c r="E969" s="127" t="s">
        <v>33</v>
      </c>
      <c r="F969" s="585">
        <f t="shared" ref="F969" si="2963">SUM(F966:G968)</f>
        <v>0</v>
      </c>
      <c r="G969" s="593"/>
      <c r="H969" s="604">
        <f t="shared" ref="H969" si="2964">SUM(H966:I968)</f>
        <v>0</v>
      </c>
      <c r="I969" s="601"/>
      <c r="J969" s="585">
        <f t="shared" ref="J969" si="2965">SUM(J966:K968)</f>
        <v>0</v>
      </c>
      <c r="K969" s="593"/>
      <c r="L969" s="585">
        <f t="shared" ref="L969" si="2966">SUM(L966:M968)</f>
        <v>0</v>
      </c>
      <c r="M969" s="586"/>
      <c r="N969" s="585">
        <f t="shared" ref="N969" si="2967">SUM(N966:O968)</f>
        <v>0</v>
      </c>
      <c r="O969" s="586"/>
      <c r="P969" s="585">
        <f t="shared" ref="P969" si="2968">SUM(P966:Q968)</f>
        <v>0</v>
      </c>
      <c r="Q969" s="601"/>
      <c r="R969" s="602">
        <f t="shared" ref="R969" si="2969">SUM(R966:S968)</f>
        <v>0</v>
      </c>
      <c r="S969" s="593"/>
      <c r="T969" s="585">
        <f t="shared" ref="T969" si="2970">SUM(T966:U968)</f>
        <v>0</v>
      </c>
      <c r="U969" s="586"/>
      <c r="V969" s="96">
        <f t="shared" ref="V969" si="2971">IF(AND(F969&gt;=$G$8,H969&gt;=$I$8,L969&gt;=$M$8,P969&gt;=$Q$8,R969&gt;=$S$8,T969&gt;=$U$8),SUM(F969:U969),0)</f>
        <v>0</v>
      </c>
      <c r="W969" s="380"/>
      <c r="X969" s="97"/>
      <c r="Y969" s="597"/>
      <c r="Z969" s="91" t="str">
        <f t="shared" ref="Z969" si="2972">LOOKUP(V969,$AL$6:$AM$10)</f>
        <v>ضعيف</v>
      </c>
      <c r="AA969" s="658"/>
      <c r="AB969" s="72"/>
      <c r="AC969" s="655"/>
      <c r="AN969" s="607"/>
      <c r="AO969" s="607"/>
      <c r="AP969" s="613"/>
      <c r="AQ969" s="612"/>
      <c r="AR969" s="611"/>
      <c r="AS969" s="612"/>
    </row>
    <row r="970" spans="1:45" ht="15" customHeight="1" thickBot="1" x14ac:dyDescent="0.3">
      <c r="F970" s="75"/>
      <c r="G970" s="76"/>
      <c r="H970" s="75"/>
      <c r="I970" s="76"/>
      <c r="J970" s="75"/>
      <c r="K970" s="76"/>
      <c r="L970" s="75"/>
      <c r="M970" s="76"/>
      <c r="N970" s="76"/>
      <c r="O970" s="76"/>
      <c r="P970" s="75"/>
      <c r="Q970" s="76"/>
      <c r="R970" s="75"/>
      <c r="S970" s="76"/>
      <c r="T970" s="75"/>
      <c r="U970" s="76"/>
      <c r="V970" s="74"/>
      <c r="W970" s="77"/>
      <c r="X970" s="74"/>
      <c r="Y970" s="362"/>
      <c r="Z970" s="74"/>
      <c r="AA970" s="267"/>
      <c r="AB970" s="72"/>
      <c r="AK970" s="78"/>
    </row>
    <row r="971" spans="1:45" customFormat="1" ht="15" customHeight="1" x14ac:dyDescent="0.3">
      <c r="A971" s="617" t="s">
        <v>9</v>
      </c>
      <c r="B971" s="618"/>
      <c r="C971" s="619"/>
      <c r="D971" s="288" t="s">
        <v>11</v>
      </c>
      <c r="E971" s="600" t="s">
        <v>97</v>
      </c>
      <c r="F971" s="598"/>
      <c r="G971" s="598"/>
      <c r="H971" s="598"/>
      <c r="I971" s="598"/>
      <c r="J971" s="9"/>
      <c r="K971" s="9"/>
      <c r="L971" s="9"/>
      <c r="M971" s="9"/>
      <c r="N971" s="9"/>
      <c r="O971" s="9"/>
      <c r="P971" s="9"/>
      <c r="Q971" s="9"/>
      <c r="R971" s="9"/>
      <c r="S971" s="598" t="s">
        <v>156</v>
      </c>
      <c r="T971" s="598"/>
      <c r="U971" s="598"/>
      <c r="V971" s="598"/>
      <c r="W971" s="598"/>
      <c r="X971" s="598"/>
      <c r="Y971" s="598"/>
      <c r="Z971" s="1"/>
      <c r="AA971" s="268"/>
      <c r="AC971" s="79"/>
      <c r="AD971" s="80"/>
      <c r="AE971" s="80"/>
      <c r="AF971" s="80"/>
      <c r="AG971" s="80"/>
    </row>
    <row r="972" spans="1:45" customFormat="1" ht="15" customHeight="1" x14ac:dyDescent="0.25">
      <c r="A972" s="81" t="s">
        <v>8</v>
      </c>
      <c r="B972" s="610">
        <f>ادخال1!$BP$3</f>
        <v>0</v>
      </c>
      <c r="C972" s="620"/>
      <c r="D972" s="289"/>
      <c r="E972" s="9" t="s">
        <v>9</v>
      </c>
      <c r="F972" s="599" t="str">
        <f>ادخال1!$BP$5</f>
        <v>د.عبدالرحمن خليفة العريبي</v>
      </c>
      <c r="G972" s="599"/>
      <c r="H972" s="599"/>
      <c r="I972" s="599"/>
      <c r="J972" s="599"/>
      <c r="K972" s="599"/>
      <c r="L972" s="599"/>
      <c r="M972" s="599"/>
      <c r="N972" s="599"/>
      <c r="O972" s="599"/>
      <c r="P972" s="599"/>
      <c r="Q972" s="599"/>
      <c r="R972" s="9"/>
      <c r="S972" s="599" t="str">
        <f>ادخال1!$BP$6</f>
        <v>تاجوراء</v>
      </c>
      <c r="T972" s="599"/>
      <c r="U972" s="599"/>
      <c r="V972" s="599"/>
      <c r="W972" s="599"/>
      <c r="X972" s="599"/>
      <c r="Y972" s="599"/>
      <c r="Z972" s="599"/>
      <c r="AA972" s="67"/>
      <c r="AB972" s="67"/>
      <c r="AC972" s="79"/>
      <c r="AD972" s="79"/>
      <c r="AE972" s="79"/>
      <c r="AF972" s="79"/>
    </row>
    <row r="973" spans="1:45" customFormat="1" ht="15" customHeight="1" thickBot="1" x14ac:dyDescent="0.3">
      <c r="A973" s="82" t="s">
        <v>98</v>
      </c>
      <c r="B973" s="615">
        <f>ادخال1!$BP$4</f>
        <v>0</v>
      </c>
      <c r="C973" s="616"/>
      <c r="D973" s="290"/>
      <c r="E973" s="9" t="s">
        <v>11</v>
      </c>
      <c r="F973" s="607"/>
      <c r="G973" s="607"/>
      <c r="H973" s="607"/>
      <c r="I973" s="607"/>
      <c r="J973" s="607"/>
      <c r="K973" s="607"/>
      <c r="L973" s="607"/>
      <c r="M973" s="607"/>
      <c r="N973" s="607"/>
      <c r="O973" s="607"/>
      <c r="P973" s="607"/>
      <c r="Q973" s="607"/>
      <c r="R973" s="9"/>
      <c r="S973" s="9" t="s">
        <v>11</v>
      </c>
      <c r="T973" s="9"/>
      <c r="U973" s="9" t="s">
        <v>11</v>
      </c>
      <c r="V973" s="1"/>
      <c r="W973" s="1"/>
      <c r="X973" s="1"/>
      <c r="Y973" s="363"/>
      <c r="Z973" s="1"/>
      <c r="AA973" s="268"/>
      <c r="AC973" s="79"/>
      <c r="AD973" s="79"/>
      <c r="AE973" s="79"/>
      <c r="AF973" s="79"/>
    </row>
    <row r="974" spans="1:45" customFormat="1" ht="15" customHeight="1" x14ac:dyDescent="0.25">
      <c r="A974" s="598" t="s">
        <v>99</v>
      </c>
      <c r="B974" s="598"/>
      <c r="C974" s="598"/>
      <c r="D974" s="598"/>
      <c r="E974" s="598" t="s">
        <v>100</v>
      </c>
      <c r="F974" s="598"/>
      <c r="G974" s="598"/>
      <c r="H974" s="598"/>
      <c r="I974" s="598"/>
      <c r="J974" s="598"/>
      <c r="K974" s="598"/>
      <c r="L974" s="598"/>
      <c r="M974" s="598"/>
      <c r="N974" s="598"/>
      <c r="O974" s="598"/>
      <c r="P974" s="598"/>
      <c r="Q974" s="598"/>
      <c r="R974" s="598"/>
      <c r="S974" s="598"/>
      <c r="T974" s="9"/>
      <c r="U974" s="9"/>
      <c r="V974" s="9"/>
      <c r="W974" s="594">
        <f ca="1">TODAY()</f>
        <v>46035</v>
      </c>
      <c r="X974" s="594"/>
      <c r="Y974" s="594"/>
      <c r="Z974" s="594"/>
      <c r="AA974" s="268"/>
    </row>
    <row r="975" spans="1:45" customFormat="1" ht="15" customHeight="1" x14ac:dyDescent="0.25">
      <c r="A975" s="9"/>
      <c r="B975" s="598" t="s">
        <v>101</v>
      </c>
      <c r="C975" s="598"/>
      <c r="D975" s="598"/>
      <c r="E975" s="598" t="s">
        <v>102</v>
      </c>
      <c r="F975" s="598"/>
      <c r="G975" s="598"/>
      <c r="H975" s="598"/>
      <c r="I975" s="598"/>
      <c r="J975" s="598"/>
      <c r="K975" s="598"/>
      <c r="L975" s="598"/>
      <c r="M975" s="598"/>
      <c r="N975" s="598"/>
      <c r="O975" s="598"/>
      <c r="P975" s="598"/>
      <c r="Q975" s="598"/>
      <c r="R975" s="598"/>
      <c r="S975" s="598"/>
      <c r="T975" s="9"/>
      <c r="U975" s="9"/>
      <c r="V975" s="1"/>
      <c r="W975" s="1"/>
      <c r="X975" s="1"/>
      <c r="Y975" s="363"/>
      <c r="Z975" s="1"/>
      <c r="AA975" s="268"/>
    </row>
    <row r="976" spans="1:45" ht="15.75" thickBot="1" x14ac:dyDescent="0.3"/>
    <row r="977" spans="1:25" ht="34.5" customHeight="1" x14ac:dyDescent="0.25">
      <c r="A977" s="23"/>
      <c r="B977" s="205" t="s">
        <v>34</v>
      </c>
      <c r="C977" s="646" t="s">
        <v>35</v>
      </c>
      <c r="D977" s="646"/>
      <c r="E977" s="647" t="s">
        <v>38</v>
      </c>
      <c r="F977" s="647"/>
      <c r="G977" s="647"/>
      <c r="H977" s="646" t="s">
        <v>36</v>
      </c>
      <c r="I977" s="646"/>
      <c r="J977" s="646"/>
      <c r="K977" s="646"/>
      <c r="L977" s="646"/>
      <c r="M977" s="646"/>
      <c r="N977" s="284"/>
      <c r="O977" s="284"/>
      <c r="P977" s="646" t="s">
        <v>37</v>
      </c>
      <c r="Q977" s="646"/>
      <c r="R977" s="646"/>
      <c r="S977" s="646"/>
      <c r="T977" s="284"/>
      <c r="U977" s="284"/>
      <c r="V977" s="284"/>
      <c r="W977" s="646" t="s">
        <v>26</v>
      </c>
      <c r="X977" s="646"/>
      <c r="Y977" s="648"/>
    </row>
    <row r="978" spans="1:25" ht="34.5" customHeight="1" thickBot="1" x14ac:dyDescent="0.3">
      <c r="A978" s="23"/>
      <c r="B978" s="206">
        <f>B979</f>
        <v>17</v>
      </c>
      <c r="C978" s="635">
        <f>C979</f>
        <v>17</v>
      </c>
      <c r="D978" s="636"/>
      <c r="E978" s="650" t="str">
        <f>IF(E979=0,"لايوجد",E979)</f>
        <v>لايوجد</v>
      </c>
      <c r="F978" s="651"/>
      <c r="G978" s="652"/>
      <c r="H978" s="635" t="str">
        <f>IF(H979=0,"لايوجد",H979)</f>
        <v>لايوجد</v>
      </c>
      <c r="I978" s="640"/>
      <c r="J978" s="640"/>
      <c r="K978" s="640"/>
      <c r="L978" s="640"/>
      <c r="M978" s="636"/>
      <c r="N978" s="340"/>
      <c r="O978" s="340"/>
      <c r="P978" s="635" t="str">
        <f>IF(P979=0,"لايوجد",P979)</f>
        <v>لايوجد</v>
      </c>
      <c r="Q978" s="640"/>
      <c r="R978" s="640"/>
      <c r="S978" s="636"/>
      <c r="T978" s="355"/>
      <c r="U978" s="355"/>
      <c r="V978" s="282"/>
      <c r="W978" s="637">
        <f>W979</f>
        <v>0</v>
      </c>
      <c r="X978" s="638"/>
      <c r="Y978" s="639"/>
    </row>
    <row r="979" spans="1:25" ht="39.75" customHeight="1" thickBot="1" x14ac:dyDescent="0.3">
      <c r="A979" s="23"/>
      <c r="B979" s="206">
        <f>COUNTA(عمود2)</f>
        <v>17</v>
      </c>
      <c r="C979" s="649">
        <f>B979-E979</f>
        <v>17</v>
      </c>
      <c r="D979" s="649"/>
      <c r="E979" s="641">
        <f>COUNTIF(Y10:Y975,"غائب")</f>
        <v>0</v>
      </c>
      <c r="F979" s="641"/>
      <c r="G979" s="641"/>
      <c r="H979" s="642">
        <f>COUNTIF($Y$10:$Y$975,"ناجح")</f>
        <v>0</v>
      </c>
      <c r="I979" s="642"/>
      <c r="J979" s="642"/>
      <c r="K979" s="642"/>
      <c r="L979" s="642"/>
      <c r="M979" s="642"/>
      <c r="N979" s="283"/>
      <c r="O979" s="283"/>
      <c r="P979" s="642">
        <f>COUNTIF($Y$10:$Y$975,"مرحل")</f>
        <v>0</v>
      </c>
      <c r="Q979" s="642"/>
      <c r="R979" s="642"/>
      <c r="S979" s="642"/>
      <c r="T979" s="283"/>
      <c r="U979" s="283"/>
      <c r="V979" s="283"/>
      <c r="W979" s="643">
        <f>(H979+P979)/B979</f>
        <v>0</v>
      </c>
      <c r="X979" s="644"/>
      <c r="Y979" s="645"/>
    </row>
    <row r="980" spans="1:25" x14ac:dyDescent="0.25">
      <c r="A980" s="23"/>
      <c r="B980" s="8"/>
    </row>
  </sheetData>
  <sheetProtection selectLockedCells="1"/>
  <mergeCells count="9770">
    <mergeCell ref="N953:O953"/>
    <mergeCell ref="N866:O866"/>
    <mergeCell ref="N867:O867"/>
    <mergeCell ref="N868:O868"/>
    <mergeCell ref="N869:O869"/>
    <mergeCell ref="N966:O966"/>
    <mergeCell ref="N967:O967"/>
    <mergeCell ref="N968:O968"/>
    <mergeCell ref="N969:O969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56:O956"/>
    <mergeCell ref="N950:O950"/>
    <mergeCell ref="N951:O951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42:O842"/>
    <mergeCell ref="N843:O843"/>
    <mergeCell ref="N844:O844"/>
    <mergeCell ref="N851:O851"/>
    <mergeCell ref="N852:O852"/>
    <mergeCell ref="N845:O845"/>
    <mergeCell ref="N847:O847"/>
    <mergeCell ref="N825:O825"/>
    <mergeCell ref="N826:O826"/>
    <mergeCell ref="N827:O827"/>
    <mergeCell ref="N828:O828"/>
    <mergeCell ref="N952:O952"/>
    <mergeCell ref="N870:O870"/>
    <mergeCell ref="N871:O871"/>
    <mergeCell ref="N872:O872"/>
    <mergeCell ref="N945:O945"/>
    <mergeCell ref="N873:O873"/>
    <mergeCell ref="N874:O874"/>
    <mergeCell ref="N875:O875"/>
    <mergeCell ref="N877:O877"/>
    <mergeCell ref="N884:O884"/>
    <mergeCell ref="N885:O885"/>
    <mergeCell ref="N886:O886"/>
    <mergeCell ref="N876:O876"/>
    <mergeCell ref="N804:O804"/>
    <mergeCell ref="N805:O805"/>
    <mergeCell ref="N806:O806"/>
    <mergeCell ref="N807:O807"/>
    <mergeCell ref="N887:O887"/>
    <mergeCell ref="N888:O888"/>
    <mergeCell ref="N889:O889"/>
    <mergeCell ref="N890:O890"/>
    <mergeCell ref="N891:O891"/>
    <mergeCell ref="N814:O814"/>
    <mergeCell ref="N815:O815"/>
    <mergeCell ref="N848:O848"/>
    <mergeCell ref="N849:O849"/>
    <mergeCell ref="N850:O850"/>
    <mergeCell ref="N942:O942"/>
    <mergeCell ref="N943:O943"/>
    <mergeCell ref="N944:O944"/>
    <mergeCell ref="N831:O831"/>
    <mergeCell ref="N838:O838"/>
    <mergeCell ref="N759:O759"/>
    <mergeCell ref="N760:O760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92:O792"/>
    <mergeCell ref="N793:O793"/>
    <mergeCell ref="N794:O794"/>
    <mergeCell ref="N795:O795"/>
    <mergeCell ref="N796:O796"/>
    <mergeCell ref="N797:O797"/>
    <mergeCell ref="N766:O766"/>
    <mergeCell ref="N767:O767"/>
    <mergeCell ref="N768:O768"/>
    <mergeCell ref="N769:O769"/>
    <mergeCell ref="N770:O770"/>
    <mergeCell ref="N771:O771"/>
    <mergeCell ref="N715:O715"/>
    <mergeCell ref="N716:O716"/>
    <mergeCell ref="N720:O720"/>
    <mergeCell ref="N721:O721"/>
    <mergeCell ref="N722:O722"/>
    <mergeCell ref="N723:O723"/>
    <mergeCell ref="N724:O724"/>
    <mergeCell ref="N728:O728"/>
    <mergeCell ref="N729:O729"/>
    <mergeCell ref="N730:O730"/>
    <mergeCell ref="N731:O731"/>
    <mergeCell ref="N812:O812"/>
    <mergeCell ref="N813:O813"/>
    <mergeCell ref="N736:O736"/>
    <mergeCell ref="N737:O737"/>
    <mergeCell ref="N738:O738"/>
    <mergeCell ref="N739:O739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75:O775"/>
    <mergeCell ref="N776:O776"/>
    <mergeCell ref="N687:O687"/>
    <mergeCell ref="N688:O688"/>
    <mergeCell ref="N761:O761"/>
    <mergeCell ref="N762:O762"/>
    <mergeCell ref="N680:O680"/>
    <mergeCell ref="N681:O681"/>
    <mergeCell ref="N682:O682"/>
    <mergeCell ref="N689:O689"/>
    <mergeCell ref="N690:O690"/>
    <mergeCell ref="N691:O691"/>
    <mergeCell ref="N683:O683"/>
    <mergeCell ref="N684:O684"/>
    <mergeCell ref="N685:O685"/>
    <mergeCell ref="N686:O686"/>
    <mergeCell ref="N772:O772"/>
    <mergeCell ref="N773:O773"/>
    <mergeCell ref="N774:O774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54:O654"/>
    <mergeCell ref="N655:O65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546:O546"/>
    <mergeCell ref="N547:O547"/>
    <mergeCell ref="N552:O552"/>
    <mergeCell ref="N553:O553"/>
    <mergeCell ref="N554:O554"/>
    <mergeCell ref="N555:O555"/>
    <mergeCell ref="N562:O562"/>
    <mergeCell ref="N563:O563"/>
    <mergeCell ref="N564:O564"/>
    <mergeCell ref="N565:O565"/>
    <mergeCell ref="N566:O566"/>
    <mergeCell ref="N656:O656"/>
    <mergeCell ref="N657:O657"/>
    <mergeCell ref="N658:O658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460:O460"/>
    <mergeCell ref="N461:O461"/>
    <mergeCell ref="N462:O462"/>
    <mergeCell ref="N463:O463"/>
    <mergeCell ref="N567:O567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32:O332"/>
    <mergeCell ref="N333:O333"/>
    <mergeCell ref="N334:O334"/>
    <mergeCell ref="N335:O335"/>
    <mergeCell ref="N336:O336"/>
    <mergeCell ref="N354:O354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71:O371"/>
    <mergeCell ref="N378:O378"/>
    <mergeCell ref="N379:O379"/>
    <mergeCell ref="N380:O380"/>
    <mergeCell ref="N381:O381"/>
    <mergeCell ref="N382:O382"/>
    <mergeCell ref="N383:O383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14:O314"/>
    <mergeCell ref="N232:O232"/>
    <mergeCell ref="N233:O233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76:O276"/>
    <mergeCell ref="N277:O277"/>
    <mergeCell ref="N278:O278"/>
    <mergeCell ref="N279:O279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68:O268"/>
    <mergeCell ref="N269:O269"/>
    <mergeCell ref="N270:O270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297:O297"/>
    <mergeCell ref="N298:O298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99:O199"/>
    <mergeCell ref="N210:O210"/>
    <mergeCell ref="N211:O211"/>
    <mergeCell ref="N212:O212"/>
    <mergeCell ref="N213:O213"/>
    <mergeCell ref="N214:O214"/>
    <mergeCell ref="N215:O215"/>
    <mergeCell ref="N254:O254"/>
    <mergeCell ref="N255:O255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122:O122"/>
    <mergeCell ref="N123:O123"/>
    <mergeCell ref="N124:O124"/>
    <mergeCell ref="N125:O125"/>
    <mergeCell ref="N126:O126"/>
    <mergeCell ref="N127:O127"/>
    <mergeCell ref="N128:O128"/>
    <mergeCell ref="N200:O200"/>
    <mergeCell ref="N201:O201"/>
    <mergeCell ref="N202:O202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94:O194"/>
    <mergeCell ref="N195:O195"/>
    <mergeCell ref="N196:O196"/>
    <mergeCell ref="N197:O197"/>
    <mergeCell ref="N198:O198"/>
    <mergeCell ref="N160:O160"/>
    <mergeCell ref="N161:O161"/>
    <mergeCell ref="N162:O162"/>
    <mergeCell ref="N163:O163"/>
    <mergeCell ref="N164:O164"/>
    <mergeCell ref="N132:O132"/>
    <mergeCell ref="N133:O133"/>
    <mergeCell ref="N134:O134"/>
    <mergeCell ref="N135:O135"/>
    <mergeCell ref="N129:O129"/>
    <mergeCell ref="N130:O130"/>
    <mergeCell ref="N131:O131"/>
    <mergeCell ref="N152:O152"/>
    <mergeCell ref="N153:O153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115:O115"/>
    <mergeCell ref="N116:O116"/>
    <mergeCell ref="N117:O117"/>
    <mergeCell ref="N118:O118"/>
    <mergeCell ref="N119:O119"/>
    <mergeCell ref="N120:O120"/>
    <mergeCell ref="N121:O121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J951:K951"/>
    <mergeCell ref="J952:K952"/>
    <mergeCell ref="J953:K953"/>
    <mergeCell ref="J954:K954"/>
    <mergeCell ref="N46:O46"/>
    <mergeCell ref="N47:O47"/>
    <mergeCell ref="N48:O48"/>
    <mergeCell ref="N49:O49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J893:K893"/>
    <mergeCell ref="J894:K894"/>
    <mergeCell ref="J895:K895"/>
    <mergeCell ref="J896:K896"/>
    <mergeCell ref="J967:K967"/>
    <mergeCell ref="J968:K968"/>
    <mergeCell ref="J969:K969"/>
    <mergeCell ref="J920:K920"/>
    <mergeCell ref="J921:K921"/>
    <mergeCell ref="J922:K922"/>
    <mergeCell ref="J923:K923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844:K844"/>
    <mergeCell ref="J845:K845"/>
    <mergeCell ref="J846:K846"/>
    <mergeCell ref="J847:K847"/>
    <mergeCell ref="J955:K955"/>
    <mergeCell ref="J956:K956"/>
    <mergeCell ref="J957:K957"/>
    <mergeCell ref="J958:K958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04:K804"/>
    <mergeCell ref="J805:K805"/>
    <mergeCell ref="J806:K806"/>
    <mergeCell ref="J807:K807"/>
    <mergeCell ref="J897:K897"/>
    <mergeCell ref="J898:K898"/>
    <mergeCell ref="J899:K899"/>
    <mergeCell ref="J900:K900"/>
    <mergeCell ref="J901:K901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8:K838"/>
    <mergeCell ref="J839:K839"/>
    <mergeCell ref="J840:K840"/>
    <mergeCell ref="J841:K841"/>
    <mergeCell ref="J842:K842"/>
    <mergeCell ref="J843:K843"/>
    <mergeCell ref="J761:K761"/>
    <mergeCell ref="J762:K762"/>
    <mergeCell ref="J763:K763"/>
    <mergeCell ref="J764:K764"/>
    <mergeCell ref="J766:K766"/>
    <mergeCell ref="J767:K767"/>
    <mergeCell ref="J768:K768"/>
    <mergeCell ref="J848:K848"/>
    <mergeCell ref="J849:K849"/>
    <mergeCell ref="J850:K850"/>
    <mergeCell ref="J851:K851"/>
    <mergeCell ref="J852:K852"/>
    <mergeCell ref="J853:K853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722:K722"/>
    <mergeCell ref="J723:K723"/>
    <mergeCell ref="J724:K724"/>
    <mergeCell ref="J728:K728"/>
    <mergeCell ref="J729:K729"/>
    <mergeCell ref="J730:K730"/>
    <mergeCell ref="J731:K731"/>
    <mergeCell ref="J808:K808"/>
    <mergeCell ref="J809:K809"/>
    <mergeCell ref="J810:K810"/>
    <mergeCell ref="J811:K811"/>
    <mergeCell ref="J812:K812"/>
    <mergeCell ref="J813:K813"/>
    <mergeCell ref="J814:K814"/>
    <mergeCell ref="J737:K737"/>
    <mergeCell ref="J738:K738"/>
    <mergeCell ref="J739:K739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655:K655"/>
    <mergeCell ref="J656:K656"/>
    <mergeCell ref="J657:K657"/>
    <mergeCell ref="J658:K658"/>
    <mergeCell ref="J659:K659"/>
    <mergeCell ref="J660:K660"/>
    <mergeCell ref="J661:K661"/>
    <mergeCell ref="J769:K769"/>
    <mergeCell ref="J770:K770"/>
    <mergeCell ref="J771:K771"/>
    <mergeCell ref="J772:K772"/>
    <mergeCell ref="J773:K773"/>
    <mergeCell ref="J774:K774"/>
    <mergeCell ref="J775:K775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732:K732"/>
    <mergeCell ref="J733:K733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62:K562"/>
    <mergeCell ref="J563:K563"/>
    <mergeCell ref="J564:K564"/>
    <mergeCell ref="J565:K565"/>
    <mergeCell ref="J566:K566"/>
    <mergeCell ref="J567:K567"/>
    <mergeCell ref="J568:K568"/>
    <mergeCell ref="J574:K574"/>
    <mergeCell ref="J575:K575"/>
    <mergeCell ref="J576:K576"/>
    <mergeCell ref="J577:K577"/>
    <mergeCell ref="J584:K584"/>
    <mergeCell ref="J585:K585"/>
    <mergeCell ref="J582:K582"/>
    <mergeCell ref="J583:K583"/>
    <mergeCell ref="J506:K506"/>
    <mergeCell ref="J507:K507"/>
    <mergeCell ref="J508:K508"/>
    <mergeCell ref="J509:K509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44:K544"/>
    <mergeCell ref="J463:K463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98:K498"/>
    <mergeCell ref="J496:K496"/>
    <mergeCell ref="J499:K499"/>
    <mergeCell ref="J500:K500"/>
    <mergeCell ref="J501:K501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414:K414"/>
    <mergeCell ref="J415:K415"/>
    <mergeCell ref="J416:K416"/>
    <mergeCell ref="J417:K417"/>
    <mergeCell ref="J424:K42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402:K402"/>
    <mergeCell ref="J403:K403"/>
    <mergeCell ref="J404:K404"/>
    <mergeCell ref="J315:K315"/>
    <mergeCell ref="J321:K321"/>
    <mergeCell ref="J322:K322"/>
    <mergeCell ref="J323:K323"/>
    <mergeCell ref="J324:K324"/>
    <mergeCell ref="J325:K325"/>
    <mergeCell ref="J332:K332"/>
    <mergeCell ref="J333:K333"/>
    <mergeCell ref="J334:K334"/>
    <mergeCell ref="J335:K335"/>
    <mergeCell ref="J336:K336"/>
    <mergeCell ref="J337:K337"/>
    <mergeCell ref="J370:K370"/>
    <mergeCell ref="J371:K371"/>
    <mergeCell ref="J378:K378"/>
    <mergeCell ref="J379:K379"/>
    <mergeCell ref="J380:K380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14:K314"/>
    <mergeCell ref="J276:K276"/>
    <mergeCell ref="J277:K277"/>
    <mergeCell ref="J278:K278"/>
    <mergeCell ref="J279:K279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68:K268"/>
    <mergeCell ref="J269:K269"/>
    <mergeCell ref="J270:K270"/>
    <mergeCell ref="J271:K271"/>
    <mergeCell ref="J272:K272"/>
    <mergeCell ref="J273:K273"/>
    <mergeCell ref="J274:K274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17:K217"/>
    <mergeCell ref="J218:K218"/>
    <mergeCell ref="J219:K219"/>
    <mergeCell ref="J220:K220"/>
    <mergeCell ref="J221:K221"/>
    <mergeCell ref="J222:K222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94:K194"/>
    <mergeCell ref="J195:K195"/>
    <mergeCell ref="J196:K196"/>
    <mergeCell ref="J197:K197"/>
    <mergeCell ref="J198:K198"/>
    <mergeCell ref="J127:K127"/>
    <mergeCell ref="J128:K128"/>
    <mergeCell ref="J129:K129"/>
    <mergeCell ref="J160:K160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215:K215"/>
    <mergeCell ref="J216:K216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8:K148"/>
    <mergeCell ref="J149:K149"/>
    <mergeCell ref="J150:K150"/>
    <mergeCell ref="J75:K75"/>
    <mergeCell ref="J76:K76"/>
    <mergeCell ref="J62:K62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60:K60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6:K56"/>
    <mergeCell ref="R7:R9"/>
    <mergeCell ref="W7:W8"/>
    <mergeCell ref="X7:X8"/>
    <mergeCell ref="J77:K77"/>
    <mergeCell ref="J151:K151"/>
    <mergeCell ref="J152:K152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61:K61"/>
    <mergeCell ref="J125:K125"/>
    <mergeCell ref="J126:K126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L14:M14"/>
    <mergeCell ref="P14:Q14"/>
    <mergeCell ref="R14:S14"/>
    <mergeCell ref="Y14:Y17"/>
    <mergeCell ref="AA14:AA17"/>
    <mergeCell ref="A14:A17"/>
    <mergeCell ref="A1:C1"/>
    <mergeCell ref="D1:AA1"/>
    <mergeCell ref="A2:C2"/>
    <mergeCell ref="W2:AA2"/>
    <mergeCell ref="A3:C3"/>
    <mergeCell ref="D3:E3"/>
    <mergeCell ref="F3:I3"/>
    <mergeCell ref="V3:X3"/>
    <mergeCell ref="Y3:Z3"/>
    <mergeCell ref="F11:G11"/>
    <mergeCell ref="H11:I11"/>
    <mergeCell ref="L11:M11"/>
    <mergeCell ref="P11:Q11"/>
    <mergeCell ref="R11:S11"/>
    <mergeCell ref="F12:G12"/>
    <mergeCell ref="B4:D4"/>
    <mergeCell ref="E4:AA4"/>
    <mergeCell ref="A5:A9"/>
    <mergeCell ref="B5:B9"/>
    <mergeCell ref="C5:C9"/>
    <mergeCell ref="D5:D9"/>
    <mergeCell ref="F5:X5"/>
    <mergeCell ref="F7:F9"/>
    <mergeCell ref="H7:H9"/>
    <mergeCell ref="L7:L9"/>
    <mergeCell ref="P7:P9"/>
    <mergeCell ref="T10:U10"/>
    <mergeCell ref="T11:U11"/>
    <mergeCell ref="T12:U12"/>
    <mergeCell ref="L13:M13"/>
    <mergeCell ref="P13:Q13"/>
    <mergeCell ref="R13:S13"/>
    <mergeCell ref="J63:K63"/>
    <mergeCell ref="AC10:AC13"/>
    <mergeCell ref="L10:M10"/>
    <mergeCell ref="P10:Q10"/>
    <mergeCell ref="R10:S10"/>
    <mergeCell ref="Y10:Y13"/>
    <mergeCell ref="AA10:AA13"/>
    <mergeCell ref="L12:M12"/>
    <mergeCell ref="P12:Q12"/>
    <mergeCell ref="R12:S12"/>
    <mergeCell ref="A10:A13"/>
    <mergeCell ref="B10:B13"/>
    <mergeCell ref="C10:C13"/>
    <mergeCell ref="D10:D13"/>
    <mergeCell ref="F10:G10"/>
    <mergeCell ref="H10:I10"/>
    <mergeCell ref="H12:I12"/>
    <mergeCell ref="F13:G13"/>
    <mergeCell ref="H13:I13"/>
    <mergeCell ref="F17:G17"/>
    <mergeCell ref="H17:I17"/>
    <mergeCell ref="L17:M17"/>
    <mergeCell ref="P17:Q17"/>
    <mergeCell ref="R17:S17"/>
    <mergeCell ref="F16:G16"/>
    <mergeCell ref="AC14:AC17"/>
    <mergeCell ref="F15:G15"/>
    <mergeCell ref="H15:I15"/>
    <mergeCell ref="L15:M15"/>
    <mergeCell ref="P15:Q15"/>
    <mergeCell ref="R15:S15"/>
    <mergeCell ref="N14:O14"/>
    <mergeCell ref="N15:O15"/>
    <mergeCell ref="N16:O16"/>
    <mergeCell ref="N17:O17"/>
    <mergeCell ref="T13:U13"/>
    <mergeCell ref="T14:U14"/>
    <mergeCell ref="T15:U15"/>
    <mergeCell ref="J14:K14"/>
    <mergeCell ref="J15:K15"/>
    <mergeCell ref="J16:K16"/>
    <mergeCell ref="J17:K17"/>
    <mergeCell ref="AC5:AC9"/>
    <mergeCell ref="V6:V9"/>
    <mergeCell ref="Y6:Y9"/>
    <mergeCell ref="Z6:Z9"/>
    <mergeCell ref="AA6:AA9"/>
    <mergeCell ref="N7:N9"/>
    <mergeCell ref="J7:J9"/>
    <mergeCell ref="J10:K10"/>
    <mergeCell ref="J11:K11"/>
    <mergeCell ref="J12:K12"/>
    <mergeCell ref="J13:K13"/>
    <mergeCell ref="N10:O10"/>
    <mergeCell ref="N11:O11"/>
    <mergeCell ref="N12:O12"/>
    <mergeCell ref="N13:O13"/>
    <mergeCell ref="T7:T9"/>
    <mergeCell ref="J18:K18"/>
    <mergeCell ref="J19:K19"/>
    <mergeCell ref="H16:I16"/>
    <mergeCell ref="L16:M16"/>
    <mergeCell ref="P16:Q16"/>
    <mergeCell ref="R16:S16"/>
    <mergeCell ref="N18:O18"/>
    <mergeCell ref="N19:O19"/>
    <mergeCell ref="A18:A21"/>
    <mergeCell ref="B18:B21"/>
    <mergeCell ref="C18:C21"/>
    <mergeCell ref="D18:D21"/>
    <mergeCell ref="F18:G18"/>
    <mergeCell ref="H18:I18"/>
    <mergeCell ref="H20:I20"/>
    <mergeCell ref="F21:G21"/>
    <mergeCell ref="H21:I21"/>
    <mergeCell ref="L21:M21"/>
    <mergeCell ref="P21:Q21"/>
    <mergeCell ref="R21:S21"/>
    <mergeCell ref="F19:G19"/>
    <mergeCell ref="H19:I19"/>
    <mergeCell ref="L19:M19"/>
    <mergeCell ref="P19:Q19"/>
    <mergeCell ref="R19:S19"/>
    <mergeCell ref="N20:O20"/>
    <mergeCell ref="N21:O21"/>
    <mergeCell ref="B14:B17"/>
    <mergeCell ref="C14:C17"/>
    <mergeCell ref="D14:D17"/>
    <mergeCell ref="F14:G14"/>
    <mergeCell ref="H14:I14"/>
    <mergeCell ref="P25:Q25"/>
    <mergeCell ref="R25:S25"/>
    <mergeCell ref="F23:G23"/>
    <mergeCell ref="H23:I23"/>
    <mergeCell ref="L23:M23"/>
    <mergeCell ref="P23:Q23"/>
    <mergeCell ref="R23:S23"/>
    <mergeCell ref="F24:G24"/>
    <mergeCell ref="AC22:AC25"/>
    <mergeCell ref="L22:M22"/>
    <mergeCell ref="P22:Q22"/>
    <mergeCell ref="R22:S22"/>
    <mergeCell ref="Y22:Y25"/>
    <mergeCell ref="AA22:AA25"/>
    <mergeCell ref="F20:G20"/>
    <mergeCell ref="AC18:AC21"/>
    <mergeCell ref="L18:M18"/>
    <mergeCell ref="P18:Q18"/>
    <mergeCell ref="R18:S18"/>
    <mergeCell ref="Y18:Y21"/>
    <mergeCell ref="AA18:AA21"/>
    <mergeCell ref="L20:M20"/>
    <mergeCell ref="P20:Q20"/>
    <mergeCell ref="R20:S20"/>
    <mergeCell ref="N22:O22"/>
    <mergeCell ref="N23:O23"/>
    <mergeCell ref="N24:O24"/>
    <mergeCell ref="N25:O25"/>
    <mergeCell ref="T22:U22"/>
    <mergeCell ref="T23:U23"/>
    <mergeCell ref="T24:U24"/>
    <mergeCell ref="T25:U25"/>
    <mergeCell ref="A22:A25"/>
    <mergeCell ref="B22:B25"/>
    <mergeCell ref="C22:C25"/>
    <mergeCell ref="D22:D25"/>
    <mergeCell ref="F22:G22"/>
    <mergeCell ref="H22:I22"/>
    <mergeCell ref="T16:U16"/>
    <mergeCell ref="T17:U17"/>
    <mergeCell ref="T18:U18"/>
    <mergeCell ref="T19:U19"/>
    <mergeCell ref="T20:U20"/>
    <mergeCell ref="T21:U21"/>
    <mergeCell ref="F31:G31"/>
    <mergeCell ref="H31:I31"/>
    <mergeCell ref="L31:M31"/>
    <mergeCell ref="P31:Q31"/>
    <mergeCell ref="R31:S31"/>
    <mergeCell ref="B26:B29"/>
    <mergeCell ref="C26:C29"/>
    <mergeCell ref="D26:D29"/>
    <mergeCell ref="F26:G26"/>
    <mergeCell ref="H26:I26"/>
    <mergeCell ref="H28:I28"/>
    <mergeCell ref="F29:G29"/>
    <mergeCell ref="H29:I29"/>
    <mergeCell ref="H24:I24"/>
    <mergeCell ref="L24:M24"/>
    <mergeCell ref="P24:Q24"/>
    <mergeCell ref="R24:S24"/>
    <mergeCell ref="F25:G25"/>
    <mergeCell ref="H25:I25"/>
    <mergeCell ref="L25:M25"/>
    <mergeCell ref="AC30:AC33"/>
    <mergeCell ref="L30:M30"/>
    <mergeCell ref="P30:Q30"/>
    <mergeCell ref="R30:S30"/>
    <mergeCell ref="Y30:Y33"/>
    <mergeCell ref="AA30:AA33"/>
    <mergeCell ref="L29:M29"/>
    <mergeCell ref="P29:Q29"/>
    <mergeCell ref="R29:S29"/>
    <mergeCell ref="A30:A33"/>
    <mergeCell ref="B30:B33"/>
    <mergeCell ref="C30:C33"/>
    <mergeCell ref="D30:D33"/>
    <mergeCell ref="F30:G30"/>
    <mergeCell ref="H30:I30"/>
    <mergeCell ref="F27:G27"/>
    <mergeCell ref="H27:I27"/>
    <mergeCell ref="L27:M27"/>
    <mergeCell ref="P27:Q27"/>
    <mergeCell ref="R27:S27"/>
    <mergeCell ref="F28:G28"/>
    <mergeCell ref="AC26:AC29"/>
    <mergeCell ref="L26:M26"/>
    <mergeCell ref="P26:Q26"/>
    <mergeCell ref="R26:S26"/>
    <mergeCell ref="Y26:Y29"/>
    <mergeCell ref="AA26:AA29"/>
    <mergeCell ref="L28:M28"/>
    <mergeCell ref="P28:Q28"/>
    <mergeCell ref="R28:S28"/>
    <mergeCell ref="A26:A29"/>
    <mergeCell ref="N26:O26"/>
    <mergeCell ref="AC34:AC37"/>
    <mergeCell ref="L34:M34"/>
    <mergeCell ref="P34:Q34"/>
    <mergeCell ref="R34:S34"/>
    <mergeCell ref="Y34:Y37"/>
    <mergeCell ref="AA34:AA37"/>
    <mergeCell ref="L36:M36"/>
    <mergeCell ref="P36:Q36"/>
    <mergeCell ref="R36:S36"/>
    <mergeCell ref="A34:A37"/>
    <mergeCell ref="B34:B37"/>
    <mergeCell ref="C34:C37"/>
    <mergeCell ref="D34:D37"/>
    <mergeCell ref="F34:G34"/>
    <mergeCell ref="H34:I34"/>
    <mergeCell ref="H36:I36"/>
    <mergeCell ref="F37:G37"/>
    <mergeCell ref="H37:I37"/>
    <mergeCell ref="J36:K36"/>
    <mergeCell ref="J37:K37"/>
    <mergeCell ref="H32:I32"/>
    <mergeCell ref="L32:M32"/>
    <mergeCell ref="P32:Q32"/>
    <mergeCell ref="R32:S32"/>
    <mergeCell ref="F33:G33"/>
    <mergeCell ref="H33:I33"/>
    <mergeCell ref="L33:M33"/>
    <mergeCell ref="P33:Q33"/>
    <mergeCell ref="R33:S33"/>
    <mergeCell ref="H40:I40"/>
    <mergeCell ref="L40:M40"/>
    <mergeCell ref="P40:Q40"/>
    <mergeCell ref="R40:S40"/>
    <mergeCell ref="F41:G41"/>
    <mergeCell ref="H41:I41"/>
    <mergeCell ref="L41:M41"/>
    <mergeCell ref="P41:Q41"/>
    <mergeCell ref="R41:S41"/>
    <mergeCell ref="F39:G39"/>
    <mergeCell ref="H39:I39"/>
    <mergeCell ref="L39:M39"/>
    <mergeCell ref="P39:Q39"/>
    <mergeCell ref="R39:S39"/>
    <mergeCell ref="F40:G40"/>
    <mergeCell ref="F35:G35"/>
    <mergeCell ref="H35:I35"/>
    <mergeCell ref="L35:M35"/>
    <mergeCell ref="P35:Q35"/>
    <mergeCell ref="R35:S35"/>
    <mergeCell ref="F36:G36"/>
    <mergeCell ref="F32:G32"/>
    <mergeCell ref="J38:K38"/>
    <mergeCell ref="AC38:AC41"/>
    <mergeCell ref="L38:M38"/>
    <mergeCell ref="P38:Q38"/>
    <mergeCell ref="R38:S38"/>
    <mergeCell ref="Y38:Y41"/>
    <mergeCell ref="AA38:AA41"/>
    <mergeCell ref="L37:M37"/>
    <mergeCell ref="P37:Q37"/>
    <mergeCell ref="R37:S37"/>
    <mergeCell ref="A38:A41"/>
    <mergeCell ref="B38:B41"/>
    <mergeCell ref="C38:C41"/>
    <mergeCell ref="D38:D41"/>
    <mergeCell ref="F38:G38"/>
    <mergeCell ref="H38:I38"/>
    <mergeCell ref="F47:G47"/>
    <mergeCell ref="H47:I47"/>
    <mergeCell ref="L47:M47"/>
    <mergeCell ref="P47:Q47"/>
    <mergeCell ref="R47:S47"/>
    <mergeCell ref="L45:M45"/>
    <mergeCell ref="P45:Q45"/>
    <mergeCell ref="R45:S45"/>
    <mergeCell ref="A46:A49"/>
    <mergeCell ref="B46:B49"/>
    <mergeCell ref="C46:C49"/>
    <mergeCell ref="D46:D49"/>
    <mergeCell ref="F46:G46"/>
    <mergeCell ref="H46:I46"/>
    <mergeCell ref="F43:G43"/>
    <mergeCell ref="H43:I43"/>
    <mergeCell ref="L43:M43"/>
    <mergeCell ref="P43:Q43"/>
    <mergeCell ref="R43:S43"/>
    <mergeCell ref="F44:G44"/>
    <mergeCell ref="AC42:AC45"/>
    <mergeCell ref="L42:M42"/>
    <mergeCell ref="P42:Q42"/>
    <mergeCell ref="R42:S42"/>
    <mergeCell ref="Y42:Y45"/>
    <mergeCell ref="AA42:AA45"/>
    <mergeCell ref="L44:M44"/>
    <mergeCell ref="P44:Q44"/>
    <mergeCell ref="R44:S44"/>
    <mergeCell ref="A42:A45"/>
    <mergeCell ref="B42:B45"/>
    <mergeCell ref="C42:C45"/>
    <mergeCell ref="D42:D45"/>
    <mergeCell ref="F42:G42"/>
    <mergeCell ref="H42:I42"/>
    <mergeCell ref="H44:I44"/>
    <mergeCell ref="F45:G45"/>
    <mergeCell ref="H45:I45"/>
    <mergeCell ref="N44:O44"/>
    <mergeCell ref="N45:O45"/>
    <mergeCell ref="F57:G57"/>
    <mergeCell ref="H57:I57"/>
    <mergeCell ref="L57:M57"/>
    <mergeCell ref="P57:Q57"/>
    <mergeCell ref="R57:S57"/>
    <mergeCell ref="F58:G58"/>
    <mergeCell ref="AC56:AC59"/>
    <mergeCell ref="L56:M56"/>
    <mergeCell ref="P56:Q56"/>
    <mergeCell ref="R56:S56"/>
    <mergeCell ref="Y56:Y59"/>
    <mergeCell ref="AA56:AA59"/>
    <mergeCell ref="L58:M58"/>
    <mergeCell ref="P58:Q58"/>
    <mergeCell ref="R58:S58"/>
    <mergeCell ref="A56:A59"/>
    <mergeCell ref="B56:B59"/>
    <mergeCell ref="C56:C59"/>
    <mergeCell ref="D56:D59"/>
    <mergeCell ref="F56:G56"/>
    <mergeCell ref="H56:I56"/>
    <mergeCell ref="H58:I58"/>
    <mergeCell ref="F59:G59"/>
    <mergeCell ref="H59:I59"/>
    <mergeCell ref="T59:U59"/>
    <mergeCell ref="J57:K57"/>
    <mergeCell ref="J58:K58"/>
    <mergeCell ref="H48:I48"/>
    <mergeCell ref="L48:M48"/>
    <mergeCell ref="P48:Q48"/>
    <mergeCell ref="R48:S48"/>
    <mergeCell ref="F49:G49"/>
    <mergeCell ref="H49:I49"/>
    <mergeCell ref="L49:M49"/>
    <mergeCell ref="P49:Q49"/>
    <mergeCell ref="R49:S49"/>
    <mergeCell ref="B55:D55"/>
    <mergeCell ref="E55:S55"/>
    <mergeCell ref="W54:Z54"/>
    <mergeCell ref="B53:C53"/>
    <mergeCell ref="F53:Q53"/>
    <mergeCell ref="A54:D54"/>
    <mergeCell ref="E54:S54"/>
    <mergeCell ref="A51:C51"/>
    <mergeCell ref="B52:C52"/>
    <mergeCell ref="F52:Q52"/>
    <mergeCell ref="E51:I51"/>
    <mergeCell ref="S51:Y51"/>
    <mergeCell ref="S52:Z52"/>
    <mergeCell ref="F48:G48"/>
    <mergeCell ref="AC46:AC49"/>
    <mergeCell ref="L46:M46"/>
    <mergeCell ref="P46:Q46"/>
    <mergeCell ref="R46:S46"/>
    <mergeCell ref="Y46:Y49"/>
    <mergeCell ref="AA46:AA49"/>
    <mergeCell ref="J59:K59"/>
    <mergeCell ref="H62:I62"/>
    <mergeCell ref="L62:M62"/>
    <mergeCell ref="P62:Q62"/>
    <mergeCell ref="R62:S62"/>
    <mergeCell ref="F63:G63"/>
    <mergeCell ref="H63:I63"/>
    <mergeCell ref="L63:M63"/>
    <mergeCell ref="P63:Q63"/>
    <mergeCell ref="R63:S63"/>
    <mergeCell ref="F61:G61"/>
    <mergeCell ref="H61:I61"/>
    <mergeCell ref="L61:M61"/>
    <mergeCell ref="P61:Q61"/>
    <mergeCell ref="R61:S61"/>
    <mergeCell ref="F62:G62"/>
    <mergeCell ref="AC60:AC63"/>
    <mergeCell ref="L60:M60"/>
    <mergeCell ref="P60:Q60"/>
    <mergeCell ref="R60:S60"/>
    <mergeCell ref="Y60:Y63"/>
    <mergeCell ref="AA60:AA63"/>
    <mergeCell ref="L59:M59"/>
    <mergeCell ref="P59:Q59"/>
    <mergeCell ref="R59:S59"/>
    <mergeCell ref="T58:U58"/>
    <mergeCell ref="A60:A63"/>
    <mergeCell ref="B60:B63"/>
    <mergeCell ref="C60:C63"/>
    <mergeCell ref="D60:D63"/>
    <mergeCell ref="F60:G60"/>
    <mergeCell ref="H60:I60"/>
    <mergeCell ref="F69:G69"/>
    <mergeCell ref="H69:I69"/>
    <mergeCell ref="L69:M69"/>
    <mergeCell ref="P69:Q69"/>
    <mergeCell ref="R69:S69"/>
    <mergeCell ref="L67:M67"/>
    <mergeCell ref="P67:Q67"/>
    <mergeCell ref="R67:S67"/>
    <mergeCell ref="A68:A71"/>
    <mergeCell ref="B68:B71"/>
    <mergeCell ref="C68:C71"/>
    <mergeCell ref="D68:D71"/>
    <mergeCell ref="F68:G68"/>
    <mergeCell ref="H68:I68"/>
    <mergeCell ref="F65:G65"/>
    <mergeCell ref="H65:I65"/>
    <mergeCell ref="L65:M65"/>
    <mergeCell ref="P65:Q65"/>
    <mergeCell ref="R65:S65"/>
    <mergeCell ref="F66:G66"/>
    <mergeCell ref="H70:I70"/>
    <mergeCell ref="L70:M70"/>
    <mergeCell ref="P70:Q70"/>
    <mergeCell ref="R70:S70"/>
    <mergeCell ref="F71:G71"/>
    <mergeCell ref="H71:I71"/>
    <mergeCell ref="L74:M74"/>
    <mergeCell ref="P74:Q74"/>
    <mergeCell ref="R74:S74"/>
    <mergeCell ref="A72:A75"/>
    <mergeCell ref="B72:B75"/>
    <mergeCell ref="C72:C75"/>
    <mergeCell ref="D72:D75"/>
    <mergeCell ref="F72:G72"/>
    <mergeCell ref="H72:I72"/>
    <mergeCell ref="H74:I74"/>
    <mergeCell ref="F75:G75"/>
    <mergeCell ref="H75:I75"/>
    <mergeCell ref="AC64:AC67"/>
    <mergeCell ref="L64:M64"/>
    <mergeCell ref="P64:Q64"/>
    <mergeCell ref="R64:S64"/>
    <mergeCell ref="Y64:Y67"/>
    <mergeCell ref="AA64:AA67"/>
    <mergeCell ref="L66:M66"/>
    <mergeCell ref="P66:Q66"/>
    <mergeCell ref="R66:S66"/>
    <mergeCell ref="A64:A67"/>
    <mergeCell ref="B64:B67"/>
    <mergeCell ref="C64:C67"/>
    <mergeCell ref="D64:D67"/>
    <mergeCell ref="F64:G64"/>
    <mergeCell ref="H64:I64"/>
    <mergeCell ref="H66:I66"/>
    <mergeCell ref="F67:G67"/>
    <mergeCell ref="H67:I67"/>
    <mergeCell ref="N67:O67"/>
    <mergeCell ref="N68:O68"/>
    <mergeCell ref="L71:M71"/>
    <mergeCell ref="P71:Q71"/>
    <mergeCell ref="R71:S71"/>
    <mergeCell ref="F70:G70"/>
    <mergeCell ref="AC68:AC71"/>
    <mergeCell ref="L68:M68"/>
    <mergeCell ref="P68:Q68"/>
    <mergeCell ref="R68:S68"/>
    <mergeCell ref="Y68:Y71"/>
    <mergeCell ref="AA68:AA71"/>
    <mergeCell ref="N69:O69"/>
    <mergeCell ref="N70:O70"/>
    <mergeCell ref="N71:O71"/>
    <mergeCell ref="N72:O72"/>
    <mergeCell ref="N73:O73"/>
    <mergeCell ref="N74:O74"/>
    <mergeCell ref="N75:O75"/>
    <mergeCell ref="L75:M75"/>
    <mergeCell ref="P75:Q75"/>
    <mergeCell ref="R75:S75"/>
    <mergeCell ref="F73:G73"/>
    <mergeCell ref="H73:I73"/>
    <mergeCell ref="L73:M73"/>
    <mergeCell ref="P73:Q73"/>
    <mergeCell ref="R73:S73"/>
    <mergeCell ref="F74:G74"/>
    <mergeCell ref="AC72:AC75"/>
    <mergeCell ref="L72:M72"/>
    <mergeCell ref="P72:Q72"/>
    <mergeCell ref="R72:S72"/>
    <mergeCell ref="Y72:Y75"/>
    <mergeCell ref="AA72:AA75"/>
    <mergeCell ref="H78:I78"/>
    <mergeCell ref="L78:M78"/>
    <mergeCell ref="P78:Q78"/>
    <mergeCell ref="R78:S78"/>
    <mergeCell ref="F79:G79"/>
    <mergeCell ref="H79:I79"/>
    <mergeCell ref="L79:M79"/>
    <mergeCell ref="P79:Q79"/>
    <mergeCell ref="R79:S79"/>
    <mergeCell ref="F77:G77"/>
    <mergeCell ref="H77:I77"/>
    <mergeCell ref="L77:M77"/>
    <mergeCell ref="P77:Q77"/>
    <mergeCell ref="R77:S77"/>
    <mergeCell ref="F78:G78"/>
    <mergeCell ref="AC76:AC79"/>
    <mergeCell ref="L76:M76"/>
    <mergeCell ref="P76:Q76"/>
    <mergeCell ref="R76:S76"/>
    <mergeCell ref="Y76:Y79"/>
    <mergeCell ref="AA76:AA79"/>
    <mergeCell ref="T77:U77"/>
    <mergeCell ref="T78:U78"/>
    <mergeCell ref="T79:U79"/>
    <mergeCell ref="J78:K78"/>
    <mergeCell ref="J79:K79"/>
    <mergeCell ref="A76:A79"/>
    <mergeCell ref="B76:B79"/>
    <mergeCell ref="C76:C79"/>
    <mergeCell ref="D76:D79"/>
    <mergeCell ref="F76:G76"/>
    <mergeCell ref="H76:I76"/>
    <mergeCell ref="F85:G85"/>
    <mergeCell ref="H85:I85"/>
    <mergeCell ref="L85:M85"/>
    <mergeCell ref="P85:Q85"/>
    <mergeCell ref="R85:S85"/>
    <mergeCell ref="L83:M83"/>
    <mergeCell ref="P83:Q83"/>
    <mergeCell ref="R83:S83"/>
    <mergeCell ref="A84:A87"/>
    <mergeCell ref="B84:B87"/>
    <mergeCell ref="C84:C87"/>
    <mergeCell ref="D84:D87"/>
    <mergeCell ref="F84:G84"/>
    <mergeCell ref="H84:I84"/>
    <mergeCell ref="F81:G81"/>
    <mergeCell ref="H81:I81"/>
    <mergeCell ref="L81:M81"/>
    <mergeCell ref="P81:Q81"/>
    <mergeCell ref="R81:S81"/>
    <mergeCell ref="F82:G82"/>
    <mergeCell ref="H86:I86"/>
    <mergeCell ref="L86:M86"/>
    <mergeCell ref="P86:Q86"/>
    <mergeCell ref="R86:S86"/>
    <mergeCell ref="F87:G87"/>
    <mergeCell ref="H87:I87"/>
    <mergeCell ref="A88:A91"/>
    <mergeCell ref="B88:B91"/>
    <mergeCell ref="C88:C91"/>
    <mergeCell ref="D88:D91"/>
    <mergeCell ref="F88:G88"/>
    <mergeCell ref="H88:I88"/>
    <mergeCell ref="H90:I90"/>
    <mergeCell ref="F91:G91"/>
    <mergeCell ref="H91:I91"/>
    <mergeCell ref="AC80:AC83"/>
    <mergeCell ref="L80:M80"/>
    <mergeCell ref="P80:Q80"/>
    <mergeCell ref="R80:S80"/>
    <mergeCell ref="Y80:Y83"/>
    <mergeCell ref="AA80:AA83"/>
    <mergeCell ref="L82:M82"/>
    <mergeCell ref="P82:Q82"/>
    <mergeCell ref="R82:S82"/>
    <mergeCell ref="A80:A83"/>
    <mergeCell ref="B80:B83"/>
    <mergeCell ref="C80:C83"/>
    <mergeCell ref="D80:D83"/>
    <mergeCell ref="F80:G80"/>
    <mergeCell ref="H80:I80"/>
    <mergeCell ref="H82:I82"/>
    <mergeCell ref="F83:G83"/>
    <mergeCell ref="H83:I83"/>
    <mergeCell ref="T80:U80"/>
    <mergeCell ref="T81:U81"/>
    <mergeCell ref="T82:U82"/>
    <mergeCell ref="T83:U83"/>
    <mergeCell ref="J80:K80"/>
    <mergeCell ref="L87:M87"/>
    <mergeCell ref="P87:Q87"/>
    <mergeCell ref="R87:S87"/>
    <mergeCell ref="F86:G86"/>
    <mergeCell ref="AC84:AC87"/>
    <mergeCell ref="L84:M84"/>
    <mergeCell ref="P84:Q84"/>
    <mergeCell ref="R84:S84"/>
    <mergeCell ref="Y84:Y87"/>
    <mergeCell ref="AA84:AA87"/>
    <mergeCell ref="H94:I94"/>
    <mergeCell ref="L94:M94"/>
    <mergeCell ref="P94:Q94"/>
    <mergeCell ref="R94:S94"/>
    <mergeCell ref="F95:G95"/>
    <mergeCell ref="H95:I95"/>
    <mergeCell ref="L95:M95"/>
    <mergeCell ref="P95:Q95"/>
    <mergeCell ref="R95:S95"/>
    <mergeCell ref="T84:U84"/>
    <mergeCell ref="T85:U85"/>
    <mergeCell ref="T86:U86"/>
    <mergeCell ref="T87:U87"/>
    <mergeCell ref="T88:U88"/>
    <mergeCell ref="T89:U89"/>
    <mergeCell ref="T90:U90"/>
    <mergeCell ref="F89:G89"/>
    <mergeCell ref="H89:I89"/>
    <mergeCell ref="L89:M89"/>
    <mergeCell ref="P89:Q89"/>
    <mergeCell ref="R89:S89"/>
    <mergeCell ref="F90:G90"/>
    <mergeCell ref="B101:D101"/>
    <mergeCell ref="E101:S101"/>
    <mergeCell ref="F93:G93"/>
    <mergeCell ref="H93:I93"/>
    <mergeCell ref="L93:M93"/>
    <mergeCell ref="P93:Q93"/>
    <mergeCell ref="R93:S93"/>
    <mergeCell ref="F94:G94"/>
    <mergeCell ref="AC92:AC95"/>
    <mergeCell ref="L92:M92"/>
    <mergeCell ref="P92:Q92"/>
    <mergeCell ref="R92:S92"/>
    <mergeCell ref="Y92:Y95"/>
    <mergeCell ref="AA92:AA95"/>
    <mergeCell ref="L91:M91"/>
    <mergeCell ref="P91:Q91"/>
    <mergeCell ref="R91:S91"/>
    <mergeCell ref="T91:U91"/>
    <mergeCell ref="AC88:AC91"/>
    <mergeCell ref="L88:M88"/>
    <mergeCell ref="P88:Q88"/>
    <mergeCell ref="R88:S88"/>
    <mergeCell ref="Y88:Y91"/>
    <mergeCell ref="AA88:AA91"/>
    <mergeCell ref="L90:M90"/>
    <mergeCell ref="P90:Q90"/>
    <mergeCell ref="R90:S90"/>
    <mergeCell ref="N92:O92"/>
    <mergeCell ref="N93:O93"/>
    <mergeCell ref="N94:O94"/>
    <mergeCell ref="N95:O95"/>
    <mergeCell ref="A92:A95"/>
    <mergeCell ref="B92:B95"/>
    <mergeCell ref="C92:C95"/>
    <mergeCell ref="D92:D95"/>
    <mergeCell ref="F92:G92"/>
    <mergeCell ref="H92:I92"/>
    <mergeCell ref="B99:C99"/>
    <mergeCell ref="F99:Q99"/>
    <mergeCell ref="A100:D100"/>
    <mergeCell ref="E100:S100"/>
    <mergeCell ref="A97:C97"/>
    <mergeCell ref="B98:C98"/>
    <mergeCell ref="F98:Q98"/>
    <mergeCell ref="E97:I97"/>
    <mergeCell ref="S97:Y97"/>
    <mergeCell ref="S98:Z98"/>
    <mergeCell ref="T94:U94"/>
    <mergeCell ref="T95:U95"/>
    <mergeCell ref="J93:K93"/>
    <mergeCell ref="J94:K94"/>
    <mergeCell ref="J95:K95"/>
    <mergeCell ref="T92:U92"/>
    <mergeCell ref="T93:U93"/>
    <mergeCell ref="W100:Z100"/>
    <mergeCell ref="F107:G107"/>
    <mergeCell ref="H107:I107"/>
    <mergeCell ref="L107:M107"/>
    <mergeCell ref="P107:Q107"/>
    <mergeCell ref="R107:S107"/>
    <mergeCell ref="F108:G108"/>
    <mergeCell ref="AC106:AC109"/>
    <mergeCell ref="L106:M106"/>
    <mergeCell ref="P106:Q106"/>
    <mergeCell ref="R106:S106"/>
    <mergeCell ref="Y106:Y109"/>
    <mergeCell ref="AA106:AA109"/>
    <mergeCell ref="L105:M105"/>
    <mergeCell ref="P105:Q105"/>
    <mergeCell ref="R105:S105"/>
    <mergeCell ref="A106:A109"/>
    <mergeCell ref="B106:B109"/>
    <mergeCell ref="C106:C109"/>
    <mergeCell ref="D106:D109"/>
    <mergeCell ref="F106:G106"/>
    <mergeCell ref="H106:I106"/>
    <mergeCell ref="T106:U106"/>
    <mergeCell ref="T107:U107"/>
    <mergeCell ref="J106:K106"/>
    <mergeCell ref="J107:K107"/>
    <mergeCell ref="J108:K108"/>
    <mergeCell ref="J109:K109"/>
    <mergeCell ref="H108:I108"/>
    <mergeCell ref="L108:M108"/>
    <mergeCell ref="P108:Q108"/>
    <mergeCell ref="R108:S108"/>
    <mergeCell ref="F109:G109"/>
    <mergeCell ref="F103:G103"/>
    <mergeCell ref="H103:I103"/>
    <mergeCell ref="L103:M103"/>
    <mergeCell ref="P103:Q103"/>
    <mergeCell ref="R103:S103"/>
    <mergeCell ref="F104:G104"/>
    <mergeCell ref="AC102:AC105"/>
    <mergeCell ref="L102:M102"/>
    <mergeCell ref="P102:Q102"/>
    <mergeCell ref="R102:S102"/>
    <mergeCell ref="Y102:Y105"/>
    <mergeCell ref="AA102:AA105"/>
    <mergeCell ref="L104:M104"/>
    <mergeCell ref="P104:Q104"/>
    <mergeCell ref="R104:S104"/>
    <mergeCell ref="A102:A105"/>
    <mergeCell ref="B102:B105"/>
    <mergeCell ref="C102:C105"/>
    <mergeCell ref="D102:D105"/>
    <mergeCell ref="F102:G102"/>
    <mergeCell ref="H102:I102"/>
    <mergeCell ref="H104:I104"/>
    <mergeCell ref="F105:G105"/>
    <mergeCell ref="H105:I105"/>
    <mergeCell ref="T102:U102"/>
    <mergeCell ref="T103:U103"/>
    <mergeCell ref="T104:U104"/>
    <mergeCell ref="T105:U105"/>
    <mergeCell ref="J102:K102"/>
    <mergeCell ref="J103:K103"/>
    <mergeCell ref="J104:K104"/>
    <mergeCell ref="J105:K105"/>
    <mergeCell ref="F111:G111"/>
    <mergeCell ref="H111:I111"/>
    <mergeCell ref="L111:M111"/>
    <mergeCell ref="P111:Q111"/>
    <mergeCell ref="R111:S111"/>
    <mergeCell ref="F112:G112"/>
    <mergeCell ref="AC110:AC113"/>
    <mergeCell ref="L110:M110"/>
    <mergeCell ref="P110:Q110"/>
    <mergeCell ref="R110:S110"/>
    <mergeCell ref="Y110:Y113"/>
    <mergeCell ref="AA110:AA113"/>
    <mergeCell ref="L112:M112"/>
    <mergeCell ref="P112:Q112"/>
    <mergeCell ref="R112:S112"/>
    <mergeCell ref="A110:A113"/>
    <mergeCell ref="B110:B113"/>
    <mergeCell ref="C110:C113"/>
    <mergeCell ref="D110:D113"/>
    <mergeCell ref="F110:G110"/>
    <mergeCell ref="H110:I110"/>
    <mergeCell ref="H112:I112"/>
    <mergeCell ref="F113:G113"/>
    <mergeCell ref="H113:I113"/>
    <mergeCell ref="H109:I109"/>
    <mergeCell ref="L109:M109"/>
    <mergeCell ref="P109:Q109"/>
    <mergeCell ref="R109:S109"/>
    <mergeCell ref="T108:U108"/>
    <mergeCell ref="T109:U109"/>
    <mergeCell ref="T110:U110"/>
    <mergeCell ref="T111:U111"/>
    <mergeCell ref="T112:U112"/>
    <mergeCell ref="T113:U113"/>
    <mergeCell ref="J110:K110"/>
    <mergeCell ref="J111:K111"/>
    <mergeCell ref="J112:K112"/>
    <mergeCell ref="J113:K113"/>
    <mergeCell ref="H116:I116"/>
    <mergeCell ref="L116:M116"/>
    <mergeCell ref="P116:Q116"/>
    <mergeCell ref="R116:S116"/>
    <mergeCell ref="L113:M113"/>
    <mergeCell ref="P113:Q113"/>
    <mergeCell ref="R113:S113"/>
    <mergeCell ref="J114:K114"/>
    <mergeCell ref="J115:K115"/>
    <mergeCell ref="J116:K116"/>
    <mergeCell ref="F117:G117"/>
    <mergeCell ref="H117:I117"/>
    <mergeCell ref="L117:M117"/>
    <mergeCell ref="P117:Q117"/>
    <mergeCell ref="R117:S117"/>
    <mergeCell ref="F115:G115"/>
    <mergeCell ref="H115:I115"/>
    <mergeCell ref="L115:M115"/>
    <mergeCell ref="P115:Q115"/>
    <mergeCell ref="R115:S115"/>
    <mergeCell ref="F116:G116"/>
    <mergeCell ref="AC114:AC117"/>
    <mergeCell ref="L114:M114"/>
    <mergeCell ref="P114:Q114"/>
    <mergeCell ref="R114:S114"/>
    <mergeCell ref="Y114:Y117"/>
    <mergeCell ref="AA114:AA117"/>
    <mergeCell ref="T114:U114"/>
    <mergeCell ref="T115:U115"/>
    <mergeCell ref="T116:U116"/>
    <mergeCell ref="T117:U117"/>
    <mergeCell ref="J117:K117"/>
    <mergeCell ref="A114:A117"/>
    <mergeCell ref="B114:B117"/>
    <mergeCell ref="C114:C117"/>
    <mergeCell ref="D114:D117"/>
    <mergeCell ref="F114:G114"/>
    <mergeCell ref="H114:I114"/>
    <mergeCell ref="F124:G124"/>
    <mergeCell ref="AC122:AC125"/>
    <mergeCell ref="L122:M122"/>
    <mergeCell ref="P122:Q122"/>
    <mergeCell ref="R122:S122"/>
    <mergeCell ref="Y122:Y125"/>
    <mergeCell ref="AA122:AA125"/>
    <mergeCell ref="L121:M121"/>
    <mergeCell ref="P121:Q121"/>
    <mergeCell ref="R121:S121"/>
    <mergeCell ref="A122:A125"/>
    <mergeCell ref="B122:B125"/>
    <mergeCell ref="C122:C125"/>
    <mergeCell ref="D122:D125"/>
    <mergeCell ref="F122:G122"/>
    <mergeCell ref="H122:I122"/>
    <mergeCell ref="F119:G119"/>
    <mergeCell ref="H119:I119"/>
    <mergeCell ref="L119:M119"/>
    <mergeCell ref="P119:Q119"/>
    <mergeCell ref="R119:S119"/>
    <mergeCell ref="F120:G120"/>
    <mergeCell ref="AC118:AC121"/>
    <mergeCell ref="L118:M118"/>
    <mergeCell ref="P118:Q118"/>
    <mergeCell ref="R118:S118"/>
    <mergeCell ref="Y118:Y121"/>
    <mergeCell ref="AA118:AA121"/>
    <mergeCell ref="L120:M120"/>
    <mergeCell ref="P120:Q120"/>
    <mergeCell ref="R120:S120"/>
    <mergeCell ref="A118:A121"/>
    <mergeCell ref="B118:B121"/>
    <mergeCell ref="C118:C121"/>
    <mergeCell ref="D118:D121"/>
    <mergeCell ref="F118:G118"/>
    <mergeCell ref="H118:I118"/>
    <mergeCell ref="H120:I120"/>
    <mergeCell ref="F121:G121"/>
    <mergeCell ref="H121:I121"/>
    <mergeCell ref="H124:I124"/>
    <mergeCell ref="L124:M124"/>
    <mergeCell ref="P124:Q124"/>
    <mergeCell ref="R124:S124"/>
    <mergeCell ref="T118:U118"/>
    <mergeCell ref="T119:U119"/>
    <mergeCell ref="T120:U120"/>
    <mergeCell ref="T121:U121"/>
    <mergeCell ref="T122:U122"/>
    <mergeCell ref="T123:U123"/>
    <mergeCell ref="T124:U124"/>
    <mergeCell ref="J118:K118"/>
    <mergeCell ref="J119:K119"/>
    <mergeCell ref="J120:K120"/>
    <mergeCell ref="J121:K121"/>
    <mergeCell ref="J122:K122"/>
    <mergeCell ref="J123:K123"/>
    <mergeCell ref="J124:K124"/>
    <mergeCell ref="F125:G125"/>
    <mergeCell ref="H125:I125"/>
    <mergeCell ref="L125:M125"/>
    <mergeCell ref="P125:Q125"/>
    <mergeCell ref="R125:S125"/>
    <mergeCell ref="F123:G123"/>
    <mergeCell ref="H123:I123"/>
    <mergeCell ref="L123:M123"/>
    <mergeCell ref="P123:Q123"/>
    <mergeCell ref="R123:S123"/>
    <mergeCell ref="AC130:AC133"/>
    <mergeCell ref="L130:M130"/>
    <mergeCell ref="P130:Q130"/>
    <mergeCell ref="R130:S130"/>
    <mergeCell ref="Y130:Y133"/>
    <mergeCell ref="AA130:AA133"/>
    <mergeCell ref="L129:M129"/>
    <mergeCell ref="P129:Q129"/>
    <mergeCell ref="R129:S129"/>
    <mergeCell ref="P132:Q132"/>
    <mergeCell ref="R132:S132"/>
    <mergeCell ref="F133:G133"/>
    <mergeCell ref="H133:I133"/>
    <mergeCell ref="L133:M133"/>
    <mergeCell ref="P133:Q133"/>
    <mergeCell ref="R133:S133"/>
    <mergeCell ref="F131:G131"/>
    <mergeCell ref="H131:I131"/>
    <mergeCell ref="L131:M131"/>
    <mergeCell ref="P131:Q131"/>
    <mergeCell ref="R131:S131"/>
    <mergeCell ref="F132:G132"/>
    <mergeCell ref="A130:A133"/>
    <mergeCell ref="B130:B133"/>
    <mergeCell ref="C130:C133"/>
    <mergeCell ref="D130:D133"/>
    <mergeCell ref="F130:G130"/>
    <mergeCell ref="H130:I130"/>
    <mergeCell ref="F127:G127"/>
    <mergeCell ref="H127:I127"/>
    <mergeCell ref="L127:M127"/>
    <mergeCell ref="P127:Q127"/>
    <mergeCell ref="R127:S127"/>
    <mergeCell ref="F128:G128"/>
    <mergeCell ref="AC126:AC129"/>
    <mergeCell ref="L126:M126"/>
    <mergeCell ref="P126:Q126"/>
    <mergeCell ref="R126:S126"/>
    <mergeCell ref="Y126:Y129"/>
    <mergeCell ref="AA126:AA129"/>
    <mergeCell ref="L128:M128"/>
    <mergeCell ref="P128:Q128"/>
    <mergeCell ref="R128:S128"/>
    <mergeCell ref="A126:A129"/>
    <mergeCell ref="B126:B129"/>
    <mergeCell ref="C126:C129"/>
    <mergeCell ref="D126:D129"/>
    <mergeCell ref="F126:G126"/>
    <mergeCell ref="H126:I126"/>
    <mergeCell ref="H128:I128"/>
    <mergeCell ref="F129:G129"/>
    <mergeCell ref="H129:I129"/>
    <mergeCell ref="H132:I132"/>
    <mergeCell ref="L132:M132"/>
    <mergeCell ref="AC138:AC141"/>
    <mergeCell ref="L138:M138"/>
    <mergeCell ref="P138:Q138"/>
    <mergeCell ref="R138:S138"/>
    <mergeCell ref="Y138:Y141"/>
    <mergeCell ref="AA138:AA141"/>
    <mergeCell ref="L137:M137"/>
    <mergeCell ref="P137:Q137"/>
    <mergeCell ref="R137:S137"/>
    <mergeCell ref="A138:A141"/>
    <mergeCell ref="B138:B141"/>
    <mergeCell ref="C138:C141"/>
    <mergeCell ref="D138:D141"/>
    <mergeCell ref="F138:G138"/>
    <mergeCell ref="H138:I138"/>
    <mergeCell ref="F135:G135"/>
    <mergeCell ref="H135:I135"/>
    <mergeCell ref="L135:M135"/>
    <mergeCell ref="P135:Q135"/>
    <mergeCell ref="R135:S135"/>
    <mergeCell ref="F136:G136"/>
    <mergeCell ref="AC134:AC137"/>
    <mergeCell ref="L134:M134"/>
    <mergeCell ref="P134:Q134"/>
    <mergeCell ref="R134:S134"/>
    <mergeCell ref="Y134:Y137"/>
    <mergeCell ref="AA134:AA137"/>
    <mergeCell ref="L136:M136"/>
    <mergeCell ref="P136:Q136"/>
    <mergeCell ref="R136:S136"/>
    <mergeCell ref="A134:A137"/>
    <mergeCell ref="B134:B137"/>
    <mergeCell ref="C134:C137"/>
    <mergeCell ref="D134:D137"/>
    <mergeCell ref="F134:G134"/>
    <mergeCell ref="H134:I134"/>
    <mergeCell ref="H136:I136"/>
    <mergeCell ref="F137:G137"/>
    <mergeCell ref="H137:I137"/>
    <mergeCell ref="H140:I140"/>
    <mergeCell ref="L140:M140"/>
    <mergeCell ref="P140:Q140"/>
    <mergeCell ref="R140:S140"/>
    <mergeCell ref="F141:G141"/>
    <mergeCell ref="H141:I141"/>
    <mergeCell ref="L141:M141"/>
    <mergeCell ref="P141:Q141"/>
    <mergeCell ref="R141:S141"/>
    <mergeCell ref="F139:G139"/>
    <mergeCell ref="H139:I139"/>
    <mergeCell ref="L139:M139"/>
    <mergeCell ref="P139:Q139"/>
    <mergeCell ref="R139:S139"/>
    <mergeCell ref="F140:G140"/>
    <mergeCell ref="N136:O136"/>
    <mergeCell ref="N137:O137"/>
    <mergeCell ref="N138:O138"/>
    <mergeCell ref="N139:O139"/>
    <mergeCell ref="N140:O140"/>
    <mergeCell ref="N141:O141"/>
    <mergeCell ref="F153:G153"/>
    <mergeCell ref="H153:I153"/>
    <mergeCell ref="L153:M153"/>
    <mergeCell ref="P153:Q153"/>
    <mergeCell ref="R153:S153"/>
    <mergeCell ref="F154:G154"/>
    <mergeCell ref="AC152:AC155"/>
    <mergeCell ref="L152:M152"/>
    <mergeCell ref="P152:Q152"/>
    <mergeCell ref="R152:S152"/>
    <mergeCell ref="Y152:Y155"/>
    <mergeCell ref="AA152:AA155"/>
    <mergeCell ref="L151:M151"/>
    <mergeCell ref="P151:Q151"/>
    <mergeCell ref="R151:S151"/>
    <mergeCell ref="A152:A155"/>
    <mergeCell ref="B152:B155"/>
    <mergeCell ref="C152:C155"/>
    <mergeCell ref="D152:D155"/>
    <mergeCell ref="F152:G152"/>
    <mergeCell ref="H152:I152"/>
    <mergeCell ref="T153:U153"/>
    <mergeCell ref="J153:K153"/>
    <mergeCell ref="J154:K154"/>
    <mergeCell ref="J155:K155"/>
    <mergeCell ref="N154:O154"/>
    <mergeCell ref="N155:O155"/>
    <mergeCell ref="H154:I154"/>
    <mergeCell ref="L154:M154"/>
    <mergeCell ref="P154:Q154"/>
    <mergeCell ref="R154:S154"/>
    <mergeCell ref="F155:G155"/>
    <mergeCell ref="F149:G149"/>
    <mergeCell ref="H149:I149"/>
    <mergeCell ref="L149:M149"/>
    <mergeCell ref="P149:Q149"/>
    <mergeCell ref="R149:S149"/>
    <mergeCell ref="F150:G150"/>
    <mergeCell ref="AC148:AC151"/>
    <mergeCell ref="L148:M148"/>
    <mergeCell ref="P148:Q148"/>
    <mergeCell ref="R148:S148"/>
    <mergeCell ref="Y148:Y151"/>
    <mergeCell ref="AA148:AA151"/>
    <mergeCell ref="L150:M150"/>
    <mergeCell ref="P150:Q150"/>
    <mergeCell ref="R150:S150"/>
    <mergeCell ref="A148:A151"/>
    <mergeCell ref="B148:B151"/>
    <mergeCell ref="C148:C151"/>
    <mergeCell ref="D148:D151"/>
    <mergeCell ref="F148:G148"/>
    <mergeCell ref="H148:I148"/>
    <mergeCell ref="H150:I150"/>
    <mergeCell ref="F151:G151"/>
    <mergeCell ref="H151:I151"/>
    <mergeCell ref="N148:O148"/>
    <mergeCell ref="N149:O149"/>
    <mergeCell ref="N150:O150"/>
    <mergeCell ref="N151:O151"/>
    <mergeCell ref="F157:G157"/>
    <mergeCell ref="H157:I157"/>
    <mergeCell ref="L157:M157"/>
    <mergeCell ref="P157:Q157"/>
    <mergeCell ref="R157:S157"/>
    <mergeCell ref="F158:G158"/>
    <mergeCell ref="AC156:AC159"/>
    <mergeCell ref="L156:M156"/>
    <mergeCell ref="P156:Q156"/>
    <mergeCell ref="R156:S156"/>
    <mergeCell ref="Y156:Y159"/>
    <mergeCell ref="AA156:AA159"/>
    <mergeCell ref="L158:M158"/>
    <mergeCell ref="P158:Q158"/>
    <mergeCell ref="R158:S158"/>
    <mergeCell ref="A156:A159"/>
    <mergeCell ref="B156:B159"/>
    <mergeCell ref="C156:C159"/>
    <mergeCell ref="D156:D159"/>
    <mergeCell ref="F156:G156"/>
    <mergeCell ref="H156:I156"/>
    <mergeCell ref="H158:I158"/>
    <mergeCell ref="F159:G159"/>
    <mergeCell ref="H159:I159"/>
    <mergeCell ref="H155:I155"/>
    <mergeCell ref="L155:M155"/>
    <mergeCell ref="P155:Q155"/>
    <mergeCell ref="R155:S155"/>
    <mergeCell ref="T154:U154"/>
    <mergeCell ref="T155:U155"/>
    <mergeCell ref="T156:U156"/>
    <mergeCell ref="T157:U157"/>
    <mergeCell ref="T158:U158"/>
    <mergeCell ref="T159:U159"/>
    <mergeCell ref="J156:K156"/>
    <mergeCell ref="J157:K157"/>
    <mergeCell ref="J158:K158"/>
    <mergeCell ref="J159:K159"/>
    <mergeCell ref="N156:O156"/>
    <mergeCell ref="N157:O157"/>
    <mergeCell ref="N158:O158"/>
    <mergeCell ref="N159:O159"/>
    <mergeCell ref="L159:M159"/>
    <mergeCell ref="P159:Q159"/>
    <mergeCell ref="R159:S159"/>
    <mergeCell ref="H162:I162"/>
    <mergeCell ref="L162:M162"/>
    <mergeCell ref="P162:Q162"/>
    <mergeCell ref="R162:S162"/>
    <mergeCell ref="F163:G163"/>
    <mergeCell ref="H163:I163"/>
    <mergeCell ref="L163:M163"/>
    <mergeCell ref="P163:Q163"/>
    <mergeCell ref="R163:S163"/>
    <mergeCell ref="F161:G161"/>
    <mergeCell ref="H161:I161"/>
    <mergeCell ref="L161:M161"/>
    <mergeCell ref="P161:Q161"/>
    <mergeCell ref="R161:S161"/>
    <mergeCell ref="F162:G162"/>
    <mergeCell ref="AC160:AC163"/>
    <mergeCell ref="L160:M160"/>
    <mergeCell ref="P160:Q160"/>
    <mergeCell ref="R160:S160"/>
    <mergeCell ref="Y160:Y163"/>
    <mergeCell ref="AA160:AA163"/>
    <mergeCell ref="T162:U162"/>
    <mergeCell ref="T163:U163"/>
    <mergeCell ref="J162:K162"/>
    <mergeCell ref="J163:K163"/>
    <mergeCell ref="J161:K161"/>
    <mergeCell ref="A160:A163"/>
    <mergeCell ref="B160:B163"/>
    <mergeCell ref="C160:C163"/>
    <mergeCell ref="D160:D163"/>
    <mergeCell ref="F160:G160"/>
    <mergeCell ref="H160:I160"/>
    <mergeCell ref="F169:G169"/>
    <mergeCell ref="H169:I169"/>
    <mergeCell ref="L169:M169"/>
    <mergeCell ref="P169:Q169"/>
    <mergeCell ref="R169:S169"/>
    <mergeCell ref="L167:M167"/>
    <mergeCell ref="P167:Q167"/>
    <mergeCell ref="R167:S167"/>
    <mergeCell ref="A168:A171"/>
    <mergeCell ref="B168:B171"/>
    <mergeCell ref="C168:C171"/>
    <mergeCell ref="D168:D171"/>
    <mergeCell ref="F168:G168"/>
    <mergeCell ref="H168:I168"/>
    <mergeCell ref="F165:G165"/>
    <mergeCell ref="H165:I165"/>
    <mergeCell ref="L165:M165"/>
    <mergeCell ref="P165:Q165"/>
    <mergeCell ref="R165:S165"/>
    <mergeCell ref="F166:G166"/>
    <mergeCell ref="H170:I170"/>
    <mergeCell ref="L170:M170"/>
    <mergeCell ref="P170:Q170"/>
    <mergeCell ref="R170:S170"/>
    <mergeCell ref="F171:G171"/>
    <mergeCell ref="H171:I171"/>
    <mergeCell ref="AC164:AC167"/>
    <mergeCell ref="L164:M164"/>
    <mergeCell ref="P164:Q164"/>
    <mergeCell ref="R164:S164"/>
    <mergeCell ref="Y164:Y167"/>
    <mergeCell ref="AA164:AA167"/>
    <mergeCell ref="L166:M166"/>
    <mergeCell ref="P166:Q166"/>
    <mergeCell ref="R166:S166"/>
    <mergeCell ref="A164:A167"/>
    <mergeCell ref="B164:B167"/>
    <mergeCell ref="C164:C167"/>
    <mergeCell ref="D164:D167"/>
    <mergeCell ref="F164:G164"/>
    <mergeCell ref="H164:I164"/>
    <mergeCell ref="H166:I166"/>
    <mergeCell ref="F167:G167"/>
    <mergeCell ref="H167:I167"/>
    <mergeCell ref="T164:U164"/>
    <mergeCell ref="T165:U165"/>
    <mergeCell ref="T166:U166"/>
    <mergeCell ref="T167:U167"/>
    <mergeCell ref="J164:K164"/>
    <mergeCell ref="J165:K165"/>
    <mergeCell ref="J166:K166"/>
    <mergeCell ref="J167:K167"/>
    <mergeCell ref="N165:O165"/>
    <mergeCell ref="N166:O166"/>
    <mergeCell ref="N167:O167"/>
    <mergeCell ref="F173:G173"/>
    <mergeCell ref="H173:I173"/>
    <mergeCell ref="L173:M173"/>
    <mergeCell ref="P173:Q173"/>
    <mergeCell ref="R173:S173"/>
    <mergeCell ref="F174:G174"/>
    <mergeCell ref="AC172:AC175"/>
    <mergeCell ref="L172:M172"/>
    <mergeCell ref="P172:Q172"/>
    <mergeCell ref="R172:S172"/>
    <mergeCell ref="Y172:Y175"/>
    <mergeCell ref="AA172:AA175"/>
    <mergeCell ref="L174:M174"/>
    <mergeCell ref="P174:Q174"/>
    <mergeCell ref="R174:S174"/>
    <mergeCell ref="A172:A175"/>
    <mergeCell ref="B172:B175"/>
    <mergeCell ref="C172:C175"/>
    <mergeCell ref="D172:D175"/>
    <mergeCell ref="F172:G172"/>
    <mergeCell ref="H172:I172"/>
    <mergeCell ref="H174:I174"/>
    <mergeCell ref="F175:G175"/>
    <mergeCell ref="H175:I175"/>
    <mergeCell ref="P175:Q175"/>
    <mergeCell ref="R175:S175"/>
    <mergeCell ref="T172:U172"/>
    <mergeCell ref="T173:U173"/>
    <mergeCell ref="T174:U174"/>
    <mergeCell ref="T175:U175"/>
    <mergeCell ref="L171:M171"/>
    <mergeCell ref="P171:Q171"/>
    <mergeCell ref="R171:S171"/>
    <mergeCell ref="F170:G170"/>
    <mergeCell ref="AC168:AC171"/>
    <mergeCell ref="L168:M168"/>
    <mergeCell ref="P168:Q168"/>
    <mergeCell ref="R168:S168"/>
    <mergeCell ref="Y168:Y171"/>
    <mergeCell ref="AA168:AA171"/>
    <mergeCell ref="H178:I178"/>
    <mergeCell ref="L178:M178"/>
    <mergeCell ref="P178:Q178"/>
    <mergeCell ref="R178:S178"/>
    <mergeCell ref="F179:G179"/>
    <mergeCell ref="H179:I179"/>
    <mergeCell ref="L179:M179"/>
    <mergeCell ref="P179:Q179"/>
    <mergeCell ref="R179:S179"/>
    <mergeCell ref="F177:G177"/>
    <mergeCell ref="H177:I177"/>
    <mergeCell ref="L177:M177"/>
    <mergeCell ref="P177:Q177"/>
    <mergeCell ref="R177:S177"/>
    <mergeCell ref="F178:G178"/>
    <mergeCell ref="AC176:AC179"/>
    <mergeCell ref="L176:M176"/>
    <mergeCell ref="P176:Q176"/>
    <mergeCell ref="R176:S176"/>
    <mergeCell ref="Y176:Y179"/>
    <mergeCell ref="AA176:AA179"/>
    <mergeCell ref="L175:M175"/>
    <mergeCell ref="A176:A179"/>
    <mergeCell ref="B176:B179"/>
    <mergeCell ref="C176:C179"/>
    <mergeCell ref="D176:D179"/>
    <mergeCell ref="F176:G176"/>
    <mergeCell ref="H176:I176"/>
    <mergeCell ref="L183:M183"/>
    <mergeCell ref="P183:Q183"/>
    <mergeCell ref="R183:S183"/>
    <mergeCell ref="A184:A187"/>
    <mergeCell ref="B184:B187"/>
    <mergeCell ref="C184:C187"/>
    <mergeCell ref="D184:D187"/>
    <mergeCell ref="F184:G184"/>
    <mergeCell ref="H184:I184"/>
    <mergeCell ref="F181:G181"/>
    <mergeCell ref="H181:I181"/>
    <mergeCell ref="L181:M181"/>
    <mergeCell ref="P181:Q181"/>
    <mergeCell ref="R181:S181"/>
    <mergeCell ref="F182:G182"/>
    <mergeCell ref="H186:I186"/>
    <mergeCell ref="L186:M186"/>
    <mergeCell ref="P186:Q186"/>
    <mergeCell ref="R186:S186"/>
    <mergeCell ref="F187:G187"/>
    <mergeCell ref="H187:I187"/>
    <mergeCell ref="L187:M187"/>
    <mergeCell ref="P187:Q187"/>
    <mergeCell ref="R187:S187"/>
    <mergeCell ref="J177:K177"/>
    <mergeCell ref="J178:K178"/>
    <mergeCell ref="AC180:AC183"/>
    <mergeCell ref="L180:M180"/>
    <mergeCell ref="P180:Q180"/>
    <mergeCell ref="R180:S180"/>
    <mergeCell ref="Y180:Y183"/>
    <mergeCell ref="AA180:AA183"/>
    <mergeCell ref="L182:M182"/>
    <mergeCell ref="P182:Q182"/>
    <mergeCell ref="R182:S182"/>
    <mergeCell ref="A180:A183"/>
    <mergeCell ref="B180:B183"/>
    <mergeCell ref="C180:C183"/>
    <mergeCell ref="D180:D183"/>
    <mergeCell ref="F180:G180"/>
    <mergeCell ref="H180:I180"/>
    <mergeCell ref="H182:I182"/>
    <mergeCell ref="F183:G183"/>
    <mergeCell ref="H183:I183"/>
    <mergeCell ref="W192:Z192"/>
    <mergeCell ref="B193:D193"/>
    <mergeCell ref="E193:S193"/>
    <mergeCell ref="B191:C191"/>
    <mergeCell ref="F191:Q191"/>
    <mergeCell ref="A192:D192"/>
    <mergeCell ref="E192:S192"/>
    <mergeCell ref="F185:G185"/>
    <mergeCell ref="H185:I185"/>
    <mergeCell ref="L185:M185"/>
    <mergeCell ref="P185:Q185"/>
    <mergeCell ref="R185:S185"/>
    <mergeCell ref="F186:G186"/>
    <mergeCell ref="AC184:AC187"/>
    <mergeCell ref="L184:M184"/>
    <mergeCell ref="P184:Q184"/>
    <mergeCell ref="R184:S184"/>
    <mergeCell ref="Y184:Y187"/>
    <mergeCell ref="AA184:AA187"/>
    <mergeCell ref="T185:U185"/>
    <mergeCell ref="T186:U186"/>
    <mergeCell ref="T187:U187"/>
    <mergeCell ref="F199:G199"/>
    <mergeCell ref="H199:I199"/>
    <mergeCell ref="L199:M199"/>
    <mergeCell ref="P199:Q199"/>
    <mergeCell ref="R199:S199"/>
    <mergeCell ref="F200:G200"/>
    <mergeCell ref="AC198:AC201"/>
    <mergeCell ref="L198:M198"/>
    <mergeCell ref="P198:Q198"/>
    <mergeCell ref="R198:S198"/>
    <mergeCell ref="Y198:Y201"/>
    <mergeCell ref="AA198:AA201"/>
    <mergeCell ref="L197:M197"/>
    <mergeCell ref="P197:Q197"/>
    <mergeCell ref="R197:S197"/>
    <mergeCell ref="A198:A201"/>
    <mergeCell ref="B198:B201"/>
    <mergeCell ref="C198:C201"/>
    <mergeCell ref="D198:D201"/>
    <mergeCell ref="F198:G198"/>
    <mergeCell ref="H198:I198"/>
    <mergeCell ref="H200:I200"/>
    <mergeCell ref="L200:M200"/>
    <mergeCell ref="P200:Q200"/>
    <mergeCell ref="R200:S200"/>
    <mergeCell ref="F201:G201"/>
    <mergeCell ref="H201:I201"/>
    <mergeCell ref="L201:M201"/>
    <mergeCell ref="P201:Q201"/>
    <mergeCell ref="R201:S201"/>
    <mergeCell ref="T198:U198"/>
    <mergeCell ref="T199:U199"/>
    <mergeCell ref="F195:G195"/>
    <mergeCell ref="H195:I195"/>
    <mergeCell ref="L195:M195"/>
    <mergeCell ref="P195:Q195"/>
    <mergeCell ref="R195:S195"/>
    <mergeCell ref="F196:G196"/>
    <mergeCell ref="AC194:AC197"/>
    <mergeCell ref="L194:M194"/>
    <mergeCell ref="P194:Q194"/>
    <mergeCell ref="R194:S194"/>
    <mergeCell ref="Y194:Y197"/>
    <mergeCell ref="AA194:AA197"/>
    <mergeCell ref="L196:M196"/>
    <mergeCell ref="P196:Q196"/>
    <mergeCell ref="R196:S196"/>
    <mergeCell ref="A194:A197"/>
    <mergeCell ref="B194:B197"/>
    <mergeCell ref="C194:C197"/>
    <mergeCell ref="D194:D197"/>
    <mergeCell ref="F194:G194"/>
    <mergeCell ref="H194:I194"/>
    <mergeCell ref="H196:I196"/>
    <mergeCell ref="F197:G197"/>
    <mergeCell ref="H197:I197"/>
    <mergeCell ref="T194:U194"/>
    <mergeCell ref="T195:U195"/>
    <mergeCell ref="T196:U196"/>
    <mergeCell ref="T197:U197"/>
    <mergeCell ref="F203:G203"/>
    <mergeCell ref="H203:I203"/>
    <mergeCell ref="L203:M203"/>
    <mergeCell ref="P203:Q203"/>
    <mergeCell ref="R203:S203"/>
    <mergeCell ref="F204:G204"/>
    <mergeCell ref="AC202:AC205"/>
    <mergeCell ref="L202:M202"/>
    <mergeCell ref="P202:Q202"/>
    <mergeCell ref="R202:S202"/>
    <mergeCell ref="Y202:Y205"/>
    <mergeCell ref="AA202:AA205"/>
    <mergeCell ref="L204:M204"/>
    <mergeCell ref="P204:Q204"/>
    <mergeCell ref="R204:S204"/>
    <mergeCell ref="A202:A205"/>
    <mergeCell ref="B202:B205"/>
    <mergeCell ref="C202:C205"/>
    <mergeCell ref="D202:D205"/>
    <mergeCell ref="F202:G202"/>
    <mergeCell ref="H202:I202"/>
    <mergeCell ref="H204:I204"/>
    <mergeCell ref="F205:G205"/>
    <mergeCell ref="H205:I205"/>
    <mergeCell ref="L205:M205"/>
    <mergeCell ref="P205:Q205"/>
    <mergeCell ref="R205:S205"/>
    <mergeCell ref="N203:O203"/>
    <mergeCell ref="N204:O204"/>
    <mergeCell ref="N205:O205"/>
    <mergeCell ref="H208:I208"/>
    <mergeCell ref="L208:M208"/>
    <mergeCell ref="P208:Q208"/>
    <mergeCell ref="R208:S208"/>
    <mergeCell ref="F209:G209"/>
    <mergeCell ref="H209:I209"/>
    <mergeCell ref="L209:M209"/>
    <mergeCell ref="P209:Q209"/>
    <mergeCell ref="R209:S209"/>
    <mergeCell ref="F207:G207"/>
    <mergeCell ref="H207:I207"/>
    <mergeCell ref="L207:M207"/>
    <mergeCell ref="P207:Q207"/>
    <mergeCell ref="R207:S207"/>
    <mergeCell ref="F208:G208"/>
    <mergeCell ref="AC206:AC209"/>
    <mergeCell ref="L206:M206"/>
    <mergeCell ref="P206:Q206"/>
    <mergeCell ref="R206:S206"/>
    <mergeCell ref="Y206:Y209"/>
    <mergeCell ref="AA206:AA209"/>
    <mergeCell ref="N206:O206"/>
    <mergeCell ref="N207:O207"/>
    <mergeCell ref="N208:O208"/>
    <mergeCell ref="N209:O209"/>
    <mergeCell ref="T208:U208"/>
    <mergeCell ref="T209:U209"/>
    <mergeCell ref="A206:A209"/>
    <mergeCell ref="B206:B209"/>
    <mergeCell ref="C206:C209"/>
    <mergeCell ref="D206:D209"/>
    <mergeCell ref="F206:G206"/>
    <mergeCell ref="H206:I206"/>
    <mergeCell ref="L213:M213"/>
    <mergeCell ref="P213:Q213"/>
    <mergeCell ref="R213:S213"/>
    <mergeCell ref="A214:A217"/>
    <mergeCell ref="B214:B217"/>
    <mergeCell ref="C214:C217"/>
    <mergeCell ref="D214:D217"/>
    <mergeCell ref="F214:G214"/>
    <mergeCell ref="H214:I214"/>
    <mergeCell ref="F211:G211"/>
    <mergeCell ref="H211:I211"/>
    <mergeCell ref="L211:M211"/>
    <mergeCell ref="P211:Q211"/>
    <mergeCell ref="R211:S211"/>
    <mergeCell ref="F212:G212"/>
    <mergeCell ref="H216:I216"/>
    <mergeCell ref="L216:M216"/>
    <mergeCell ref="P216:Q216"/>
    <mergeCell ref="R216:S216"/>
    <mergeCell ref="F217:G217"/>
    <mergeCell ref="H217:I217"/>
    <mergeCell ref="L217:M217"/>
    <mergeCell ref="P217:Q217"/>
    <mergeCell ref="R217:S217"/>
    <mergeCell ref="F215:G215"/>
    <mergeCell ref="H215:I215"/>
    <mergeCell ref="R220:S220"/>
    <mergeCell ref="A218:A221"/>
    <mergeCell ref="B218:B221"/>
    <mergeCell ref="C218:C221"/>
    <mergeCell ref="D218:D221"/>
    <mergeCell ref="F218:G218"/>
    <mergeCell ref="H218:I218"/>
    <mergeCell ref="H220:I220"/>
    <mergeCell ref="F221:G221"/>
    <mergeCell ref="H221:I221"/>
    <mergeCell ref="AC210:AC213"/>
    <mergeCell ref="L210:M210"/>
    <mergeCell ref="P210:Q210"/>
    <mergeCell ref="R210:S210"/>
    <mergeCell ref="Y210:Y213"/>
    <mergeCell ref="AA210:AA213"/>
    <mergeCell ref="L212:M212"/>
    <mergeCell ref="P212:Q212"/>
    <mergeCell ref="R212:S212"/>
    <mergeCell ref="A210:A213"/>
    <mergeCell ref="B210:B213"/>
    <mergeCell ref="C210:C213"/>
    <mergeCell ref="D210:D213"/>
    <mergeCell ref="F210:G210"/>
    <mergeCell ref="H210:I210"/>
    <mergeCell ref="H212:I212"/>
    <mergeCell ref="F213:G213"/>
    <mergeCell ref="H213:I213"/>
    <mergeCell ref="N216:O216"/>
    <mergeCell ref="N217:O217"/>
    <mergeCell ref="N218:O218"/>
    <mergeCell ref="N219:O219"/>
    <mergeCell ref="L215:M215"/>
    <mergeCell ref="P215:Q215"/>
    <mergeCell ref="R215:S215"/>
    <mergeCell ref="F216:G216"/>
    <mergeCell ref="AC214:AC217"/>
    <mergeCell ref="L214:M214"/>
    <mergeCell ref="P214:Q214"/>
    <mergeCell ref="R214:S214"/>
    <mergeCell ref="Y214:Y217"/>
    <mergeCell ref="AA214:AA217"/>
    <mergeCell ref="L221:M221"/>
    <mergeCell ref="P221:Q221"/>
    <mergeCell ref="R221:S221"/>
    <mergeCell ref="F219:G219"/>
    <mergeCell ref="H219:I219"/>
    <mergeCell ref="L219:M219"/>
    <mergeCell ref="P219:Q219"/>
    <mergeCell ref="R219:S219"/>
    <mergeCell ref="T217:U217"/>
    <mergeCell ref="T218:U218"/>
    <mergeCell ref="T219:U219"/>
    <mergeCell ref="T220:U220"/>
    <mergeCell ref="T221:U221"/>
    <mergeCell ref="F220:G220"/>
    <mergeCell ref="AC218:AC221"/>
    <mergeCell ref="L218:M218"/>
    <mergeCell ref="P218:Q218"/>
    <mergeCell ref="R218:S218"/>
    <mergeCell ref="Y218:Y221"/>
    <mergeCell ref="AA218:AA221"/>
    <mergeCell ref="L220:M220"/>
    <mergeCell ref="P220:Q220"/>
    <mergeCell ref="AC226:AC229"/>
    <mergeCell ref="L226:M226"/>
    <mergeCell ref="P226:Q226"/>
    <mergeCell ref="R226:S226"/>
    <mergeCell ref="Y226:Y229"/>
    <mergeCell ref="AA226:AA229"/>
    <mergeCell ref="L228:M228"/>
    <mergeCell ref="P228:Q228"/>
    <mergeCell ref="R228:S228"/>
    <mergeCell ref="A226:A229"/>
    <mergeCell ref="B226:B229"/>
    <mergeCell ref="C226:C229"/>
    <mergeCell ref="D226:D229"/>
    <mergeCell ref="F226:G226"/>
    <mergeCell ref="H226:I226"/>
    <mergeCell ref="H228:I228"/>
    <mergeCell ref="F229:G229"/>
    <mergeCell ref="H229:I229"/>
    <mergeCell ref="L229:M229"/>
    <mergeCell ref="P229:Q229"/>
    <mergeCell ref="R229:S229"/>
    <mergeCell ref="F227:G227"/>
    <mergeCell ref="H227:I227"/>
    <mergeCell ref="L227:M227"/>
    <mergeCell ref="P227:Q227"/>
    <mergeCell ref="R227:S227"/>
    <mergeCell ref="F228:G228"/>
    <mergeCell ref="T226:U226"/>
    <mergeCell ref="T227:U227"/>
    <mergeCell ref="T228:U228"/>
    <mergeCell ref="T229:U229"/>
    <mergeCell ref="H223:I223"/>
    <mergeCell ref="L223:M223"/>
    <mergeCell ref="P223:Q223"/>
    <mergeCell ref="R223:S223"/>
    <mergeCell ref="F224:G224"/>
    <mergeCell ref="AC222:AC225"/>
    <mergeCell ref="L222:M222"/>
    <mergeCell ref="P222:Q222"/>
    <mergeCell ref="R222:S222"/>
    <mergeCell ref="Y222:Y225"/>
    <mergeCell ref="AA222:AA225"/>
    <mergeCell ref="A222:A225"/>
    <mergeCell ref="B222:B225"/>
    <mergeCell ref="C222:C225"/>
    <mergeCell ref="D222:D225"/>
    <mergeCell ref="F222:G222"/>
    <mergeCell ref="H222:I222"/>
    <mergeCell ref="H224:I224"/>
    <mergeCell ref="L224:M224"/>
    <mergeCell ref="P224:Q224"/>
    <mergeCell ref="R224:S224"/>
    <mergeCell ref="F225:G225"/>
    <mergeCell ref="H225:I225"/>
    <mergeCell ref="L225:M225"/>
    <mergeCell ref="P225:Q225"/>
    <mergeCell ref="R225:S225"/>
    <mergeCell ref="F223:G223"/>
    <mergeCell ref="T222:U222"/>
    <mergeCell ref="T223:U223"/>
    <mergeCell ref="T224:U224"/>
    <mergeCell ref="T225:U225"/>
    <mergeCell ref="J223:K223"/>
    <mergeCell ref="F241:G241"/>
    <mergeCell ref="H241:I241"/>
    <mergeCell ref="L241:M241"/>
    <mergeCell ref="P241:Q241"/>
    <mergeCell ref="R241:S241"/>
    <mergeCell ref="F242:G242"/>
    <mergeCell ref="AC240:AC243"/>
    <mergeCell ref="L240:M240"/>
    <mergeCell ref="P240:Q240"/>
    <mergeCell ref="R240:S240"/>
    <mergeCell ref="Y240:Y243"/>
    <mergeCell ref="AA240:AA243"/>
    <mergeCell ref="L242:M242"/>
    <mergeCell ref="P242:Q242"/>
    <mergeCell ref="R242:S242"/>
    <mergeCell ref="A240:A243"/>
    <mergeCell ref="B240:B243"/>
    <mergeCell ref="C240:C243"/>
    <mergeCell ref="D240:D243"/>
    <mergeCell ref="F240:G240"/>
    <mergeCell ref="H240:I240"/>
    <mergeCell ref="H242:I242"/>
    <mergeCell ref="F243:G243"/>
    <mergeCell ref="H243:I243"/>
    <mergeCell ref="AC230:AC233"/>
    <mergeCell ref="L230:M230"/>
    <mergeCell ref="P230:Q230"/>
    <mergeCell ref="R230:S230"/>
    <mergeCell ref="Y230:Y233"/>
    <mergeCell ref="AA230:AA233"/>
    <mergeCell ref="B237:C237"/>
    <mergeCell ref="F237:Q237"/>
    <mergeCell ref="A238:D238"/>
    <mergeCell ref="E238:S238"/>
    <mergeCell ref="A235:C235"/>
    <mergeCell ref="B236:C236"/>
    <mergeCell ref="F236:Q236"/>
    <mergeCell ref="A230:A233"/>
    <mergeCell ref="B230:B233"/>
    <mergeCell ref="C230:C233"/>
    <mergeCell ref="D230:D233"/>
    <mergeCell ref="F230:G230"/>
    <mergeCell ref="H230:I230"/>
    <mergeCell ref="L231:M231"/>
    <mergeCell ref="P231:Q231"/>
    <mergeCell ref="R231:S231"/>
    <mergeCell ref="F232:G232"/>
    <mergeCell ref="W238:Z238"/>
    <mergeCell ref="E235:I235"/>
    <mergeCell ref="S235:Y235"/>
    <mergeCell ref="S236:Z236"/>
    <mergeCell ref="T230:U230"/>
    <mergeCell ref="T231:U231"/>
    <mergeCell ref="B239:D239"/>
    <mergeCell ref="E239:S239"/>
    <mergeCell ref="T232:U232"/>
    <mergeCell ref="T233:U233"/>
    <mergeCell ref="T240:U240"/>
    <mergeCell ref="T241:U241"/>
    <mergeCell ref="T242:U242"/>
    <mergeCell ref="T243:U243"/>
    <mergeCell ref="J232:K232"/>
    <mergeCell ref="J233:K233"/>
    <mergeCell ref="J240:K240"/>
    <mergeCell ref="J241:K241"/>
    <mergeCell ref="H246:I246"/>
    <mergeCell ref="L246:M246"/>
    <mergeCell ref="P246:Q246"/>
    <mergeCell ref="R246:S246"/>
    <mergeCell ref="F247:G247"/>
    <mergeCell ref="H247:I247"/>
    <mergeCell ref="L247:M247"/>
    <mergeCell ref="P247:Q247"/>
    <mergeCell ref="R247:S247"/>
    <mergeCell ref="F245:G245"/>
    <mergeCell ref="H245:I245"/>
    <mergeCell ref="L245:M245"/>
    <mergeCell ref="P245:Q245"/>
    <mergeCell ref="R245:S245"/>
    <mergeCell ref="F246:G246"/>
    <mergeCell ref="F233:G233"/>
    <mergeCell ref="H233:I233"/>
    <mergeCell ref="L233:M233"/>
    <mergeCell ref="P233:Q233"/>
    <mergeCell ref="R233:S233"/>
    <mergeCell ref="AC244:AC247"/>
    <mergeCell ref="L244:M244"/>
    <mergeCell ref="P244:Q244"/>
    <mergeCell ref="R244:S244"/>
    <mergeCell ref="Y244:Y247"/>
    <mergeCell ref="AA244:AA247"/>
    <mergeCell ref="L243:M243"/>
    <mergeCell ref="P243:Q243"/>
    <mergeCell ref="R243:S243"/>
    <mergeCell ref="A244:A247"/>
    <mergeCell ref="B244:B247"/>
    <mergeCell ref="C244:C247"/>
    <mergeCell ref="D244:D247"/>
    <mergeCell ref="F244:G244"/>
    <mergeCell ref="H244:I244"/>
    <mergeCell ref="F253:G253"/>
    <mergeCell ref="H253:I253"/>
    <mergeCell ref="L253:M253"/>
    <mergeCell ref="P253:Q253"/>
    <mergeCell ref="R253:S253"/>
    <mergeCell ref="L251:M251"/>
    <mergeCell ref="P251:Q251"/>
    <mergeCell ref="R251:S251"/>
    <mergeCell ref="A252:A255"/>
    <mergeCell ref="B252:B255"/>
    <mergeCell ref="C252:C255"/>
    <mergeCell ref="D252:D255"/>
    <mergeCell ref="F252:G252"/>
    <mergeCell ref="H252:I252"/>
    <mergeCell ref="F249:G249"/>
    <mergeCell ref="H249:I249"/>
    <mergeCell ref="L249:M249"/>
    <mergeCell ref="AC248:AC251"/>
    <mergeCell ref="L248:M248"/>
    <mergeCell ref="P248:Q248"/>
    <mergeCell ref="R248:S248"/>
    <mergeCell ref="Y248:Y251"/>
    <mergeCell ref="AA248:AA251"/>
    <mergeCell ref="L250:M250"/>
    <mergeCell ref="P250:Q250"/>
    <mergeCell ref="R250:S250"/>
    <mergeCell ref="A248:A251"/>
    <mergeCell ref="B248:B251"/>
    <mergeCell ref="C248:C251"/>
    <mergeCell ref="D248:D251"/>
    <mergeCell ref="F248:G248"/>
    <mergeCell ref="H248:I248"/>
    <mergeCell ref="H250:I250"/>
    <mergeCell ref="F251:G251"/>
    <mergeCell ref="H251:I251"/>
    <mergeCell ref="P258:Q258"/>
    <mergeCell ref="R258:S258"/>
    <mergeCell ref="A256:A259"/>
    <mergeCell ref="B256:B259"/>
    <mergeCell ref="C256:C259"/>
    <mergeCell ref="D256:D259"/>
    <mergeCell ref="F256:G256"/>
    <mergeCell ref="H256:I256"/>
    <mergeCell ref="H258:I258"/>
    <mergeCell ref="F259:G259"/>
    <mergeCell ref="H259:I259"/>
    <mergeCell ref="P249:Q249"/>
    <mergeCell ref="R249:S249"/>
    <mergeCell ref="F250:G250"/>
    <mergeCell ref="H254:I254"/>
    <mergeCell ref="L254:M254"/>
    <mergeCell ref="P254:Q254"/>
    <mergeCell ref="R254:S254"/>
    <mergeCell ref="F255:G255"/>
    <mergeCell ref="H255:I255"/>
    <mergeCell ref="L255:M255"/>
    <mergeCell ref="P255:Q255"/>
    <mergeCell ref="R255:S255"/>
    <mergeCell ref="F254:G254"/>
    <mergeCell ref="N256:O256"/>
    <mergeCell ref="N257:O257"/>
    <mergeCell ref="N258:O258"/>
    <mergeCell ref="N259:O259"/>
    <mergeCell ref="AC252:AC255"/>
    <mergeCell ref="L252:M252"/>
    <mergeCell ref="P252:Q252"/>
    <mergeCell ref="R252:S252"/>
    <mergeCell ref="Y252:Y255"/>
    <mergeCell ref="AA252:AA255"/>
    <mergeCell ref="H262:I262"/>
    <mergeCell ref="L262:M262"/>
    <mergeCell ref="P262:Q262"/>
    <mergeCell ref="R262:S262"/>
    <mergeCell ref="L259:M259"/>
    <mergeCell ref="P259:Q259"/>
    <mergeCell ref="R259:S259"/>
    <mergeCell ref="F257:G257"/>
    <mergeCell ref="H257:I257"/>
    <mergeCell ref="L257:M257"/>
    <mergeCell ref="P257:Q257"/>
    <mergeCell ref="R257:S257"/>
    <mergeCell ref="F258:G258"/>
    <mergeCell ref="AC256:AC259"/>
    <mergeCell ref="L256:M256"/>
    <mergeCell ref="P256:Q256"/>
    <mergeCell ref="T254:U254"/>
    <mergeCell ref="T255:U255"/>
    <mergeCell ref="T256:U256"/>
    <mergeCell ref="T257:U257"/>
    <mergeCell ref="T258:U258"/>
    <mergeCell ref="T259:U259"/>
    <mergeCell ref="R256:S256"/>
    <mergeCell ref="Y256:Y259"/>
    <mergeCell ref="AA256:AA259"/>
    <mergeCell ref="L258:M258"/>
    <mergeCell ref="F263:G263"/>
    <mergeCell ref="H263:I263"/>
    <mergeCell ref="L263:M263"/>
    <mergeCell ref="P263:Q263"/>
    <mergeCell ref="R263:S263"/>
    <mergeCell ref="F261:G261"/>
    <mergeCell ref="H261:I261"/>
    <mergeCell ref="L261:M261"/>
    <mergeCell ref="P261:Q261"/>
    <mergeCell ref="R261:S261"/>
    <mergeCell ref="F262:G262"/>
    <mergeCell ref="AC260:AC263"/>
    <mergeCell ref="L260:M260"/>
    <mergeCell ref="P260:Q260"/>
    <mergeCell ref="R260:S260"/>
    <mergeCell ref="Y260:Y263"/>
    <mergeCell ref="AA260:AA263"/>
    <mergeCell ref="T261:U261"/>
    <mergeCell ref="T262:U262"/>
    <mergeCell ref="T263:U263"/>
    <mergeCell ref="T260:U260"/>
    <mergeCell ref="N260:O260"/>
    <mergeCell ref="N261:O261"/>
    <mergeCell ref="N262:O262"/>
    <mergeCell ref="N263:O263"/>
    <mergeCell ref="A260:A263"/>
    <mergeCell ref="B260:B263"/>
    <mergeCell ref="C260:C263"/>
    <mergeCell ref="D260:D263"/>
    <mergeCell ref="F260:G260"/>
    <mergeCell ref="H260:I260"/>
    <mergeCell ref="F269:G269"/>
    <mergeCell ref="H269:I269"/>
    <mergeCell ref="L269:M269"/>
    <mergeCell ref="P269:Q269"/>
    <mergeCell ref="R269:S269"/>
    <mergeCell ref="L267:M267"/>
    <mergeCell ref="P267:Q267"/>
    <mergeCell ref="R267:S267"/>
    <mergeCell ref="A268:A271"/>
    <mergeCell ref="B268:B271"/>
    <mergeCell ref="C268:C271"/>
    <mergeCell ref="D268:D271"/>
    <mergeCell ref="F268:G268"/>
    <mergeCell ref="H268:I268"/>
    <mergeCell ref="F265:G265"/>
    <mergeCell ref="H265:I265"/>
    <mergeCell ref="L265:M265"/>
    <mergeCell ref="P265:Q265"/>
    <mergeCell ref="R265:S265"/>
    <mergeCell ref="F266:G266"/>
    <mergeCell ref="H270:I270"/>
    <mergeCell ref="L270:M270"/>
    <mergeCell ref="P270:Q270"/>
    <mergeCell ref="R270:S270"/>
    <mergeCell ref="F271:G271"/>
    <mergeCell ref="H271:I271"/>
    <mergeCell ref="AC264:AC267"/>
    <mergeCell ref="L264:M264"/>
    <mergeCell ref="P264:Q264"/>
    <mergeCell ref="R264:S264"/>
    <mergeCell ref="Y264:Y267"/>
    <mergeCell ref="AA264:AA267"/>
    <mergeCell ref="L266:M266"/>
    <mergeCell ref="P266:Q266"/>
    <mergeCell ref="R266:S266"/>
    <mergeCell ref="A264:A267"/>
    <mergeCell ref="B264:B267"/>
    <mergeCell ref="C264:C267"/>
    <mergeCell ref="D264:D267"/>
    <mergeCell ref="F264:G264"/>
    <mergeCell ref="H264:I264"/>
    <mergeCell ref="H266:I266"/>
    <mergeCell ref="F267:G267"/>
    <mergeCell ref="H267:I267"/>
    <mergeCell ref="T264:U264"/>
    <mergeCell ref="T265:U265"/>
    <mergeCell ref="T266:U266"/>
    <mergeCell ref="T267:U267"/>
    <mergeCell ref="N265:O265"/>
    <mergeCell ref="N266:O266"/>
    <mergeCell ref="N267:O267"/>
    <mergeCell ref="N264:O264"/>
    <mergeCell ref="H273:I273"/>
    <mergeCell ref="L273:M273"/>
    <mergeCell ref="P273:Q273"/>
    <mergeCell ref="R273:S273"/>
    <mergeCell ref="F274:G274"/>
    <mergeCell ref="AC272:AC275"/>
    <mergeCell ref="L272:M272"/>
    <mergeCell ref="P272:Q272"/>
    <mergeCell ref="R272:S272"/>
    <mergeCell ref="Y272:Y275"/>
    <mergeCell ref="AA272:AA275"/>
    <mergeCell ref="L274:M274"/>
    <mergeCell ref="P274:Q274"/>
    <mergeCell ref="R274:S274"/>
    <mergeCell ref="A272:A275"/>
    <mergeCell ref="B272:B275"/>
    <mergeCell ref="C272:C275"/>
    <mergeCell ref="D272:D275"/>
    <mergeCell ref="F272:G272"/>
    <mergeCell ref="H272:I272"/>
    <mergeCell ref="H274:I274"/>
    <mergeCell ref="F275:G275"/>
    <mergeCell ref="H275:I275"/>
    <mergeCell ref="L271:M271"/>
    <mergeCell ref="P271:Q271"/>
    <mergeCell ref="R271:S271"/>
    <mergeCell ref="F270:G270"/>
    <mergeCell ref="AC268:AC271"/>
    <mergeCell ref="L268:M268"/>
    <mergeCell ref="P268:Q268"/>
    <mergeCell ref="R268:S268"/>
    <mergeCell ref="Y268:Y271"/>
    <mergeCell ref="AA268:AA271"/>
    <mergeCell ref="J275:K275"/>
    <mergeCell ref="N271:O271"/>
    <mergeCell ref="N272:O272"/>
    <mergeCell ref="N273:O273"/>
    <mergeCell ref="N274:O274"/>
    <mergeCell ref="N275:O275"/>
    <mergeCell ref="H278:I278"/>
    <mergeCell ref="L278:M278"/>
    <mergeCell ref="P278:Q278"/>
    <mergeCell ref="R278:S278"/>
    <mergeCell ref="L275:M275"/>
    <mergeCell ref="P275:Q275"/>
    <mergeCell ref="R275:S275"/>
    <mergeCell ref="T268:U268"/>
    <mergeCell ref="T269:U269"/>
    <mergeCell ref="T270:U270"/>
    <mergeCell ref="T271:U271"/>
    <mergeCell ref="T272:U272"/>
    <mergeCell ref="T273:U273"/>
    <mergeCell ref="T274:U274"/>
    <mergeCell ref="T275:U275"/>
    <mergeCell ref="F273:G273"/>
    <mergeCell ref="F279:G279"/>
    <mergeCell ref="H279:I279"/>
    <mergeCell ref="L279:M279"/>
    <mergeCell ref="P279:Q279"/>
    <mergeCell ref="R279:S279"/>
    <mergeCell ref="F277:G277"/>
    <mergeCell ref="H277:I277"/>
    <mergeCell ref="L277:M277"/>
    <mergeCell ref="P277:Q277"/>
    <mergeCell ref="R277:S277"/>
    <mergeCell ref="F278:G278"/>
    <mergeCell ref="AC276:AC279"/>
    <mergeCell ref="L276:M276"/>
    <mergeCell ref="P276:Q276"/>
    <mergeCell ref="R276:S276"/>
    <mergeCell ref="Y276:Y279"/>
    <mergeCell ref="AA276:AA279"/>
    <mergeCell ref="T276:U276"/>
    <mergeCell ref="T277:U277"/>
    <mergeCell ref="T278:U278"/>
    <mergeCell ref="T279:U279"/>
    <mergeCell ref="A276:A279"/>
    <mergeCell ref="B276:B279"/>
    <mergeCell ref="C276:C279"/>
    <mergeCell ref="D276:D279"/>
    <mergeCell ref="F276:G276"/>
    <mergeCell ref="H276:I276"/>
    <mergeCell ref="F291:G291"/>
    <mergeCell ref="H291:I291"/>
    <mergeCell ref="L291:M291"/>
    <mergeCell ref="P291:Q291"/>
    <mergeCell ref="R291:S291"/>
    <mergeCell ref="F283:Q283"/>
    <mergeCell ref="A284:D284"/>
    <mergeCell ref="E284:S284"/>
    <mergeCell ref="A281:C281"/>
    <mergeCell ref="B282:C282"/>
    <mergeCell ref="F282:Q282"/>
    <mergeCell ref="L289:M289"/>
    <mergeCell ref="P289:Q289"/>
    <mergeCell ref="R289:S289"/>
    <mergeCell ref="A290:A293"/>
    <mergeCell ref="B290:B293"/>
    <mergeCell ref="C290:C293"/>
    <mergeCell ref="D290:D293"/>
    <mergeCell ref="F290:G290"/>
    <mergeCell ref="H290:I290"/>
    <mergeCell ref="F287:G287"/>
    <mergeCell ref="H287:I287"/>
    <mergeCell ref="L287:M287"/>
    <mergeCell ref="P287:Q287"/>
    <mergeCell ref="R287:S287"/>
    <mergeCell ref="F288:G288"/>
    <mergeCell ref="AC286:AC289"/>
    <mergeCell ref="L286:M286"/>
    <mergeCell ref="P286:Q286"/>
    <mergeCell ref="R286:S286"/>
    <mergeCell ref="Y286:Y289"/>
    <mergeCell ref="AA286:AA289"/>
    <mergeCell ref="L288:M288"/>
    <mergeCell ref="P288:Q288"/>
    <mergeCell ref="R288:S288"/>
    <mergeCell ref="A286:A289"/>
    <mergeCell ref="B286:B289"/>
    <mergeCell ref="C286:C289"/>
    <mergeCell ref="D286:D289"/>
    <mergeCell ref="F286:G286"/>
    <mergeCell ref="H286:I286"/>
    <mergeCell ref="H288:I288"/>
    <mergeCell ref="F289:G289"/>
    <mergeCell ref="H289:I289"/>
    <mergeCell ref="AA294:AA297"/>
    <mergeCell ref="L296:M296"/>
    <mergeCell ref="P296:Q296"/>
    <mergeCell ref="R296:S296"/>
    <mergeCell ref="F299:G299"/>
    <mergeCell ref="H299:I299"/>
    <mergeCell ref="L299:M299"/>
    <mergeCell ref="P299:Q299"/>
    <mergeCell ref="R299:S299"/>
    <mergeCell ref="A294:A297"/>
    <mergeCell ref="B294:B297"/>
    <mergeCell ref="C294:C297"/>
    <mergeCell ref="D294:D297"/>
    <mergeCell ref="F294:G294"/>
    <mergeCell ref="H294:I294"/>
    <mergeCell ref="H296:I296"/>
    <mergeCell ref="F297:G297"/>
    <mergeCell ref="H297:I297"/>
    <mergeCell ref="L297:M297"/>
    <mergeCell ref="P297:Q297"/>
    <mergeCell ref="R297:S297"/>
    <mergeCell ref="F295:G295"/>
    <mergeCell ref="H295:I295"/>
    <mergeCell ref="J298:K298"/>
    <mergeCell ref="J299:K299"/>
    <mergeCell ref="A298:A301"/>
    <mergeCell ref="B298:B301"/>
    <mergeCell ref="C298:C301"/>
    <mergeCell ref="D298:D301"/>
    <mergeCell ref="F298:G298"/>
    <mergeCell ref="H298:I298"/>
    <mergeCell ref="AC298:AC301"/>
    <mergeCell ref="L298:M298"/>
    <mergeCell ref="P298:Q298"/>
    <mergeCell ref="R298:S298"/>
    <mergeCell ref="Y298:Y301"/>
    <mergeCell ref="AA298:AA301"/>
    <mergeCell ref="H292:I292"/>
    <mergeCell ref="L292:M292"/>
    <mergeCell ref="P292:Q292"/>
    <mergeCell ref="R292:S292"/>
    <mergeCell ref="F293:G293"/>
    <mergeCell ref="H293:I293"/>
    <mergeCell ref="L293:M293"/>
    <mergeCell ref="P293:Q293"/>
    <mergeCell ref="R293:S293"/>
    <mergeCell ref="F292:G292"/>
    <mergeCell ref="AC290:AC293"/>
    <mergeCell ref="L290:M290"/>
    <mergeCell ref="P290:Q290"/>
    <mergeCell ref="R290:S290"/>
    <mergeCell ref="Y290:Y293"/>
    <mergeCell ref="AA290:AA293"/>
    <mergeCell ref="H300:I300"/>
    <mergeCell ref="L300:M300"/>
    <mergeCell ref="P300:Q300"/>
    <mergeCell ref="R300:S300"/>
    <mergeCell ref="L295:M295"/>
    <mergeCell ref="P295:Q295"/>
    <mergeCell ref="R295:S295"/>
    <mergeCell ref="F296:G296"/>
    <mergeCell ref="AC294:AC297"/>
    <mergeCell ref="L294:M294"/>
    <mergeCell ref="F307:G307"/>
    <mergeCell ref="H307:I307"/>
    <mergeCell ref="L307:M307"/>
    <mergeCell ref="P307:Q307"/>
    <mergeCell ref="R307:S307"/>
    <mergeCell ref="L305:M305"/>
    <mergeCell ref="P305:Q305"/>
    <mergeCell ref="R305:S305"/>
    <mergeCell ref="A306:A309"/>
    <mergeCell ref="B306:B309"/>
    <mergeCell ref="C306:C309"/>
    <mergeCell ref="D306:D309"/>
    <mergeCell ref="F306:G306"/>
    <mergeCell ref="H306:I306"/>
    <mergeCell ref="F303:G303"/>
    <mergeCell ref="H303:I303"/>
    <mergeCell ref="L303:M303"/>
    <mergeCell ref="P303:Q303"/>
    <mergeCell ref="R303:S303"/>
    <mergeCell ref="F304:G304"/>
    <mergeCell ref="H308:I308"/>
    <mergeCell ref="L308:M308"/>
    <mergeCell ref="P308:Q308"/>
    <mergeCell ref="R308:S308"/>
    <mergeCell ref="F309:G309"/>
    <mergeCell ref="H309:I309"/>
    <mergeCell ref="J308:K308"/>
    <mergeCell ref="J309:K309"/>
    <mergeCell ref="AC302:AC305"/>
    <mergeCell ref="L302:M302"/>
    <mergeCell ref="P302:Q302"/>
    <mergeCell ref="R302:S302"/>
    <mergeCell ref="Y302:Y305"/>
    <mergeCell ref="AA302:AA305"/>
    <mergeCell ref="L304:M304"/>
    <mergeCell ref="P304:Q304"/>
    <mergeCell ref="R304:S304"/>
    <mergeCell ref="A302:A305"/>
    <mergeCell ref="B302:B305"/>
    <mergeCell ref="C302:C305"/>
    <mergeCell ref="D302:D305"/>
    <mergeCell ref="F302:G302"/>
    <mergeCell ref="H302:I302"/>
    <mergeCell ref="H304:I304"/>
    <mergeCell ref="F305:G305"/>
    <mergeCell ref="H305:I305"/>
    <mergeCell ref="J302:K302"/>
    <mergeCell ref="J303:K303"/>
    <mergeCell ref="J304:K304"/>
    <mergeCell ref="J305:K305"/>
    <mergeCell ref="AC310:AC313"/>
    <mergeCell ref="L310:M310"/>
    <mergeCell ref="P310:Q310"/>
    <mergeCell ref="R310:S310"/>
    <mergeCell ref="Y310:Y313"/>
    <mergeCell ref="AA310:AA313"/>
    <mergeCell ref="L312:M312"/>
    <mergeCell ref="P312:Q312"/>
    <mergeCell ref="R312:S312"/>
    <mergeCell ref="A310:A313"/>
    <mergeCell ref="B310:B313"/>
    <mergeCell ref="C310:C313"/>
    <mergeCell ref="D310:D313"/>
    <mergeCell ref="F310:G310"/>
    <mergeCell ref="H310:I310"/>
    <mergeCell ref="H312:I312"/>
    <mergeCell ref="F313:G313"/>
    <mergeCell ref="H313:I313"/>
    <mergeCell ref="P313:Q313"/>
    <mergeCell ref="R313:S313"/>
    <mergeCell ref="N313:O313"/>
    <mergeCell ref="J310:K310"/>
    <mergeCell ref="J311:K311"/>
    <mergeCell ref="J312:K312"/>
    <mergeCell ref="J313:K313"/>
    <mergeCell ref="AC306:AC309"/>
    <mergeCell ref="L306:M306"/>
    <mergeCell ref="P306:Q306"/>
    <mergeCell ref="R306:S306"/>
    <mergeCell ref="Y306:Y309"/>
    <mergeCell ref="AA306:AA309"/>
    <mergeCell ref="H316:I316"/>
    <mergeCell ref="L316:M316"/>
    <mergeCell ref="P316:Q316"/>
    <mergeCell ref="R316:S316"/>
    <mergeCell ref="F317:G317"/>
    <mergeCell ref="H317:I317"/>
    <mergeCell ref="L317:M317"/>
    <mergeCell ref="P317:Q317"/>
    <mergeCell ref="R317:S317"/>
    <mergeCell ref="F315:G315"/>
    <mergeCell ref="H315:I315"/>
    <mergeCell ref="L315:M315"/>
    <mergeCell ref="P315:Q315"/>
    <mergeCell ref="R315:S315"/>
    <mergeCell ref="F316:G316"/>
    <mergeCell ref="AC314:AC317"/>
    <mergeCell ref="L314:M314"/>
    <mergeCell ref="P314:Q314"/>
    <mergeCell ref="R314:S314"/>
    <mergeCell ref="Y314:Y317"/>
    <mergeCell ref="AA314:AA317"/>
    <mergeCell ref="L313:M313"/>
    <mergeCell ref="F311:G311"/>
    <mergeCell ref="H311:I311"/>
    <mergeCell ref="L311:M311"/>
    <mergeCell ref="P311:Q311"/>
    <mergeCell ref="A314:A317"/>
    <mergeCell ref="B314:B317"/>
    <mergeCell ref="C314:C317"/>
    <mergeCell ref="D314:D317"/>
    <mergeCell ref="F314:G314"/>
    <mergeCell ref="H314:I314"/>
    <mergeCell ref="F323:G323"/>
    <mergeCell ref="H323:I323"/>
    <mergeCell ref="L323:M323"/>
    <mergeCell ref="P323:Q323"/>
    <mergeCell ref="R323:S323"/>
    <mergeCell ref="L321:M321"/>
    <mergeCell ref="P321:Q321"/>
    <mergeCell ref="R321:S321"/>
    <mergeCell ref="A322:A325"/>
    <mergeCell ref="B322:B325"/>
    <mergeCell ref="C322:C325"/>
    <mergeCell ref="D322:D325"/>
    <mergeCell ref="F322:G322"/>
    <mergeCell ref="H322:I322"/>
    <mergeCell ref="F319:G319"/>
    <mergeCell ref="H319:I319"/>
    <mergeCell ref="L319:M319"/>
    <mergeCell ref="P319:Q319"/>
    <mergeCell ref="R319:S319"/>
    <mergeCell ref="F320:G320"/>
    <mergeCell ref="H324:I324"/>
    <mergeCell ref="L324:M324"/>
    <mergeCell ref="P324:Q324"/>
    <mergeCell ref="R324:S324"/>
    <mergeCell ref="F325:G325"/>
    <mergeCell ref="H325:I325"/>
    <mergeCell ref="Y332:Y335"/>
    <mergeCell ref="AA332:AA335"/>
    <mergeCell ref="L334:M334"/>
    <mergeCell ref="P334:Q334"/>
    <mergeCell ref="R334:S334"/>
    <mergeCell ref="A332:A335"/>
    <mergeCell ref="B332:B335"/>
    <mergeCell ref="C332:C335"/>
    <mergeCell ref="D332:D335"/>
    <mergeCell ref="F332:G332"/>
    <mergeCell ref="H332:I332"/>
    <mergeCell ref="H334:I334"/>
    <mergeCell ref="F335:G335"/>
    <mergeCell ref="H335:I335"/>
    <mergeCell ref="AC318:AC321"/>
    <mergeCell ref="L318:M318"/>
    <mergeCell ref="P318:Q318"/>
    <mergeCell ref="R318:S318"/>
    <mergeCell ref="Y318:Y321"/>
    <mergeCell ref="AA318:AA321"/>
    <mergeCell ref="L320:M320"/>
    <mergeCell ref="P320:Q320"/>
    <mergeCell ref="R320:S320"/>
    <mergeCell ref="A318:A321"/>
    <mergeCell ref="B318:B321"/>
    <mergeCell ref="C318:C321"/>
    <mergeCell ref="D318:D321"/>
    <mergeCell ref="F318:G318"/>
    <mergeCell ref="H318:I318"/>
    <mergeCell ref="H320:I320"/>
    <mergeCell ref="F321:G321"/>
    <mergeCell ref="H321:I321"/>
    <mergeCell ref="W330:Z330"/>
    <mergeCell ref="B331:D331"/>
    <mergeCell ref="E331:S331"/>
    <mergeCell ref="F324:G324"/>
    <mergeCell ref="AC322:AC325"/>
    <mergeCell ref="L322:M322"/>
    <mergeCell ref="P322:Q322"/>
    <mergeCell ref="R322:S322"/>
    <mergeCell ref="Y322:Y325"/>
    <mergeCell ref="AA322:AA325"/>
    <mergeCell ref="H338:I338"/>
    <mergeCell ref="L338:M338"/>
    <mergeCell ref="P338:Q338"/>
    <mergeCell ref="R338:S338"/>
    <mergeCell ref="L335:M335"/>
    <mergeCell ref="P335:Q335"/>
    <mergeCell ref="R335:S335"/>
    <mergeCell ref="T325:U325"/>
    <mergeCell ref="T332:U332"/>
    <mergeCell ref="T333:U333"/>
    <mergeCell ref="T334:U334"/>
    <mergeCell ref="T335:U335"/>
    <mergeCell ref="F333:G333"/>
    <mergeCell ref="H333:I333"/>
    <mergeCell ref="L333:M333"/>
    <mergeCell ref="P333:Q333"/>
    <mergeCell ref="R333:S333"/>
    <mergeCell ref="F334:G334"/>
    <mergeCell ref="AC332:AC335"/>
    <mergeCell ref="L332:M332"/>
    <mergeCell ref="P332:Q332"/>
    <mergeCell ref="R332:S332"/>
    <mergeCell ref="F339:G339"/>
    <mergeCell ref="H339:I339"/>
    <mergeCell ref="L339:M339"/>
    <mergeCell ref="P339:Q339"/>
    <mergeCell ref="R339:S339"/>
    <mergeCell ref="F337:G337"/>
    <mergeCell ref="H337:I337"/>
    <mergeCell ref="L337:M337"/>
    <mergeCell ref="P337:Q337"/>
    <mergeCell ref="R337:S337"/>
    <mergeCell ref="F338:G338"/>
    <mergeCell ref="AC336:AC339"/>
    <mergeCell ref="L336:M336"/>
    <mergeCell ref="P336:Q336"/>
    <mergeCell ref="R336:S336"/>
    <mergeCell ref="Y336:Y339"/>
    <mergeCell ref="AA336:AA339"/>
    <mergeCell ref="T336:U336"/>
    <mergeCell ref="T337:U337"/>
    <mergeCell ref="T338:U338"/>
    <mergeCell ref="T339:U339"/>
    <mergeCell ref="J338:K338"/>
    <mergeCell ref="J339:K339"/>
    <mergeCell ref="N337:O337"/>
    <mergeCell ref="N338:O338"/>
    <mergeCell ref="N339:O339"/>
    <mergeCell ref="A336:A339"/>
    <mergeCell ref="B336:B339"/>
    <mergeCell ref="C336:C339"/>
    <mergeCell ref="D336:D339"/>
    <mergeCell ref="F336:G336"/>
    <mergeCell ref="H336:I336"/>
    <mergeCell ref="F345:G345"/>
    <mergeCell ref="H345:I345"/>
    <mergeCell ref="L345:M345"/>
    <mergeCell ref="P345:Q345"/>
    <mergeCell ref="R345:S345"/>
    <mergeCell ref="L343:M343"/>
    <mergeCell ref="P343:Q343"/>
    <mergeCell ref="R343:S343"/>
    <mergeCell ref="A344:A347"/>
    <mergeCell ref="B344:B347"/>
    <mergeCell ref="C344:C347"/>
    <mergeCell ref="D344:D347"/>
    <mergeCell ref="F344:G344"/>
    <mergeCell ref="H344:I344"/>
    <mergeCell ref="F341:G341"/>
    <mergeCell ref="H341:I341"/>
    <mergeCell ref="L341:M341"/>
    <mergeCell ref="P341:Q341"/>
    <mergeCell ref="R341:S341"/>
    <mergeCell ref="F342:G342"/>
    <mergeCell ref="H346:I346"/>
    <mergeCell ref="L346:M346"/>
    <mergeCell ref="P346:Q346"/>
    <mergeCell ref="R346:S346"/>
    <mergeCell ref="F347:G347"/>
    <mergeCell ref="H347:I347"/>
    <mergeCell ref="AC340:AC343"/>
    <mergeCell ref="L340:M340"/>
    <mergeCell ref="P340:Q340"/>
    <mergeCell ref="R340:S340"/>
    <mergeCell ref="Y340:Y343"/>
    <mergeCell ref="AA340:AA343"/>
    <mergeCell ref="L342:M342"/>
    <mergeCell ref="P342:Q342"/>
    <mergeCell ref="R342:S342"/>
    <mergeCell ref="A340:A343"/>
    <mergeCell ref="B340:B343"/>
    <mergeCell ref="C340:C343"/>
    <mergeCell ref="D340:D343"/>
    <mergeCell ref="F340:G340"/>
    <mergeCell ref="H340:I340"/>
    <mergeCell ref="H342:I342"/>
    <mergeCell ref="F343:G343"/>
    <mergeCell ref="H343:I343"/>
    <mergeCell ref="T340:U340"/>
    <mergeCell ref="T341:U341"/>
    <mergeCell ref="T342:U342"/>
    <mergeCell ref="T343:U343"/>
    <mergeCell ref="J340:K340"/>
    <mergeCell ref="J341:K341"/>
    <mergeCell ref="J342:K342"/>
    <mergeCell ref="J343:K343"/>
    <mergeCell ref="N340:O340"/>
    <mergeCell ref="N341:O341"/>
    <mergeCell ref="N342:O342"/>
    <mergeCell ref="N343:O343"/>
    <mergeCell ref="F349:G349"/>
    <mergeCell ref="H349:I349"/>
    <mergeCell ref="L349:M349"/>
    <mergeCell ref="P349:Q349"/>
    <mergeCell ref="R349:S349"/>
    <mergeCell ref="F350:G350"/>
    <mergeCell ref="AC348:AC351"/>
    <mergeCell ref="L348:M348"/>
    <mergeCell ref="P348:Q348"/>
    <mergeCell ref="R348:S348"/>
    <mergeCell ref="Y348:Y351"/>
    <mergeCell ref="AA348:AA351"/>
    <mergeCell ref="L350:M350"/>
    <mergeCell ref="P350:Q350"/>
    <mergeCell ref="R350:S350"/>
    <mergeCell ref="A348:A351"/>
    <mergeCell ref="B348:B351"/>
    <mergeCell ref="C348:C351"/>
    <mergeCell ref="D348:D351"/>
    <mergeCell ref="F348:G348"/>
    <mergeCell ref="H348:I348"/>
    <mergeCell ref="H350:I350"/>
    <mergeCell ref="F351:G351"/>
    <mergeCell ref="H351:I351"/>
    <mergeCell ref="P351:Q351"/>
    <mergeCell ref="R351:S351"/>
    <mergeCell ref="L347:M347"/>
    <mergeCell ref="P347:Q347"/>
    <mergeCell ref="R347:S347"/>
    <mergeCell ref="F346:G346"/>
    <mergeCell ref="AC344:AC347"/>
    <mergeCell ref="L344:M344"/>
    <mergeCell ref="P344:Q344"/>
    <mergeCell ref="R344:S344"/>
    <mergeCell ref="Y344:Y347"/>
    <mergeCell ref="AA344:AA347"/>
    <mergeCell ref="H354:I354"/>
    <mergeCell ref="L354:M354"/>
    <mergeCell ref="P354:Q354"/>
    <mergeCell ref="R354:S354"/>
    <mergeCell ref="F355:G355"/>
    <mergeCell ref="H355:I355"/>
    <mergeCell ref="L355:M355"/>
    <mergeCell ref="P355:Q355"/>
    <mergeCell ref="R355:S355"/>
    <mergeCell ref="F353:G353"/>
    <mergeCell ref="H353:I353"/>
    <mergeCell ref="L353:M353"/>
    <mergeCell ref="P353:Q353"/>
    <mergeCell ref="R353:S353"/>
    <mergeCell ref="F354:G354"/>
    <mergeCell ref="AC352:AC355"/>
    <mergeCell ref="L352:M352"/>
    <mergeCell ref="P352:Q352"/>
    <mergeCell ref="R352:S352"/>
    <mergeCell ref="Y352:Y355"/>
    <mergeCell ref="AA352:AA355"/>
    <mergeCell ref="L351:M351"/>
    <mergeCell ref="A352:A355"/>
    <mergeCell ref="B352:B355"/>
    <mergeCell ref="C352:C355"/>
    <mergeCell ref="D352:D355"/>
    <mergeCell ref="F352:G352"/>
    <mergeCell ref="H352:I352"/>
    <mergeCell ref="R361:S361"/>
    <mergeCell ref="F362:G362"/>
    <mergeCell ref="AC360:AC363"/>
    <mergeCell ref="L360:M360"/>
    <mergeCell ref="P360:Q360"/>
    <mergeCell ref="R360:S360"/>
    <mergeCell ref="Y360:Y363"/>
    <mergeCell ref="AA360:AA363"/>
    <mergeCell ref="A360:A363"/>
    <mergeCell ref="B360:B363"/>
    <mergeCell ref="C360:C363"/>
    <mergeCell ref="D360:D363"/>
    <mergeCell ref="F360:G360"/>
    <mergeCell ref="H360:I360"/>
    <mergeCell ref="R357:S357"/>
    <mergeCell ref="F358:G358"/>
    <mergeCell ref="AC356:AC359"/>
    <mergeCell ref="L356:M356"/>
    <mergeCell ref="P356:Q356"/>
    <mergeCell ref="R356:S356"/>
    <mergeCell ref="Y356:Y359"/>
    <mergeCell ref="AA356:AA359"/>
    <mergeCell ref="L358:M358"/>
    <mergeCell ref="P358:Q358"/>
    <mergeCell ref="R358:S358"/>
    <mergeCell ref="A356:A359"/>
    <mergeCell ref="B356:B359"/>
    <mergeCell ref="C356:C359"/>
    <mergeCell ref="D356:D359"/>
    <mergeCell ref="F356:G356"/>
    <mergeCell ref="H356:I356"/>
    <mergeCell ref="H358:I358"/>
    <mergeCell ref="F359:G359"/>
    <mergeCell ref="H359:I359"/>
    <mergeCell ref="H362:I362"/>
    <mergeCell ref="L362:M362"/>
    <mergeCell ref="P362:Q362"/>
    <mergeCell ref="R362:S362"/>
    <mergeCell ref="F363:G363"/>
    <mergeCell ref="H363:I363"/>
    <mergeCell ref="L363:M363"/>
    <mergeCell ref="P363:Q363"/>
    <mergeCell ref="R363:S363"/>
    <mergeCell ref="F361:G361"/>
    <mergeCell ref="H361:I361"/>
    <mergeCell ref="L361:M361"/>
    <mergeCell ref="P361:Q361"/>
    <mergeCell ref="F365:G365"/>
    <mergeCell ref="H365:I365"/>
    <mergeCell ref="L365:M365"/>
    <mergeCell ref="P365:Q365"/>
    <mergeCell ref="R365:S365"/>
    <mergeCell ref="F366:G366"/>
    <mergeCell ref="F383:G383"/>
    <mergeCell ref="H383:I383"/>
    <mergeCell ref="L383:M383"/>
    <mergeCell ref="P383:Q383"/>
    <mergeCell ref="R383:S383"/>
    <mergeCell ref="AC368:AC371"/>
    <mergeCell ref="L368:M368"/>
    <mergeCell ref="P368:Q368"/>
    <mergeCell ref="R368:S368"/>
    <mergeCell ref="Y368:Y371"/>
    <mergeCell ref="AA368:AA371"/>
    <mergeCell ref="F368:G368"/>
    <mergeCell ref="H368:I368"/>
    <mergeCell ref="AC364:AC367"/>
    <mergeCell ref="L364:M364"/>
    <mergeCell ref="P364:Q364"/>
    <mergeCell ref="R364:S364"/>
    <mergeCell ref="Y364:Y367"/>
    <mergeCell ref="AA364:AA367"/>
    <mergeCell ref="L366:M366"/>
    <mergeCell ref="P366:Q366"/>
    <mergeCell ref="R366:S366"/>
    <mergeCell ref="F364:G364"/>
    <mergeCell ref="H364:I364"/>
    <mergeCell ref="H366:I366"/>
    <mergeCell ref="F367:G367"/>
    <mergeCell ref="AC378:AC381"/>
    <mergeCell ref="L378:M378"/>
    <mergeCell ref="P378:Q378"/>
    <mergeCell ref="R378:S378"/>
    <mergeCell ref="Y378:Y381"/>
    <mergeCell ref="AA378:AA381"/>
    <mergeCell ref="L380:M380"/>
    <mergeCell ref="P380:Q380"/>
    <mergeCell ref="R380:S380"/>
    <mergeCell ref="A378:A381"/>
    <mergeCell ref="R370:S370"/>
    <mergeCell ref="F369:G369"/>
    <mergeCell ref="H369:I369"/>
    <mergeCell ref="L369:M369"/>
    <mergeCell ref="P369:Q369"/>
    <mergeCell ref="R369:S369"/>
    <mergeCell ref="L367:M367"/>
    <mergeCell ref="P367:Q367"/>
    <mergeCell ref="R367:S367"/>
    <mergeCell ref="A368:A371"/>
    <mergeCell ref="B368:B371"/>
    <mergeCell ref="C368:C371"/>
    <mergeCell ref="D368:D371"/>
    <mergeCell ref="A364:A367"/>
    <mergeCell ref="B364:B367"/>
    <mergeCell ref="C364:C367"/>
    <mergeCell ref="D364:D367"/>
    <mergeCell ref="H367:I367"/>
    <mergeCell ref="L370:M370"/>
    <mergeCell ref="P370:Q370"/>
    <mergeCell ref="N370:O370"/>
    <mergeCell ref="H381:I381"/>
    <mergeCell ref="L381:M381"/>
    <mergeCell ref="P381:Q381"/>
    <mergeCell ref="R381:S381"/>
    <mergeCell ref="A382:A385"/>
    <mergeCell ref="B382:B385"/>
    <mergeCell ref="C382:C385"/>
    <mergeCell ref="D382:D385"/>
    <mergeCell ref="F382:G382"/>
    <mergeCell ref="H382:I382"/>
    <mergeCell ref="F379:G379"/>
    <mergeCell ref="H379:I379"/>
    <mergeCell ref="L379:M379"/>
    <mergeCell ref="P379:Q379"/>
    <mergeCell ref="R379:S379"/>
    <mergeCell ref="F380:G380"/>
    <mergeCell ref="J382:K382"/>
    <mergeCell ref="J383:K383"/>
    <mergeCell ref="J384:K384"/>
    <mergeCell ref="J385:K385"/>
    <mergeCell ref="N384:O384"/>
    <mergeCell ref="N385:O385"/>
    <mergeCell ref="B378:B381"/>
    <mergeCell ref="C378:C381"/>
    <mergeCell ref="D378:D381"/>
    <mergeCell ref="F378:G378"/>
    <mergeCell ref="H378:I378"/>
    <mergeCell ref="H380:I380"/>
    <mergeCell ref="F381:G381"/>
    <mergeCell ref="J381:K381"/>
    <mergeCell ref="P387:Q387"/>
    <mergeCell ref="R387:S387"/>
    <mergeCell ref="F388:G388"/>
    <mergeCell ref="AC386:AC389"/>
    <mergeCell ref="L386:M386"/>
    <mergeCell ref="P386:Q386"/>
    <mergeCell ref="R386:S386"/>
    <mergeCell ref="Y386:Y389"/>
    <mergeCell ref="AA386:AA389"/>
    <mergeCell ref="L388:M388"/>
    <mergeCell ref="P388:Q388"/>
    <mergeCell ref="R388:S388"/>
    <mergeCell ref="T384:U384"/>
    <mergeCell ref="T385:U385"/>
    <mergeCell ref="T386:U386"/>
    <mergeCell ref="T387:U387"/>
    <mergeCell ref="T388:U388"/>
    <mergeCell ref="T389:U389"/>
    <mergeCell ref="F384:G384"/>
    <mergeCell ref="AC382:AC385"/>
    <mergeCell ref="L382:M382"/>
    <mergeCell ref="P382:Q382"/>
    <mergeCell ref="R382:S382"/>
    <mergeCell ref="Y382:Y385"/>
    <mergeCell ref="AA382:AA385"/>
    <mergeCell ref="A386:A389"/>
    <mergeCell ref="B386:B389"/>
    <mergeCell ref="C386:C389"/>
    <mergeCell ref="D386:D389"/>
    <mergeCell ref="F386:G386"/>
    <mergeCell ref="H386:I386"/>
    <mergeCell ref="H388:I388"/>
    <mergeCell ref="F389:G389"/>
    <mergeCell ref="H389:I389"/>
    <mergeCell ref="H384:I384"/>
    <mergeCell ref="L384:M384"/>
    <mergeCell ref="P384:Q384"/>
    <mergeCell ref="R384:S384"/>
    <mergeCell ref="F385:G385"/>
    <mergeCell ref="H385:I385"/>
    <mergeCell ref="L385:M385"/>
    <mergeCell ref="P385:Q385"/>
    <mergeCell ref="R385:S385"/>
    <mergeCell ref="L389:M389"/>
    <mergeCell ref="P389:Q389"/>
    <mergeCell ref="R389:S389"/>
    <mergeCell ref="J386:K386"/>
    <mergeCell ref="J387:K387"/>
    <mergeCell ref="J388:K388"/>
    <mergeCell ref="J389:K389"/>
    <mergeCell ref="N386:O386"/>
    <mergeCell ref="N387:O387"/>
    <mergeCell ref="N388:O388"/>
    <mergeCell ref="N389:O389"/>
    <mergeCell ref="F387:G387"/>
    <mergeCell ref="H387:I387"/>
    <mergeCell ref="L387:M387"/>
    <mergeCell ref="H392:I392"/>
    <mergeCell ref="L392:M392"/>
    <mergeCell ref="P392:Q392"/>
    <mergeCell ref="R392:S392"/>
    <mergeCell ref="F393:G393"/>
    <mergeCell ref="H393:I393"/>
    <mergeCell ref="L393:M393"/>
    <mergeCell ref="P393:Q393"/>
    <mergeCell ref="R393:S393"/>
    <mergeCell ref="F391:G391"/>
    <mergeCell ref="H391:I391"/>
    <mergeCell ref="L391:M391"/>
    <mergeCell ref="P391:Q391"/>
    <mergeCell ref="R391:S391"/>
    <mergeCell ref="F392:G392"/>
    <mergeCell ref="AC390:AC393"/>
    <mergeCell ref="L390:M390"/>
    <mergeCell ref="P390:Q390"/>
    <mergeCell ref="R390:S390"/>
    <mergeCell ref="Y390:Y393"/>
    <mergeCell ref="AA390:AA393"/>
    <mergeCell ref="T390:U390"/>
    <mergeCell ref="T391:U391"/>
    <mergeCell ref="T392:U392"/>
    <mergeCell ref="T393:U393"/>
    <mergeCell ref="J390:K390"/>
    <mergeCell ref="J391:K391"/>
    <mergeCell ref="J392:K392"/>
    <mergeCell ref="N390:O390"/>
    <mergeCell ref="N391:O391"/>
    <mergeCell ref="N392:O392"/>
    <mergeCell ref="A390:A393"/>
    <mergeCell ref="B390:B393"/>
    <mergeCell ref="C390:C393"/>
    <mergeCell ref="D390:D393"/>
    <mergeCell ref="F390:G390"/>
    <mergeCell ref="H390:I390"/>
    <mergeCell ref="F399:G399"/>
    <mergeCell ref="H399:I399"/>
    <mergeCell ref="L399:M399"/>
    <mergeCell ref="P399:Q399"/>
    <mergeCell ref="R399:S399"/>
    <mergeCell ref="J393:K393"/>
    <mergeCell ref="J394:K394"/>
    <mergeCell ref="J395:K395"/>
    <mergeCell ref="J396:K396"/>
    <mergeCell ref="J397:K397"/>
    <mergeCell ref="J398:K398"/>
    <mergeCell ref="J399:K399"/>
    <mergeCell ref="N393:O393"/>
    <mergeCell ref="N394:O394"/>
    <mergeCell ref="N395:O395"/>
    <mergeCell ref="N396:O396"/>
    <mergeCell ref="N397:O397"/>
    <mergeCell ref="N398:O398"/>
    <mergeCell ref="N399:O399"/>
    <mergeCell ref="A398:A401"/>
    <mergeCell ref="B398:B401"/>
    <mergeCell ref="C398:C401"/>
    <mergeCell ref="D398:D401"/>
    <mergeCell ref="F395:G395"/>
    <mergeCell ref="H395:I395"/>
    <mergeCell ref="L395:M395"/>
    <mergeCell ref="H400:I400"/>
    <mergeCell ref="L400:M400"/>
    <mergeCell ref="P400:Q400"/>
    <mergeCell ref="R400:S400"/>
    <mergeCell ref="F401:G401"/>
    <mergeCell ref="H401:I401"/>
    <mergeCell ref="L401:M401"/>
    <mergeCell ref="P401:Q401"/>
    <mergeCell ref="R401:S401"/>
    <mergeCell ref="F400:G400"/>
    <mergeCell ref="AC398:AC401"/>
    <mergeCell ref="L398:M398"/>
    <mergeCell ref="P398:Q398"/>
    <mergeCell ref="R398:S398"/>
    <mergeCell ref="Y398:Y401"/>
    <mergeCell ref="AA398:AA401"/>
    <mergeCell ref="L397:M397"/>
    <mergeCell ref="P397:Q397"/>
    <mergeCell ref="R397:S397"/>
    <mergeCell ref="F398:G398"/>
    <mergeCell ref="H398:I398"/>
    <mergeCell ref="T398:U398"/>
    <mergeCell ref="T399:U399"/>
    <mergeCell ref="T400:U400"/>
    <mergeCell ref="T401:U401"/>
    <mergeCell ref="J400:K400"/>
    <mergeCell ref="J401:K401"/>
    <mergeCell ref="N400:O400"/>
    <mergeCell ref="N401:O401"/>
    <mergeCell ref="P395:Q395"/>
    <mergeCell ref="R395:S395"/>
    <mergeCell ref="F396:G396"/>
    <mergeCell ref="AC394:AC397"/>
    <mergeCell ref="L394:M394"/>
    <mergeCell ref="P394:Q394"/>
    <mergeCell ref="R394:S394"/>
    <mergeCell ref="Y394:Y397"/>
    <mergeCell ref="AA394:AA397"/>
    <mergeCell ref="L396:M396"/>
    <mergeCell ref="P396:Q396"/>
    <mergeCell ref="R396:S396"/>
    <mergeCell ref="A394:A397"/>
    <mergeCell ref="B394:B397"/>
    <mergeCell ref="C394:C397"/>
    <mergeCell ref="D394:D397"/>
    <mergeCell ref="F394:G394"/>
    <mergeCell ref="H394:I394"/>
    <mergeCell ref="H396:I396"/>
    <mergeCell ref="F397:G397"/>
    <mergeCell ref="H397:I397"/>
    <mergeCell ref="T394:U394"/>
    <mergeCell ref="T395:U395"/>
    <mergeCell ref="T396:U396"/>
    <mergeCell ref="T397:U397"/>
    <mergeCell ref="Y406:Y409"/>
    <mergeCell ref="AA406:AA409"/>
    <mergeCell ref="L405:M405"/>
    <mergeCell ref="P405:Q405"/>
    <mergeCell ref="R405:S405"/>
    <mergeCell ref="A406:A409"/>
    <mergeCell ref="B406:B409"/>
    <mergeCell ref="C406:C409"/>
    <mergeCell ref="D406:D409"/>
    <mergeCell ref="F406:G406"/>
    <mergeCell ref="H406:I406"/>
    <mergeCell ref="A402:A405"/>
    <mergeCell ref="B402:B405"/>
    <mergeCell ref="C402:C405"/>
    <mergeCell ref="D402:D405"/>
    <mergeCell ref="T402:U402"/>
    <mergeCell ref="T403:U403"/>
    <mergeCell ref="T404:U404"/>
    <mergeCell ref="T405:U405"/>
    <mergeCell ref="T406:U406"/>
    <mergeCell ref="T407:U407"/>
    <mergeCell ref="T408:U408"/>
    <mergeCell ref="J405:K405"/>
    <mergeCell ref="J406:K406"/>
    <mergeCell ref="J407:K407"/>
    <mergeCell ref="J408:K408"/>
    <mergeCell ref="J409:K409"/>
    <mergeCell ref="H408:I408"/>
    <mergeCell ref="L408:M408"/>
    <mergeCell ref="P408:Q408"/>
    <mergeCell ref="R408:S408"/>
    <mergeCell ref="F409:G409"/>
    <mergeCell ref="AC402:AC405"/>
    <mergeCell ref="L402:M402"/>
    <mergeCell ref="P402:Q402"/>
    <mergeCell ref="R402:S402"/>
    <mergeCell ref="Y402:Y405"/>
    <mergeCell ref="AA402:AA405"/>
    <mergeCell ref="L404:M404"/>
    <mergeCell ref="P404:Q404"/>
    <mergeCell ref="R404:S404"/>
    <mergeCell ref="F402:G402"/>
    <mergeCell ref="H402:I402"/>
    <mergeCell ref="H404:I404"/>
    <mergeCell ref="F405:G405"/>
    <mergeCell ref="H405:I405"/>
    <mergeCell ref="F412:G412"/>
    <mergeCell ref="AC410:AC413"/>
    <mergeCell ref="L410:M410"/>
    <mergeCell ref="P410:Q410"/>
    <mergeCell ref="R410:S410"/>
    <mergeCell ref="Y410:Y413"/>
    <mergeCell ref="AA410:AA413"/>
    <mergeCell ref="L412:M412"/>
    <mergeCell ref="P412:Q412"/>
    <mergeCell ref="F407:G407"/>
    <mergeCell ref="H407:I407"/>
    <mergeCell ref="L407:M407"/>
    <mergeCell ref="P407:Q407"/>
    <mergeCell ref="R407:S407"/>
    <mergeCell ref="F408:G408"/>
    <mergeCell ref="AC406:AC409"/>
    <mergeCell ref="L406:M406"/>
    <mergeCell ref="P406:Q406"/>
    <mergeCell ref="H409:I409"/>
    <mergeCell ref="L409:M409"/>
    <mergeCell ref="P409:Q409"/>
    <mergeCell ref="R409:S409"/>
    <mergeCell ref="L413:M413"/>
    <mergeCell ref="P413:Q413"/>
    <mergeCell ref="R413:S413"/>
    <mergeCell ref="F403:G403"/>
    <mergeCell ref="H403:I403"/>
    <mergeCell ref="L403:M403"/>
    <mergeCell ref="P403:Q403"/>
    <mergeCell ref="R403:S403"/>
    <mergeCell ref="F404:G404"/>
    <mergeCell ref="R406:S406"/>
    <mergeCell ref="J410:K410"/>
    <mergeCell ref="J411:K411"/>
    <mergeCell ref="J412:K412"/>
    <mergeCell ref="J413:K413"/>
    <mergeCell ref="P425:Q425"/>
    <mergeCell ref="R425:S425"/>
    <mergeCell ref="F426:G426"/>
    <mergeCell ref="AC424:AC427"/>
    <mergeCell ref="L424:M424"/>
    <mergeCell ref="P424:Q424"/>
    <mergeCell ref="R424:S424"/>
    <mergeCell ref="Y424:Y427"/>
    <mergeCell ref="AA424:AA427"/>
    <mergeCell ref="L426:M426"/>
    <mergeCell ref="P426:Q426"/>
    <mergeCell ref="R426:S426"/>
    <mergeCell ref="A424:A427"/>
    <mergeCell ref="B424:B427"/>
    <mergeCell ref="R412:S412"/>
    <mergeCell ref="A410:A413"/>
    <mergeCell ref="B410:B413"/>
    <mergeCell ref="C410:C413"/>
    <mergeCell ref="D410:D413"/>
    <mergeCell ref="F410:G410"/>
    <mergeCell ref="H410:I410"/>
    <mergeCell ref="L416:M416"/>
    <mergeCell ref="P416:Q416"/>
    <mergeCell ref="R416:S416"/>
    <mergeCell ref="F417:G417"/>
    <mergeCell ref="H417:I417"/>
    <mergeCell ref="L417:M417"/>
    <mergeCell ref="P417:Q417"/>
    <mergeCell ref="R417:S417"/>
    <mergeCell ref="J425:K425"/>
    <mergeCell ref="J426:K426"/>
    <mergeCell ref="J427:K427"/>
    <mergeCell ref="AC432:AC435"/>
    <mergeCell ref="L432:M432"/>
    <mergeCell ref="P432:Q432"/>
    <mergeCell ref="R432:S432"/>
    <mergeCell ref="Y432:Y435"/>
    <mergeCell ref="AA432:AA435"/>
    <mergeCell ref="L434:M434"/>
    <mergeCell ref="P434:Q434"/>
    <mergeCell ref="R434:S434"/>
    <mergeCell ref="A432:A435"/>
    <mergeCell ref="B432:B435"/>
    <mergeCell ref="C432:C435"/>
    <mergeCell ref="D432:D435"/>
    <mergeCell ref="F432:G432"/>
    <mergeCell ref="H432:I432"/>
    <mergeCell ref="H434:I434"/>
    <mergeCell ref="F435:G435"/>
    <mergeCell ref="H435:I435"/>
    <mergeCell ref="T432:U432"/>
    <mergeCell ref="T433:U433"/>
    <mergeCell ref="T434:U434"/>
    <mergeCell ref="T435:U435"/>
    <mergeCell ref="AC428:AC431"/>
    <mergeCell ref="L428:M428"/>
    <mergeCell ref="P428:Q428"/>
    <mergeCell ref="R428:S428"/>
    <mergeCell ref="Y428:Y431"/>
    <mergeCell ref="AA428:AA431"/>
    <mergeCell ref="C424:C427"/>
    <mergeCell ref="D424:D427"/>
    <mergeCell ref="F424:G424"/>
    <mergeCell ref="H424:I424"/>
    <mergeCell ref="H426:I426"/>
    <mergeCell ref="F427:G427"/>
    <mergeCell ref="H427:I427"/>
    <mergeCell ref="W422:Z422"/>
    <mergeCell ref="A414:A417"/>
    <mergeCell ref="B414:B417"/>
    <mergeCell ref="C414:C417"/>
    <mergeCell ref="H430:I430"/>
    <mergeCell ref="L430:M430"/>
    <mergeCell ref="P430:Q430"/>
    <mergeCell ref="AC414:AC417"/>
    <mergeCell ref="L414:M414"/>
    <mergeCell ref="P414:Q414"/>
    <mergeCell ref="R414:S414"/>
    <mergeCell ref="Y414:Y417"/>
    <mergeCell ref="AA414:AA417"/>
    <mergeCell ref="L427:M427"/>
    <mergeCell ref="P427:Q427"/>
    <mergeCell ref="R427:S427"/>
    <mergeCell ref="A428:A431"/>
    <mergeCell ref="B428:B431"/>
    <mergeCell ref="C428:C431"/>
    <mergeCell ref="F439:G439"/>
    <mergeCell ref="H439:I439"/>
    <mergeCell ref="L439:M439"/>
    <mergeCell ref="P439:Q439"/>
    <mergeCell ref="R439:S439"/>
    <mergeCell ref="F437:G437"/>
    <mergeCell ref="H437:I437"/>
    <mergeCell ref="R430:S430"/>
    <mergeCell ref="F431:G431"/>
    <mergeCell ref="H431:I431"/>
    <mergeCell ref="L431:M431"/>
    <mergeCell ref="P431:Q431"/>
    <mergeCell ref="R431:S431"/>
    <mergeCell ref="F430:G430"/>
    <mergeCell ref="F438:G438"/>
    <mergeCell ref="H433:I433"/>
    <mergeCell ref="L433:M433"/>
    <mergeCell ref="L437:M437"/>
    <mergeCell ref="P437:Q437"/>
    <mergeCell ref="R437:S437"/>
    <mergeCell ref="A436:A439"/>
    <mergeCell ref="B436:B439"/>
    <mergeCell ref="C436:C439"/>
    <mergeCell ref="D436:D439"/>
    <mergeCell ref="F436:G436"/>
    <mergeCell ref="H436:I436"/>
    <mergeCell ref="T441:U441"/>
    <mergeCell ref="F441:G441"/>
    <mergeCell ref="H441:I441"/>
    <mergeCell ref="R433:S433"/>
    <mergeCell ref="P433:Q433"/>
    <mergeCell ref="F434:G434"/>
    <mergeCell ref="AC440:AC443"/>
    <mergeCell ref="L440:M440"/>
    <mergeCell ref="P440:Q440"/>
    <mergeCell ref="R440:S440"/>
    <mergeCell ref="Y440:Y443"/>
    <mergeCell ref="AA440:AA443"/>
    <mergeCell ref="L442:M442"/>
    <mergeCell ref="P442:Q442"/>
    <mergeCell ref="R442:S442"/>
    <mergeCell ref="A440:A443"/>
    <mergeCell ref="B440:B443"/>
    <mergeCell ref="C440:C443"/>
    <mergeCell ref="D440:D443"/>
    <mergeCell ref="F433:G433"/>
    <mergeCell ref="F440:G440"/>
    <mergeCell ref="H440:I440"/>
    <mergeCell ref="H442:I442"/>
    <mergeCell ref="F443:G443"/>
    <mergeCell ref="H443:I443"/>
    <mergeCell ref="H438:I438"/>
    <mergeCell ref="AC444:AC447"/>
    <mergeCell ref="Y444:Y447"/>
    <mergeCell ref="AA444:AA447"/>
    <mergeCell ref="T445:U445"/>
    <mergeCell ref="T446:U446"/>
    <mergeCell ref="T447:U447"/>
    <mergeCell ref="AC436:AC439"/>
    <mergeCell ref="L436:M436"/>
    <mergeCell ref="P436:Q436"/>
    <mergeCell ref="R436:S436"/>
    <mergeCell ref="Y436:Y439"/>
    <mergeCell ref="AA436:AA439"/>
    <mergeCell ref="L438:M438"/>
    <mergeCell ref="P438:Q438"/>
    <mergeCell ref="R438:S438"/>
    <mergeCell ref="N447:O447"/>
    <mergeCell ref="T436:U436"/>
    <mergeCell ref="T437:U437"/>
    <mergeCell ref="T438:U438"/>
    <mergeCell ref="T439:U439"/>
    <mergeCell ref="T440:U440"/>
    <mergeCell ref="F445:G445"/>
    <mergeCell ref="H445:I445"/>
    <mergeCell ref="L445:M445"/>
    <mergeCell ref="P445:Q445"/>
    <mergeCell ref="R445:S445"/>
    <mergeCell ref="L444:M444"/>
    <mergeCell ref="P444:Q444"/>
    <mergeCell ref="R444:S444"/>
    <mergeCell ref="T444:U444"/>
    <mergeCell ref="AC448:AC451"/>
    <mergeCell ref="L448:M448"/>
    <mergeCell ref="P448:Q448"/>
    <mergeCell ref="R448:S448"/>
    <mergeCell ref="Y448:Y451"/>
    <mergeCell ref="AA448:AA451"/>
    <mergeCell ref="L450:M450"/>
    <mergeCell ref="P450:Q450"/>
    <mergeCell ref="R450:S450"/>
    <mergeCell ref="T448:U448"/>
    <mergeCell ref="T449:U449"/>
    <mergeCell ref="T450:U450"/>
    <mergeCell ref="T451:U451"/>
    <mergeCell ref="N448:O448"/>
    <mergeCell ref="N449:O449"/>
    <mergeCell ref="N450:O450"/>
    <mergeCell ref="N451:O451"/>
    <mergeCell ref="H447:I447"/>
    <mergeCell ref="L447:M447"/>
    <mergeCell ref="P447:Q447"/>
    <mergeCell ref="R447:S447"/>
    <mergeCell ref="J448:K448"/>
    <mergeCell ref="J449:K449"/>
    <mergeCell ref="J450:K450"/>
    <mergeCell ref="J451:K451"/>
    <mergeCell ref="T442:U442"/>
    <mergeCell ref="T443:U443"/>
    <mergeCell ref="J441:K441"/>
    <mergeCell ref="J442:K442"/>
    <mergeCell ref="J443:K443"/>
    <mergeCell ref="N441:O441"/>
    <mergeCell ref="N442:O442"/>
    <mergeCell ref="N443:O443"/>
    <mergeCell ref="J445:K445"/>
    <mergeCell ref="J446:K446"/>
    <mergeCell ref="J447:K447"/>
    <mergeCell ref="N444:O444"/>
    <mergeCell ref="N445:O445"/>
    <mergeCell ref="N446:O446"/>
    <mergeCell ref="L441:M441"/>
    <mergeCell ref="P441:Q441"/>
    <mergeCell ref="R441:S441"/>
    <mergeCell ref="P446:Q446"/>
    <mergeCell ref="R446:S446"/>
    <mergeCell ref="A448:A451"/>
    <mergeCell ref="B448:B451"/>
    <mergeCell ref="C448:C451"/>
    <mergeCell ref="D448:D451"/>
    <mergeCell ref="F448:G448"/>
    <mergeCell ref="H448:I448"/>
    <mergeCell ref="H450:I450"/>
    <mergeCell ref="F451:G451"/>
    <mergeCell ref="H451:I451"/>
    <mergeCell ref="H446:I446"/>
    <mergeCell ref="L446:M446"/>
    <mergeCell ref="A456:A459"/>
    <mergeCell ref="B456:B459"/>
    <mergeCell ref="C456:C459"/>
    <mergeCell ref="D456:D459"/>
    <mergeCell ref="F456:G456"/>
    <mergeCell ref="H456:I456"/>
    <mergeCell ref="H458:I458"/>
    <mergeCell ref="F459:G459"/>
    <mergeCell ref="H459:I459"/>
    <mergeCell ref="F446:G446"/>
    <mergeCell ref="A444:A447"/>
    <mergeCell ref="B444:B447"/>
    <mergeCell ref="C444:C447"/>
    <mergeCell ref="D444:D447"/>
    <mergeCell ref="F444:G444"/>
    <mergeCell ref="H444:I444"/>
    <mergeCell ref="J444:K444"/>
    <mergeCell ref="F453:G453"/>
    <mergeCell ref="H453:I453"/>
    <mergeCell ref="L453:M453"/>
    <mergeCell ref="F447:G447"/>
    <mergeCell ref="P453:Q453"/>
    <mergeCell ref="R453:S453"/>
    <mergeCell ref="F454:G454"/>
    <mergeCell ref="AC452:AC455"/>
    <mergeCell ref="L452:M452"/>
    <mergeCell ref="P452:Q452"/>
    <mergeCell ref="R452:S452"/>
    <mergeCell ref="Y452:Y455"/>
    <mergeCell ref="AA452:AA455"/>
    <mergeCell ref="AC456:AC459"/>
    <mergeCell ref="L456:M456"/>
    <mergeCell ref="P456:Q456"/>
    <mergeCell ref="R456:S456"/>
    <mergeCell ref="Y456:Y459"/>
    <mergeCell ref="AA456:AA459"/>
    <mergeCell ref="L458:M458"/>
    <mergeCell ref="P458:Q458"/>
    <mergeCell ref="R458:S458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H472:I472"/>
    <mergeCell ref="F473:G473"/>
    <mergeCell ref="H473:I473"/>
    <mergeCell ref="A452:A455"/>
    <mergeCell ref="B452:B455"/>
    <mergeCell ref="C452:C455"/>
    <mergeCell ref="D452:D455"/>
    <mergeCell ref="F452:G452"/>
    <mergeCell ref="H452:I452"/>
    <mergeCell ref="T452:U452"/>
    <mergeCell ref="T453:U453"/>
    <mergeCell ref="T454:U454"/>
    <mergeCell ref="T455:U455"/>
    <mergeCell ref="T456:U456"/>
    <mergeCell ref="T457:U457"/>
    <mergeCell ref="T458:U458"/>
    <mergeCell ref="T459:U459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H454:I454"/>
    <mergeCell ref="L454:M454"/>
    <mergeCell ref="P454:Q454"/>
    <mergeCell ref="R454:S454"/>
    <mergeCell ref="F455:G455"/>
    <mergeCell ref="H455:I455"/>
    <mergeCell ref="L455:M455"/>
    <mergeCell ref="AC460:AC463"/>
    <mergeCell ref="L460:M460"/>
    <mergeCell ref="P460:Q460"/>
    <mergeCell ref="R460:S460"/>
    <mergeCell ref="Y460:Y463"/>
    <mergeCell ref="AA460:AA463"/>
    <mergeCell ref="A460:A463"/>
    <mergeCell ref="B460:B463"/>
    <mergeCell ref="C460:C463"/>
    <mergeCell ref="D460:D463"/>
    <mergeCell ref="F460:G460"/>
    <mergeCell ref="H460:I460"/>
    <mergeCell ref="F471:G471"/>
    <mergeCell ref="H471:I471"/>
    <mergeCell ref="L471:M471"/>
    <mergeCell ref="P471:Q471"/>
    <mergeCell ref="R471:S471"/>
    <mergeCell ref="AC470:AC473"/>
    <mergeCell ref="L470:M470"/>
    <mergeCell ref="P470:Q470"/>
    <mergeCell ref="R470:S470"/>
    <mergeCell ref="Y470:Y473"/>
    <mergeCell ref="AA470:AA473"/>
    <mergeCell ref="L472:M472"/>
    <mergeCell ref="P472:Q472"/>
    <mergeCell ref="R472:S472"/>
    <mergeCell ref="A470:A473"/>
    <mergeCell ref="B470:B473"/>
    <mergeCell ref="C470:C473"/>
    <mergeCell ref="D470:D473"/>
    <mergeCell ref="F470:G470"/>
    <mergeCell ref="H470:I470"/>
    <mergeCell ref="B467:C467"/>
    <mergeCell ref="F467:Q467"/>
    <mergeCell ref="A468:D468"/>
    <mergeCell ref="E468:S468"/>
    <mergeCell ref="A465:C465"/>
    <mergeCell ref="B466:C466"/>
    <mergeCell ref="F466:Q466"/>
    <mergeCell ref="T460:U460"/>
    <mergeCell ref="T461:U461"/>
    <mergeCell ref="T462:U462"/>
    <mergeCell ref="T463:U463"/>
    <mergeCell ref="T470:U470"/>
    <mergeCell ref="T471:U471"/>
    <mergeCell ref="T472:U472"/>
    <mergeCell ref="T473:U473"/>
    <mergeCell ref="J460:K460"/>
    <mergeCell ref="J461:K461"/>
    <mergeCell ref="J462:K462"/>
    <mergeCell ref="L473:M473"/>
    <mergeCell ref="P473:Q473"/>
    <mergeCell ref="R473:S473"/>
    <mergeCell ref="H462:I462"/>
    <mergeCell ref="L462:M462"/>
    <mergeCell ref="P462:Q462"/>
    <mergeCell ref="R462:S462"/>
    <mergeCell ref="F463:G463"/>
    <mergeCell ref="H463:I463"/>
    <mergeCell ref="L463:M463"/>
    <mergeCell ref="P463:Q463"/>
    <mergeCell ref="R463:S463"/>
    <mergeCell ref="F462:G462"/>
    <mergeCell ref="F472:G472"/>
    <mergeCell ref="H476:I476"/>
    <mergeCell ref="L476:M476"/>
    <mergeCell ref="P476:Q476"/>
    <mergeCell ref="R476:S476"/>
    <mergeCell ref="F477:G477"/>
    <mergeCell ref="H477:I477"/>
    <mergeCell ref="L477:M477"/>
    <mergeCell ref="P477:Q477"/>
    <mergeCell ref="R477:S477"/>
    <mergeCell ref="F475:G475"/>
    <mergeCell ref="H475:I475"/>
    <mergeCell ref="L475:M475"/>
    <mergeCell ref="P475:Q475"/>
    <mergeCell ref="R475:S475"/>
    <mergeCell ref="F476:G476"/>
    <mergeCell ref="AC474:AC477"/>
    <mergeCell ref="L474:M474"/>
    <mergeCell ref="P474:Q474"/>
    <mergeCell ref="R474:S474"/>
    <mergeCell ref="Y474:Y477"/>
    <mergeCell ref="AA474:AA477"/>
    <mergeCell ref="T474:U474"/>
    <mergeCell ref="T475:U475"/>
    <mergeCell ref="T476:U476"/>
    <mergeCell ref="T477:U477"/>
    <mergeCell ref="A474:A477"/>
    <mergeCell ref="B474:B477"/>
    <mergeCell ref="C474:C477"/>
    <mergeCell ref="D474:D477"/>
    <mergeCell ref="F474:G474"/>
    <mergeCell ref="H474:I474"/>
    <mergeCell ref="F483:G483"/>
    <mergeCell ref="H483:I483"/>
    <mergeCell ref="L483:M483"/>
    <mergeCell ref="P483:Q483"/>
    <mergeCell ref="R483:S483"/>
    <mergeCell ref="L481:M481"/>
    <mergeCell ref="P481:Q481"/>
    <mergeCell ref="R481:S481"/>
    <mergeCell ref="A482:A485"/>
    <mergeCell ref="B482:B485"/>
    <mergeCell ref="C482:C485"/>
    <mergeCell ref="D482:D485"/>
    <mergeCell ref="F482:G482"/>
    <mergeCell ref="H482:I482"/>
    <mergeCell ref="F479:G479"/>
    <mergeCell ref="H479:I479"/>
    <mergeCell ref="L479:M479"/>
    <mergeCell ref="P479:Q479"/>
    <mergeCell ref="R479:S479"/>
    <mergeCell ref="F480:G480"/>
    <mergeCell ref="H484:I484"/>
    <mergeCell ref="L484:M484"/>
    <mergeCell ref="P484:Q484"/>
    <mergeCell ref="R484:S484"/>
    <mergeCell ref="F485:G485"/>
    <mergeCell ref="H485:I485"/>
    <mergeCell ref="AC478:AC481"/>
    <mergeCell ref="L478:M478"/>
    <mergeCell ref="P478:Q478"/>
    <mergeCell ref="R478:S478"/>
    <mergeCell ref="Y478:Y481"/>
    <mergeCell ref="AA478:AA481"/>
    <mergeCell ref="L480:M480"/>
    <mergeCell ref="P480:Q480"/>
    <mergeCell ref="R480:S480"/>
    <mergeCell ref="A478:A481"/>
    <mergeCell ref="B478:B481"/>
    <mergeCell ref="C478:C481"/>
    <mergeCell ref="D478:D481"/>
    <mergeCell ref="F478:G478"/>
    <mergeCell ref="H478:I478"/>
    <mergeCell ref="H480:I480"/>
    <mergeCell ref="F481:G481"/>
    <mergeCell ref="H481:I481"/>
    <mergeCell ref="T478:U478"/>
    <mergeCell ref="T479:U479"/>
    <mergeCell ref="T480:U480"/>
    <mergeCell ref="T481:U481"/>
    <mergeCell ref="P487:Q487"/>
    <mergeCell ref="R487:S487"/>
    <mergeCell ref="F488:G488"/>
    <mergeCell ref="AC486:AC489"/>
    <mergeCell ref="L486:M486"/>
    <mergeCell ref="P486:Q486"/>
    <mergeCell ref="R486:S486"/>
    <mergeCell ref="Y486:Y489"/>
    <mergeCell ref="AA486:AA489"/>
    <mergeCell ref="L488:M488"/>
    <mergeCell ref="P488:Q488"/>
    <mergeCell ref="R488:S488"/>
    <mergeCell ref="A486:A489"/>
    <mergeCell ref="B486:B489"/>
    <mergeCell ref="C486:C489"/>
    <mergeCell ref="D486:D489"/>
    <mergeCell ref="F486:G486"/>
    <mergeCell ref="H486:I486"/>
    <mergeCell ref="H488:I488"/>
    <mergeCell ref="F489:G489"/>
    <mergeCell ref="H489:I489"/>
    <mergeCell ref="L485:M485"/>
    <mergeCell ref="P485:Q485"/>
    <mergeCell ref="R485:S485"/>
    <mergeCell ref="F484:G484"/>
    <mergeCell ref="AC482:AC485"/>
    <mergeCell ref="L482:M482"/>
    <mergeCell ref="P482:Q482"/>
    <mergeCell ref="R482:S482"/>
    <mergeCell ref="Y482:Y485"/>
    <mergeCell ref="AA482:AA485"/>
    <mergeCell ref="N486:O486"/>
    <mergeCell ref="N487:O487"/>
    <mergeCell ref="N488:O488"/>
    <mergeCell ref="N489:O489"/>
    <mergeCell ref="H492:I492"/>
    <mergeCell ref="L492:M492"/>
    <mergeCell ref="P492:Q492"/>
    <mergeCell ref="R492:S492"/>
    <mergeCell ref="L489:M489"/>
    <mergeCell ref="P489:Q489"/>
    <mergeCell ref="R489:S489"/>
    <mergeCell ref="T482:U482"/>
    <mergeCell ref="T483:U483"/>
    <mergeCell ref="T484:U484"/>
    <mergeCell ref="T485:U485"/>
    <mergeCell ref="T486:U486"/>
    <mergeCell ref="T487:U487"/>
    <mergeCell ref="T488:U488"/>
    <mergeCell ref="T489:U489"/>
    <mergeCell ref="F487:G487"/>
    <mergeCell ref="H487:I487"/>
    <mergeCell ref="L487:M487"/>
    <mergeCell ref="F493:G493"/>
    <mergeCell ref="H493:I493"/>
    <mergeCell ref="L493:M493"/>
    <mergeCell ref="P493:Q493"/>
    <mergeCell ref="R493:S493"/>
    <mergeCell ref="F491:G491"/>
    <mergeCell ref="H491:I491"/>
    <mergeCell ref="L491:M491"/>
    <mergeCell ref="P491:Q491"/>
    <mergeCell ref="R491:S491"/>
    <mergeCell ref="F492:G492"/>
    <mergeCell ref="AC490:AC493"/>
    <mergeCell ref="L490:M490"/>
    <mergeCell ref="P490:Q490"/>
    <mergeCell ref="R490:S490"/>
    <mergeCell ref="Y490:Y493"/>
    <mergeCell ref="AA490:AA493"/>
    <mergeCell ref="T490:U490"/>
    <mergeCell ref="T491:U491"/>
    <mergeCell ref="T492:U492"/>
    <mergeCell ref="T493:U493"/>
    <mergeCell ref="A490:A493"/>
    <mergeCell ref="B490:B493"/>
    <mergeCell ref="C490:C493"/>
    <mergeCell ref="D490:D493"/>
    <mergeCell ref="F490:G490"/>
    <mergeCell ref="H490:I490"/>
    <mergeCell ref="F499:G499"/>
    <mergeCell ref="H499:I499"/>
    <mergeCell ref="L499:M499"/>
    <mergeCell ref="P499:Q499"/>
    <mergeCell ref="R499:S499"/>
    <mergeCell ref="L497:M497"/>
    <mergeCell ref="P497:Q497"/>
    <mergeCell ref="R497:S497"/>
    <mergeCell ref="A498:A501"/>
    <mergeCell ref="B498:B501"/>
    <mergeCell ref="C498:C501"/>
    <mergeCell ref="D498:D501"/>
    <mergeCell ref="F498:G498"/>
    <mergeCell ref="H498:I498"/>
    <mergeCell ref="F495:G495"/>
    <mergeCell ref="H495:I495"/>
    <mergeCell ref="L495:M495"/>
    <mergeCell ref="P495:Q495"/>
    <mergeCell ref="R495:S495"/>
    <mergeCell ref="F496:G496"/>
    <mergeCell ref="H500:I500"/>
    <mergeCell ref="L500:M500"/>
    <mergeCell ref="P500:Q500"/>
    <mergeCell ref="R500:S500"/>
    <mergeCell ref="F501:G501"/>
    <mergeCell ref="H501:I501"/>
    <mergeCell ref="AC494:AC497"/>
    <mergeCell ref="L494:M494"/>
    <mergeCell ref="P494:Q494"/>
    <mergeCell ref="R494:S494"/>
    <mergeCell ref="Y494:Y497"/>
    <mergeCell ref="AA494:AA497"/>
    <mergeCell ref="L496:M496"/>
    <mergeCell ref="P496:Q496"/>
    <mergeCell ref="R496:S496"/>
    <mergeCell ref="A494:A497"/>
    <mergeCell ref="B494:B497"/>
    <mergeCell ref="C494:C497"/>
    <mergeCell ref="D494:D497"/>
    <mergeCell ref="F494:G494"/>
    <mergeCell ref="H494:I494"/>
    <mergeCell ref="H496:I496"/>
    <mergeCell ref="F497:G497"/>
    <mergeCell ref="H497:I497"/>
    <mergeCell ref="T494:U494"/>
    <mergeCell ref="T495:U495"/>
    <mergeCell ref="T496:U496"/>
    <mergeCell ref="T497:U497"/>
    <mergeCell ref="J497:K497"/>
    <mergeCell ref="P503:Q503"/>
    <mergeCell ref="R503:S503"/>
    <mergeCell ref="F504:G504"/>
    <mergeCell ref="AC502:AC505"/>
    <mergeCell ref="L502:M502"/>
    <mergeCell ref="P502:Q502"/>
    <mergeCell ref="R502:S502"/>
    <mergeCell ref="Y502:Y505"/>
    <mergeCell ref="AA502:AA505"/>
    <mergeCell ref="L504:M504"/>
    <mergeCell ref="P504:Q504"/>
    <mergeCell ref="R504:S504"/>
    <mergeCell ref="A502:A505"/>
    <mergeCell ref="B502:B505"/>
    <mergeCell ref="C502:C505"/>
    <mergeCell ref="D502:D505"/>
    <mergeCell ref="F502:G502"/>
    <mergeCell ref="H502:I502"/>
    <mergeCell ref="H504:I504"/>
    <mergeCell ref="F505:G505"/>
    <mergeCell ref="H505:I505"/>
    <mergeCell ref="L501:M501"/>
    <mergeCell ref="P501:Q501"/>
    <mergeCell ref="R501:S501"/>
    <mergeCell ref="F500:G500"/>
    <mergeCell ref="AC498:AC501"/>
    <mergeCell ref="L498:M498"/>
    <mergeCell ref="P498:Q498"/>
    <mergeCell ref="R498:S498"/>
    <mergeCell ref="Y498:Y501"/>
    <mergeCell ref="AA498:AA501"/>
    <mergeCell ref="J502:K502"/>
    <mergeCell ref="J503:K503"/>
    <mergeCell ref="J504:K504"/>
    <mergeCell ref="J505:K505"/>
    <mergeCell ref="H508:I508"/>
    <mergeCell ref="L508:M508"/>
    <mergeCell ref="P508:Q508"/>
    <mergeCell ref="R508:S508"/>
    <mergeCell ref="L505:M505"/>
    <mergeCell ref="P505:Q505"/>
    <mergeCell ref="R505:S505"/>
    <mergeCell ref="T498:U498"/>
    <mergeCell ref="T499:U499"/>
    <mergeCell ref="T500:U500"/>
    <mergeCell ref="T501:U501"/>
    <mergeCell ref="T502:U502"/>
    <mergeCell ref="T503:U503"/>
    <mergeCell ref="T504:U504"/>
    <mergeCell ref="T505:U505"/>
    <mergeCell ref="F503:G503"/>
    <mergeCell ref="H503:I503"/>
    <mergeCell ref="L503:M503"/>
    <mergeCell ref="F509:G509"/>
    <mergeCell ref="H509:I509"/>
    <mergeCell ref="L509:M509"/>
    <mergeCell ref="P509:Q509"/>
    <mergeCell ref="R509:S509"/>
    <mergeCell ref="F507:G507"/>
    <mergeCell ref="H507:I507"/>
    <mergeCell ref="L507:M507"/>
    <mergeCell ref="P507:Q507"/>
    <mergeCell ref="R507:S507"/>
    <mergeCell ref="F508:G508"/>
    <mergeCell ref="AC506:AC509"/>
    <mergeCell ref="L506:M506"/>
    <mergeCell ref="P506:Q506"/>
    <mergeCell ref="R506:S506"/>
    <mergeCell ref="Y506:Y509"/>
    <mergeCell ref="AA506:AA509"/>
    <mergeCell ref="T506:U506"/>
    <mergeCell ref="T507:U507"/>
    <mergeCell ref="T508:U508"/>
    <mergeCell ref="T509:U509"/>
    <mergeCell ref="N508:O508"/>
    <mergeCell ref="N509:O509"/>
    <mergeCell ref="A506:A509"/>
    <mergeCell ref="B506:B509"/>
    <mergeCell ref="C506:C509"/>
    <mergeCell ref="D506:D509"/>
    <mergeCell ref="F506:G506"/>
    <mergeCell ref="H506:I506"/>
    <mergeCell ref="F521:G521"/>
    <mergeCell ref="H521:I521"/>
    <mergeCell ref="L521:M521"/>
    <mergeCell ref="P521:Q521"/>
    <mergeCell ref="R521:S521"/>
    <mergeCell ref="L519:M519"/>
    <mergeCell ref="P519:Q519"/>
    <mergeCell ref="R519:S519"/>
    <mergeCell ref="A520:A523"/>
    <mergeCell ref="B520:B523"/>
    <mergeCell ref="C520:C523"/>
    <mergeCell ref="D520:D523"/>
    <mergeCell ref="F520:G520"/>
    <mergeCell ref="H520:I520"/>
    <mergeCell ref="F517:G517"/>
    <mergeCell ref="H517:I517"/>
    <mergeCell ref="L517:M517"/>
    <mergeCell ref="P517:Q517"/>
    <mergeCell ref="R517:S517"/>
    <mergeCell ref="F518:G518"/>
    <mergeCell ref="H522:I522"/>
    <mergeCell ref="L522:M522"/>
    <mergeCell ref="P522:Q522"/>
    <mergeCell ref="R522:S522"/>
    <mergeCell ref="F523:G523"/>
    <mergeCell ref="H523:I523"/>
    <mergeCell ref="AC516:AC519"/>
    <mergeCell ref="L516:M516"/>
    <mergeCell ref="P516:Q516"/>
    <mergeCell ref="R516:S516"/>
    <mergeCell ref="Y516:Y519"/>
    <mergeCell ref="AA516:AA519"/>
    <mergeCell ref="L518:M518"/>
    <mergeCell ref="P518:Q518"/>
    <mergeCell ref="R518:S518"/>
    <mergeCell ref="A516:A519"/>
    <mergeCell ref="B516:B519"/>
    <mergeCell ref="C516:C519"/>
    <mergeCell ref="D516:D519"/>
    <mergeCell ref="F516:G516"/>
    <mergeCell ref="H516:I516"/>
    <mergeCell ref="H518:I518"/>
    <mergeCell ref="F519:G519"/>
    <mergeCell ref="H519:I519"/>
    <mergeCell ref="T516:U516"/>
    <mergeCell ref="T517:U517"/>
    <mergeCell ref="T518:U518"/>
    <mergeCell ref="T519:U519"/>
    <mergeCell ref="N516:O516"/>
    <mergeCell ref="N517:O517"/>
    <mergeCell ref="N518:O518"/>
    <mergeCell ref="N519:O519"/>
    <mergeCell ref="F525:G525"/>
    <mergeCell ref="H525:I525"/>
    <mergeCell ref="L525:M525"/>
    <mergeCell ref="P525:Q525"/>
    <mergeCell ref="R525:S525"/>
    <mergeCell ref="F526:G526"/>
    <mergeCell ref="AC524:AC527"/>
    <mergeCell ref="L524:M524"/>
    <mergeCell ref="P524:Q524"/>
    <mergeCell ref="R524:S524"/>
    <mergeCell ref="Y524:Y527"/>
    <mergeCell ref="AA524:AA527"/>
    <mergeCell ref="L526:M526"/>
    <mergeCell ref="P526:Q526"/>
    <mergeCell ref="R526:S526"/>
    <mergeCell ref="A524:A527"/>
    <mergeCell ref="B524:B527"/>
    <mergeCell ref="C524:C527"/>
    <mergeCell ref="D524:D527"/>
    <mergeCell ref="F524:G524"/>
    <mergeCell ref="H524:I524"/>
    <mergeCell ref="H526:I526"/>
    <mergeCell ref="F527:G527"/>
    <mergeCell ref="H527:I527"/>
    <mergeCell ref="P527:Q527"/>
    <mergeCell ref="R527:S527"/>
    <mergeCell ref="L523:M523"/>
    <mergeCell ref="P523:Q523"/>
    <mergeCell ref="R523:S523"/>
    <mergeCell ref="F522:G522"/>
    <mergeCell ref="AC520:AC523"/>
    <mergeCell ref="L520:M520"/>
    <mergeCell ref="P520:Q520"/>
    <mergeCell ref="R520:S520"/>
    <mergeCell ref="Y520:Y523"/>
    <mergeCell ref="AA520:AA523"/>
    <mergeCell ref="H530:I530"/>
    <mergeCell ref="L530:M530"/>
    <mergeCell ref="P530:Q530"/>
    <mergeCell ref="R530:S530"/>
    <mergeCell ref="F531:G531"/>
    <mergeCell ref="H531:I531"/>
    <mergeCell ref="L531:M531"/>
    <mergeCell ref="P531:Q531"/>
    <mergeCell ref="R531:S531"/>
    <mergeCell ref="F529:G529"/>
    <mergeCell ref="H529:I529"/>
    <mergeCell ref="L529:M529"/>
    <mergeCell ref="P529:Q529"/>
    <mergeCell ref="R529:S529"/>
    <mergeCell ref="F530:G530"/>
    <mergeCell ref="AC528:AC531"/>
    <mergeCell ref="L528:M528"/>
    <mergeCell ref="P528:Q528"/>
    <mergeCell ref="R528:S528"/>
    <mergeCell ref="Y528:Y531"/>
    <mergeCell ref="AA528:AA531"/>
    <mergeCell ref="L527:M527"/>
    <mergeCell ref="A528:A531"/>
    <mergeCell ref="B528:B531"/>
    <mergeCell ref="C528:C531"/>
    <mergeCell ref="D528:D531"/>
    <mergeCell ref="F528:G528"/>
    <mergeCell ref="H528:I528"/>
    <mergeCell ref="F537:G537"/>
    <mergeCell ref="H537:I537"/>
    <mergeCell ref="L537:M537"/>
    <mergeCell ref="P537:Q537"/>
    <mergeCell ref="R537:S537"/>
    <mergeCell ref="L535:M535"/>
    <mergeCell ref="P535:Q535"/>
    <mergeCell ref="R535:S535"/>
    <mergeCell ref="A536:A539"/>
    <mergeCell ref="B536:B539"/>
    <mergeCell ref="C536:C539"/>
    <mergeCell ref="D536:D539"/>
    <mergeCell ref="F536:G536"/>
    <mergeCell ref="H536:I536"/>
    <mergeCell ref="F533:G533"/>
    <mergeCell ref="H533:I533"/>
    <mergeCell ref="L533:M533"/>
    <mergeCell ref="P533:Q533"/>
    <mergeCell ref="R533:S533"/>
    <mergeCell ref="F534:G534"/>
    <mergeCell ref="H538:I538"/>
    <mergeCell ref="L538:M538"/>
    <mergeCell ref="P538:Q538"/>
    <mergeCell ref="R538:S538"/>
    <mergeCell ref="F539:G539"/>
    <mergeCell ref="H539:I539"/>
    <mergeCell ref="AC532:AC535"/>
    <mergeCell ref="L532:M532"/>
    <mergeCell ref="P532:Q532"/>
    <mergeCell ref="R532:S532"/>
    <mergeCell ref="Y532:Y535"/>
    <mergeCell ref="AA532:AA535"/>
    <mergeCell ref="L534:M534"/>
    <mergeCell ref="P534:Q534"/>
    <mergeCell ref="R534:S534"/>
    <mergeCell ref="A532:A535"/>
    <mergeCell ref="B532:B535"/>
    <mergeCell ref="C532:C535"/>
    <mergeCell ref="D532:D535"/>
    <mergeCell ref="F532:G532"/>
    <mergeCell ref="H532:I532"/>
    <mergeCell ref="H534:I534"/>
    <mergeCell ref="F535:G535"/>
    <mergeCell ref="H535:I535"/>
    <mergeCell ref="T532:U532"/>
    <mergeCell ref="T533:U533"/>
    <mergeCell ref="T534:U534"/>
    <mergeCell ref="T535:U535"/>
    <mergeCell ref="F541:G541"/>
    <mergeCell ref="H541:I541"/>
    <mergeCell ref="L541:M541"/>
    <mergeCell ref="P541:Q541"/>
    <mergeCell ref="R541:S541"/>
    <mergeCell ref="F542:G542"/>
    <mergeCell ref="AC540:AC543"/>
    <mergeCell ref="L540:M540"/>
    <mergeCell ref="P540:Q540"/>
    <mergeCell ref="R540:S540"/>
    <mergeCell ref="Y540:Y543"/>
    <mergeCell ref="AA540:AA543"/>
    <mergeCell ref="L542:M542"/>
    <mergeCell ref="P542:Q542"/>
    <mergeCell ref="R542:S542"/>
    <mergeCell ref="A540:A543"/>
    <mergeCell ref="B540:B543"/>
    <mergeCell ref="C540:C543"/>
    <mergeCell ref="D540:D543"/>
    <mergeCell ref="F540:G540"/>
    <mergeCell ref="H540:I540"/>
    <mergeCell ref="H542:I542"/>
    <mergeCell ref="F543:G543"/>
    <mergeCell ref="H543:I543"/>
    <mergeCell ref="P543:Q543"/>
    <mergeCell ref="R543:S543"/>
    <mergeCell ref="J542:K542"/>
    <mergeCell ref="J543:K543"/>
    <mergeCell ref="L539:M539"/>
    <mergeCell ref="P539:Q539"/>
    <mergeCell ref="R539:S539"/>
    <mergeCell ref="F538:G538"/>
    <mergeCell ref="AC536:AC539"/>
    <mergeCell ref="L536:M536"/>
    <mergeCell ref="P536:Q536"/>
    <mergeCell ref="R536:S536"/>
    <mergeCell ref="Y536:Y539"/>
    <mergeCell ref="AA536:AA539"/>
    <mergeCell ref="H546:I546"/>
    <mergeCell ref="L546:M546"/>
    <mergeCell ref="P546:Q546"/>
    <mergeCell ref="R546:S546"/>
    <mergeCell ref="F547:G547"/>
    <mergeCell ref="H547:I547"/>
    <mergeCell ref="L547:M547"/>
    <mergeCell ref="P547:Q547"/>
    <mergeCell ref="R547:S547"/>
    <mergeCell ref="F545:G545"/>
    <mergeCell ref="H545:I545"/>
    <mergeCell ref="L545:M545"/>
    <mergeCell ref="P545:Q545"/>
    <mergeCell ref="R545:S545"/>
    <mergeCell ref="F546:G546"/>
    <mergeCell ref="AC544:AC547"/>
    <mergeCell ref="L544:M544"/>
    <mergeCell ref="P544:Q544"/>
    <mergeCell ref="R544:S544"/>
    <mergeCell ref="Y544:Y547"/>
    <mergeCell ref="AA544:AA547"/>
    <mergeCell ref="L543:M543"/>
    <mergeCell ref="A544:A547"/>
    <mergeCell ref="B544:B547"/>
    <mergeCell ref="C544:C547"/>
    <mergeCell ref="D544:D547"/>
    <mergeCell ref="F544:G544"/>
    <mergeCell ref="H544:I544"/>
    <mergeCell ref="F553:G553"/>
    <mergeCell ref="H553:I553"/>
    <mergeCell ref="L553:M553"/>
    <mergeCell ref="P553:Q553"/>
    <mergeCell ref="R553:S553"/>
    <mergeCell ref="L551:M551"/>
    <mergeCell ref="P551:Q551"/>
    <mergeCell ref="R551:S551"/>
    <mergeCell ref="A552:A555"/>
    <mergeCell ref="B552:B555"/>
    <mergeCell ref="C552:C555"/>
    <mergeCell ref="D552:D555"/>
    <mergeCell ref="F552:G552"/>
    <mergeCell ref="H552:I552"/>
    <mergeCell ref="F549:G549"/>
    <mergeCell ref="H549:I549"/>
    <mergeCell ref="L549:M549"/>
    <mergeCell ref="P549:Q549"/>
    <mergeCell ref="R549:S549"/>
    <mergeCell ref="F550:G550"/>
    <mergeCell ref="H554:I554"/>
    <mergeCell ref="L554:M554"/>
    <mergeCell ref="P554:Q554"/>
    <mergeCell ref="R554:S554"/>
    <mergeCell ref="F555:G555"/>
    <mergeCell ref="H555:I555"/>
    <mergeCell ref="AC548:AC551"/>
    <mergeCell ref="L548:M548"/>
    <mergeCell ref="P548:Q548"/>
    <mergeCell ref="R548:S548"/>
    <mergeCell ref="Y548:Y551"/>
    <mergeCell ref="AA548:AA551"/>
    <mergeCell ref="L550:M550"/>
    <mergeCell ref="P550:Q550"/>
    <mergeCell ref="R550:S550"/>
    <mergeCell ref="A548:A551"/>
    <mergeCell ref="B548:B551"/>
    <mergeCell ref="C548:C551"/>
    <mergeCell ref="D548:D551"/>
    <mergeCell ref="F548:G548"/>
    <mergeCell ref="H548:I548"/>
    <mergeCell ref="H550:I550"/>
    <mergeCell ref="F551:G551"/>
    <mergeCell ref="H551:I551"/>
    <mergeCell ref="N548:O548"/>
    <mergeCell ref="N549:O549"/>
    <mergeCell ref="N550:O550"/>
    <mergeCell ref="N551:O551"/>
    <mergeCell ref="T549:U549"/>
    <mergeCell ref="T550:U550"/>
    <mergeCell ref="T551:U551"/>
    <mergeCell ref="AC562:AC565"/>
    <mergeCell ref="L562:M562"/>
    <mergeCell ref="P562:Q562"/>
    <mergeCell ref="R562:S562"/>
    <mergeCell ref="Y562:Y565"/>
    <mergeCell ref="AA562:AA565"/>
    <mergeCell ref="L564:M564"/>
    <mergeCell ref="P564:Q564"/>
    <mergeCell ref="R564:S564"/>
    <mergeCell ref="A562:A565"/>
    <mergeCell ref="B562:B565"/>
    <mergeCell ref="C562:C565"/>
    <mergeCell ref="D562:D565"/>
    <mergeCell ref="F562:G562"/>
    <mergeCell ref="H562:I562"/>
    <mergeCell ref="H564:I564"/>
    <mergeCell ref="F565:G565"/>
    <mergeCell ref="H565:I565"/>
    <mergeCell ref="L555:M555"/>
    <mergeCell ref="P555:Q555"/>
    <mergeCell ref="R555:S555"/>
    <mergeCell ref="W560:Z560"/>
    <mergeCell ref="B561:D561"/>
    <mergeCell ref="E561:S561"/>
    <mergeCell ref="F554:G554"/>
    <mergeCell ref="AC552:AC555"/>
    <mergeCell ref="L552:M552"/>
    <mergeCell ref="P552:Q552"/>
    <mergeCell ref="R552:S552"/>
    <mergeCell ref="Y552:Y555"/>
    <mergeCell ref="AA552:AA555"/>
    <mergeCell ref="H568:I568"/>
    <mergeCell ref="L568:M568"/>
    <mergeCell ref="P568:Q568"/>
    <mergeCell ref="R568:S568"/>
    <mergeCell ref="L565:M565"/>
    <mergeCell ref="P565:Q565"/>
    <mergeCell ref="R565:S565"/>
    <mergeCell ref="T554:U554"/>
    <mergeCell ref="T555:U555"/>
    <mergeCell ref="T562:U562"/>
    <mergeCell ref="T563:U563"/>
    <mergeCell ref="T564:U564"/>
    <mergeCell ref="T565:U565"/>
    <mergeCell ref="F563:G563"/>
    <mergeCell ref="H563:I563"/>
    <mergeCell ref="L563:M563"/>
    <mergeCell ref="P563:Q563"/>
    <mergeCell ref="R563:S563"/>
    <mergeCell ref="F564:G564"/>
    <mergeCell ref="F569:G569"/>
    <mergeCell ref="H569:I569"/>
    <mergeCell ref="L569:M569"/>
    <mergeCell ref="P569:Q569"/>
    <mergeCell ref="R569:S569"/>
    <mergeCell ref="F567:G567"/>
    <mergeCell ref="H567:I567"/>
    <mergeCell ref="L567:M567"/>
    <mergeCell ref="P567:Q567"/>
    <mergeCell ref="R567:S567"/>
    <mergeCell ref="F568:G568"/>
    <mergeCell ref="AC566:AC569"/>
    <mergeCell ref="L566:M566"/>
    <mergeCell ref="P566:Q566"/>
    <mergeCell ref="R566:S566"/>
    <mergeCell ref="Y566:Y569"/>
    <mergeCell ref="AA566:AA569"/>
    <mergeCell ref="T566:U566"/>
    <mergeCell ref="T567:U567"/>
    <mergeCell ref="T568:U568"/>
    <mergeCell ref="T569:U569"/>
    <mergeCell ref="J569:K569"/>
    <mergeCell ref="A566:A569"/>
    <mergeCell ref="B566:B569"/>
    <mergeCell ref="C566:C569"/>
    <mergeCell ref="D566:D569"/>
    <mergeCell ref="F566:G566"/>
    <mergeCell ref="H566:I566"/>
    <mergeCell ref="F575:G575"/>
    <mergeCell ref="H575:I575"/>
    <mergeCell ref="L575:M575"/>
    <mergeCell ref="P575:Q575"/>
    <mergeCell ref="R575:S575"/>
    <mergeCell ref="L573:M573"/>
    <mergeCell ref="P573:Q573"/>
    <mergeCell ref="R573:S573"/>
    <mergeCell ref="A574:A577"/>
    <mergeCell ref="B574:B577"/>
    <mergeCell ref="C574:C577"/>
    <mergeCell ref="D574:D577"/>
    <mergeCell ref="F574:G574"/>
    <mergeCell ref="H574:I574"/>
    <mergeCell ref="F571:G571"/>
    <mergeCell ref="H571:I571"/>
    <mergeCell ref="L571:M571"/>
    <mergeCell ref="P571:Q571"/>
    <mergeCell ref="R571:S571"/>
    <mergeCell ref="F572:G572"/>
    <mergeCell ref="H576:I576"/>
    <mergeCell ref="L576:M576"/>
    <mergeCell ref="P576:Q576"/>
    <mergeCell ref="R576:S576"/>
    <mergeCell ref="F577:G577"/>
    <mergeCell ref="H577:I577"/>
    <mergeCell ref="AC570:AC573"/>
    <mergeCell ref="L570:M570"/>
    <mergeCell ref="P570:Q570"/>
    <mergeCell ref="R570:S570"/>
    <mergeCell ref="Y570:Y573"/>
    <mergeCell ref="AA570:AA573"/>
    <mergeCell ref="L572:M572"/>
    <mergeCell ref="P572:Q572"/>
    <mergeCell ref="R572:S572"/>
    <mergeCell ref="A570:A573"/>
    <mergeCell ref="B570:B573"/>
    <mergeCell ref="C570:C573"/>
    <mergeCell ref="D570:D573"/>
    <mergeCell ref="F570:G570"/>
    <mergeCell ref="H570:I570"/>
    <mergeCell ref="H572:I572"/>
    <mergeCell ref="F573:G573"/>
    <mergeCell ref="H573:I573"/>
    <mergeCell ref="T570:U570"/>
    <mergeCell ref="T571:U571"/>
    <mergeCell ref="T572:U572"/>
    <mergeCell ref="T573:U573"/>
    <mergeCell ref="J570:K570"/>
    <mergeCell ref="J571:K571"/>
    <mergeCell ref="J572:K572"/>
    <mergeCell ref="J573:K573"/>
    <mergeCell ref="F579:G579"/>
    <mergeCell ref="H579:I579"/>
    <mergeCell ref="L579:M579"/>
    <mergeCell ref="P579:Q579"/>
    <mergeCell ref="R579:S579"/>
    <mergeCell ref="F580:G580"/>
    <mergeCell ref="AC578:AC581"/>
    <mergeCell ref="L578:M578"/>
    <mergeCell ref="P578:Q578"/>
    <mergeCell ref="R578:S578"/>
    <mergeCell ref="Y578:Y581"/>
    <mergeCell ref="AA578:AA581"/>
    <mergeCell ref="L580:M580"/>
    <mergeCell ref="P580:Q580"/>
    <mergeCell ref="R580:S580"/>
    <mergeCell ref="A578:A581"/>
    <mergeCell ref="B578:B581"/>
    <mergeCell ref="C578:C581"/>
    <mergeCell ref="D578:D581"/>
    <mergeCell ref="F578:G578"/>
    <mergeCell ref="H578:I578"/>
    <mergeCell ref="H580:I580"/>
    <mergeCell ref="F581:G581"/>
    <mergeCell ref="H581:I581"/>
    <mergeCell ref="T578:U578"/>
    <mergeCell ref="T579:U579"/>
    <mergeCell ref="T580:U580"/>
    <mergeCell ref="T581:U581"/>
    <mergeCell ref="J578:K578"/>
    <mergeCell ref="J579:K579"/>
    <mergeCell ref="J580:K580"/>
    <mergeCell ref="J581:K581"/>
    <mergeCell ref="L577:M577"/>
    <mergeCell ref="P577:Q577"/>
    <mergeCell ref="R577:S577"/>
    <mergeCell ref="F576:G576"/>
    <mergeCell ref="AC574:AC577"/>
    <mergeCell ref="L574:M574"/>
    <mergeCell ref="P574:Q574"/>
    <mergeCell ref="R574:S574"/>
    <mergeCell ref="Y574:Y577"/>
    <mergeCell ref="AA574:AA577"/>
    <mergeCell ref="L585:M585"/>
    <mergeCell ref="P585:Q585"/>
    <mergeCell ref="R585:S585"/>
    <mergeCell ref="F583:G583"/>
    <mergeCell ref="H583:I583"/>
    <mergeCell ref="L583:M583"/>
    <mergeCell ref="P583:Q583"/>
    <mergeCell ref="R583:S583"/>
    <mergeCell ref="F584:G584"/>
    <mergeCell ref="AC582:AC585"/>
    <mergeCell ref="L582:M582"/>
    <mergeCell ref="P582:Q582"/>
    <mergeCell ref="R582:S582"/>
    <mergeCell ref="Y582:Y585"/>
    <mergeCell ref="AA582:AA585"/>
    <mergeCell ref="L581:M581"/>
    <mergeCell ref="P581:Q581"/>
    <mergeCell ref="R581:S581"/>
    <mergeCell ref="T574:U574"/>
    <mergeCell ref="T575:U575"/>
    <mergeCell ref="T576:U576"/>
    <mergeCell ref="T577:U577"/>
    <mergeCell ref="A582:A585"/>
    <mergeCell ref="B582:B585"/>
    <mergeCell ref="C582:C585"/>
    <mergeCell ref="D582:D585"/>
    <mergeCell ref="F582:G582"/>
    <mergeCell ref="H582:I582"/>
    <mergeCell ref="P591:Q591"/>
    <mergeCell ref="R591:S591"/>
    <mergeCell ref="F592:G592"/>
    <mergeCell ref="AC590:AC593"/>
    <mergeCell ref="L590:M590"/>
    <mergeCell ref="P590:Q590"/>
    <mergeCell ref="R590:S590"/>
    <mergeCell ref="Y590:Y593"/>
    <mergeCell ref="AA590:AA593"/>
    <mergeCell ref="L589:M589"/>
    <mergeCell ref="P589:Q589"/>
    <mergeCell ref="R589:S589"/>
    <mergeCell ref="A590:A593"/>
    <mergeCell ref="B590:B593"/>
    <mergeCell ref="C590:C593"/>
    <mergeCell ref="D590:D593"/>
    <mergeCell ref="F590:G590"/>
    <mergeCell ref="H590:I590"/>
    <mergeCell ref="F587:G587"/>
    <mergeCell ref="H587:I587"/>
    <mergeCell ref="L587:M587"/>
    <mergeCell ref="P587:Q587"/>
    <mergeCell ref="R587:S587"/>
    <mergeCell ref="F588:G588"/>
    <mergeCell ref="AC586:AC589"/>
    <mergeCell ref="L586:M586"/>
    <mergeCell ref="P586:Q586"/>
    <mergeCell ref="R586:S586"/>
    <mergeCell ref="Y586:Y589"/>
    <mergeCell ref="AA586:AA589"/>
    <mergeCell ref="L588:M588"/>
    <mergeCell ref="P588:Q588"/>
    <mergeCell ref="R588:S588"/>
    <mergeCell ref="A586:A589"/>
    <mergeCell ref="T585:U585"/>
    <mergeCell ref="T586:U586"/>
    <mergeCell ref="T587:U587"/>
    <mergeCell ref="T588:U588"/>
    <mergeCell ref="T589:U589"/>
    <mergeCell ref="T590:U590"/>
    <mergeCell ref="AC598:AC601"/>
    <mergeCell ref="L598:M598"/>
    <mergeCell ref="P598:Q598"/>
    <mergeCell ref="R598:S598"/>
    <mergeCell ref="Y598:Y601"/>
    <mergeCell ref="AA598:AA601"/>
    <mergeCell ref="L597:M597"/>
    <mergeCell ref="P597:Q597"/>
    <mergeCell ref="R597:S597"/>
    <mergeCell ref="A598:A601"/>
    <mergeCell ref="B598:B601"/>
    <mergeCell ref="C598:C601"/>
    <mergeCell ref="D598:D601"/>
    <mergeCell ref="F598:G598"/>
    <mergeCell ref="H598:I598"/>
    <mergeCell ref="F595:G595"/>
    <mergeCell ref="H595:I595"/>
    <mergeCell ref="L595:M595"/>
    <mergeCell ref="AC594:AC597"/>
    <mergeCell ref="L594:M594"/>
    <mergeCell ref="P594:Q594"/>
    <mergeCell ref="R594:S594"/>
    <mergeCell ref="Y594:Y597"/>
    <mergeCell ref="AA594:AA597"/>
    <mergeCell ref="L596:M596"/>
    <mergeCell ref="P596:Q596"/>
    <mergeCell ref="R596:S596"/>
    <mergeCell ref="A594:A597"/>
    <mergeCell ref="B594:B597"/>
    <mergeCell ref="C594:C597"/>
    <mergeCell ref="D594:D597"/>
    <mergeCell ref="F594:G594"/>
    <mergeCell ref="H594:I594"/>
    <mergeCell ref="H596:I596"/>
    <mergeCell ref="F597:G597"/>
    <mergeCell ref="H597:I597"/>
    <mergeCell ref="N597:O597"/>
    <mergeCell ref="F613:G613"/>
    <mergeCell ref="H613:I613"/>
    <mergeCell ref="L613:M613"/>
    <mergeCell ref="P613:Q613"/>
    <mergeCell ref="R613:S613"/>
    <mergeCell ref="F614:G614"/>
    <mergeCell ref="AC612:AC615"/>
    <mergeCell ref="L612:M612"/>
    <mergeCell ref="P612:Q612"/>
    <mergeCell ref="R612:S612"/>
    <mergeCell ref="Y612:Y615"/>
    <mergeCell ref="AA612:AA615"/>
    <mergeCell ref="L611:M611"/>
    <mergeCell ref="P611:Q611"/>
    <mergeCell ref="R611:S611"/>
    <mergeCell ref="A612:A615"/>
    <mergeCell ref="B612:B615"/>
    <mergeCell ref="C612:C615"/>
    <mergeCell ref="D612:D615"/>
    <mergeCell ref="F612:G612"/>
    <mergeCell ref="H612:I612"/>
    <mergeCell ref="AC608:AC611"/>
    <mergeCell ref="L608:M608"/>
    <mergeCell ref="P608:Q608"/>
    <mergeCell ref="R608:S608"/>
    <mergeCell ref="J609:K609"/>
    <mergeCell ref="J610:K610"/>
    <mergeCell ref="J611:K611"/>
    <mergeCell ref="J612:K612"/>
    <mergeCell ref="J613:K613"/>
    <mergeCell ref="J614:K614"/>
    <mergeCell ref="J608:K608"/>
    <mergeCell ref="AA608:AA611"/>
    <mergeCell ref="L610:M610"/>
    <mergeCell ref="P610:Q610"/>
    <mergeCell ref="R610:S610"/>
    <mergeCell ref="A608:A611"/>
    <mergeCell ref="B608:B611"/>
    <mergeCell ref="C608:C611"/>
    <mergeCell ref="D608:D611"/>
    <mergeCell ref="F608:G608"/>
    <mergeCell ref="H608:I608"/>
    <mergeCell ref="H610:I610"/>
    <mergeCell ref="F611:G611"/>
    <mergeCell ref="H611:I611"/>
    <mergeCell ref="N608:O608"/>
    <mergeCell ref="N609:O609"/>
    <mergeCell ref="N610:O610"/>
    <mergeCell ref="N611:O611"/>
    <mergeCell ref="T611:U611"/>
    <mergeCell ref="F609:G609"/>
    <mergeCell ref="H609:I609"/>
    <mergeCell ref="L609:M609"/>
    <mergeCell ref="P609:Q609"/>
    <mergeCell ref="R609:S609"/>
    <mergeCell ref="F610:G610"/>
    <mergeCell ref="T609:U609"/>
    <mergeCell ref="T610:U610"/>
    <mergeCell ref="H614:I614"/>
    <mergeCell ref="L614:M614"/>
    <mergeCell ref="P614:Q614"/>
    <mergeCell ref="R614:S614"/>
    <mergeCell ref="F615:G615"/>
    <mergeCell ref="H615:I615"/>
    <mergeCell ref="L615:M615"/>
    <mergeCell ref="P615:Q615"/>
    <mergeCell ref="R615:S615"/>
    <mergeCell ref="N616:O616"/>
    <mergeCell ref="N617:O617"/>
    <mergeCell ref="N618:O618"/>
    <mergeCell ref="N619:O619"/>
    <mergeCell ref="L619:M619"/>
    <mergeCell ref="P619:Q619"/>
    <mergeCell ref="R619:S619"/>
    <mergeCell ref="N612:O612"/>
    <mergeCell ref="N613:O613"/>
    <mergeCell ref="N614:O614"/>
    <mergeCell ref="N615:O615"/>
    <mergeCell ref="F617:G617"/>
    <mergeCell ref="H617:I617"/>
    <mergeCell ref="L617:M617"/>
    <mergeCell ref="P617:Q617"/>
    <mergeCell ref="R617:S617"/>
    <mergeCell ref="F618:G618"/>
    <mergeCell ref="L616:M616"/>
    <mergeCell ref="P616:Q616"/>
    <mergeCell ref="R616:S616"/>
    <mergeCell ref="L618:M618"/>
    <mergeCell ref="P618:Q618"/>
    <mergeCell ref="R618:S618"/>
    <mergeCell ref="AC620:AC623"/>
    <mergeCell ref="L620:M620"/>
    <mergeCell ref="P620:Q620"/>
    <mergeCell ref="R620:S620"/>
    <mergeCell ref="Y620:Y623"/>
    <mergeCell ref="AA620:AA623"/>
    <mergeCell ref="T620:U620"/>
    <mergeCell ref="T621:U621"/>
    <mergeCell ref="T622:U622"/>
    <mergeCell ref="T623:U623"/>
    <mergeCell ref="A616:A619"/>
    <mergeCell ref="B616:B619"/>
    <mergeCell ref="C616:C619"/>
    <mergeCell ref="D616:D619"/>
    <mergeCell ref="F616:G616"/>
    <mergeCell ref="H616:I616"/>
    <mergeCell ref="H618:I618"/>
    <mergeCell ref="F619:G619"/>
    <mergeCell ref="H619:I619"/>
    <mergeCell ref="AC616:AC619"/>
    <mergeCell ref="Y616:Y619"/>
    <mergeCell ref="AA616:AA619"/>
    <mergeCell ref="T616:U616"/>
    <mergeCell ref="T617:U617"/>
    <mergeCell ref="T618:U618"/>
    <mergeCell ref="T619:U619"/>
    <mergeCell ref="H622:I622"/>
    <mergeCell ref="L622:M622"/>
    <mergeCell ref="P622:Q622"/>
    <mergeCell ref="R622:S622"/>
    <mergeCell ref="F623:G623"/>
    <mergeCell ref="H623:I623"/>
    <mergeCell ref="L623:M623"/>
    <mergeCell ref="P623:Q623"/>
    <mergeCell ref="R623:S623"/>
    <mergeCell ref="F621:G621"/>
    <mergeCell ref="H621:I621"/>
    <mergeCell ref="L621:M621"/>
    <mergeCell ref="P621:Q621"/>
    <mergeCell ref="R621:S621"/>
    <mergeCell ref="F622:G622"/>
    <mergeCell ref="F627:G627"/>
    <mergeCell ref="H627:I627"/>
    <mergeCell ref="A620:A623"/>
    <mergeCell ref="B620:B623"/>
    <mergeCell ref="C620:C623"/>
    <mergeCell ref="D620:D623"/>
    <mergeCell ref="F620:G620"/>
    <mergeCell ref="H620:I620"/>
    <mergeCell ref="F629:G629"/>
    <mergeCell ref="H629:I629"/>
    <mergeCell ref="L629:M629"/>
    <mergeCell ref="P629:Q629"/>
    <mergeCell ref="R629:S629"/>
    <mergeCell ref="L627:M627"/>
    <mergeCell ref="P627:Q627"/>
    <mergeCell ref="R627:S627"/>
    <mergeCell ref="A628:A631"/>
    <mergeCell ref="B628:B631"/>
    <mergeCell ref="C628:C631"/>
    <mergeCell ref="D628:D631"/>
    <mergeCell ref="F628:G628"/>
    <mergeCell ref="H628:I628"/>
    <mergeCell ref="F625:G625"/>
    <mergeCell ref="H625:I625"/>
    <mergeCell ref="L625:M625"/>
    <mergeCell ref="P625:Q625"/>
    <mergeCell ref="R625:S625"/>
    <mergeCell ref="F626:G626"/>
    <mergeCell ref="L631:M631"/>
    <mergeCell ref="P631:Q631"/>
    <mergeCell ref="H630:I630"/>
    <mergeCell ref="L630:M630"/>
    <mergeCell ref="P630:Q630"/>
    <mergeCell ref="R630:S630"/>
    <mergeCell ref="F630:G630"/>
    <mergeCell ref="A632:A635"/>
    <mergeCell ref="B632:B635"/>
    <mergeCell ref="C632:C635"/>
    <mergeCell ref="D632:D635"/>
    <mergeCell ref="F632:G632"/>
    <mergeCell ref="H632:I632"/>
    <mergeCell ref="H634:I634"/>
    <mergeCell ref="F635:G635"/>
    <mergeCell ref="H635:I635"/>
    <mergeCell ref="AC624:AC627"/>
    <mergeCell ref="L624:M624"/>
    <mergeCell ref="P624:Q624"/>
    <mergeCell ref="R624:S624"/>
    <mergeCell ref="Y624:Y627"/>
    <mergeCell ref="AA624:AA627"/>
    <mergeCell ref="L626:M626"/>
    <mergeCell ref="P626:Q626"/>
    <mergeCell ref="R626:S626"/>
    <mergeCell ref="A624:A627"/>
    <mergeCell ref="B624:B627"/>
    <mergeCell ref="C624:C627"/>
    <mergeCell ref="D624:D627"/>
    <mergeCell ref="F624:G624"/>
    <mergeCell ref="H624:I624"/>
    <mergeCell ref="H626:I626"/>
    <mergeCell ref="T624:U624"/>
    <mergeCell ref="T625:U625"/>
    <mergeCell ref="T626:U626"/>
    <mergeCell ref="T627:U627"/>
    <mergeCell ref="F631:G631"/>
    <mergeCell ref="H631:I631"/>
    <mergeCell ref="R631:S631"/>
    <mergeCell ref="AC628:AC631"/>
    <mergeCell ref="L628:M628"/>
    <mergeCell ref="P628:Q628"/>
    <mergeCell ref="R628:S628"/>
    <mergeCell ref="Y628:Y631"/>
    <mergeCell ref="AA628:AA631"/>
    <mergeCell ref="T630:U630"/>
    <mergeCell ref="T631:U631"/>
    <mergeCell ref="T632:U632"/>
    <mergeCell ref="T633:U633"/>
    <mergeCell ref="T634:U634"/>
    <mergeCell ref="H638:I638"/>
    <mergeCell ref="L638:M638"/>
    <mergeCell ref="P638:Q638"/>
    <mergeCell ref="R638:S638"/>
    <mergeCell ref="L635:M635"/>
    <mergeCell ref="P635:Q635"/>
    <mergeCell ref="R635:S635"/>
    <mergeCell ref="T628:U628"/>
    <mergeCell ref="T629:U629"/>
    <mergeCell ref="P632:Q632"/>
    <mergeCell ref="R632:S632"/>
    <mergeCell ref="Y632:Y635"/>
    <mergeCell ref="AA632:AA635"/>
    <mergeCell ref="L634:M634"/>
    <mergeCell ref="P634:Q634"/>
    <mergeCell ref="R634:S634"/>
    <mergeCell ref="J638:K638"/>
    <mergeCell ref="N637:O637"/>
    <mergeCell ref="N638:O638"/>
    <mergeCell ref="F633:G633"/>
    <mergeCell ref="H633:I633"/>
    <mergeCell ref="L633:M633"/>
    <mergeCell ref="P633:Q633"/>
    <mergeCell ref="R633:S633"/>
    <mergeCell ref="F634:G634"/>
    <mergeCell ref="AC632:AC635"/>
    <mergeCell ref="L632:M632"/>
    <mergeCell ref="F639:G639"/>
    <mergeCell ref="H639:I639"/>
    <mergeCell ref="L639:M639"/>
    <mergeCell ref="P639:Q639"/>
    <mergeCell ref="R639:S639"/>
    <mergeCell ref="F637:G637"/>
    <mergeCell ref="H637:I637"/>
    <mergeCell ref="L637:M637"/>
    <mergeCell ref="P637:Q637"/>
    <mergeCell ref="R637:S637"/>
    <mergeCell ref="F638:G638"/>
    <mergeCell ref="AC636:AC639"/>
    <mergeCell ref="L636:M636"/>
    <mergeCell ref="P636:Q636"/>
    <mergeCell ref="R636:S636"/>
    <mergeCell ref="Y636:Y639"/>
    <mergeCell ref="AA636:AA639"/>
    <mergeCell ref="J639:K639"/>
    <mergeCell ref="N639:O639"/>
    <mergeCell ref="A636:A639"/>
    <mergeCell ref="B636:B639"/>
    <mergeCell ref="C636:C639"/>
    <mergeCell ref="D636:D639"/>
    <mergeCell ref="F636:G636"/>
    <mergeCell ref="H636:I636"/>
    <mergeCell ref="L643:M643"/>
    <mergeCell ref="P643:Q643"/>
    <mergeCell ref="R643:S643"/>
    <mergeCell ref="T635:U635"/>
    <mergeCell ref="T636:U636"/>
    <mergeCell ref="T637:U637"/>
    <mergeCell ref="T638:U638"/>
    <mergeCell ref="T639:U639"/>
    <mergeCell ref="A644:A647"/>
    <mergeCell ref="B644:B647"/>
    <mergeCell ref="C644:C647"/>
    <mergeCell ref="D644:D647"/>
    <mergeCell ref="F644:G644"/>
    <mergeCell ref="H644:I644"/>
    <mergeCell ref="F641:G641"/>
    <mergeCell ref="H641:I641"/>
    <mergeCell ref="L641:M641"/>
    <mergeCell ref="P641:Q641"/>
    <mergeCell ref="R641:S641"/>
    <mergeCell ref="F642:G642"/>
    <mergeCell ref="H646:I646"/>
    <mergeCell ref="L646:M646"/>
    <mergeCell ref="P646:Q646"/>
    <mergeCell ref="R646:S646"/>
    <mergeCell ref="F647:G647"/>
    <mergeCell ref="H647:I647"/>
    <mergeCell ref="AC640:AC643"/>
    <mergeCell ref="L640:M640"/>
    <mergeCell ref="P640:Q640"/>
    <mergeCell ref="R640:S640"/>
    <mergeCell ref="Y640:Y643"/>
    <mergeCell ref="AA640:AA643"/>
    <mergeCell ref="L642:M642"/>
    <mergeCell ref="P642:Q642"/>
    <mergeCell ref="R642:S642"/>
    <mergeCell ref="A640:A643"/>
    <mergeCell ref="B640:B643"/>
    <mergeCell ref="C640:C643"/>
    <mergeCell ref="D640:D643"/>
    <mergeCell ref="F640:G640"/>
    <mergeCell ref="H640:I640"/>
    <mergeCell ref="H642:I642"/>
    <mergeCell ref="F643:G643"/>
    <mergeCell ref="H643:I643"/>
    <mergeCell ref="J643:K643"/>
    <mergeCell ref="N641:O641"/>
    <mergeCell ref="N642:O642"/>
    <mergeCell ref="N643:O643"/>
    <mergeCell ref="T640:U640"/>
    <mergeCell ref="T641:U641"/>
    <mergeCell ref="T642:U642"/>
    <mergeCell ref="T643:U643"/>
    <mergeCell ref="J640:K640"/>
    <mergeCell ref="J641:K641"/>
    <mergeCell ref="J642:K642"/>
    <mergeCell ref="N640:O640"/>
    <mergeCell ref="B653:D653"/>
    <mergeCell ref="E653:S653"/>
    <mergeCell ref="B651:C651"/>
    <mergeCell ref="F651:Q651"/>
    <mergeCell ref="A652:D652"/>
    <mergeCell ref="E652:S652"/>
    <mergeCell ref="F645:G645"/>
    <mergeCell ref="H645:I645"/>
    <mergeCell ref="L645:M645"/>
    <mergeCell ref="P645:Q645"/>
    <mergeCell ref="R645:S645"/>
    <mergeCell ref="F646:G646"/>
    <mergeCell ref="J644:K644"/>
    <mergeCell ref="J645:K645"/>
    <mergeCell ref="J646:K646"/>
    <mergeCell ref="J647:K647"/>
    <mergeCell ref="N644:O644"/>
    <mergeCell ref="N645:O645"/>
    <mergeCell ref="N646:O646"/>
    <mergeCell ref="N647:O647"/>
    <mergeCell ref="AC644:AC647"/>
    <mergeCell ref="L644:M644"/>
    <mergeCell ref="P644:Q644"/>
    <mergeCell ref="R644:S644"/>
    <mergeCell ref="Y644:Y647"/>
    <mergeCell ref="AA644:AA647"/>
    <mergeCell ref="F659:G659"/>
    <mergeCell ref="H659:I659"/>
    <mergeCell ref="L659:M659"/>
    <mergeCell ref="P659:Q659"/>
    <mergeCell ref="R659:S659"/>
    <mergeCell ref="F660:G660"/>
    <mergeCell ref="AC658:AC661"/>
    <mergeCell ref="L658:M658"/>
    <mergeCell ref="P658:Q658"/>
    <mergeCell ref="R658:S658"/>
    <mergeCell ref="Y658:Y661"/>
    <mergeCell ref="AA658:AA661"/>
    <mergeCell ref="L657:M657"/>
    <mergeCell ref="P657:Q657"/>
    <mergeCell ref="R657:S657"/>
    <mergeCell ref="P660:Q660"/>
    <mergeCell ref="R660:S660"/>
    <mergeCell ref="F661:G661"/>
    <mergeCell ref="H661:I661"/>
    <mergeCell ref="L661:M661"/>
    <mergeCell ref="P661:Q661"/>
    <mergeCell ref="R661:S661"/>
    <mergeCell ref="L647:M647"/>
    <mergeCell ref="P647:Q647"/>
    <mergeCell ref="R647:S647"/>
    <mergeCell ref="J654:K654"/>
    <mergeCell ref="A658:A661"/>
    <mergeCell ref="B658:B661"/>
    <mergeCell ref="C658:C661"/>
    <mergeCell ref="D658:D661"/>
    <mergeCell ref="F658:G658"/>
    <mergeCell ref="H658:I658"/>
    <mergeCell ref="F655:G655"/>
    <mergeCell ref="H655:I655"/>
    <mergeCell ref="L655:M655"/>
    <mergeCell ref="P655:Q655"/>
    <mergeCell ref="R655:S655"/>
    <mergeCell ref="F656:G656"/>
    <mergeCell ref="AC654:AC657"/>
    <mergeCell ref="L654:M654"/>
    <mergeCell ref="P654:Q654"/>
    <mergeCell ref="R654:S654"/>
    <mergeCell ref="Y654:Y657"/>
    <mergeCell ref="AA654:AA657"/>
    <mergeCell ref="L656:M656"/>
    <mergeCell ref="P656:Q656"/>
    <mergeCell ref="R656:S656"/>
    <mergeCell ref="A654:A657"/>
    <mergeCell ref="B654:B657"/>
    <mergeCell ref="C654:C657"/>
    <mergeCell ref="D654:D657"/>
    <mergeCell ref="F654:G654"/>
    <mergeCell ref="H654:I654"/>
    <mergeCell ref="H656:I656"/>
    <mergeCell ref="F657:G657"/>
    <mergeCell ref="H657:I657"/>
    <mergeCell ref="H660:I660"/>
    <mergeCell ref="L660:M660"/>
    <mergeCell ref="F663:G663"/>
    <mergeCell ref="H663:I663"/>
    <mergeCell ref="L663:M663"/>
    <mergeCell ref="P663:Q663"/>
    <mergeCell ref="R663:S663"/>
    <mergeCell ref="F664:G664"/>
    <mergeCell ref="AC662:AC665"/>
    <mergeCell ref="L662:M662"/>
    <mergeCell ref="P662:Q662"/>
    <mergeCell ref="R662:S662"/>
    <mergeCell ref="Y662:Y665"/>
    <mergeCell ref="AA662:AA665"/>
    <mergeCell ref="L664:M664"/>
    <mergeCell ref="P664:Q664"/>
    <mergeCell ref="R664:S664"/>
    <mergeCell ref="A662:A665"/>
    <mergeCell ref="B662:B665"/>
    <mergeCell ref="C662:C665"/>
    <mergeCell ref="D662:D665"/>
    <mergeCell ref="F662:G662"/>
    <mergeCell ref="H662:I662"/>
    <mergeCell ref="H664:I664"/>
    <mergeCell ref="F665:G665"/>
    <mergeCell ref="H665:I665"/>
    <mergeCell ref="J662:K662"/>
    <mergeCell ref="J663:K663"/>
    <mergeCell ref="J664:K664"/>
    <mergeCell ref="J665:K665"/>
    <mergeCell ref="F667:G667"/>
    <mergeCell ref="H667:I667"/>
    <mergeCell ref="L667:M667"/>
    <mergeCell ref="P667:Q667"/>
    <mergeCell ref="R667:S667"/>
    <mergeCell ref="F668:G668"/>
    <mergeCell ref="AC666:AC669"/>
    <mergeCell ref="L666:M666"/>
    <mergeCell ref="P666:Q666"/>
    <mergeCell ref="R666:S666"/>
    <mergeCell ref="Y666:Y669"/>
    <mergeCell ref="AA666:AA669"/>
    <mergeCell ref="L665:M665"/>
    <mergeCell ref="P665:Q665"/>
    <mergeCell ref="R665:S665"/>
    <mergeCell ref="A666:A669"/>
    <mergeCell ref="B666:B669"/>
    <mergeCell ref="C666:C669"/>
    <mergeCell ref="D666:D669"/>
    <mergeCell ref="F666:G666"/>
    <mergeCell ref="H666:I666"/>
    <mergeCell ref="J666:K666"/>
    <mergeCell ref="J667:K667"/>
    <mergeCell ref="J668:K668"/>
    <mergeCell ref="J669:K669"/>
    <mergeCell ref="T665:U665"/>
    <mergeCell ref="T666:U666"/>
    <mergeCell ref="T667:U667"/>
    <mergeCell ref="T668:U668"/>
    <mergeCell ref="T669:U669"/>
    <mergeCell ref="P673:Q673"/>
    <mergeCell ref="R673:S673"/>
    <mergeCell ref="A674:A677"/>
    <mergeCell ref="B674:B677"/>
    <mergeCell ref="C674:C677"/>
    <mergeCell ref="D674:D677"/>
    <mergeCell ref="F674:G674"/>
    <mergeCell ref="H674:I674"/>
    <mergeCell ref="F671:G671"/>
    <mergeCell ref="H671:I671"/>
    <mergeCell ref="L671:M671"/>
    <mergeCell ref="P671:Q671"/>
    <mergeCell ref="R671:S671"/>
    <mergeCell ref="F672:G672"/>
    <mergeCell ref="AC670:AC673"/>
    <mergeCell ref="L670:M670"/>
    <mergeCell ref="P670:Q670"/>
    <mergeCell ref="R670:S670"/>
    <mergeCell ref="Y670:Y673"/>
    <mergeCell ref="AA670:AA673"/>
    <mergeCell ref="L672:M672"/>
    <mergeCell ref="P672:Q672"/>
    <mergeCell ref="R672:S672"/>
    <mergeCell ref="A670:A673"/>
    <mergeCell ref="B670:B673"/>
    <mergeCell ref="C670:C673"/>
    <mergeCell ref="D670:D673"/>
    <mergeCell ref="F670:G670"/>
    <mergeCell ref="H670:I670"/>
    <mergeCell ref="H672:I672"/>
    <mergeCell ref="F673:G673"/>
    <mergeCell ref="H673:I673"/>
    <mergeCell ref="J670:K670"/>
    <mergeCell ref="J671:K671"/>
    <mergeCell ref="J672:K672"/>
    <mergeCell ref="J673:K673"/>
    <mergeCell ref="J674:K674"/>
    <mergeCell ref="J675:K675"/>
    <mergeCell ref="J676:K676"/>
    <mergeCell ref="AC678:AC681"/>
    <mergeCell ref="L678:M678"/>
    <mergeCell ref="P678:Q678"/>
    <mergeCell ref="R678:S678"/>
    <mergeCell ref="Y678:Y681"/>
    <mergeCell ref="AA678:AA681"/>
    <mergeCell ref="L680:M680"/>
    <mergeCell ref="P680:Q680"/>
    <mergeCell ref="R680:S680"/>
    <mergeCell ref="A678:A681"/>
    <mergeCell ref="B678:B681"/>
    <mergeCell ref="C678:C681"/>
    <mergeCell ref="D678:D681"/>
    <mergeCell ref="F678:G678"/>
    <mergeCell ref="H678:I678"/>
    <mergeCell ref="H680:I680"/>
    <mergeCell ref="F681:G681"/>
    <mergeCell ref="H681:I681"/>
    <mergeCell ref="H676:I676"/>
    <mergeCell ref="L676:M676"/>
    <mergeCell ref="P676:Q676"/>
    <mergeCell ref="R676:S676"/>
    <mergeCell ref="F677:G677"/>
    <mergeCell ref="H677:I677"/>
    <mergeCell ref="L677:M677"/>
    <mergeCell ref="P677:Q677"/>
    <mergeCell ref="R677:S677"/>
    <mergeCell ref="F675:G675"/>
    <mergeCell ref="H675:I675"/>
    <mergeCell ref="L675:M675"/>
    <mergeCell ref="P675:Q675"/>
    <mergeCell ref="R675:S675"/>
    <mergeCell ref="F676:G676"/>
    <mergeCell ref="AC674:AC677"/>
    <mergeCell ref="L674:M674"/>
    <mergeCell ref="P674:Q674"/>
    <mergeCell ref="R674:S674"/>
    <mergeCell ref="Y674:Y677"/>
    <mergeCell ref="AA674:AA677"/>
    <mergeCell ref="R679:S679"/>
    <mergeCell ref="J677:K677"/>
    <mergeCell ref="J678:K678"/>
    <mergeCell ref="J679:K679"/>
    <mergeCell ref="N676:O676"/>
    <mergeCell ref="N677:O677"/>
    <mergeCell ref="N678:O678"/>
    <mergeCell ref="N679:O679"/>
    <mergeCell ref="J680:K680"/>
    <mergeCell ref="J681:K681"/>
    <mergeCell ref="AC686:AC689"/>
    <mergeCell ref="L686:M686"/>
    <mergeCell ref="P686:Q686"/>
    <mergeCell ref="R686:S686"/>
    <mergeCell ref="Y686:Y689"/>
    <mergeCell ref="AA686:AA689"/>
    <mergeCell ref="L688:M688"/>
    <mergeCell ref="P688:Q688"/>
    <mergeCell ref="R688:S688"/>
    <mergeCell ref="A686:A689"/>
    <mergeCell ref="B686:B689"/>
    <mergeCell ref="C686:C689"/>
    <mergeCell ref="D686:D689"/>
    <mergeCell ref="F686:G686"/>
    <mergeCell ref="H686:I686"/>
    <mergeCell ref="H688:I688"/>
    <mergeCell ref="F689:G689"/>
    <mergeCell ref="H689:I689"/>
    <mergeCell ref="H683:I683"/>
    <mergeCell ref="L683:M683"/>
    <mergeCell ref="P683:Q683"/>
    <mergeCell ref="R683:S683"/>
    <mergeCell ref="F684:G684"/>
    <mergeCell ref="AC682:AC685"/>
    <mergeCell ref="L682:M682"/>
    <mergeCell ref="P682:Q682"/>
    <mergeCell ref="R682:S682"/>
    <mergeCell ref="Y682:Y685"/>
    <mergeCell ref="AA682:AA685"/>
    <mergeCell ref="A682:A685"/>
    <mergeCell ref="B682:B685"/>
    <mergeCell ref="C682:C685"/>
    <mergeCell ref="D682:D685"/>
    <mergeCell ref="F682:G682"/>
    <mergeCell ref="H682:I682"/>
    <mergeCell ref="T687:U687"/>
    <mergeCell ref="T688:U688"/>
    <mergeCell ref="T689:U689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F701:G701"/>
    <mergeCell ref="H701:I701"/>
    <mergeCell ref="L701:M701"/>
    <mergeCell ref="P701:Q701"/>
    <mergeCell ref="R701:S701"/>
    <mergeCell ref="R685:S685"/>
    <mergeCell ref="F683:G683"/>
    <mergeCell ref="L689:M689"/>
    <mergeCell ref="P689:Q689"/>
    <mergeCell ref="R689:S689"/>
    <mergeCell ref="F687:G687"/>
    <mergeCell ref="H687:I687"/>
    <mergeCell ref="L687:M687"/>
    <mergeCell ref="P687:Q687"/>
    <mergeCell ref="R687:S687"/>
    <mergeCell ref="F688:G688"/>
    <mergeCell ref="F702:G702"/>
    <mergeCell ref="AC700:AC703"/>
    <mergeCell ref="L700:M700"/>
    <mergeCell ref="P700:Q700"/>
    <mergeCell ref="R700:S700"/>
    <mergeCell ref="Y700:Y703"/>
    <mergeCell ref="AA700:AA703"/>
    <mergeCell ref="L702:M702"/>
    <mergeCell ref="P702:Q702"/>
    <mergeCell ref="R702:S702"/>
    <mergeCell ref="A700:A703"/>
    <mergeCell ref="B700:B703"/>
    <mergeCell ref="C700:C703"/>
    <mergeCell ref="D700:D703"/>
    <mergeCell ref="F700:G700"/>
    <mergeCell ref="H700:I700"/>
    <mergeCell ref="H702:I702"/>
    <mergeCell ref="F703:G703"/>
    <mergeCell ref="H703:I703"/>
    <mergeCell ref="T700:U700"/>
    <mergeCell ref="T701:U701"/>
    <mergeCell ref="T702:U702"/>
    <mergeCell ref="T703:U703"/>
    <mergeCell ref="J700:K700"/>
    <mergeCell ref="J701:K701"/>
    <mergeCell ref="J702:K702"/>
    <mergeCell ref="J703:K703"/>
    <mergeCell ref="L703:M703"/>
    <mergeCell ref="P703:Q703"/>
    <mergeCell ref="R703:S703"/>
    <mergeCell ref="AC690:AC693"/>
    <mergeCell ref="L690:M690"/>
    <mergeCell ref="P690:Q690"/>
    <mergeCell ref="R690:S690"/>
    <mergeCell ref="Y690:Y693"/>
    <mergeCell ref="AA690:AA693"/>
    <mergeCell ref="B697:C697"/>
    <mergeCell ref="F697:Q697"/>
    <mergeCell ref="A698:D698"/>
    <mergeCell ref="E698:S698"/>
    <mergeCell ref="A695:C695"/>
    <mergeCell ref="B696:C696"/>
    <mergeCell ref="F696:Q696"/>
    <mergeCell ref="A690:A693"/>
    <mergeCell ref="B690:B693"/>
    <mergeCell ref="C690:C693"/>
    <mergeCell ref="D690:D693"/>
    <mergeCell ref="F690:G690"/>
    <mergeCell ref="H690:I690"/>
    <mergeCell ref="E695:I695"/>
    <mergeCell ref="S695:Y695"/>
    <mergeCell ref="S696:Z696"/>
    <mergeCell ref="T690:U690"/>
    <mergeCell ref="T691:U691"/>
    <mergeCell ref="T692:U692"/>
    <mergeCell ref="T693:U693"/>
    <mergeCell ref="J690:K690"/>
    <mergeCell ref="J691:K691"/>
    <mergeCell ref="J692:K692"/>
    <mergeCell ref="J693:K693"/>
    <mergeCell ref="N692:O692"/>
    <mergeCell ref="N693:O693"/>
    <mergeCell ref="H706:I706"/>
    <mergeCell ref="L706:M706"/>
    <mergeCell ref="P706:Q706"/>
    <mergeCell ref="R706:S706"/>
    <mergeCell ref="F707:G707"/>
    <mergeCell ref="H707:I707"/>
    <mergeCell ref="L707:M707"/>
    <mergeCell ref="P707:Q707"/>
    <mergeCell ref="R707:S707"/>
    <mergeCell ref="F705:G705"/>
    <mergeCell ref="H705:I705"/>
    <mergeCell ref="L705:M705"/>
    <mergeCell ref="P705:Q705"/>
    <mergeCell ref="R705:S705"/>
    <mergeCell ref="F706:G706"/>
    <mergeCell ref="AC704:AC707"/>
    <mergeCell ref="L704:M704"/>
    <mergeCell ref="P704:Q704"/>
    <mergeCell ref="R704:S704"/>
    <mergeCell ref="Y704:Y707"/>
    <mergeCell ref="AA704:AA707"/>
    <mergeCell ref="T704:U704"/>
    <mergeCell ref="T705:U705"/>
    <mergeCell ref="T706:U706"/>
    <mergeCell ref="T707:U707"/>
    <mergeCell ref="A704:A707"/>
    <mergeCell ref="B704:B707"/>
    <mergeCell ref="C704:C707"/>
    <mergeCell ref="D704:D707"/>
    <mergeCell ref="F704:G704"/>
    <mergeCell ref="H704:I704"/>
    <mergeCell ref="F713:G713"/>
    <mergeCell ref="H713:I713"/>
    <mergeCell ref="L713:M713"/>
    <mergeCell ref="P713:Q713"/>
    <mergeCell ref="R713:S713"/>
    <mergeCell ref="L711:M711"/>
    <mergeCell ref="P711:Q711"/>
    <mergeCell ref="R711:S711"/>
    <mergeCell ref="A712:A715"/>
    <mergeCell ref="B712:B715"/>
    <mergeCell ref="C712:C715"/>
    <mergeCell ref="D712:D715"/>
    <mergeCell ref="F712:G712"/>
    <mergeCell ref="H712:I712"/>
    <mergeCell ref="F709:G709"/>
    <mergeCell ref="H709:I709"/>
    <mergeCell ref="L709:M709"/>
    <mergeCell ref="P709:Q709"/>
    <mergeCell ref="R709:S709"/>
    <mergeCell ref="F710:G710"/>
    <mergeCell ref="H714:I714"/>
    <mergeCell ref="L714:M714"/>
    <mergeCell ref="P714:Q714"/>
    <mergeCell ref="R714:S714"/>
    <mergeCell ref="F715:G715"/>
    <mergeCell ref="H715:I715"/>
    <mergeCell ref="AC708:AC711"/>
    <mergeCell ref="L708:M708"/>
    <mergeCell ref="P708:Q708"/>
    <mergeCell ref="R708:S708"/>
    <mergeCell ref="Y708:Y711"/>
    <mergeCell ref="AA708:AA711"/>
    <mergeCell ref="L710:M710"/>
    <mergeCell ref="P710:Q710"/>
    <mergeCell ref="R710:S710"/>
    <mergeCell ref="A708:A711"/>
    <mergeCell ref="B708:B711"/>
    <mergeCell ref="C708:C711"/>
    <mergeCell ref="D708:D711"/>
    <mergeCell ref="F708:G708"/>
    <mergeCell ref="H708:I708"/>
    <mergeCell ref="H710:I710"/>
    <mergeCell ref="F711:G711"/>
    <mergeCell ref="H711:I711"/>
    <mergeCell ref="T708:U708"/>
    <mergeCell ref="T709:U709"/>
    <mergeCell ref="T710:U710"/>
    <mergeCell ref="T711:U711"/>
    <mergeCell ref="F717:G717"/>
    <mergeCell ref="H717:I717"/>
    <mergeCell ref="L717:M717"/>
    <mergeCell ref="P717:Q717"/>
    <mergeCell ref="R717:S717"/>
    <mergeCell ref="F718:G718"/>
    <mergeCell ref="AC716:AC719"/>
    <mergeCell ref="L716:M716"/>
    <mergeCell ref="P716:Q716"/>
    <mergeCell ref="R716:S716"/>
    <mergeCell ref="Y716:Y719"/>
    <mergeCell ref="AA716:AA719"/>
    <mergeCell ref="L718:M718"/>
    <mergeCell ref="P718:Q718"/>
    <mergeCell ref="R718:S718"/>
    <mergeCell ref="A716:A719"/>
    <mergeCell ref="B716:B719"/>
    <mergeCell ref="C716:C719"/>
    <mergeCell ref="D716:D719"/>
    <mergeCell ref="F716:G716"/>
    <mergeCell ref="H716:I716"/>
    <mergeCell ref="H718:I718"/>
    <mergeCell ref="F719:G719"/>
    <mergeCell ref="H719:I719"/>
    <mergeCell ref="P719:Q719"/>
    <mergeCell ref="R719:S719"/>
    <mergeCell ref="N719:O719"/>
    <mergeCell ref="N717:O717"/>
    <mergeCell ref="N718:O718"/>
    <mergeCell ref="L715:M715"/>
    <mergeCell ref="P715:Q715"/>
    <mergeCell ref="R715:S715"/>
    <mergeCell ref="F714:G714"/>
    <mergeCell ref="AC712:AC715"/>
    <mergeCell ref="L712:M712"/>
    <mergeCell ref="P712:Q712"/>
    <mergeCell ref="R712:S712"/>
    <mergeCell ref="Y712:Y715"/>
    <mergeCell ref="AA712:AA715"/>
    <mergeCell ref="H722:I722"/>
    <mergeCell ref="L722:M722"/>
    <mergeCell ref="P722:Q722"/>
    <mergeCell ref="R722:S722"/>
    <mergeCell ref="F723:G723"/>
    <mergeCell ref="H723:I723"/>
    <mergeCell ref="L723:M723"/>
    <mergeCell ref="P723:Q723"/>
    <mergeCell ref="R723:S723"/>
    <mergeCell ref="F721:G721"/>
    <mergeCell ref="H721:I721"/>
    <mergeCell ref="L721:M721"/>
    <mergeCell ref="P721:Q721"/>
    <mergeCell ref="R721:S721"/>
    <mergeCell ref="F722:G722"/>
    <mergeCell ref="AC720:AC723"/>
    <mergeCell ref="L720:M720"/>
    <mergeCell ref="P720:Q720"/>
    <mergeCell ref="R720:S720"/>
    <mergeCell ref="Y720:Y723"/>
    <mergeCell ref="AA720:AA723"/>
    <mergeCell ref="L719:M719"/>
    <mergeCell ref="A720:A723"/>
    <mergeCell ref="B720:B723"/>
    <mergeCell ref="C720:C723"/>
    <mergeCell ref="D720:D723"/>
    <mergeCell ref="F720:G720"/>
    <mergeCell ref="H720:I720"/>
    <mergeCell ref="F729:G729"/>
    <mergeCell ref="H729:I729"/>
    <mergeCell ref="L729:M729"/>
    <mergeCell ref="P729:Q729"/>
    <mergeCell ref="R729:S729"/>
    <mergeCell ref="L727:M727"/>
    <mergeCell ref="P727:Q727"/>
    <mergeCell ref="R727:S727"/>
    <mergeCell ref="A728:A731"/>
    <mergeCell ref="B728:B731"/>
    <mergeCell ref="C728:C731"/>
    <mergeCell ref="D728:D731"/>
    <mergeCell ref="F728:G728"/>
    <mergeCell ref="H728:I728"/>
    <mergeCell ref="F725:G725"/>
    <mergeCell ref="H725:I725"/>
    <mergeCell ref="L725:M725"/>
    <mergeCell ref="P725:Q725"/>
    <mergeCell ref="R725:S725"/>
    <mergeCell ref="F726:G726"/>
    <mergeCell ref="H730:I730"/>
    <mergeCell ref="L730:M730"/>
    <mergeCell ref="P730:Q730"/>
    <mergeCell ref="R730:S730"/>
    <mergeCell ref="F731:G731"/>
    <mergeCell ref="H731:I731"/>
    <mergeCell ref="AC724:AC727"/>
    <mergeCell ref="L724:M724"/>
    <mergeCell ref="P724:Q724"/>
    <mergeCell ref="R724:S724"/>
    <mergeCell ref="Y724:Y727"/>
    <mergeCell ref="AA724:AA727"/>
    <mergeCell ref="L726:M726"/>
    <mergeCell ref="P726:Q726"/>
    <mergeCell ref="R726:S726"/>
    <mergeCell ref="A724:A727"/>
    <mergeCell ref="B724:B727"/>
    <mergeCell ref="C724:C727"/>
    <mergeCell ref="D724:D727"/>
    <mergeCell ref="F724:G724"/>
    <mergeCell ref="H724:I724"/>
    <mergeCell ref="H726:I726"/>
    <mergeCell ref="F727:G727"/>
    <mergeCell ref="H727:I727"/>
    <mergeCell ref="J725:K725"/>
    <mergeCell ref="J726:K726"/>
    <mergeCell ref="J727:K727"/>
    <mergeCell ref="T726:U726"/>
    <mergeCell ref="T727:U727"/>
    <mergeCell ref="N725:O725"/>
    <mergeCell ref="N726:O726"/>
    <mergeCell ref="N727:O727"/>
    <mergeCell ref="F734:G734"/>
    <mergeCell ref="AC732:AC735"/>
    <mergeCell ref="L732:M732"/>
    <mergeCell ref="P732:Q732"/>
    <mergeCell ref="R732:S732"/>
    <mergeCell ref="Y732:Y735"/>
    <mergeCell ref="AA732:AA735"/>
    <mergeCell ref="L734:M734"/>
    <mergeCell ref="P734:Q734"/>
    <mergeCell ref="R734:S734"/>
    <mergeCell ref="A732:A735"/>
    <mergeCell ref="B732:B735"/>
    <mergeCell ref="C732:C735"/>
    <mergeCell ref="D732:D735"/>
    <mergeCell ref="F732:G732"/>
    <mergeCell ref="H732:I732"/>
    <mergeCell ref="H734:I734"/>
    <mergeCell ref="F735:G735"/>
    <mergeCell ref="H735:I735"/>
    <mergeCell ref="J734:K734"/>
    <mergeCell ref="J735:K735"/>
    <mergeCell ref="N732:O732"/>
    <mergeCell ref="L731:M731"/>
    <mergeCell ref="P731:Q731"/>
    <mergeCell ref="R731:S731"/>
    <mergeCell ref="F730:G730"/>
    <mergeCell ref="AC728:AC731"/>
    <mergeCell ref="L728:M728"/>
    <mergeCell ref="P728:Q728"/>
    <mergeCell ref="R728:S728"/>
    <mergeCell ref="Y728:Y731"/>
    <mergeCell ref="AA728:AA731"/>
    <mergeCell ref="N733:O733"/>
    <mergeCell ref="N734:O734"/>
    <mergeCell ref="N735:O735"/>
    <mergeCell ref="H738:I738"/>
    <mergeCell ref="L738:M738"/>
    <mergeCell ref="P738:Q738"/>
    <mergeCell ref="R738:S738"/>
    <mergeCell ref="L735:M735"/>
    <mergeCell ref="P735:Q735"/>
    <mergeCell ref="R735:S735"/>
    <mergeCell ref="T729:U729"/>
    <mergeCell ref="T730:U730"/>
    <mergeCell ref="T731:U731"/>
    <mergeCell ref="T732:U732"/>
    <mergeCell ref="T733:U733"/>
    <mergeCell ref="T734:U734"/>
    <mergeCell ref="T735:U735"/>
    <mergeCell ref="F733:G733"/>
    <mergeCell ref="H733:I733"/>
    <mergeCell ref="L733:M733"/>
    <mergeCell ref="P733:Q733"/>
    <mergeCell ref="R733:S733"/>
    <mergeCell ref="F739:G739"/>
    <mergeCell ref="H739:I739"/>
    <mergeCell ref="L739:M739"/>
    <mergeCell ref="P739:Q739"/>
    <mergeCell ref="R739:S739"/>
    <mergeCell ref="F737:G737"/>
    <mergeCell ref="H737:I737"/>
    <mergeCell ref="L737:M737"/>
    <mergeCell ref="P737:Q737"/>
    <mergeCell ref="R737:S737"/>
    <mergeCell ref="F738:G738"/>
    <mergeCell ref="AC736:AC739"/>
    <mergeCell ref="L736:M736"/>
    <mergeCell ref="P736:Q736"/>
    <mergeCell ref="R736:S736"/>
    <mergeCell ref="Y736:Y739"/>
    <mergeCell ref="AA736:AA739"/>
    <mergeCell ref="T736:U736"/>
    <mergeCell ref="T737:U737"/>
    <mergeCell ref="T738:U738"/>
    <mergeCell ref="T739:U739"/>
    <mergeCell ref="J736:K736"/>
    <mergeCell ref="A736:A739"/>
    <mergeCell ref="B736:B739"/>
    <mergeCell ref="C736:C739"/>
    <mergeCell ref="D736:D739"/>
    <mergeCell ref="F736:G736"/>
    <mergeCell ref="H736:I736"/>
    <mergeCell ref="F751:G751"/>
    <mergeCell ref="H751:I751"/>
    <mergeCell ref="L751:M751"/>
    <mergeCell ref="P751:Q751"/>
    <mergeCell ref="R751:S751"/>
    <mergeCell ref="L749:M749"/>
    <mergeCell ref="P749:Q749"/>
    <mergeCell ref="R749:S749"/>
    <mergeCell ref="A750:A753"/>
    <mergeCell ref="B750:B753"/>
    <mergeCell ref="C750:C753"/>
    <mergeCell ref="D750:D753"/>
    <mergeCell ref="F750:G750"/>
    <mergeCell ref="H750:I750"/>
    <mergeCell ref="F747:G747"/>
    <mergeCell ref="H747:I747"/>
    <mergeCell ref="L747:M747"/>
    <mergeCell ref="P747:Q747"/>
    <mergeCell ref="R747:S747"/>
    <mergeCell ref="F748:G748"/>
    <mergeCell ref="H752:I752"/>
    <mergeCell ref="L752:M752"/>
    <mergeCell ref="P752:Q752"/>
    <mergeCell ref="R752:S752"/>
    <mergeCell ref="F753:G753"/>
    <mergeCell ref="H753:I753"/>
    <mergeCell ref="AC746:AC749"/>
    <mergeCell ref="L746:M746"/>
    <mergeCell ref="P746:Q746"/>
    <mergeCell ref="R746:S746"/>
    <mergeCell ref="Y746:Y749"/>
    <mergeCell ref="AA746:AA749"/>
    <mergeCell ref="L748:M748"/>
    <mergeCell ref="P748:Q748"/>
    <mergeCell ref="R748:S748"/>
    <mergeCell ref="A746:A749"/>
    <mergeCell ref="B746:B749"/>
    <mergeCell ref="C746:C749"/>
    <mergeCell ref="D746:D749"/>
    <mergeCell ref="F746:G746"/>
    <mergeCell ref="H746:I746"/>
    <mergeCell ref="H748:I748"/>
    <mergeCell ref="F749:G749"/>
    <mergeCell ref="H749:I749"/>
    <mergeCell ref="T746:U746"/>
    <mergeCell ref="T747:U747"/>
    <mergeCell ref="T748:U748"/>
    <mergeCell ref="T749:U749"/>
    <mergeCell ref="F755:G755"/>
    <mergeCell ref="H755:I755"/>
    <mergeCell ref="L755:M755"/>
    <mergeCell ref="P755:Q755"/>
    <mergeCell ref="R755:S755"/>
    <mergeCell ref="F756:G756"/>
    <mergeCell ref="AC754:AC757"/>
    <mergeCell ref="L754:M754"/>
    <mergeCell ref="P754:Q754"/>
    <mergeCell ref="R754:S754"/>
    <mergeCell ref="Y754:Y757"/>
    <mergeCell ref="AA754:AA757"/>
    <mergeCell ref="L756:M756"/>
    <mergeCell ref="P756:Q756"/>
    <mergeCell ref="R756:S756"/>
    <mergeCell ref="A754:A757"/>
    <mergeCell ref="B754:B757"/>
    <mergeCell ref="C754:C757"/>
    <mergeCell ref="D754:D757"/>
    <mergeCell ref="F754:G754"/>
    <mergeCell ref="H754:I754"/>
    <mergeCell ref="H756:I756"/>
    <mergeCell ref="F757:G757"/>
    <mergeCell ref="H757:I757"/>
    <mergeCell ref="P757:Q757"/>
    <mergeCell ref="R757:S757"/>
    <mergeCell ref="L753:M753"/>
    <mergeCell ref="P753:Q753"/>
    <mergeCell ref="R753:S753"/>
    <mergeCell ref="F752:G752"/>
    <mergeCell ref="AC750:AC753"/>
    <mergeCell ref="L750:M750"/>
    <mergeCell ref="P750:Q750"/>
    <mergeCell ref="R750:S750"/>
    <mergeCell ref="Y750:Y753"/>
    <mergeCell ref="AA750:AA753"/>
    <mergeCell ref="H760:I760"/>
    <mergeCell ref="L760:M760"/>
    <mergeCell ref="P760:Q760"/>
    <mergeCell ref="R760:S760"/>
    <mergeCell ref="F761:G761"/>
    <mergeCell ref="H761:I761"/>
    <mergeCell ref="L761:M761"/>
    <mergeCell ref="P761:Q761"/>
    <mergeCell ref="R761:S761"/>
    <mergeCell ref="F759:G759"/>
    <mergeCell ref="H759:I759"/>
    <mergeCell ref="L759:M759"/>
    <mergeCell ref="P759:Q759"/>
    <mergeCell ref="R759:S759"/>
    <mergeCell ref="F760:G760"/>
    <mergeCell ref="AC758:AC761"/>
    <mergeCell ref="L758:M758"/>
    <mergeCell ref="P758:Q758"/>
    <mergeCell ref="R758:S758"/>
    <mergeCell ref="Y758:Y761"/>
    <mergeCell ref="AA758:AA761"/>
    <mergeCell ref="L757:M757"/>
    <mergeCell ref="A758:A761"/>
    <mergeCell ref="B758:B761"/>
    <mergeCell ref="C758:C761"/>
    <mergeCell ref="D758:D761"/>
    <mergeCell ref="F758:G758"/>
    <mergeCell ref="H758:I758"/>
    <mergeCell ref="F767:G767"/>
    <mergeCell ref="H767:I767"/>
    <mergeCell ref="L767:M767"/>
    <mergeCell ref="P767:Q767"/>
    <mergeCell ref="R767:S767"/>
    <mergeCell ref="L765:M765"/>
    <mergeCell ref="P765:Q765"/>
    <mergeCell ref="R765:S765"/>
    <mergeCell ref="A766:A769"/>
    <mergeCell ref="B766:B769"/>
    <mergeCell ref="C766:C769"/>
    <mergeCell ref="D766:D769"/>
    <mergeCell ref="F766:G766"/>
    <mergeCell ref="H766:I766"/>
    <mergeCell ref="F763:G763"/>
    <mergeCell ref="H763:I763"/>
    <mergeCell ref="L763:M763"/>
    <mergeCell ref="P763:Q763"/>
    <mergeCell ref="R763:S763"/>
    <mergeCell ref="F764:G764"/>
    <mergeCell ref="H768:I768"/>
    <mergeCell ref="L768:M768"/>
    <mergeCell ref="P768:Q768"/>
    <mergeCell ref="R768:S768"/>
    <mergeCell ref="F769:G769"/>
    <mergeCell ref="H769:I769"/>
    <mergeCell ref="AC762:AC765"/>
    <mergeCell ref="L762:M762"/>
    <mergeCell ref="P762:Q762"/>
    <mergeCell ref="R762:S762"/>
    <mergeCell ref="Y762:Y765"/>
    <mergeCell ref="AA762:AA765"/>
    <mergeCell ref="L764:M764"/>
    <mergeCell ref="P764:Q764"/>
    <mergeCell ref="R764:S764"/>
    <mergeCell ref="A762:A765"/>
    <mergeCell ref="B762:B765"/>
    <mergeCell ref="C762:C765"/>
    <mergeCell ref="D762:D765"/>
    <mergeCell ref="F762:G762"/>
    <mergeCell ref="H762:I762"/>
    <mergeCell ref="H764:I764"/>
    <mergeCell ref="F765:G765"/>
    <mergeCell ref="H765:I765"/>
    <mergeCell ref="J765:K765"/>
    <mergeCell ref="N763:O763"/>
    <mergeCell ref="N764:O764"/>
    <mergeCell ref="N765:O765"/>
    <mergeCell ref="F771:G771"/>
    <mergeCell ref="H771:I771"/>
    <mergeCell ref="L771:M771"/>
    <mergeCell ref="P771:Q771"/>
    <mergeCell ref="R771:S771"/>
    <mergeCell ref="F772:G772"/>
    <mergeCell ref="AC770:AC773"/>
    <mergeCell ref="L770:M770"/>
    <mergeCell ref="P770:Q770"/>
    <mergeCell ref="R770:S770"/>
    <mergeCell ref="Y770:Y773"/>
    <mergeCell ref="AA770:AA773"/>
    <mergeCell ref="L772:M772"/>
    <mergeCell ref="P772:Q772"/>
    <mergeCell ref="R772:S772"/>
    <mergeCell ref="A770:A773"/>
    <mergeCell ref="B770:B773"/>
    <mergeCell ref="C770:C773"/>
    <mergeCell ref="D770:D773"/>
    <mergeCell ref="F770:G770"/>
    <mergeCell ref="H770:I770"/>
    <mergeCell ref="H772:I772"/>
    <mergeCell ref="F773:G773"/>
    <mergeCell ref="H773:I773"/>
    <mergeCell ref="P773:Q773"/>
    <mergeCell ref="R773:S773"/>
    <mergeCell ref="L769:M769"/>
    <mergeCell ref="P769:Q769"/>
    <mergeCell ref="R769:S769"/>
    <mergeCell ref="F768:G768"/>
    <mergeCell ref="AC766:AC769"/>
    <mergeCell ref="L766:M766"/>
    <mergeCell ref="P766:Q766"/>
    <mergeCell ref="R766:S766"/>
    <mergeCell ref="Y766:Y769"/>
    <mergeCell ref="AA766:AA769"/>
    <mergeCell ref="H776:I776"/>
    <mergeCell ref="L776:M776"/>
    <mergeCell ref="P776:Q776"/>
    <mergeCell ref="R776:S776"/>
    <mergeCell ref="F777:G777"/>
    <mergeCell ref="H777:I777"/>
    <mergeCell ref="L777:M777"/>
    <mergeCell ref="P777:Q777"/>
    <mergeCell ref="R777:S777"/>
    <mergeCell ref="F775:G775"/>
    <mergeCell ref="H775:I775"/>
    <mergeCell ref="L775:M775"/>
    <mergeCell ref="P775:Q775"/>
    <mergeCell ref="R775:S775"/>
    <mergeCell ref="F776:G776"/>
    <mergeCell ref="AC774:AC777"/>
    <mergeCell ref="L774:M774"/>
    <mergeCell ref="P774:Q774"/>
    <mergeCell ref="R774:S774"/>
    <mergeCell ref="Y774:Y777"/>
    <mergeCell ref="AA774:AA777"/>
    <mergeCell ref="L773:M773"/>
    <mergeCell ref="A774:A777"/>
    <mergeCell ref="B774:B777"/>
    <mergeCell ref="C774:C777"/>
    <mergeCell ref="D774:D777"/>
    <mergeCell ref="F774:G774"/>
    <mergeCell ref="H774:I774"/>
    <mergeCell ref="F783:G783"/>
    <mergeCell ref="H783:I783"/>
    <mergeCell ref="L783:M783"/>
    <mergeCell ref="P783:Q783"/>
    <mergeCell ref="R783:S783"/>
    <mergeCell ref="L781:M781"/>
    <mergeCell ref="P781:Q781"/>
    <mergeCell ref="R781:S781"/>
    <mergeCell ref="A782:A785"/>
    <mergeCell ref="B782:B785"/>
    <mergeCell ref="C782:C785"/>
    <mergeCell ref="D782:D785"/>
    <mergeCell ref="F782:G782"/>
    <mergeCell ref="H782:I782"/>
    <mergeCell ref="F779:G779"/>
    <mergeCell ref="H779:I779"/>
    <mergeCell ref="L779:M779"/>
    <mergeCell ref="P779:Q779"/>
    <mergeCell ref="R779:S779"/>
    <mergeCell ref="F780:G780"/>
    <mergeCell ref="H784:I784"/>
    <mergeCell ref="L784:M784"/>
    <mergeCell ref="P784:Q784"/>
    <mergeCell ref="R784:S784"/>
    <mergeCell ref="F785:G785"/>
    <mergeCell ref="H785:I785"/>
    <mergeCell ref="AC778:AC781"/>
    <mergeCell ref="L778:M778"/>
    <mergeCell ref="P778:Q778"/>
    <mergeCell ref="R778:S778"/>
    <mergeCell ref="Y778:Y781"/>
    <mergeCell ref="AA778:AA781"/>
    <mergeCell ref="L780:M780"/>
    <mergeCell ref="P780:Q780"/>
    <mergeCell ref="R780:S780"/>
    <mergeCell ref="A778:A781"/>
    <mergeCell ref="B778:B781"/>
    <mergeCell ref="C778:C781"/>
    <mergeCell ref="D778:D781"/>
    <mergeCell ref="F778:G778"/>
    <mergeCell ref="H778:I778"/>
    <mergeCell ref="H780:I780"/>
    <mergeCell ref="F781:G781"/>
    <mergeCell ref="H781:I781"/>
    <mergeCell ref="AC792:AC795"/>
    <mergeCell ref="L792:M792"/>
    <mergeCell ref="P792:Q792"/>
    <mergeCell ref="R792:S792"/>
    <mergeCell ref="Y792:Y795"/>
    <mergeCell ref="AA792:AA795"/>
    <mergeCell ref="L794:M794"/>
    <mergeCell ref="P794:Q794"/>
    <mergeCell ref="R794:S794"/>
    <mergeCell ref="A792:A795"/>
    <mergeCell ref="B792:B795"/>
    <mergeCell ref="C792:C795"/>
    <mergeCell ref="D792:D795"/>
    <mergeCell ref="F792:G792"/>
    <mergeCell ref="H792:I792"/>
    <mergeCell ref="H794:I794"/>
    <mergeCell ref="F795:G795"/>
    <mergeCell ref="H795:I795"/>
    <mergeCell ref="L785:M785"/>
    <mergeCell ref="P785:Q785"/>
    <mergeCell ref="R785:S785"/>
    <mergeCell ref="W790:Z790"/>
    <mergeCell ref="B791:D791"/>
    <mergeCell ref="E791:S791"/>
    <mergeCell ref="F784:G784"/>
    <mergeCell ref="AC782:AC785"/>
    <mergeCell ref="L782:M782"/>
    <mergeCell ref="P782:Q782"/>
    <mergeCell ref="R782:S782"/>
    <mergeCell ref="Y782:Y785"/>
    <mergeCell ref="AA782:AA785"/>
    <mergeCell ref="H798:I798"/>
    <mergeCell ref="L798:M798"/>
    <mergeCell ref="P798:Q798"/>
    <mergeCell ref="R798:S798"/>
    <mergeCell ref="L795:M795"/>
    <mergeCell ref="P795:Q795"/>
    <mergeCell ref="R795:S795"/>
    <mergeCell ref="T784:U784"/>
    <mergeCell ref="T785:U785"/>
    <mergeCell ref="T792:U792"/>
    <mergeCell ref="T793:U793"/>
    <mergeCell ref="T794:U794"/>
    <mergeCell ref="T795:U795"/>
    <mergeCell ref="F793:G793"/>
    <mergeCell ref="H793:I793"/>
    <mergeCell ref="L793:M793"/>
    <mergeCell ref="P793:Q793"/>
    <mergeCell ref="R793:S793"/>
    <mergeCell ref="F794:G794"/>
    <mergeCell ref="F799:G799"/>
    <mergeCell ref="H799:I799"/>
    <mergeCell ref="L799:M799"/>
    <mergeCell ref="P799:Q799"/>
    <mergeCell ref="R799:S799"/>
    <mergeCell ref="F797:G797"/>
    <mergeCell ref="H797:I797"/>
    <mergeCell ref="L797:M797"/>
    <mergeCell ref="P797:Q797"/>
    <mergeCell ref="R797:S797"/>
    <mergeCell ref="F798:G798"/>
    <mergeCell ref="AC796:AC799"/>
    <mergeCell ref="L796:M796"/>
    <mergeCell ref="P796:Q796"/>
    <mergeCell ref="R796:S796"/>
    <mergeCell ref="Y796:Y799"/>
    <mergeCell ref="AA796:AA799"/>
    <mergeCell ref="T796:U796"/>
    <mergeCell ref="T797:U797"/>
    <mergeCell ref="T798:U798"/>
    <mergeCell ref="T799:U799"/>
    <mergeCell ref="N798:O798"/>
    <mergeCell ref="N799:O799"/>
    <mergeCell ref="A796:A799"/>
    <mergeCell ref="B796:B799"/>
    <mergeCell ref="C796:C799"/>
    <mergeCell ref="D796:D799"/>
    <mergeCell ref="F796:G796"/>
    <mergeCell ref="H796:I796"/>
    <mergeCell ref="F805:G805"/>
    <mergeCell ref="H805:I805"/>
    <mergeCell ref="L805:M805"/>
    <mergeCell ref="P805:Q805"/>
    <mergeCell ref="R805:S805"/>
    <mergeCell ref="L803:M803"/>
    <mergeCell ref="P803:Q803"/>
    <mergeCell ref="R803:S803"/>
    <mergeCell ref="A804:A807"/>
    <mergeCell ref="B804:B807"/>
    <mergeCell ref="C804:C807"/>
    <mergeCell ref="D804:D807"/>
    <mergeCell ref="F804:G804"/>
    <mergeCell ref="H804:I804"/>
    <mergeCell ref="F801:G801"/>
    <mergeCell ref="H801:I801"/>
    <mergeCell ref="L801:M801"/>
    <mergeCell ref="P801:Q801"/>
    <mergeCell ref="R801:S801"/>
    <mergeCell ref="F802:G802"/>
    <mergeCell ref="H806:I806"/>
    <mergeCell ref="L806:M806"/>
    <mergeCell ref="P806:Q806"/>
    <mergeCell ref="R806:S806"/>
    <mergeCell ref="F807:G807"/>
    <mergeCell ref="H807:I807"/>
    <mergeCell ref="AC800:AC803"/>
    <mergeCell ref="L800:M800"/>
    <mergeCell ref="P800:Q800"/>
    <mergeCell ref="R800:S800"/>
    <mergeCell ref="Y800:Y803"/>
    <mergeCell ref="AA800:AA803"/>
    <mergeCell ref="L802:M802"/>
    <mergeCell ref="P802:Q802"/>
    <mergeCell ref="R802:S802"/>
    <mergeCell ref="A800:A803"/>
    <mergeCell ref="B800:B803"/>
    <mergeCell ref="C800:C803"/>
    <mergeCell ref="D800:D803"/>
    <mergeCell ref="F800:G800"/>
    <mergeCell ref="H800:I800"/>
    <mergeCell ref="H802:I802"/>
    <mergeCell ref="F803:G803"/>
    <mergeCell ref="H803:I803"/>
    <mergeCell ref="T800:U800"/>
    <mergeCell ref="T801:U801"/>
    <mergeCell ref="T802:U802"/>
    <mergeCell ref="T803:U803"/>
    <mergeCell ref="J801:K801"/>
    <mergeCell ref="J802:K802"/>
    <mergeCell ref="J803:K803"/>
    <mergeCell ref="N802:O802"/>
    <mergeCell ref="N803:O803"/>
    <mergeCell ref="N800:O800"/>
    <mergeCell ref="N801:O801"/>
    <mergeCell ref="F809:G809"/>
    <mergeCell ref="H809:I809"/>
    <mergeCell ref="L809:M809"/>
    <mergeCell ref="P809:Q809"/>
    <mergeCell ref="R809:S809"/>
    <mergeCell ref="F810:G810"/>
    <mergeCell ref="AC808:AC811"/>
    <mergeCell ref="L808:M808"/>
    <mergeCell ref="P808:Q808"/>
    <mergeCell ref="R808:S808"/>
    <mergeCell ref="Y808:Y811"/>
    <mergeCell ref="AA808:AA811"/>
    <mergeCell ref="L810:M810"/>
    <mergeCell ref="P810:Q810"/>
    <mergeCell ref="R810:S810"/>
    <mergeCell ref="A808:A811"/>
    <mergeCell ref="B808:B811"/>
    <mergeCell ref="C808:C811"/>
    <mergeCell ref="D808:D811"/>
    <mergeCell ref="F808:G808"/>
    <mergeCell ref="H808:I808"/>
    <mergeCell ref="H810:I810"/>
    <mergeCell ref="F811:G811"/>
    <mergeCell ref="H811:I811"/>
    <mergeCell ref="P811:Q811"/>
    <mergeCell ref="R811:S811"/>
    <mergeCell ref="N808:O808"/>
    <mergeCell ref="N809:O809"/>
    <mergeCell ref="N810:O810"/>
    <mergeCell ref="N811:O811"/>
    <mergeCell ref="L807:M807"/>
    <mergeCell ref="P807:Q807"/>
    <mergeCell ref="R807:S807"/>
    <mergeCell ref="F806:G806"/>
    <mergeCell ref="AC804:AC807"/>
    <mergeCell ref="L804:M804"/>
    <mergeCell ref="P804:Q804"/>
    <mergeCell ref="R804:S804"/>
    <mergeCell ref="Y804:Y807"/>
    <mergeCell ref="AA804:AA807"/>
    <mergeCell ref="H814:I814"/>
    <mergeCell ref="L814:M814"/>
    <mergeCell ref="P814:Q814"/>
    <mergeCell ref="R814:S814"/>
    <mergeCell ref="F815:G815"/>
    <mergeCell ref="H815:I815"/>
    <mergeCell ref="L815:M815"/>
    <mergeCell ref="P815:Q815"/>
    <mergeCell ref="R815:S815"/>
    <mergeCell ref="F813:G813"/>
    <mergeCell ref="H813:I813"/>
    <mergeCell ref="L813:M813"/>
    <mergeCell ref="P813:Q813"/>
    <mergeCell ref="R813:S813"/>
    <mergeCell ref="F814:G814"/>
    <mergeCell ref="AC812:AC815"/>
    <mergeCell ref="L812:M812"/>
    <mergeCell ref="P812:Q812"/>
    <mergeCell ref="R812:S812"/>
    <mergeCell ref="Y812:Y815"/>
    <mergeCell ref="AA812:AA815"/>
    <mergeCell ref="L811:M811"/>
    <mergeCell ref="A812:A815"/>
    <mergeCell ref="B812:B815"/>
    <mergeCell ref="C812:C815"/>
    <mergeCell ref="D812:D815"/>
    <mergeCell ref="F812:G812"/>
    <mergeCell ref="H812:I812"/>
    <mergeCell ref="H822:I822"/>
    <mergeCell ref="L822:M822"/>
    <mergeCell ref="P822:Q822"/>
    <mergeCell ref="R822:S822"/>
    <mergeCell ref="P821:Q821"/>
    <mergeCell ref="R821:S821"/>
    <mergeCell ref="F822:G822"/>
    <mergeCell ref="AC820:AC823"/>
    <mergeCell ref="L820:M820"/>
    <mergeCell ref="P820:Q820"/>
    <mergeCell ref="R820:S820"/>
    <mergeCell ref="Y820:Y823"/>
    <mergeCell ref="AA820:AA823"/>
    <mergeCell ref="A820:A823"/>
    <mergeCell ref="B820:B823"/>
    <mergeCell ref="C820:C823"/>
    <mergeCell ref="D820:D823"/>
    <mergeCell ref="F820:G820"/>
    <mergeCell ref="H820:I820"/>
    <mergeCell ref="R817:S817"/>
    <mergeCell ref="F818:G818"/>
    <mergeCell ref="AC816:AC819"/>
    <mergeCell ref="L816:M816"/>
    <mergeCell ref="P816:Q816"/>
    <mergeCell ref="R816:S816"/>
    <mergeCell ref="Y816:Y819"/>
    <mergeCell ref="AA816:AA819"/>
    <mergeCell ref="L818:M818"/>
    <mergeCell ref="P818:Q818"/>
    <mergeCell ref="R818:S818"/>
    <mergeCell ref="A816:A819"/>
    <mergeCell ref="B816:B819"/>
    <mergeCell ref="C816:C819"/>
    <mergeCell ref="D816:D819"/>
    <mergeCell ref="F816:G816"/>
    <mergeCell ref="H816:I816"/>
    <mergeCell ref="H818:I818"/>
    <mergeCell ref="F819:G819"/>
    <mergeCell ref="H819:I819"/>
    <mergeCell ref="AC828:AC831"/>
    <mergeCell ref="L828:M828"/>
    <mergeCell ref="P828:Q828"/>
    <mergeCell ref="R828:S828"/>
    <mergeCell ref="Y828:Y831"/>
    <mergeCell ref="AA828:AA831"/>
    <mergeCell ref="A828:A831"/>
    <mergeCell ref="B828:B831"/>
    <mergeCell ref="C828:C831"/>
    <mergeCell ref="D828:D831"/>
    <mergeCell ref="F828:G828"/>
    <mergeCell ref="H828:I828"/>
    <mergeCell ref="AC824:AC827"/>
    <mergeCell ref="L824:M824"/>
    <mergeCell ref="P824:Q824"/>
    <mergeCell ref="R824:S824"/>
    <mergeCell ref="Y824:Y827"/>
    <mergeCell ref="AA824:AA827"/>
    <mergeCell ref="L826:M826"/>
    <mergeCell ref="P826:Q826"/>
    <mergeCell ref="R826:S826"/>
    <mergeCell ref="A824:A827"/>
    <mergeCell ref="B824:B827"/>
    <mergeCell ref="C824:C827"/>
    <mergeCell ref="D824:D827"/>
    <mergeCell ref="F824:G824"/>
    <mergeCell ref="H824:I824"/>
    <mergeCell ref="H826:I826"/>
    <mergeCell ref="F827:G827"/>
    <mergeCell ref="H827:I827"/>
    <mergeCell ref="L830:M830"/>
    <mergeCell ref="P830:Q830"/>
    <mergeCell ref="F823:G823"/>
    <mergeCell ref="H823:I823"/>
    <mergeCell ref="L823:M823"/>
    <mergeCell ref="P823:Q823"/>
    <mergeCell ref="R823:S823"/>
    <mergeCell ref="N829:O829"/>
    <mergeCell ref="N830:O830"/>
    <mergeCell ref="F843:G843"/>
    <mergeCell ref="H843:I843"/>
    <mergeCell ref="L843:M843"/>
    <mergeCell ref="P843:Q843"/>
    <mergeCell ref="R843:S843"/>
    <mergeCell ref="F844:G844"/>
    <mergeCell ref="AC842:AC845"/>
    <mergeCell ref="L842:M842"/>
    <mergeCell ref="P842:Q842"/>
    <mergeCell ref="R842:S842"/>
    <mergeCell ref="Y842:Y845"/>
    <mergeCell ref="AA842:AA845"/>
    <mergeCell ref="L841:M841"/>
    <mergeCell ref="P841:Q841"/>
    <mergeCell ref="R841:S841"/>
    <mergeCell ref="A842:A845"/>
    <mergeCell ref="B842:B845"/>
    <mergeCell ref="C842:C845"/>
    <mergeCell ref="D842:D845"/>
    <mergeCell ref="F842:G842"/>
    <mergeCell ref="H842:I842"/>
    <mergeCell ref="H844:I844"/>
    <mergeCell ref="L844:M844"/>
    <mergeCell ref="P844:Q844"/>
    <mergeCell ref="R844:S844"/>
    <mergeCell ref="F845:G845"/>
    <mergeCell ref="H845:I845"/>
    <mergeCell ref="L845:M845"/>
    <mergeCell ref="P845:Q845"/>
    <mergeCell ref="R845:S845"/>
    <mergeCell ref="T844:U844"/>
    <mergeCell ref="T845:U845"/>
    <mergeCell ref="F839:G839"/>
    <mergeCell ref="H839:I839"/>
    <mergeCell ref="L839:M839"/>
    <mergeCell ref="P839:Q839"/>
    <mergeCell ref="R839:S839"/>
    <mergeCell ref="F840:G840"/>
    <mergeCell ref="AC838:AC841"/>
    <mergeCell ref="L838:M838"/>
    <mergeCell ref="P838:Q838"/>
    <mergeCell ref="R838:S838"/>
    <mergeCell ref="Y838:Y841"/>
    <mergeCell ref="AA838:AA841"/>
    <mergeCell ref="L840:M840"/>
    <mergeCell ref="P840:Q840"/>
    <mergeCell ref="R840:S840"/>
    <mergeCell ref="A838:A841"/>
    <mergeCell ref="B838:B841"/>
    <mergeCell ref="C838:C841"/>
    <mergeCell ref="D838:D841"/>
    <mergeCell ref="F838:G838"/>
    <mergeCell ref="H838:I838"/>
    <mergeCell ref="H840:I840"/>
    <mergeCell ref="F841:G841"/>
    <mergeCell ref="H841:I841"/>
    <mergeCell ref="N839:O839"/>
    <mergeCell ref="N840:O840"/>
    <mergeCell ref="N841:O841"/>
    <mergeCell ref="F847:G847"/>
    <mergeCell ref="H847:I847"/>
    <mergeCell ref="L847:M847"/>
    <mergeCell ref="P847:Q847"/>
    <mergeCell ref="R847:S847"/>
    <mergeCell ref="F848:G848"/>
    <mergeCell ref="AC846:AC849"/>
    <mergeCell ref="L846:M846"/>
    <mergeCell ref="P846:Q846"/>
    <mergeCell ref="R846:S846"/>
    <mergeCell ref="Y846:Y849"/>
    <mergeCell ref="AA846:AA849"/>
    <mergeCell ref="L848:M848"/>
    <mergeCell ref="P848:Q848"/>
    <mergeCell ref="R848:S848"/>
    <mergeCell ref="A846:A849"/>
    <mergeCell ref="B846:B849"/>
    <mergeCell ref="C846:C849"/>
    <mergeCell ref="D846:D849"/>
    <mergeCell ref="F846:G846"/>
    <mergeCell ref="H846:I846"/>
    <mergeCell ref="H848:I848"/>
    <mergeCell ref="F849:G849"/>
    <mergeCell ref="H849:I849"/>
    <mergeCell ref="L849:M849"/>
    <mergeCell ref="P849:Q849"/>
    <mergeCell ref="R849:S849"/>
    <mergeCell ref="T846:U846"/>
    <mergeCell ref="T847:U847"/>
    <mergeCell ref="T848:U848"/>
    <mergeCell ref="T849:U849"/>
    <mergeCell ref="N846:O846"/>
    <mergeCell ref="H852:I852"/>
    <mergeCell ref="L852:M852"/>
    <mergeCell ref="P852:Q852"/>
    <mergeCell ref="R852:S852"/>
    <mergeCell ref="F853:G853"/>
    <mergeCell ref="H853:I853"/>
    <mergeCell ref="L853:M853"/>
    <mergeCell ref="P853:Q853"/>
    <mergeCell ref="R853:S853"/>
    <mergeCell ref="F851:G851"/>
    <mergeCell ref="H851:I851"/>
    <mergeCell ref="L851:M851"/>
    <mergeCell ref="P851:Q851"/>
    <mergeCell ref="R851:S851"/>
    <mergeCell ref="F852:G852"/>
    <mergeCell ref="AC850:AC853"/>
    <mergeCell ref="L850:M850"/>
    <mergeCell ref="P850:Q850"/>
    <mergeCell ref="R850:S850"/>
    <mergeCell ref="Y850:Y853"/>
    <mergeCell ref="AA850:AA853"/>
    <mergeCell ref="T850:U850"/>
    <mergeCell ref="T851:U851"/>
    <mergeCell ref="T852:U852"/>
    <mergeCell ref="T853:U853"/>
    <mergeCell ref="A850:A853"/>
    <mergeCell ref="B850:B853"/>
    <mergeCell ref="C850:C853"/>
    <mergeCell ref="D850:D853"/>
    <mergeCell ref="F850:G850"/>
    <mergeCell ref="H850:I850"/>
    <mergeCell ref="F859:G859"/>
    <mergeCell ref="H859:I859"/>
    <mergeCell ref="L859:M859"/>
    <mergeCell ref="P859:Q859"/>
    <mergeCell ref="R859:S859"/>
    <mergeCell ref="L857:M857"/>
    <mergeCell ref="P857:Q857"/>
    <mergeCell ref="R857:S857"/>
    <mergeCell ref="A858:A861"/>
    <mergeCell ref="B858:B861"/>
    <mergeCell ref="C858:C861"/>
    <mergeCell ref="D858:D861"/>
    <mergeCell ref="F858:G858"/>
    <mergeCell ref="H858:I858"/>
    <mergeCell ref="F855:G855"/>
    <mergeCell ref="H855:I855"/>
    <mergeCell ref="L855:M855"/>
    <mergeCell ref="P855:Q855"/>
    <mergeCell ref="R855:S855"/>
    <mergeCell ref="F856:G856"/>
    <mergeCell ref="H860:I860"/>
    <mergeCell ref="L860:M860"/>
    <mergeCell ref="P860:Q860"/>
    <mergeCell ref="R860:S860"/>
    <mergeCell ref="F861:G861"/>
    <mergeCell ref="H861:I861"/>
    <mergeCell ref="A862:A865"/>
    <mergeCell ref="B862:B865"/>
    <mergeCell ref="C862:C865"/>
    <mergeCell ref="D862:D865"/>
    <mergeCell ref="F862:G862"/>
    <mergeCell ref="H862:I862"/>
    <mergeCell ref="H864:I864"/>
    <mergeCell ref="F865:G865"/>
    <mergeCell ref="H865:I865"/>
    <mergeCell ref="T862:U862"/>
    <mergeCell ref="T863:U863"/>
    <mergeCell ref="T864:U864"/>
    <mergeCell ref="J862:K862"/>
    <mergeCell ref="L865:M865"/>
    <mergeCell ref="P865:Q865"/>
    <mergeCell ref="R865:S865"/>
    <mergeCell ref="AC854:AC857"/>
    <mergeCell ref="L854:M854"/>
    <mergeCell ref="P854:Q854"/>
    <mergeCell ref="R854:S854"/>
    <mergeCell ref="Y854:Y857"/>
    <mergeCell ref="AA854:AA857"/>
    <mergeCell ref="L856:M856"/>
    <mergeCell ref="P856:Q856"/>
    <mergeCell ref="R856:S856"/>
    <mergeCell ref="A854:A857"/>
    <mergeCell ref="B854:B857"/>
    <mergeCell ref="C854:C857"/>
    <mergeCell ref="D854:D857"/>
    <mergeCell ref="F854:G854"/>
    <mergeCell ref="H854:I854"/>
    <mergeCell ref="H856:I856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F863:G863"/>
    <mergeCell ref="H863:I863"/>
    <mergeCell ref="L863:M863"/>
    <mergeCell ref="P863:Q863"/>
    <mergeCell ref="R863:S863"/>
    <mergeCell ref="L862:M862"/>
    <mergeCell ref="P862:Q862"/>
    <mergeCell ref="R862:S862"/>
    <mergeCell ref="F857:G857"/>
    <mergeCell ref="H857:I857"/>
    <mergeCell ref="N861:O861"/>
    <mergeCell ref="N862:O862"/>
    <mergeCell ref="N863:O863"/>
    <mergeCell ref="P867:Q867"/>
    <mergeCell ref="R867:S867"/>
    <mergeCell ref="F868:G868"/>
    <mergeCell ref="AC866:AC869"/>
    <mergeCell ref="L866:M866"/>
    <mergeCell ref="P866:Q866"/>
    <mergeCell ref="R866:S866"/>
    <mergeCell ref="Y866:Y869"/>
    <mergeCell ref="AA866:AA869"/>
    <mergeCell ref="L861:M861"/>
    <mergeCell ref="P861:Q861"/>
    <mergeCell ref="R861:S861"/>
    <mergeCell ref="F860:G860"/>
    <mergeCell ref="AC858:AC861"/>
    <mergeCell ref="L858:M858"/>
    <mergeCell ref="P858:Q858"/>
    <mergeCell ref="R858:S858"/>
    <mergeCell ref="Y858:Y861"/>
    <mergeCell ref="AA858:AA861"/>
    <mergeCell ref="F864:G864"/>
    <mergeCell ref="AC862:AC865"/>
    <mergeCell ref="Y862:Y865"/>
    <mergeCell ref="AA862:AA865"/>
    <mergeCell ref="L864:M864"/>
    <mergeCell ref="P864:Q864"/>
    <mergeCell ref="R864:S864"/>
    <mergeCell ref="T858:U858"/>
    <mergeCell ref="T859:U859"/>
    <mergeCell ref="T860:U860"/>
    <mergeCell ref="T861:U861"/>
    <mergeCell ref="N864:O864"/>
    <mergeCell ref="N865:O865"/>
    <mergeCell ref="A866:A869"/>
    <mergeCell ref="B866:B869"/>
    <mergeCell ref="C866:C869"/>
    <mergeCell ref="D866:D869"/>
    <mergeCell ref="F866:G866"/>
    <mergeCell ref="H866:I866"/>
    <mergeCell ref="L873:M873"/>
    <mergeCell ref="P873:Q873"/>
    <mergeCell ref="R873:S873"/>
    <mergeCell ref="F871:G871"/>
    <mergeCell ref="H871:I871"/>
    <mergeCell ref="L871:M871"/>
    <mergeCell ref="P871:Q871"/>
    <mergeCell ref="R871:S871"/>
    <mergeCell ref="F872:G872"/>
    <mergeCell ref="AC870:AC873"/>
    <mergeCell ref="L870:M870"/>
    <mergeCell ref="P870:Q870"/>
    <mergeCell ref="R870:S870"/>
    <mergeCell ref="Y870:Y873"/>
    <mergeCell ref="AA870:AA873"/>
    <mergeCell ref="L872:M872"/>
    <mergeCell ref="P872:Q872"/>
    <mergeCell ref="R872:S872"/>
    <mergeCell ref="A870:A873"/>
    <mergeCell ref="B870:B873"/>
    <mergeCell ref="C870:C873"/>
    <mergeCell ref="D870:D873"/>
    <mergeCell ref="F870:G870"/>
    <mergeCell ref="H870:I870"/>
    <mergeCell ref="H872:I872"/>
    <mergeCell ref="F873:G873"/>
    <mergeCell ref="H873:I873"/>
    <mergeCell ref="T865:U865"/>
    <mergeCell ref="T866:U866"/>
    <mergeCell ref="T867:U867"/>
    <mergeCell ref="T868:U868"/>
    <mergeCell ref="T869:U869"/>
    <mergeCell ref="T870:U870"/>
    <mergeCell ref="T871:U871"/>
    <mergeCell ref="H876:I876"/>
    <mergeCell ref="L876:M876"/>
    <mergeCell ref="P876:Q876"/>
    <mergeCell ref="R876:S876"/>
    <mergeCell ref="F877:G877"/>
    <mergeCell ref="H877:I877"/>
    <mergeCell ref="L877:M877"/>
    <mergeCell ref="P877:Q877"/>
    <mergeCell ref="R877:S877"/>
    <mergeCell ref="T872:U872"/>
    <mergeCell ref="T873:U873"/>
    <mergeCell ref="T874:U874"/>
    <mergeCell ref="H868:I868"/>
    <mergeCell ref="L868:M868"/>
    <mergeCell ref="P868:Q868"/>
    <mergeCell ref="R868:S868"/>
    <mergeCell ref="F869:G869"/>
    <mergeCell ref="H869:I869"/>
    <mergeCell ref="L869:M869"/>
    <mergeCell ref="P869:Q869"/>
    <mergeCell ref="R869:S869"/>
    <mergeCell ref="F867:G867"/>
    <mergeCell ref="H867:I867"/>
    <mergeCell ref="L867:M867"/>
    <mergeCell ref="AC874:AC877"/>
    <mergeCell ref="L874:M874"/>
    <mergeCell ref="P874:Q874"/>
    <mergeCell ref="R874:S874"/>
    <mergeCell ref="Y874:Y877"/>
    <mergeCell ref="AA874:AA877"/>
    <mergeCell ref="L887:M887"/>
    <mergeCell ref="P887:Q887"/>
    <mergeCell ref="R887:S887"/>
    <mergeCell ref="A888:A891"/>
    <mergeCell ref="B888:B891"/>
    <mergeCell ref="C888:C891"/>
    <mergeCell ref="D888:D891"/>
    <mergeCell ref="F888:G888"/>
    <mergeCell ref="H888:I888"/>
    <mergeCell ref="F885:G885"/>
    <mergeCell ref="H885:I885"/>
    <mergeCell ref="L885:M885"/>
    <mergeCell ref="P885:Q885"/>
    <mergeCell ref="R885:S885"/>
    <mergeCell ref="F886:G886"/>
    <mergeCell ref="AC884:AC887"/>
    <mergeCell ref="L884:M884"/>
    <mergeCell ref="P884:Q884"/>
    <mergeCell ref="R884:S884"/>
    <mergeCell ref="Y884:Y887"/>
    <mergeCell ref="AA884:AA887"/>
    <mergeCell ref="L886:M886"/>
    <mergeCell ref="P886:Q886"/>
    <mergeCell ref="R886:S886"/>
    <mergeCell ref="A884:A887"/>
    <mergeCell ref="B884:B887"/>
    <mergeCell ref="C884:C887"/>
    <mergeCell ref="D884:D887"/>
    <mergeCell ref="F884:G884"/>
    <mergeCell ref="H884:I884"/>
    <mergeCell ref="H886:I886"/>
    <mergeCell ref="F887:G887"/>
    <mergeCell ref="H887:I887"/>
    <mergeCell ref="A874:A877"/>
    <mergeCell ref="B874:B877"/>
    <mergeCell ref="C874:C877"/>
    <mergeCell ref="D874:D877"/>
    <mergeCell ref="F874:G874"/>
    <mergeCell ref="H874:I874"/>
    <mergeCell ref="AC892:AC895"/>
    <mergeCell ref="L892:M892"/>
    <mergeCell ref="P892:Q892"/>
    <mergeCell ref="R892:S892"/>
    <mergeCell ref="Y892:Y895"/>
    <mergeCell ref="AA892:AA895"/>
    <mergeCell ref="L894:M894"/>
    <mergeCell ref="P894:Q894"/>
    <mergeCell ref="R894:S894"/>
    <mergeCell ref="A892:A895"/>
    <mergeCell ref="B892:B895"/>
    <mergeCell ref="C892:C895"/>
    <mergeCell ref="D892:D895"/>
    <mergeCell ref="F892:G892"/>
    <mergeCell ref="H892:I892"/>
    <mergeCell ref="H894:I894"/>
    <mergeCell ref="F895:G895"/>
    <mergeCell ref="H895:I895"/>
    <mergeCell ref="H890:I890"/>
    <mergeCell ref="L890:M890"/>
    <mergeCell ref="P890:Q890"/>
    <mergeCell ref="R890:S890"/>
    <mergeCell ref="F891:G891"/>
    <mergeCell ref="H891:I891"/>
    <mergeCell ref="L891:M891"/>
    <mergeCell ref="P891:Q891"/>
    <mergeCell ref="R891:S891"/>
    <mergeCell ref="F889:G889"/>
    <mergeCell ref="H889:I889"/>
    <mergeCell ref="L889:M889"/>
    <mergeCell ref="P889:Q889"/>
    <mergeCell ref="R889:S889"/>
    <mergeCell ref="F890:G890"/>
    <mergeCell ref="AC888:AC891"/>
    <mergeCell ref="L888:M888"/>
    <mergeCell ref="P888:Q888"/>
    <mergeCell ref="R888:S888"/>
    <mergeCell ref="Y888:Y891"/>
    <mergeCell ref="AA888:AA891"/>
    <mergeCell ref="R893:S893"/>
    <mergeCell ref="N892:O892"/>
    <mergeCell ref="N893:O893"/>
    <mergeCell ref="N894:O894"/>
    <mergeCell ref="N895:O895"/>
    <mergeCell ref="AC900:AC903"/>
    <mergeCell ref="L900:M900"/>
    <mergeCell ref="P900:Q900"/>
    <mergeCell ref="R900:S900"/>
    <mergeCell ref="Y900:Y903"/>
    <mergeCell ref="AA900:AA903"/>
    <mergeCell ref="L902:M902"/>
    <mergeCell ref="P902:Q902"/>
    <mergeCell ref="R902:S902"/>
    <mergeCell ref="A900:A903"/>
    <mergeCell ref="B900:B903"/>
    <mergeCell ref="C900:C903"/>
    <mergeCell ref="D900:D903"/>
    <mergeCell ref="F900:G900"/>
    <mergeCell ref="H900:I900"/>
    <mergeCell ref="H902:I902"/>
    <mergeCell ref="F903:G903"/>
    <mergeCell ref="H903:I903"/>
    <mergeCell ref="H898:I898"/>
    <mergeCell ref="L898:M898"/>
    <mergeCell ref="P898:Q898"/>
    <mergeCell ref="R898:S898"/>
    <mergeCell ref="F899:G899"/>
    <mergeCell ref="H899:I899"/>
    <mergeCell ref="L899:M899"/>
    <mergeCell ref="P899:Q899"/>
    <mergeCell ref="R899:S899"/>
    <mergeCell ref="F897:G897"/>
    <mergeCell ref="H897:I897"/>
    <mergeCell ref="L897:M897"/>
    <mergeCell ref="P897:Q897"/>
    <mergeCell ref="R897:S897"/>
    <mergeCell ref="F898:G898"/>
    <mergeCell ref="AC896:AC899"/>
    <mergeCell ref="L896:M896"/>
    <mergeCell ref="P896:Q896"/>
    <mergeCell ref="R896:S896"/>
    <mergeCell ref="Y896:Y899"/>
    <mergeCell ref="AA896:AA899"/>
    <mergeCell ref="A896:A899"/>
    <mergeCell ref="B896:B899"/>
    <mergeCell ref="C896:C899"/>
    <mergeCell ref="D896:D899"/>
    <mergeCell ref="F896:G896"/>
    <mergeCell ref="H896:I896"/>
    <mergeCell ref="J902:K902"/>
    <mergeCell ref="J903:K903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AC908:AC911"/>
    <mergeCell ref="L908:M908"/>
    <mergeCell ref="P908:Q908"/>
    <mergeCell ref="R908:S908"/>
    <mergeCell ref="Y908:Y911"/>
    <mergeCell ref="AA908:AA911"/>
    <mergeCell ref="L910:M910"/>
    <mergeCell ref="P910:Q910"/>
    <mergeCell ref="R910:S910"/>
    <mergeCell ref="T911:U911"/>
    <mergeCell ref="L903:M903"/>
    <mergeCell ref="P903:Q903"/>
    <mergeCell ref="R903:S903"/>
    <mergeCell ref="T900:U900"/>
    <mergeCell ref="T901:U901"/>
    <mergeCell ref="T902:U902"/>
    <mergeCell ref="T903:U903"/>
    <mergeCell ref="T908:U908"/>
    <mergeCell ref="T909:U909"/>
    <mergeCell ref="T910:U910"/>
    <mergeCell ref="A908:A911"/>
    <mergeCell ref="B908:B911"/>
    <mergeCell ref="C908:C911"/>
    <mergeCell ref="D908:D911"/>
    <mergeCell ref="F908:G908"/>
    <mergeCell ref="H908:I908"/>
    <mergeCell ref="H910:I910"/>
    <mergeCell ref="F911:G911"/>
    <mergeCell ref="H911:I911"/>
    <mergeCell ref="H906:I906"/>
    <mergeCell ref="L906:M906"/>
    <mergeCell ref="P906:Q906"/>
    <mergeCell ref="R906:S906"/>
    <mergeCell ref="F907:G907"/>
    <mergeCell ref="H907:I907"/>
    <mergeCell ref="L907:M907"/>
    <mergeCell ref="P907:Q907"/>
    <mergeCell ref="R907:S907"/>
    <mergeCell ref="J908:K908"/>
    <mergeCell ref="J909:K909"/>
    <mergeCell ref="J910:K910"/>
    <mergeCell ref="J911:K911"/>
    <mergeCell ref="N908:O908"/>
    <mergeCell ref="N909:O909"/>
    <mergeCell ref="N910:O910"/>
    <mergeCell ref="N911:O911"/>
    <mergeCell ref="F905:G905"/>
    <mergeCell ref="H905:I905"/>
    <mergeCell ref="L905:M905"/>
    <mergeCell ref="P905:Q905"/>
    <mergeCell ref="R905:S905"/>
    <mergeCell ref="F906:G906"/>
    <mergeCell ref="AC904:AC907"/>
    <mergeCell ref="L904:M904"/>
    <mergeCell ref="P904:Q904"/>
    <mergeCell ref="R904:S904"/>
    <mergeCell ref="Y904:Y907"/>
    <mergeCell ref="AA904:AA907"/>
    <mergeCell ref="A904:A907"/>
    <mergeCell ref="B904:B907"/>
    <mergeCell ref="C904:C907"/>
    <mergeCell ref="D904:D907"/>
    <mergeCell ref="F904:G904"/>
    <mergeCell ref="H904:I904"/>
    <mergeCell ref="J904:K904"/>
    <mergeCell ref="J905:K905"/>
    <mergeCell ref="J906:K906"/>
    <mergeCell ref="J907:K907"/>
    <mergeCell ref="N904:O904"/>
    <mergeCell ref="N905:O905"/>
    <mergeCell ref="N906:O906"/>
    <mergeCell ref="N907:O907"/>
    <mergeCell ref="T904:U904"/>
    <mergeCell ref="T905:U905"/>
    <mergeCell ref="T906:U906"/>
    <mergeCell ref="T907:U907"/>
    <mergeCell ref="AC916:AC919"/>
    <mergeCell ref="L916:M916"/>
    <mergeCell ref="P916:Q916"/>
    <mergeCell ref="R916:S916"/>
    <mergeCell ref="Y916:Y919"/>
    <mergeCell ref="AA916:AA919"/>
    <mergeCell ref="L918:M918"/>
    <mergeCell ref="P918:Q918"/>
    <mergeCell ref="R918:S918"/>
    <mergeCell ref="A916:A919"/>
    <mergeCell ref="B916:B919"/>
    <mergeCell ref="C916:C919"/>
    <mergeCell ref="D916:D919"/>
    <mergeCell ref="F916:G916"/>
    <mergeCell ref="H916:I916"/>
    <mergeCell ref="H918:I918"/>
    <mergeCell ref="F919:G919"/>
    <mergeCell ref="H919:I919"/>
    <mergeCell ref="L914:M914"/>
    <mergeCell ref="P914:Q914"/>
    <mergeCell ref="R914:S914"/>
    <mergeCell ref="F915:G915"/>
    <mergeCell ref="H915:I915"/>
    <mergeCell ref="L915:M915"/>
    <mergeCell ref="P915:Q915"/>
    <mergeCell ref="R915:S915"/>
    <mergeCell ref="F913:G913"/>
    <mergeCell ref="H913:I913"/>
    <mergeCell ref="L913:M913"/>
    <mergeCell ref="P913:Q913"/>
    <mergeCell ref="R913:S913"/>
    <mergeCell ref="F914:G914"/>
    <mergeCell ref="AC912:AC915"/>
    <mergeCell ref="L912:M912"/>
    <mergeCell ref="P912:Q912"/>
    <mergeCell ref="R912:S912"/>
    <mergeCell ref="Y912:Y915"/>
    <mergeCell ref="AA912:AA915"/>
    <mergeCell ref="F933:G933"/>
    <mergeCell ref="H933:I933"/>
    <mergeCell ref="T933:U933"/>
    <mergeCell ref="L933:M933"/>
    <mergeCell ref="P933:Q933"/>
    <mergeCell ref="R933:S933"/>
    <mergeCell ref="A912:A915"/>
    <mergeCell ref="B912:B915"/>
    <mergeCell ref="C912:C915"/>
    <mergeCell ref="D912:D915"/>
    <mergeCell ref="F912:G912"/>
    <mergeCell ref="H912:I912"/>
    <mergeCell ref="T912:U912"/>
    <mergeCell ref="T913:U913"/>
    <mergeCell ref="T914:U914"/>
    <mergeCell ref="T915:U915"/>
    <mergeCell ref="T916:U916"/>
    <mergeCell ref="T917:U917"/>
    <mergeCell ref="T918:U918"/>
    <mergeCell ref="T919:U919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N912:O912"/>
    <mergeCell ref="N913:O913"/>
    <mergeCell ref="N914:O914"/>
    <mergeCell ref="H914:I914"/>
    <mergeCell ref="AC920:AC923"/>
    <mergeCell ref="L920:M920"/>
    <mergeCell ref="P920:Q920"/>
    <mergeCell ref="R920:S920"/>
    <mergeCell ref="Y920:Y923"/>
    <mergeCell ref="AA920:AA923"/>
    <mergeCell ref="A920:A923"/>
    <mergeCell ref="B920:B923"/>
    <mergeCell ref="C920:C923"/>
    <mergeCell ref="D920:D923"/>
    <mergeCell ref="F920:G920"/>
    <mergeCell ref="H920:I920"/>
    <mergeCell ref="F931:G931"/>
    <mergeCell ref="H931:I931"/>
    <mergeCell ref="L931:M931"/>
    <mergeCell ref="P931:Q931"/>
    <mergeCell ref="R931:S931"/>
    <mergeCell ref="AC930:AC933"/>
    <mergeCell ref="L930:M930"/>
    <mergeCell ref="P930:Q930"/>
    <mergeCell ref="R930:S930"/>
    <mergeCell ref="Y930:Y933"/>
    <mergeCell ref="AA930:AA933"/>
    <mergeCell ref="L932:M932"/>
    <mergeCell ref="P932:Q932"/>
    <mergeCell ref="R932:S932"/>
    <mergeCell ref="A930:A933"/>
    <mergeCell ref="B930:B933"/>
    <mergeCell ref="C930:C933"/>
    <mergeCell ref="D930:D933"/>
    <mergeCell ref="F930:G930"/>
    <mergeCell ref="H930:I930"/>
    <mergeCell ref="B927:C927"/>
    <mergeCell ref="F927:Q927"/>
    <mergeCell ref="A928:D928"/>
    <mergeCell ref="E928:S928"/>
    <mergeCell ref="A925:C925"/>
    <mergeCell ref="B926:C926"/>
    <mergeCell ref="F926:Q926"/>
    <mergeCell ref="E925:I925"/>
    <mergeCell ref="S925:Y925"/>
    <mergeCell ref="S926:Z926"/>
    <mergeCell ref="T920:U920"/>
    <mergeCell ref="T921:U921"/>
    <mergeCell ref="T922:U922"/>
    <mergeCell ref="T923:U923"/>
    <mergeCell ref="T930:U930"/>
    <mergeCell ref="T931:U931"/>
    <mergeCell ref="T932:U932"/>
    <mergeCell ref="H922:I922"/>
    <mergeCell ref="L922:M922"/>
    <mergeCell ref="P922:Q922"/>
    <mergeCell ref="R922:S922"/>
    <mergeCell ref="F923:G923"/>
    <mergeCell ref="H923:I923"/>
    <mergeCell ref="L923:M923"/>
    <mergeCell ref="P923:Q923"/>
    <mergeCell ref="R923:S923"/>
    <mergeCell ref="F922:G922"/>
    <mergeCell ref="F932:G932"/>
    <mergeCell ref="H932:I932"/>
    <mergeCell ref="H936:I936"/>
    <mergeCell ref="L936:M936"/>
    <mergeCell ref="P936:Q936"/>
    <mergeCell ref="R936:S936"/>
    <mergeCell ref="F937:G937"/>
    <mergeCell ref="H937:I937"/>
    <mergeCell ref="L937:M937"/>
    <mergeCell ref="P937:Q937"/>
    <mergeCell ref="R937:S937"/>
    <mergeCell ref="F935:G935"/>
    <mergeCell ref="H935:I935"/>
    <mergeCell ref="L935:M935"/>
    <mergeCell ref="P935:Q935"/>
    <mergeCell ref="R935:S935"/>
    <mergeCell ref="F936:G936"/>
    <mergeCell ref="AC934:AC937"/>
    <mergeCell ref="L934:M934"/>
    <mergeCell ref="P934:Q934"/>
    <mergeCell ref="R934:S934"/>
    <mergeCell ref="Y934:Y937"/>
    <mergeCell ref="AA934:AA937"/>
    <mergeCell ref="T934:U934"/>
    <mergeCell ref="T935:U935"/>
    <mergeCell ref="T936:U936"/>
    <mergeCell ref="T937:U937"/>
    <mergeCell ref="A934:A937"/>
    <mergeCell ref="B934:B937"/>
    <mergeCell ref="C934:C937"/>
    <mergeCell ref="D934:D937"/>
    <mergeCell ref="F934:G934"/>
    <mergeCell ref="H934:I934"/>
    <mergeCell ref="F943:G943"/>
    <mergeCell ref="H943:I943"/>
    <mergeCell ref="L943:M943"/>
    <mergeCell ref="P943:Q943"/>
    <mergeCell ref="R943:S943"/>
    <mergeCell ref="L941:M941"/>
    <mergeCell ref="P941:Q941"/>
    <mergeCell ref="R941:S941"/>
    <mergeCell ref="A942:A945"/>
    <mergeCell ref="B942:B945"/>
    <mergeCell ref="C942:C945"/>
    <mergeCell ref="D942:D945"/>
    <mergeCell ref="F942:G942"/>
    <mergeCell ref="H942:I942"/>
    <mergeCell ref="F939:G939"/>
    <mergeCell ref="H939:I939"/>
    <mergeCell ref="L939:M939"/>
    <mergeCell ref="P939:Q939"/>
    <mergeCell ref="R939:S939"/>
    <mergeCell ref="F940:G940"/>
    <mergeCell ref="H944:I944"/>
    <mergeCell ref="L944:M944"/>
    <mergeCell ref="P944:Q944"/>
    <mergeCell ref="R944:S944"/>
    <mergeCell ref="F945:G945"/>
    <mergeCell ref="H945:I945"/>
    <mergeCell ref="AC938:AC941"/>
    <mergeCell ref="L938:M938"/>
    <mergeCell ref="P938:Q938"/>
    <mergeCell ref="R938:S938"/>
    <mergeCell ref="Y938:Y941"/>
    <mergeCell ref="AA938:AA941"/>
    <mergeCell ref="L940:M940"/>
    <mergeCell ref="P940:Q940"/>
    <mergeCell ref="R940:S940"/>
    <mergeCell ref="A938:A941"/>
    <mergeCell ref="B938:B941"/>
    <mergeCell ref="C938:C941"/>
    <mergeCell ref="D938:D941"/>
    <mergeCell ref="F938:G938"/>
    <mergeCell ref="H938:I938"/>
    <mergeCell ref="H940:I940"/>
    <mergeCell ref="F941:G941"/>
    <mergeCell ref="H941:I941"/>
    <mergeCell ref="T938:U938"/>
    <mergeCell ref="T939:U939"/>
    <mergeCell ref="T940:U940"/>
    <mergeCell ref="T941:U941"/>
    <mergeCell ref="N941:O941"/>
    <mergeCell ref="F947:G947"/>
    <mergeCell ref="H947:I947"/>
    <mergeCell ref="L947:M947"/>
    <mergeCell ref="P947:Q947"/>
    <mergeCell ref="R947:S947"/>
    <mergeCell ref="F948:G948"/>
    <mergeCell ref="AC946:AC949"/>
    <mergeCell ref="L946:M946"/>
    <mergeCell ref="P946:Q946"/>
    <mergeCell ref="R946:S946"/>
    <mergeCell ref="Y946:Y949"/>
    <mergeCell ref="AA946:AA949"/>
    <mergeCell ref="L948:M948"/>
    <mergeCell ref="P948:Q948"/>
    <mergeCell ref="R948:S948"/>
    <mergeCell ref="A946:A949"/>
    <mergeCell ref="B946:B949"/>
    <mergeCell ref="C946:C949"/>
    <mergeCell ref="D946:D949"/>
    <mergeCell ref="F946:G946"/>
    <mergeCell ref="H946:I946"/>
    <mergeCell ref="H948:I948"/>
    <mergeCell ref="F949:G949"/>
    <mergeCell ref="H949:I949"/>
    <mergeCell ref="P949:Q949"/>
    <mergeCell ref="R949:S949"/>
    <mergeCell ref="N949:O949"/>
    <mergeCell ref="N946:O946"/>
    <mergeCell ref="N947:O947"/>
    <mergeCell ref="N948:O948"/>
    <mergeCell ref="L945:M945"/>
    <mergeCell ref="P945:Q945"/>
    <mergeCell ref="R945:S945"/>
    <mergeCell ref="F944:G944"/>
    <mergeCell ref="AC942:AC945"/>
    <mergeCell ref="L942:M942"/>
    <mergeCell ref="P942:Q942"/>
    <mergeCell ref="R942:S942"/>
    <mergeCell ref="Y942:Y945"/>
    <mergeCell ref="AA942:AA945"/>
    <mergeCell ref="H952:I952"/>
    <mergeCell ref="L952:M952"/>
    <mergeCell ref="P952:Q952"/>
    <mergeCell ref="R952:S952"/>
    <mergeCell ref="F953:G953"/>
    <mergeCell ref="H953:I953"/>
    <mergeCell ref="L953:M953"/>
    <mergeCell ref="P953:Q953"/>
    <mergeCell ref="R953:S953"/>
    <mergeCell ref="F951:G951"/>
    <mergeCell ref="H951:I951"/>
    <mergeCell ref="L951:M951"/>
    <mergeCell ref="P951:Q951"/>
    <mergeCell ref="R951:S951"/>
    <mergeCell ref="F952:G952"/>
    <mergeCell ref="AC950:AC953"/>
    <mergeCell ref="L950:M950"/>
    <mergeCell ref="P950:Q950"/>
    <mergeCell ref="R950:S950"/>
    <mergeCell ref="Y950:Y953"/>
    <mergeCell ref="AA950:AA953"/>
    <mergeCell ref="L949:M949"/>
    <mergeCell ref="N957:O957"/>
    <mergeCell ref="A950:A953"/>
    <mergeCell ref="B950:B953"/>
    <mergeCell ref="C950:C953"/>
    <mergeCell ref="D950:D953"/>
    <mergeCell ref="F950:G950"/>
    <mergeCell ref="H950:I950"/>
    <mergeCell ref="F959:G959"/>
    <mergeCell ref="H959:I959"/>
    <mergeCell ref="L959:M959"/>
    <mergeCell ref="P959:Q959"/>
    <mergeCell ref="R959:S959"/>
    <mergeCell ref="L957:M957"/>
    <mergeCell ref="P957:Q957"/>
    <mergeCell ref="R957:S957"/>
    <mergeCell ref="A958:A961"/>
    <mergeCell ref="B958:B961"/>
    <mergeCell ref="C958:C961"/>
    <mergeCell ref="D958:D961"/>
    <mergeCell ref="F958:G958"/>
    <mergeCell ref="H958:I958"/>
    <mergeCell ref="F955:G955"/>
    <mergeCell ref="H955:I955"/>
    <mergeCell ref="L955:M955"/>
    <mergeCell ref="P955:Q955"/>
    <mergeCell ref="R955:S955"/>
    <mergeCell ref="F956:G956"/>
    <mergeCell ref="H960:I960"/>
    <mergeCell ref="L960:M960"/>
    <mergeCell ref="P960:Q960"/>
    <mergeCell ref="R960:S960"/>
    <mergeCell ref="F960:G960"/>
    <mergeCell ref="A962:A965"/>
    <mergeCell ref="B962:B965"/>
    <mergeCell ref="C962:C965"/>
    <mergeCell ref="D962:D965"/>
    <mergeCell ref="F962:G962"/>
    <mergeCell ref="H962:I962"/>
    <mergeCell ref="H964:I964"/>
    <mergeCell ref="F965:G965"/>
    <mergeCell ref="H965:I965"/>
    <mergeCell ref="T963:U963"/>
    <mergeCell ref="T964:U964"/>
    <mergeCell ref="T965:U965"/>
    <mergeCell ref="AC954:AC957"/>
    <mergeCell ref="L954:M954"/>
    <mergeCell ref="P954:Q954"/>
    <mergeCell ref="R954:S954"/>
    <mergeCell ref="Y954:Y957"/>
    <mergeCell ref="AA954:AA957"/>
    <mergeCell ref="L956:M956"/>
    <mergeCell ref="P956:Q956"/>
    <mergeCell ref="R956:S956"/>
    <mergeCell ref="A954:A957"/>
    <mergeCell ref="B954:B957"/>
    <mergeCell ref="C954:C957"/>
    <mergeCell ref="D954:D957"/>
    <mergeCell ref="F954:G954"/>
    <mergeCell ref="H954:I954"/>
    <mergeCell ref="H956:I956"/>
    <mergeCell ref="F957:G957"/>
    <mergeCell ref="H957:I957"/>
    <mergeCell ref="N954:O954"/>
    <mergeCell ref="N955:O955"/>
    <mergeCell ref="AC958:AC961"/>
    <mergeCell ref="L958:M958"/>
    <mergeCell ref="P958:Q958"/>
    <mergeCell ref="R958:S958"/>
    <mergeCell ref="Y958:Y961"/>
    <mergeCell ref="AA958:AA961"/>
    <mergeCell ref="J959:K959"/>
    <mergeCell ref="J960:K960"/>
    <mergeCell ref="J961:K961"/>
    <mergeCell ref="J962:K962"/>
    <mergeCell ref="J963:K963"/>
    <mergeCell ref="J964:K964"/>
    <mergeCell ref="J965:K965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L965:M965"/>
    <mergeCell ref="P965:Q965"/>
    <mergeCell ref="R965:S965"/>
    <mergeCell ref="T959:U959"/>
    <mergeCell ref="T960:U960"/>
    <mergeCell ref="T961:U961"/>
    <mergeCell ref="T962:U962"/>
    <mergeCell ref="L961:M961"/>
    <mergeCell ref="P961:Q961"/>
    <mergeCell ref="R961:S961"/>
    <mergeCell ref="F963:G963"/>
    <mergeCell ref="H963:I963"/>
    <mergeCell ref="L963:M963"/>
    <mergeCell ref="P969:Q969"/>
    <mergeCell ref="R969:S969"/>
    <mergeCell ref="F967:G967"/>
    <mergeCell ref="H967:I967"/>
    <mergeCell ref="L967:M967"/>
    <mergeCell ref="P967:Q967"/>
    <mergeCell ref="R967:S967"/>
    <mergeCell ref="F968:G968"/>
    <mergeCell ref="AC966:AC969"/>
    <mergeCell ref="L966:M966"/>
    <mergeCell ref="P966:Q966"/>
    <mergeCell ref="R966:S966"/>
    <mergeCell ref="Y966:Y969"/>
    <mergeCell ref="AA966:AA969"/>
    <mergeCell ref="P963:Q963"/>
    <mergeCell ref="R963:S963"/>
    <mergeCell ref="F964:G964"/>
    <mergeCell ref="AC962:AC965"/>
    <mergeCell ref="L962:M962"/>
    <mergeCell ref="P962:Q962"/>
    <mergeCell ref="R962:S962"/>
    <mergeCell ref="Y962:Y965"/>
    <mergeCell ref="AA962:AA965"/>
    <mergeCell ref="L964:M964"/>
    <mergeCell ref="P964:Q964"/>
    <mergeCell ref="R964:S964"/>
    <mergeCell ref="F969:G969"/>
    <mergeCell ref="H969:I969"/>
    <mergeCell ref="L969:M969"/>
    <mergeCell ref="F961:G961"/>
    <mergeCell ref="H961:I961"/>
    <mergeCell ref="J966:K966"/>
    <mergeCell ref="A966:A969"/>
    <mergeCell ref="B966:B969"/>
    <mergeCell ref="C966:C969"/>
    <mergeCell ref="D966:D969"/>
    <mergeCell ref="F966:G966"/>
    <mergeCell ref="H966:I966"/>
    <mergeCell ref="C978:D978"/>
    <mergeCell ref="W978:Y978"/>
    <mergeCell ref="P978:S978"/>
    <mergeCell ref="H978:M978"/>
    <mergeCell ref="E979:G979"/>
    <mergeCell ref="H979:M979"/>
    <mergeCell ref="P979:S979"/>
    <mergeCell ref="W979:Y979"/>
    <mergeCell ref="C977:D977"/>
    <mergeCell ref="E977:G977"/>
    <mergeCell ref="H977:M977"/>
    <mergeCell ref="P977:S977"/>
    <mergeCell ref="W977:Y977"/>
    <mergeCell ref="C979:D979"/>
    <mergeCell ref="E978:G978"/>
    <mergeCell ref="T966:U966"/>
    <mergeCell ref="T967:U967"/>
    <mergeCell ref="T968:U968"/>
    <mergeCell ref="T969:U969"/>
    <mergeCell ref="H968:I968"/>
    <mergeCell ref="L968:M968"/>
    <mergeCell ref="P968:Q968"/>
    <mergeCell ref="R968:S968"/>
    <mergeCell ref="A143:C143"/>
    <mergeCell ref="B144:C144"/>
    <mergeCell ref="F144:Q144"/>
    <mergeCell ref="W146:Z146"/>
    <mergeCell ref="B147:D147"/>
    <mergeCell ref="E147:S147"/>
    <mergeCell ref="A189:C189"/>
    <mergeCell ref="B190:C190"/>
    <mergeCell ref="F190:Q190"/>
    <mergeCell ref="B145:C145"/>
    <mergeCell ref="F145:Q145"/>
    <mergeCell ref="A146:D146"/>
    <mergeCell ref="E146:S146"/>
    <mergeCell ref="H232:I232"/>
    <mergeCell ref="L232:M232"/>
    <mergeCell ref="P232:Q232"/>
    <mergeCell ref="R232:S232"/>
    <mergeCell ref="F231:G231"/>
    <mergeCell ref="H231:I231"/>
    <mergeCell ref="E143:I143"/>
    <mergeCell ref="S143:Y143"/>
    <mergeCell ref="S144:Z144"/>
    <mergeCell ref="E189:I189"/>
    <mergeCell ref="S189:Y189"/>
    <mergeCell ref="S190:Z190"/>
    <mergeCell ref="T148:U148"/>
    <mergeCell ref="T149:U149"/>
    <mergeCell ref="T150:U150"/>
    <mergeCell ref="T151:U151"/>
    <mergeCell ref="T152:U152"/>
    <mergeCell ref="T160:U160"/>
    <mergeCell ref="T161:U161"/>
    <mergeCell ref="A373:C373"/>
    <mergeCell ref="B374:C374"/>
    <mergeCell ref="F374:Q374"/>
    <mergeCell ref="B329:C329"/>
    <mergeCell ref="F329:Q329"/>
    <mergeCell ref="A330:D330"/>
    <mergeCell ref="E330:S330"/>
    <mergeCell ref="W284:Z284"/>
    <mergeCell ref="B285:D285"/>
    <mergeCell ref="E285:S285"/>
    <mergeCell ref="A327:C327"/>
    <mergeCell ref="B328:C328"/>
    <mergeCell ref="F328:Q328"/>
    <mergeCell ref="B283:C283"/>
    <mergeCell ref="B377:D377"/>
    <mergeCell ref="E377:S377"/>
    <mergeCell ref="A419:C419"/>
    <mergeCell ref="F411:G411"/>
    <mergeCell ref="H411:I411"/>
    <mergeCell ref="L411:M411"/>
    <mergeCell ref="P411:Q411"/>
    <mergeCell ref="R411:S411"/>
    <mergeCell ref="H412:I412"/>
    <mergeCell ref="F413:G413"/>
    <mergeCell ref="H413:I413"/>
    <mergeCell ref="T301:U301"/>
    <mergeCell ref="T302:U302"/>
    <mergeCell ref="T303:U303"/>
    <mergeCell ref="T304:U304"/>
    <mergeCell ref="T305:U305"/>
    <mergeCell ref="T306:U306"/>
    <mergeCell ref="T307:U307"/>
    <mergeCell ref="B375:C375"/>
    <mergeCell ref="F375:Q375"/>
    <mergeCell ref="A376:D376"/>
    <mergeCell ref="E376:S376"/>
    <mergeCell ref="F461:G461"/>
    <mergeCell ref="H461:I461"/>
    <mergeCell ref="L461:M461"/>
    <mergeCell ref="P461:Q461"/>
    <mergeCell ref="R461:S461"/>
    <mergeCell ref="L459:M459"/>
    <mergeCell ref="P459:Q459"/>
    <mergeCell ref="R459:S459"/>
    <mergeCell ref="F457:G457"/>
    <mergeCell ref="H457:I457"/>
    <mergeCell ref="L457:M457"/>
    <mergeCell ref="P457:Q457"/>
    <mergeCell ref="R457:S457"/>
    <mergeCell ref="F458:G458"/>
    <mergeCell ref="L451:M451"/>
    <mergeCell ref="P451:Q451"/>
    <mergeCell ref="R451:S451"/>
    <mergeCell ref="F449:G449"/>
    <mergeCell ref="H449:I449"/>
    <mergeCell ref="L449:M449"/>
    <mergeCell ref="P449:Q449"/>
    <mergeCell ref="R449:S449"/>
    <mergeCell ref="F450:G450"/>
    <mergeCell ref="L443:M443"/>
    <mergeCell ref="P443:Q443"/>
    <mergeCell ref="R443:S443"/>
    <mergeCell ref="P455:Q455"/>
    <mergeCell ref="R455:S455"/>
    <mergeCell ref="B423:D423"/>
    <mergeCell ref="E423:S423"/>
    <mergeCell ref="B421:C421"/>
    <mergeCell ref="F421:Q421"/>
    <mergeCell ref="A422:D422"/>
    <mergeCell ref="E422:S422"/>
    <mergeCell ref="F415:G415"/>
    <mergeCell ref="H415:I415"/>
    <mergeCell ref="L415:M415"/>
    <mergeCell ref="P415:Q415"/>
    <mergeCell ref="R415:S415"/>
    <mergeCell ref="F416:G416"/>
    <mergeCell ref="D414:D417"/>
    <mergeCell ref="F414:G414"/>
    <mergeCell ref="H414:I414"/>
    <mergeCell ref="H416:I416"/>
    <mergeCell ref="B420:C420"/>
    <mergeCell ref="F420:Q420"/>
    <mergeCell ref="F429:G429"/>
    <mergeCell ref="H429:I429"/>
    <mergeCell ref="L429:M429"/>
    <mergeCell ref="P429:Q429"/>
    <mergeCell ref="R429:S429"/>
    <mergeCell ref="D428:D431"/>
    <mergeCell ref="F428:G428"/>
    <mergeCell ref="H428:I428"/>
    <mergeCell ref="F425:G425"/>
    <mergeCell ref="H425:I425"/>
    <mergeCell ref="L425:M425"/>
    <mergeCell ref="A603:C603"/>
    <mergeCell ref="B604:C604"/>
    <mergeCell ref="F604:Q604"/>
    <mergeCell ref="B559:C559"/>
    <mergeCell ref="F559:Q559"/>
    <mergeCell ref="A560:D560"/>
    <mergeCell ref="E560:S560"/>
    <mergeCell ref="R593:S593"/>
    <mergeCell ref="F591:G591"/>
    <mergeCell ref="B469:D469"/>
    <mergeCell ref="E469:S469"/>
    <mergeCell ref="A511:C511"/>
    <mergeCell ref="B512:C512"/>
    <mergeCell ref="F512:Q512"/>
    <mergeCell ref="H600:I600"/>
    <mergeCell ref="L600:M600"/>
    <mergeCell ref="P600:Q600"/>
    <mergeCell ref="R600:S600"/>
    <mergeCell ref="F601:G601"/>
    <mergeCell ref="H601:I601"/>
    <mergeCell ref="L601:M601"/>
    <mergeCell ref="W514:Z514"/>
    <mergeCell ref="B515:D515"/>
    <mergeCell ref="E515:S515"/>
    <mergeCell ref="A557:C557"/>
    <mergeCell ref="B558:C558"/>
    <mergeCell ref="F558:Q558"/>
    <mergeCell ref="B513:C513"/>
    <mergeCell ref="F513:Q513"/>
    <mergeCell ref="A514:D514"/>
    <mergeCell ref="E514:S514"/>
    <mergeCell ref="C586:C589"/>
    <mergeCell ref="D586:D589"/>
    <mergeCell ref="F586:G586"/>
    <mergeCell ref="H586:I586"/>
    <mergeCell ref="H588:I588"/>
    <mergeCell ref="F589:G589"/>
    <mergeCell ref="H589:I589"/>
    <mergeCell ref="H584:I584"/>
    <mergeCell ref="L584:M584"/>
    <mergeCell ref="P584:Q584"/>
    <mergeCell ref="R584:S584"/>
    <mergeCell ref="F585:G585"/>
    <mergeCell ref="H585:I585"/>
    <mergeCell ref="B586:B589"/>
    <mergeCell ref="T524:U524"/>
    <mergeCell ref="T525:U525"/>
    <mergeCell ref="T526:U526"/>
    <mergeCell ref="T527:U527"/>
    <mergeCell ref="T528:U528"/>
    <mergeCell ref="T529:U529"/>
    <mergeCell ref="T530:U530"/>
    <mergeCell ref="T531:U531"/>
    <mergeCell ref="P601:Q601"/>
    <mergeCell ref="R601:S601"/>
    <mergeCell ref="F599:G599"/>
    <mergeCell ref="H599:I599"/>
    <mergeCell ref="L599:M599"/>
    <mergeCell ref="P599:Q599"/>
    <mergeCell ref="R599:S599"/>
    <mergeCell ref="F600:G600"/>
    <mergeCell ref="H592:I592"/>
    <mergeCell ref="L592:M592"/>
    <mergeCell ref="P592:Q592"/>
    <mergeCell ref="R592:S592"/>
    <mergeCell ref="F593:G593"/>
    <mergeCell ref="H593:I593"/>
    <mergeCell ref="L593:M593"/>
    <mergeCell ref="P593:Q593"/>
    <mergeCell ref="H591:I591"/>
    <mergeCell ref="L591:M591"/>
    <mergeCell ref="N601:O601"/>
    <mergeCell ref="P595:Q595"/>
    <mergeCell ref="R595:S595"/>
    <mergeCell ref="F596:G596"/>
    <mergeCell ref="J601:K601"/>
    <mergeCell ref="N598:O598"/>
    <mergeCell ref="N599:O599"/>
    <mergeCell ref="N600:O600"/>
    <mergeCell ref="B607:D607"/>
    <mergeCell ref="E607:S607"/>
    <mergeCell ref="A649:C649"/>
    <mergeCell ref="B650:C650"/>
    <mergeCell ref="F650:Q650"/>
    <mergeCell ref="B605:C605"/>
    <mergeCell ref="F605:Q605"/>
    <mergeCell ref="A606:D606"/>
    <mergeCell ref="E606:S606"/>
    <mergeCell ref="H692:I692"/>
    <mergeCell ref="L692:M692"/>
    <mergeCell ref="P692:Q692"/>
    <mergeCell ref="R692:S692"/>
    <mergeCell ref="F693:G693"/>
    <mergeCell ref="H693:I693"/>
    <mergeCell ref="L693:M693"/>
    <mergeCell ref="P693:Q693"/>
    <mergeCell ref="R693:S693"/>
    <mergeCell ref="F691:G691"/>
    <mergeCell ref="H691:I691"/>
    <mergeCell ref="L691:M691"/>
    <mergeCell ref="P691:Q691"/>
    <mergeCell ref="R691:S691"/>
    <mergeCell ref="F692:G692"/>
    <mergeCell ref="H684:I684"/>
    <mergeCell ref="L684:M684"/>
    <mergeCell ref="P684:Q684"/>
    <mergeCell ref="R684:S684"/>
    <mergeCell ref="F685:G685"/>
    <mergeCell ref="H685:I685"/>
    <mergeCell ref="L685:M685"/>
    <mergeCell ref="P685:Q685"/>
    <mergeCell ref="L681:M681"/>
    <mergeCell ref="P681:Q681"/>
    <mergeCell ref="R681:S681"/>
    <mergeCell ref="F679:G679"/>
    <mergeCell ref="H679:I679"/>
    <mergeCell ref="L679:M679"/>
    <mergeCell ref="P679:Q679"/>
    <mergeCell ref="F680:G680"/>
    <mergeCell ref="L673:M673"/>
    <mergeCell ref="E649:I649"/>
    <mergeCell ref="S649:Y649"/>
    <mergeCell ref="S650:Z650"/>
    <mergeCell ref="H668:I668"/>
    <mergeCell ref="L668:M668"/>
    <mergeCell ref="P668:Q668"/>
    <mergeCell ref="R668:S668"/>
    <mergeCell ref="F669:G669"/>
    <mergeCell ref="H669:I669"/>
    <mergeCell ref="L669:M669"/>
    <mergeCell ref="P669:Q669"/>
    <mergeCell ref="R669:S669"/>
    <mergeCell ref="T654:U654"/>
    <mergeCell ref="T655:U655"/>
    <mergeCell ref="T656:U656"/>
    <mergeCell ref="T657:U657"/>
    <mergeCell ref="T658:U658"/>
    <mergeCell ref="T659:U659"/>
    <mergeCell ref="T660:U660"/>
    <mergeCell ref="T661:U661"/>
    <mergeCell ref="T662:U662"/>
    <mergeCell ref="T663:U663"/>
    <mergeCell ref="T664:U664"/>
    <mergeCell ref="A833:C833"/>
    <mergeCell ref="B834:C834"/>
    <mergeCell ref="F834:Q834"/>
    <mergeCell ref="B789:C789"/>
    <mergeCell ref="F789:Q789"/>
    <mergeCell ref="A790:D790"/>
    <mergeCell ref="E790:S790"/>
    <mergeCell ref="W744:Z744"/>
    <mergeCell ref="B745:D745"/>
    <mergeCell ref="E745:S745"/>
    <mergeCell ref="A787:C787"/>
    <mergeCell ref="B788:C788"/>
    <mergeCell ref="F788:Q788"/>
    <mergeCell ref="B743:C743"/>
    <mergeCell ref="F743:Q743"/>
    <mergeCell ref="A744:D744"/>
    <mergeCell ref="E744:S744"/>
    <mergeCell ref="H830:I830"/>
    <mergeCell ref="R830:S830"/>
    <mergeCell ref="S788:Z788"/>
    <mergeCell ref="E833:I833"/>
    <mergeCell ref="S833:Y833"/>
    <mergeCell ref="S834:Z834"/>
    <mergeCell ref="F831:G831"/>
    <mergeCell ref="H831:I831"/>
    <mergeCell ref="L831:M831"/>
    <mergeCell ref="P831:Q831"/>
    <mergeCell ref="R831:S831"/>
    <mergeCell ref="F830:G830"/>
    <mergeCell ref="F821:G821"/>
    <mergeCell ref="H821:I821"/>
    <mergeCell ref="L821:M821"/>
    <mergeCell ref="W698:Z698"/>
    <mergeCell ref="B699:D699"/>
    <mergeCell ref="E699:S699"/>
    <mergeCell ref="A741:C741"/>
    <mergeCell ref="B742:C742"/>
    <mergeCell ref="F742:Q742"/>
    <mergeCell ref="F829:G829"/>
    <mergeCell ref="H829:I829"/>
    <mergeCell ref="L829:M829"/>
    <mergeCell ref="P829:Q829"/>
    <mergeCell ref="R829:S829"/>
    <mergeCell ref="L827:M827"/>
    <mergeCell ref="P827:Q827"/>
    <mergeCell ref="R827:S827"/>
    <mergeCell ref="F825:G825"/>
    <mergeCell ref="H825:I825"/>
    <mergeCell ref="L825:M825"/>
    <mergeCell ref="P825:Q825"/>
    <mergeCell ref="R825:S825"/>
    <mergeCell ref="F826:G826"/>
    <mergeCell ref="L819:M819"/>
    <mergeCell ref="P819:Q819"/>
    <mergeCell ref="R819:S819"/>
    <mergeCell ref="F817:G817"/>
    <mergeCell ref="H817:I817"/>
    <mergeCell ref="L817:M817"/>
    <mergeCell ref="P817:Q817"/>
    <mergeCell ref="E741:I741"/>
    <mergeCell ref="S741:Y741"/>
    <mergeCell ref="S742:Z742"/>
    <mergeCell ref="E787:I787"/>
    <mergeCell ref="S787:Y787"/>
    <mergeCell ref="B837:D837"/>
    <mergeCell ref="E837:S837"/>
    <mergeCell ref="A879:C879"/>
    <mergeCell ref="B880:C880"/>
    <mergeCell ref="F880:Q880"/>
    <mergeCell ref="B835:C835"/>
    <mergeCell ref="F835:Q835"/>
    <mergeCell ref="A836:D836"/>
    <mergeCell ref="E836:S836"/>
    <mergeCell ref="F921:G921"/>
    <mergeCell ref="H921:I921"/>
    <mergeCell ref="L921:M921"/>
    <mergeCell ref="P921:Q921"/>
    <mergeCell ref="R921:S921"/>
    <mergeCell ref="L919:M919"/>
    <mergeCell ref="P919:Q919"/>
    <mergeCell ref="R919:S919"/>
    <mergeCell ref="F917:G917"/>
    <mergeCell ref="H917:I917"/>
    <mergeCell ref="L917:M917"/>
    <mergeCell ref="P917:Q917"/>
    <mergeCell ref="R917:S917"/>
    <mergeCell ref="F918:G918"/>
    <mergeCell ref="L911:M911"/>
    <mergeCell ref="P911:Q911"/>
    <mergeCell ref="R911:S911"/>
    <mergeCell ref="F909:G909"/>
    <mergeCell ref="H909:I909"/>
    <mergeCell ref="L909:M909"/>
    <mergeCell ref="P909:Q909"/>
    <mergeCell ref="R909:S909"/>
    <mergeCell ref="F910:G910"/>
    <mergeCell ref="F901:G901"/>
    <mergeCell ref="H901:I901"/>
    <mergeCell ref="L901:M901"/>
    <mergeCell ref="P901:Q901"/>
    <mergeCell ref="R901:S901"/>
    <mergeCell ref="F902:G902"/>
    <mergeCell ref="L895:M895"/>
    <mergeCell ref="P895:Q895"/>
    <mergeCell ref="R895:S895"/>
    <mergeCell ref="F893:G893"/>
    <mergeCell ref="H893:I893"/>
    <mergeCell ref="L893:M893"/>
    <mergeCell ref="P893:Q893"/>
    <mergeCell ref="F894:G894"/>
    <mergeCell ref="E879:I879"/>
    <mergeCell ref="S879:Y879"/>
    <mergeCell ref="S880:Z880"/>
    <mergeCell ref="T885:U885"/>
    <mergeCell ref="T886:U886"/>
    <mergeCell ref="T887:U887"/>
    <mergeCell ref="T888:U888"/>
    <mergeCell ref="T889:U889"/>
    <mergeCell ref="T890:U890"/>
    <mergeCell ref="T891:U891"/>
    <mergeCell ref="T892:U892"/>
    <mergeCell ref="T893:U893"/>
    <mergeCell ref="T894:U894"/>
    <mergeCell ref="T895:U895"/>
    <mergeCell ref="T896:U896"/>
    <mergeCell ref="T897:U897"/>
    <mergeCell ref="T898:U898"/>
    <mergeCell ref="T899:U899"/>
    <mergeCell ref="B883:D883"/>
    <mergeCell ref="E883:S883"/>
    <mergeCell ref="B881:C881"/>
    <mergeCell ref="F881:Q881"/>
    <mergeCell ref="A882:D882"/>
    <mergeCell ref="E882:S882"/>
    <mergeCell ref="F875:G875"/>
    <mergeCell ref="H875:I875"/>
    <mergeCell ref="L875:M875"/>
    <mergeCell ref="P875:Q875"/>
    <mergeCell ref="R875:S875"/>
    <mergeCell ref="F876:G876"/>
    <mergeCell ref="W974:Z974"/>
    <mergeCell ref="B975:D975"/>
    <mergeCell ref="E975:S975"/>
    <mergeCell ref="B973:C973"/>
    <mergeCell ref="F973:Q973"/>
    <mergeCell ref="A974:D974"/>
    <mergeCell ref="E974:S974"/>
    <mergeCell ref="W928:Z928"/>
    <mergeCell ref="B929:D929"/>
    <mergeCell ref="E929:S929"/>
    <mergeCell ref="A971:C971"/>
    <mergeCell ref="B972:C972"/>
    <mergeCell ref="F972:Q972"/>
    <mergeCell ref="E971:I971"/>
    <mergeCell ref="S971:Y971"/>
    <mergeCell ref="S972:Z972"/>
    <mergeCell ref="T875:U875"/>
    <mergeCell ref="T876:U876"/>
    <mergeCell ref="T877:U877"/>
    <mergeCell ref="T884:U884"/>
    <mergeCell ref="AO364:AO367"/>
    <mergeCell ref="AO424:AO427"/>
    <mergeCell ref="AO478:AO481"/>
    <mergeCell ref="AO532:AO535"/>
    <mergeCell ref="AO586:AO589"/>
    <mergeCell ref="AO640:AO643"/>
    <mergeCell ref="AO700:AO703"/>
    <mergeCell ref="AO754:AO757"/>
    <mergeCell ref="AO808:AO811"/>
    <mergeCell ref="AO862:AO865"/>
    <mergeCell ref="AO916:AO919"/>
    <mergeCell ref="AO56:AO59"/>
    <mergeCell ref="AO268:AO271"/>
    <mergeCell ref="AO332:AO335"/>
    <mergeCell ref="AO386:AO389"/>
    <mergeCell ref="AO436:AO439"/>
    <mergeCell ref="AO494:AO497"/>
    <mergeCell ref="AO548:AO551"/>
    <mergeCell ref="AO598:AO601"/>
    <mergeCell ref="AO662:AO665"/>
    <mergeCell ref="AO716:AO719"/>
    <mergeCell ref="AO766:AO769"/>
    <mergeCell ref="AO824:AO827"/>
    <mergeCell ref="AO884:AO887"/>
    <mergeCell ref="AO378:AO381"/>
    <mergeCell ref="AO540:AO543"/>
    <mergeCell ref="AO708:AO711"/>
    <mergeCell ref="AO870:AO873"/>
    <mergeCell ref="AO892:AO895"/>
    <mergeCell ref="AO428:AO431"/>
    <mergeCell ref="AO590:AO593"/>
    <mergeCell ref="AO758:AO761"/>
    <mergeCell ref="AN156:AN159"/>
    <mergeCell ref="AN160:AN163"/>
    <mergeCell ref="AN164:AN167"/>
    <mergeCell ref="AN168:AN171"/>
    <mergeCell ref="AN172:AN175"/>
    <mergeCell ref="AN176:AN179"/>
    <mergeCell ref="AO156:AO159"/>
    <mergeCell ref="AN180:AN183"/>
    <mergeCell ref="AN184:AN187"/>
    <mergeCell ref="AN194:AN197"/>
    <mergeCell ref="AN198:AN201"/>
    <mergeCell ref="AN202:AN205"/>
    <mergeCell ref="AN206:AN209"/>
    <mergeCell ref="AN210:AN213"/>
    <mergeCell ref="AN214:AN217"/>
    <mergeCell ref="AN218:AN221"/>
    <mergeCell ref="AN222:AN225"/>
    <mergeCell ref="AO164:AO167"/>
    <mergeCell ref="AO218:AO221"/>
    <mergeCell ref="AO202:AO205"/>
    <mergeCell ref="AP34:AP37"/>
    <mergeCell ref="AQ34:AQ37"/>
    <mergeCell ref="AR34:AR37"/>
    <mergeCell ref="AS34:AS37"/>
    <mergeCell ref="AO38:AO41"/>
    <mergeCell ref="AP38:AP41"/>
    <mergeCell ref="AQ38:AQ41"/>
    <mergeCell ref="AR38:AR41"/>
    <mergeCell ref="AS38:AS41"/>
    <mergeCell ref="AO42:AO45"/>
    <mergeCell ref="AP42:AP45"/>
    <mergeCell ref="AQ42:AQ45"/>
    <mergeCell ref="AR42:AR45"/>
    <mergeCell ref="AS42:AS45"/>
    <mergeCell ref="AO46:AO49"/>
    <mergeCell ref="AP46:AP49"/>
    <mergeCell ref="AQ46:AQ49"/>
    <mergeCell ref="AR46:AR49"/>
    <mergeCell ref="AS46:AS49"/>
    <mergeCell ref="AO34:AO37"/>
    <mergeCell ref="AP56:AP59"/>
    <mergeCell ref="AQ56:AQ59"/>
    <mergeCell ref="AR56:AR59"/>
    <mergeCell ref="AS56:AS59"/>
    <mergeCell ref="AO60:AO63"/>
    <mergeCell ref="AP60:AP63"/>
    <mergeCell ref="AQ60:AQ63"/>
    <mergeCell ref="AR60:AR63"/>
    <mergeCell ref="AS60:AS63"/>
    <mergeCell ref="AO10:AO13"/>
    <mergeCell ref="AP10:AP13"/>
    <mergeCell ref="AQ10:AQ13"/>
    <mergeCell ref="AR10:AR13"/>
    <mergeCell ref="AS10:AS13"/>
    <mergeCell ref="AO14:AO17"/>
    <mergeCell ref="AP14:AP17"/>
    <mergeCell ref="AQ14:AQ17"/>
    <mergeCell ref="AR14:AR17"/>
    <mergeCell ref="AS14:AS17"/>
    <mergeCell ref="AO18:AO21"/>
    <mergeCell ref="AP18:AP21"/>
    <mergeCell ref="AQ18:AQ21"/>
    <mergeCell ref="AR18:AR21"/>
    <mergeCell ref="AS18:AS21"/>
    <mergeCell ref="AO22:AO25"/>
    <mergeCell ref="AP22:AP25"/>
    <mergeCell ref="AQ22:AQ25"/>
    <mergeCell ref="AR22:AR25"/>
    <mergeCell ref="AS22:AS25"/>
    <mergeCell ref="AO26:AO29"/>
    <mergeCell ref="AP26:AP29"/>
    <mergeCell ref="AQ26:AQ29"/>
    <mergeCell ref="AR26:AR29"/>
    <mergeCell ref="AS26:AS29"/>
    <mergeCell ref="AO30:AO33"/>
    <mergeCell ref="AP30:AP33"/>
    <mergeCell ref="AQ30:AQ33"/>
    <mergeCell ref="AR30:AR33"/>
    <mergeCell ref="AS30:AS33"/>
    <mergeCell ref="AR110:AR113"/>
    <mergeCell ref="AS110:AS113"/>
    <mergeCell ref="AO114:AO117"/>
    <mergeCell ref="AP114:AP117"/>
    <mergeCell ref="AQ114:AQ117"/>
    <mergeCell ref="AR114:AR117"/>
    <mergeCell ref="AS114:AS117"/>
    <mergeCell ref="AO64:AO67"/>
    <mergeCell ref="AP64:AP67"/>
    <mergeCell ref="AQ64:AQ67"/>
    <mergeCell ref="AR64:AR67"/>
    <mergeCell ref="AS64:AS67"/>
    <mergeCell ref="AO68:AO71"/>
    <mergeCell ref="AP68:AP71"/>
    <mergeCell ref="AQ68:AQ71"/>
    <mergeCell ref="AR68:AR71"/>
    <mergeCell ref="AS68:AS71"/>
    <mergeCell ref="AO72:AO75"/>
    <mergeCell ref="AP72:AP75"/>
    <mergeCell ref="AQ72:AQ75"/>
    <mergeCell ref="AR72:AR75"/>
    <mergeCell ref="AS72:AS75"/>
    <mergeCell ref="AO76:AO79"/>
    <mergeCell ref="AP76:AP79"/>
    <mergeCell ref="AQ76:AQ79"/>
    <mergeCell ref="AR76:AR79"/>
    <mergeCell ref="AS76:AS79"/>
    <mergeCell ref="AO80:AO83"/>
    <mergeCell ref="AP80:AP83"/>
    <mergeCell ref="AQ80:AQ83"/>
    <mergeCell ref="AR80:AR83"/>
    <mergeCell ref="AS80:AS83"/>
    <mergeCell ref="AO84:AO87"/>
    <mergeCell ref="AP84:AP87"/>
    <mergeCell ref="AQ84:AQ87"/>
    <mergeCell ref="AR84:AR87"/>
    <mergeCell ref="AS84:AS87"/>
    <mergeCell ref="AP156:AP159"/>
    <mergeCell ref="AQ156:AQ159"/>
    <mergeCell ref="AR156:AR159"/>
    <mergeCell ref="AS156:AS159"/>
    <mergeCell ref="AO160:AO163"/>
    <mergeCell ref="AP160:AP163"/>
    <mergeCell ref="AQ160:AQ163"/>
    <mergeCell ref="AR160:AR163"/>
    <mergeCell ref="AS160:AS163"/>
    <mergeCell ref="AR134:AR137"/>
    <mergeCell ref="AS134:AS137"/>
    <mergeCell ref="AO138:AO141"/>
    <mergeCell ref="AP138:AP141"/>
    <mergeCell ref="AQ138:AQ141"/>
    <mergeCell ref="AR138:AR141"/>
    <mergeCell ref="AS138:AS141"/>
    <mergeCell ref="AQ148:AQ151"/>
    <mergeCell ref="AR148:AR151"/>
    <mergeCell ref="AS148:AS151"/>
    <mergeCell ref="AQ152:AQ155"/>
    <mergeCell ref="AP164:AP167"/>
    <mergeCell ref="AQ164:AQ167"/>
    <mergeCell ref="AR164:AR167"/>
    <mergeCell ref="AS164:AS167"/>
    <mergeCell ref="AO168:AO171"/>
    <mergeCell ref="AP168:AP171"/>
    <mergeCell ref="AQ168:AQ171"/>
    <mergeCell ref="AR168:AR171"/>
    <mergeCell ref="AS168:AS171"/>
    <mergeCell ref="AO118:AO121"/>
    <mergeCell ref="AP118:AP121"/>
    <mergeCell ref="AQ118:AQ121"/>
    <mergeCell ref="AR118:AR121"/>
    <mergeCell ref="AS118:AS121"/>
    <mergeCell ref="AO122:AO125"/>
    <mergeCell ref="AP122:AP125"/>
    <mergeCell ref="AQ122:AQ125"/>
    <mergeCell ref="AR122:AR125"/>
    <mergeCell ref="AS122:AS125"/>
    <mergeCell ref="AO126:AO129"/>
    <mergeCell ref="AP126:AP129"/>
    <mergeCell ref="AQ126:AQ129"/>
    <mergeCell ref="AR126:AR129"/>
    <mergeCell ref="AS126:AS129"/>
    <mergeCell ref="AO130:AO133"/>
    <mergeCell ref="AP130:AP133"/>
    <mergeCell ref="AQ130:AQ133"/>
    <mergeCell ref="AR130:AR133"/>
    <mergeCell ref="AS130:AS133"/>
    <mergeCell ref="AO134:AO137"/>
    <mergeCell ref="AP134:AP137"/>
    <mergeCell ref="AQ134:AQ137"/>
    <mergeCell ref="AP202:AP205"/>
    <mergeCell ref="AQ202:AQ205"/>
    <mergeCell ref="AR202:AR205"/>
    <mergeCell ref="AS202:AS205"/>
    <mergeCell ref="AO206:AO209"/>
    <mergeCell ref="AP206:AP209"/>
    <mergeCell ref="AQ206:AQ209"/>
    <mergeCell ref="AR206:AR209"/>
    <mergeCell ref="AS206:AS209"/>
    <mergeCell ref="AO210:AO213"/>
    <mergeCell ref="AP210:AP213"/>
    <mergeCell ref="AQ210:AQ213"/>
    <mergeCell ref="AR210:AR213"/>
    <mergeCell ref="AS210:AS213"/>
    <mergeCell ref="AO214:AO217"/>
    <mergeCell ref="AP214:AP217"/>
    <mergeCell ref="AQ214:AQ217"/>
    <mergeCell ref="AR214:AR217"/>
    <mergeCell ref="AS214:AS217"/>
    <mergeCell ref="AP218:AP221"/>
    <mergeCell ref="AQ218:AQ221"/>
    <mergeCell ref="AR218:AR221"/>
    <mergeCell ref="AS218:AS221"/>
    <mergeCell ref="AO222:AO225"/>
    <mergeCell ref="AP222:AP225"/>
    <mergeCell ref="AQ222:AQ225"/>
    <mergeCell ref="AR222:AR225"/>
    <mergeCell ref="AS222:AS225"/>
    <mergeCell ref="AO172:AO175"/>
    <mergeCell ref="AP172:AP175"/>
    <mergeCell ref="AQ172:AQ175"/>
    <mergeCell ref="AR172:AR175"/>
    <mergeCell ref="AS172:AS175"/>
    <mergeCell ref="AO176:AO179"/>
    <mergeCell ref="AP176:AP179"/>
    <mergeCell ref="AQ176:AQ179"/>
    <mergeCell ref="AR176:AR179"/>
    <mergeCell ref="AS176:AS179"/>
    <mergeCell ref="AO180:AO183"/>
    <mergeCell ref="AP180:AP183"/>
    <mergeCell ref="AQ180:AQ183"/>
    <mergeCell ref="AR180:AR183"/>
    <mergeCell ref="AS180:AS183"/>
    <mergeCell ref="AO184:AO187"/>
    <mergeCell ref="AP184:AP187"/>
    <mergeCell ref="AQ184:AQ187"/>
    <mergeCell ref="AR184:AR187"/>
    <mergeCell ref="AS184:AS187"/>
    <mergeCell ref="AO194:AO197"/>
    <mergeCell ref="AP194:AP197"/>
    <mergeCell ref="AQ194:AQ197"/>
    <mergeCell ref="AR194:AR197"/>
    <mergeCell ref="AS194:AS197"/>
    <mergeCell ref="AO198:AO201"/>
    <mergeCell ref="AP198:AP201"/>
    <mergeCell ref="AQ198:AQ201"/>
    <mergeCell ref="AR198:AR201"/>
    <mergeCell ref="AS198:AS201"/>
    <mergeCell ref="AP256:AP259"/>
    <mergeCell ref="AQ256:AQ259"/>
    <mergeCell ref="AR256:AR259"/>
    <mergeCell ref="AS256:AS259"/>
    <mergeCell ref="AO260:AO263"/>
    <mergeCell ref="AP260:AP263"/>
    <mergeCell ref="AQ260:AQ263"/>
    <mergeCell ref="AR260:AR263"/>
    <mergeCell ref="AS260:AS263"/>
    <mergeCell ref="AO264:AO267"/>
    <mergeCell ref="AP264:AP267"/>
    <mergeCell ref="AQ264:AQ267"/>
    <mergeCell ref="AR264:AR267"/>
    <mergeCell ref="AS264:AS267"/>
    <mergeCell ref="AR244:AR247"/>
    <mergeCell ref="AS244:AS247"/>
    <mergeCell ref="AO248:AO251"/>
    <mergeCell ref="AP248:AP251"/>
    <mergeCell ref="AQ248:AQ251"/>
    <mergeCell ref="AR248:AR251"/>
    <mergeCell ref="AS248:AS251"/>
    <mergeCell ref="AO252:AO255"/>
    <mergeCell ref="AP252:AP255"/>
    <mergeCell ref="AQ252:AQ255"/>
    <mergeCell ref="AR252:AR255"/>
    <mergeCell ref="AP272:AP275"/>
    <mergeCell ref="AQ272:AQ275"/>
    <mergeCell ref="AR272:AR275"/>
    <mergeCell ref="AS272:AS275"/>
    <mergeCell ref="AO276:AO279"/>
    <mergeCell ref="AP276:AP279"/>
    <mergeCell ref="AQ276:AQ279"/>
    <mergeCell ref="AR276:AR279"/>
    <mergeCell ref="AS276:AS279"/>
    <mergeCell ref="AO226:AO229"/>
    <mergeCell ref="AP226:AP229"/>
    <mergeCell ref="AQ226:AQ229"/>
    <mergeCell ref="AR226:AR229"/>
    <mergeCell ref="AS226:AS229"/>
    <mergeCell ref="AO230:AO233"/>
    <mergeCell ref="AP230:AP233"/>
    <mergeCell ref="AQ230:AQ233"/>
    <mergeCell ref="AR230:AR233"/>
    <mergeCell ref="AS230:AS233"/>
    <mergeCell ref="AO240:AO243"/>
    <mergeCell ref="AP240:AP243"/>
    <mergeCell ref="AQ240:AQ243"/>
    <mergeCell ref="AR240:AR243"/>
    <mergeCell ref="AS240:AS243"/>
    <mergeCell ref="AO244:AO247"/>
    <mergeCell ref="AP244:AP247"/>
    <mergeCell ref="AQ244:AQ247"/>
    <mergeCell ref="AO256:AO259"/>
    <mergeCell ref="AS252:AS255"/>
    <mergeCell ref="AP310:AP313"/>
    <mergeCell ref="AQ310:AQ313"/>
    <mergeCell ref="AR310:AR313"/>
    <mergeCell ref="AS310:AS313"/>
    <mergeCell ref="AO314:AO317"/>
    <mergeCell ref="AP314:AP317"/>
    <mergeCell ref="AQ314:AQ317"/>
    <mergeCell ref="AR314:AR317"/>
    <mergeCell ref="AS314:AS317"/>
    <mergeCell ref="AO318:AO321"/>
    <mergeCell ref="AP318:AP321"/>
    <mergeCell ref="AQ318:AQ321"/>
    <mergeCell ref="AR318:AR321"/>
    <mergeCell ref="AS318:AS321"/>
    <mergeCell ref="AO322:AO325"/>
    <mergeCell ref="AP322:AP325"/>
    <mergeCell ref="AQ322:AQ325"/>
    <mergeCell ref="AR322:AR325"/>
    <mergeCell ref="AS322:AS325"/>
    <mergeCell ref="AO310:AO313"/>
    <mergeCell ref="AR302:AR305"/>
    <mergeCell ref="AS302:AS305"/>
    <mergeCell ref="AO306:AO309"/>
    <mergeCell ref="AP306:AP309"/>
    <mergeCell ref="AQ306:AQ309"/>
    <mergeCell ref="AR306:AR309"/>
    <mergeCell ref="AS306:AS309"/>
    <mergeCell ref="AP268:AP271"/>
    <mergeCell ref="AQ268:AQ271"/>
    <mergeCell ref="AR268:AR271"/>
    <mergeCell ref="AS268:AS271"/>
    <mergeCell ref="AO272:AO275"/>
    <mergeCell ref="AP332:AP335"/>
    <mergeCell ref="AQ332:AQ335"/>
    <mergeCell ref="AR332:AR335"/>
    <mergeCell ref="AS332:AS335"/>
    <mergeCell ref="AO336:AO339"/>
    <mergeCell ref="AP336:AP339"/>
    <mergeCell ref="AQ336:AQ339"/>
    <mergeCell ref="AR336:AR339"/>
    <mergeCell ref="AS336:AS339"/>
    <mergeCell ref="AO286:AO289"/>
    <mergeCell ref="AP286:AP289"/>
    <mergeCell ref="AQ286:AQ289"/>
    <mergeCell ref="AR286:AR289"/>
    <mergeCell ref="AS286:AS289"/>
    <mergeCell ref="AO290:AO293"/>
    <mergeCell ref="AP290:AP293"/>
    <mergeCell ref="AQ290:AQ293"/>
    <mergeCell ref="AR290:AR293"/>
    <mergeCell ref="AS290:AS293"/>
    <mergeCell ref="AO294:AO297"/>
    <mergeCell ref="AP294:AP297"/>
    <mergeCell ref="AQ294:AQ297"/>
    <mergeCell ref="AR294:AR297"/>
    <mergeCell ref="AS294:AS297"/>
    <mergeCell ref="AO298:AO301"/>
    <mergeCell ref="AP298:AP301"/>
    <mergeCell ref="AQ298:AQ301"/>
    <mergeCell ref="AR298:AR301"/>
    <mergeCell ref="AS298:AS301"/>
    <mergeCell ref="AO302:AO305"/>
    <mergeCell ref="AP302:AP305"/>
    <mergeCell ref="AQ302:AQ305"/>
    <mergeCell ref="AP364:AP367"/>
    <mergeCell ref="AQ364:AQ367"/>
    <mergeCell ref="AR364:AR367"/>
    <mergeCell ref="AS364:AS367"/>
    <mergeCell ref="AO368:AO371"/>
    <mergeCell ref="AP368:AP371"/>
    <mergeCell ref="AQ368:AQ371"/>
    <mergeCell ref="AR368:AR371"/>
    <mergeCell ref="AS368:AS371"/>
    <mergeCell ref="AO340:AO343"/>
    <mergeCell ref="AP340:AP343"/>
    <mergeCell ref="AQ340:AQ343"/>
    <mergeCell ref="AR340:AR343"/>
    <mergeCell ref="AS340:AS343"/>
    <mergeCell ref="AO344:AO347"/>
    <mergeCell ref="AP344:AP347"/>
    <mergeCell ref="AQ344:AQ347"/>
    <mergeCell ref="AR344:AR347"/>
    <mergeCell ref="AS344:AS347"/>
    <mergeCell ref="AO348:AO351"/>
    <mergeCell ref="AP378:AP381"/>
    <mergeCell ref="AQ378:AQ381"/>
    <mergeCell ref="AR378:AR381"/>
    <mergeCell ref="AS378:AS381"/>
    <mergeCell ref="AO382:AO385"/>
    <mergeCell ref="AP382:AP385"/>
    <mergeCell ref="AQ382:AQ385"/>
    <mergeCell ref="AR382:AR385"/>
    <mergeCell ref="AS382:AS385"/>
    <mergeCell ref="AP386:AP389"/>
    <mergeCell ref="AQ386:AQ389"/>
    <mergeCell ref="AR386:AR389"/>
    <mergeCell ref="AS386:AS389"/>
    <mergeCell ref="AO390:AO393"/>
    <mergeCell ref="AP390:AP393"/>
    <mergeCell ref="AQ390:AQ393"/>
    <mergeCell ref="AR390:AR393"/>
    <mergeCell ref="AS390:AS393"/>
    <mergeCell ref="AP348:AP351"/>
    <mergeCell ref="AQ348:AQ351"/>
    <mergeCell ref="AR348:AR351"/>
    <mergeCell ref="AS348:AS351"/>
    <mergeCell ref="AO352:AO355"/>
    <mergeCell ref="AP352:AP355"/>
    <mergeCell ref="AQ352:AQ355"/>
    <mergeCell ref="AR352:AR355"/>
    <mergeCell ref="AS352:AS355"/>
    <mergeCell ref="AO356:AO359"/>
    <mergeCell ref="AP356:AP359"/>
    <mergeCell ref="AQ356:AQ359"/>
    <mergeCell ref="AR356:AR359"/>
    <mergeCell ref="AS356:AS359"/>
    <mergeCell ref="AO360:AO363"/>
    <mergeCell ref="AP360:AP363"/>
    <mergeCell ref="AQ360:AQ363"/>
    <mergeCell ref="AR360:AR363"/>
    <mergeCell ref="AS360:AS363"/>
    <mergeCell ref="AP428:AP431"/>
    <mergeCell ref="AQ428:AQ431"/>
    <mergeCell ref="AR428:AR431"/>
    <mergeCell ref="AS428:AS431"/>
    <mergeCell ref="AO432:AO435"/>
    <mergeCell ref="AP432:AP435"/>
    <mergeCell ref="AQ432:AQ435"/>
    <mergeCell ref="AR432:AR435"/>
    <mergeCell ref="AS432:AS435"/>
    <mergeCell ref="AR406:AR409"/>
    <mergeCell ref="AS406:AS409"/>
    <mergeCell ref="AO410:AO413"/>
    <mergeCell ref="AP410:AP413"/>
    <mergeCell ref="AQ410:AQ413"/>
    <mergeCell ref="AR410:AR413"/>
    <mergeCell ref="AS410:AS413"/>
    <mergeCell ref="AO414:AO417"/>
    <mergeCell ref="AP414:AP417"/>
    <mergeCell ref="AQ414:AQ417"/>
    <mergeCell ref="AR414:AR417"/>
    <mergeCell ref="AP440:AP443"/>
    <mergeCell ref="AQ440:AQ443"/>
    <mergeCell ref="AR440:AR443"/>
    <mergeCell ref="AS440:AS443"/>
    <mergeCell ref="AO444:AO447"/>
    <mergeCell ref="AP444:AP447"/>
    <mergeCell ref="AQ444:AQ447"/>
    <mergeCell ref="AR444:AR447"/>
    <mergeCell ref="AS444:AS447"/>
    <mergeCell ref="AO394:AO397"/>
    <mergeCell ref="AP394:AP397"/>
    <mergeCell ref="AQ394:AQ397"/>
    <mergeCell ref="AR394:AR397"/>
    <mergeCell ref="AS394:AS397"/>
    <mergeCell ref="AO398:AO401"/>
    <mergeCell ref="AP398:AP401"/>
    <mergeCell ref="AQ398:AQ401"/>
    <mergeCell ref="AR398:AR401"/>
    <mergeCell ref="AS398:AS401"/>
    <mergeCell ref="AO402:AO405"/>
    <mergeCell ref="AP402:AP405"/>
    <mergeCell ref="AQ402:AQ405"/>
    <mergeCell ref="AR402:AR405"/>
    <mergeCell ref="AS402:AS405"/>
    <mergeCell ref="AO406:AO409"/>
    <mergeCell ref="AP406:AP409"/>
    <mergeCell ref="AQ406:AQ409"/>
    <mergeCell ref="AS414:AS417"/>
    <mergeCell ref="AP424:AP427"/>
    <mergeCell ref="AQ424:AQ427"/>
    <mergeCell ref="AR424:AR427"/>
    <mergeCell ref="AS424:AS427"/>
    <mergeCell ref="AP478:AP481"/>
    <mergeCell ref="AQ478:AQ481"/>
    <mergeCell ref="AR478:AR481"/>
    <mergeCell ref="AS478:AS481"/>
    <mergeCell ref="AO482:AO485"/>
    <mergeCell ref="AP482:AP485"/>
    <mergeCell ref="AQ482:AQ485"/>
    <mergeCell ref="AR482:AR485"/>
    <mergeCell ref="AS482:AS485"/>
    <mergeCell ref="AO486:AO489"/>
    <mergeCell ref="AP486:AP489"/>
    <mergeCell ref="AQ486:AQ489"/>
    <mergeCell ref="AR486:AR489"/>
    <mergeCell ref="AS486:AS489"/>
    <mergeCell ref="AO490:AO493"/>
    <mergeCell ref="AP490:AP493"/>
    <mergeCell ref="AQ490:AQ493"/>
    <mergeCell ref="AR490:AR493"/>
    <mergeCell ref="AS490:AS493"/>
    <mergeCell ref="AR470:AR473"/>
    <mergeCell ref="AS470:AS473"/>
    <mergeCell ref="AO474:AO477"/>
    <mergeCell ref="AP474:AP477"/>
    <mergeCell ref="AQ474:AQ477"/>
    <mergeCell ref="AR474:AR477"/>
    <mergeCell ref="AS474:AS477"/>
    <mergeCell ref="AP436:AP439"/>
    <mergeCell ref="AQ436:AQ439"/>
    <mergeCell ref="AR436:AR439"/>
    <mergeCell ref="AS436:AS439"/>
    <mergeCell ref="AO440:AO443"/>
    <mergeCell ref="AP494:AP497"/>
    <mergeCell ref="AQ494:AQ497"/>
    <mergeCell ref="AR494:AR497"/>
    <mergeCell ref="AS494:AS497"/>
    <mergeCell ref="AO498:AO501"/>
    <mergeCell ref="AP498:AP501"/>
    <mergeCell ref="AQ498:AQ501"/>
    <mergeCell ref="AR498:AR501"/>
    <mergeCell ref="AS498:AS501"/>
    <mergeCell ref="AO448:AO451"/>
    <mergeCell ref="AP448:AP451"/>
    <mergeCell ref="AQ448:AQ451"/>
    <mergeCell ref="AR448:AR451"/>
    <mergeCell ref="AS448:AS451"/>
    <mergeCell ref="AO452:AO455"/>
    <mergeCell ref="AP452:AP455"/>
    <mergeCell ref="AQ452:AQ455"/>
    <mergeCell ref="AR452:AR455"/>
    <mergeCell ref="AS452:AS455"/>
    <mergeCell ref="AO456:AO459"/>
    <mergeCell ref="AP456:AP459"/>
    <mergeCell ref="AQ456:AQ459"/>
    <mergeCell ref="AR456:AR459"/>
    <mergeCell ref="AS456:AS459"/>
    <mergeCell ref="AO460:AO463"/>
    <mergeCell ref="AP460:AP463"/>
    <mergeCell ref="AQ460:AQ463"/>
    <mergeCell ref="AR460:AR463"/>
    <mergeCell ref="AS460:AS463"/>
    <mergeCell ref="AO470:AO473"/>
    <mergeCell ref="AP470:AP473"/>
    <mergeCell ref="AQ470:AQ473"/>
    <mergeCell ref="AP532:AP535"/>
    <mergeCell ref="AQ532:AQ535"/>
    <mergeCell ref="AR532:AR535"/>
    <mergeCell ref="AS532:AS535"/>
    <mergeCell ref="AO536:AO539"/>
    <mergeCell ref="AP536:AP539"/>
    <mergeCell ref="AQ536:AQ539"/>
    <mergeCell ref="AR536:AR539"/>
    <mergeCell ref="AS536:AS539"/>
    <mergeCell ref="AO502:AO505"/>
    <mergeCell ref="AP502:AP505"/>
    <mergeCell ref="AQ502:AQ505"/>
    <mergeCell ref="AR502:AR505"/>
    <mergeCell ref="AS502:AS505"/>
    <mergeCell ref="AO506:AO509"/>
    <mergeCell ref="AP506:AP509"/>
    <mergeCell ref="AQ506:AQ509"/>
    <mergeCell ref="AR506:AR509"/>
    <mergeCell ref="AS506:AS509"/>
    <mergeCell ref="AO516:AO519"/>
    <mergeCell ref="AP540:AP543"/>
    <mergeCell ref="AQ540:AQ543"/>
    <mergeCell ref="AR540:AR543"/>
    <mergeCell ref="AS540:AS543"/>
    <mergeCell ref="AO544:AO547"/>
    <mergeCell ref="AP544:AP547"/>
    <mergeCell ref="AQ544:AQ547"/>
    <mergeCell ref="AR544:AR547"/>
    <mergeCell ref="AS544:AS547"/>
    <mergeCell ref="AP548:AP551"/>
    <mergeCell ref="AQ548:AQ551"/>
    <mergeCell ref="AR548:AR551"/>
    <mergeCell ref="AS548:AS551"/>
    <mergeCell ref="AO552:AO555"/>
    <mergeCell ref="AP552:AP555"/>
    <mergeCell ref="AQ552:AQ555"/>
    <mergeCell ref="AR552:AR555"/>
    <mergeCell ref="AS552:AS555"/>
    <mergeCell ref="AP516:AP519"/>
    <mergeCell ref="AQ516:AQ519"/>
    <mergeCell ref="AR516:AR519"/>
    <mergeCell ref="AS516:AS519"/>
    <mergeCell ref="AO520:AO523"/>
    <mergeCell ref="AP520:AP523"/>
    <mergeCell ref="AQ520:AQ523"/>
    <mergeCell ref="AR520:AR523"/>
    <mergeCell ref="AS520:AS523"/>
    <mergeCell ref="AO524:AO527"/>
    <mergeCell ref="AP524:AP527"/>
    <mergeCell ref="AQ524:AQ527"/>
    <mergeCell ref="AR524:AR527"/>
    <mergeCell ref="AS524:AS527"/>
    <mergeCell ref="AO528:AO531"/>
    <mergeCell ref="AP528:AP531"/>
    <mergeCell ref="AQ528:AQ531"/>
    <mergeCell ref="AR528:AR531"/>
    <mergeCell ref="AS528:AS531"/>
    <mergeCell ref="AP590:AP593"/>
    <mergeCell ref="AQ590:AQ593"/>
    <mergeCell ref="AR590:AR593"/>
    <mergeCell ref="AS590:AS593"/>
    <mergeCell ref="AO594:AO597"/>
    <mergeCell ref="AP594:AP597"/>
    <mergeCell ref="AQ594:AQ597"/>
    <mergeCell ref="AR594:AR597"/>
    <mergeCell ref="AS594:AS597"/>
    <mergeCell ref="AR574:AR577"/>
    <mergeCell ref="AS574:AS577"/>
    <mergeCell ref="AO578:AO581"/>
    <mergeCell ref="AP578:AP581"/>
    <mergeCell ref="AQ578:AQ581"/>
    <mergeCell ref="AR578:AR581"/>
    <mergeCell ref="AS578:AS581"/>
    <mergeCell ref="AO582:AO585"/>
    <mergeCell ref="AP582:AP585"/>
    <mergeCell ref="AQ582:AQ585"/>
    <mergeCell ref="AR582:AR585"/>
    <mergeCell ref="AP608:AP611"/>
    <mergeCell ref="AQ608:AQ611"/>
    <mergeCell ref="AR608:AR611"/>
    <mergeCell ref="AS608:AS611"/>
    <mergeCell ref="AO612:AO615"/>
    <mergeCell ref="AP612:AP615"/>
    <mergeCell ref="AQ612:AQ615"/>
    <mergeCell ref="AR612:AR615"/>
    <mergeCell ref="AS612:AS615"/>
    <mergeCell ref="AO562:AO565"/>
    <mergeCell ref="AP562:AP565"/>
    <mergeCell ref="AQ562:AQ565"/>
    <mergeCell ref="AR562:AR565"/>
    <mergeCell ref="AS562:AS565"/>
    <mergeCell ref="AO566:AO569"/>
    <mergeCell ref="AP566:AP569"/>
    <mergeCell ref="AQ566:AQ569"/>
    <mergeCell ref="AR566:AR569"/>
    <mergeCell ref="AS566:AS569"/>
    <mergeCell ref="AO570:AO573"/>
    <mergeCell ref="AP570:AP573"/>
    <mergeCell ref="AQ570:AQ573"/>
    <mergeCell ref="AR570:AR573"/>
    <mergeCell ref="AS570:AS573"/>
    <mergeCell ref="AO574:AO577"/>
    <mergeCell ref="AP574:AP577"/>
    <mergeCell ref="AQ574:AQ577"/>
    <mergeCell ref="AS582:AS585"/>
    <mergeCell ref="AP586:AP589"/>
    <mergeCell ref="AQ586:AQ589"/>
    <mergeCell ref="AR586:AR589"/>
    <mergeCell ref="AS586:AS589"/>
    <mergeCell ref="AP640:AP643"/>
    <mergeCell ref="AQ640:AQ643"/>
    <mergeCell ref="AR640:AR643"/>
    <mergeCell ref="AS640:AS643"/>
    <mergeCell ref="AO644:AO647"/>
    <mergeCell ref="AP644:AP647"/>
    <mergeCell ref="AQ644:AQ647"/>
    <mergeCell ref="AR644:AR647"/>
    <mergeCell ref="AS644:AS647"/>
    <mergeCell ref="AO654:AO657"/>
    <mergeCell ref="AP654:AP657"/>
    <mergeCell ref="AQ654:AQ657"/>
    <mergeCell ref="AR654:AR657"/>
    <mergeCell ref="AS654:AS657"/>
    <mergeCell ref="AO658:AO661"/>
    <mergeCell ref="AP658:AP661"/>
    <mergeCell ref="AQ658:AQ661"/>
    <mergeCell ref="AR658:AR661"/>
    <mergeCell ref="AS658:AS661"/>
    <mergeCell ref="AR632:AR635"/>
    <mergeCell ref="AS632:AS635"/>
    <mergeCell ref="AO636:AO639"/>
    <mergeCell ref="AP636:AP639"/>
    <mergeCell ref="AQ636:AQ639"/>
    <mergeCell ref="AR636:AR639"/>
    <mergeCell ref="AS636:AS639"/>
    <mergeCell ref="AP598:AP601"/>
    <mergeCell ref="AQ598:AQ601"/>
    <mergeCell ref="AR598:AR601"/>
    <mergeCell ref="AS598:AS601"/>
    <mergeCell ref="AO608:AO611"/>
    <mergeCell ref="AP662:AP665"/>
    <mergeCell ref="AQ662:AQ665"/>
    <mergeCell ref="AR662:AR665"/>
    <mergeCell ref="AS662:AS665"/>
    <mergeCell ref="AO666:AO669"/>
    <mergeCell ref="AP666:AP669"/>
    <mergeCell ref="AQ666:AQ669"/>
    <mergeCell ref="AR666:AR669"/>
    <mergeCell ref="AS666:AS669"/>
    <mergeCell ref="AO616:AO619"/>
    <mergeCell ref="AP616:AP619"/>
    <mergeCell ref="AQ616:AQ619"/>
    <mergeCell ref="AR616:AR619"/>
    <mergeCell ref="AS616:AS619"/>
    <mergeCell ref="AO620:AO623"/>
    <mergeCell ref="AP620:AP623"/>
    <mergeCell ref="AQ620:AQ623"/>
    <mergeCell ref="AR620:AR623"/>
    <mergeCell ref="AS620:AS623"/>
    <mergeCell ref="AO624:AO627"/>
    <mergeCell ref="AP624:AP627"/>
    <mergeCell ref="AQ624:AQ627"/>
    <mergeCell ref="AR624:AR627"/>
    <mergeCell ref="AS624:AS627"/>
    <mergeCell ref="AO628:AO631"/>
    <mergeCell ref="AP628:AP631"/>
    <mergeCell ref="AQ628:AQ631"/>
    <mergeCell ref="AR628:AR631"/>
    <mergeCell ref="AS628:AS631"/>
    <mergeCell ref="AO632:AO635"/>
    <mergeCell ref="AP632:AP635"/>
    <mergeCell ref="AQ632:AQ635"/>
    <mergeCell ref="AP700:AP703"/>
    <mergeCell ref="AQ700:AQ703"/>
    <mergeCell ref="AR700:AR703"/>
    <mergeCell ref="AS700:AS703"/>
    <mergeCell ref="AO704:AO707"/>
    <mergeCell ref="AP704:AP707"/>
    <mergeCell ref="AQ704:AQ707"/>
    <mergeCell ref="AR704:AR707"/>
    <mergeCell ref="AS704:AS707"/>
    <mergeCell ref="AO670:AO673"/>
    <mergeCell ref="AP670:AP673"/>
    <mergeCell ref="AQ670:AQ673"/>
    <mergeCell ref="AR670:AR673"/>
    <mergeCell ref="AS670:AS673"/>
    <mergeCell ref="AO674:AO677"/>
    <mergeCell ref="AP674:AP677"/>
    <mergeCell ref="AQ674:AQ677"/>
    <mergeCell ref="AR674:AR677"/>
    <mergeCell ref="AS674:AS677"/>
    <mergeCell ref="AO678:AO681"/>
    <mergeCell ref="AP708:AP711"/>
    <mergeCell ref="AQ708:AQ711"/>
    <mergeCell ref="AR708:AR711"/>
    <mergeCell ref="AS708:AS711"/>
    <mergeCell ref="AO712:AO715"/>
    <mergeCell ref="AP712:AP715"/>
    <mergeCell ref="AQ712:AQ715"/>
    <mergeCell ref="AR712:AR715"/>
    <mergeCell ref="AS712:AS715"/>
    <mergeCell ref="AP716:AP719"/>
    <mergeCell ref="AQ716:AQ719"/>
    <mergeCell ref="AR716:AR719"/>
    <mergeCell ref="AS716:AS719"/>
    <mergeCell ref="AO720:AO723"/>
    <mergeCell ref="AP720:AP723"/>
    <mergeCell ref="AQ720:AQ723"/>
    <mergeCell ref="AR720:AR723"/>
    <mergeCell ref="AS720:AS723"/>
    <mergeCell ref="AP678:AP681"/>
    <mergeCell ref="AQ678:AQ681"/>
    <mergeCell ref="AR678:AR681"/>
    <mergeCell ref="AS678:AS681"/>
    <mergeCell ref="AO682:AO685"/>
    <mergeCell ref="AP682:AP685"/>
    <mergeCell ref="AQ682:AQ685"/>
    <mergeCell ref="AR682:AR685"/>
    <mergeCell ref="AS682:AS685"/>
    <mergeCell ref="AO686:AO689"/>
    <mergeCell ref="AP686:AP689"/>
    <mergeCell ref="AQ686:AQ689"/>
    <mergeCell ref="AR686:AR689"/>
    <mergeCell ref="AS686:AS689"/>
    <mergeCell ref="AO690:AO693"/>
    <mergeCell ref="AP690:AP693"/>
    <mergeCell ref="AQ690:AQ693"/>
    <mergeCell ref="AR690:AR693"/>
    <mergeCell ref="AS690:AS693"/>
    <mergeCell ref="AP758:AP761"/>
    <mergeCell ref="AQ758:AQ761"/>
    <mergeCell ref="AR758:AR761"/>
    <mergeCell ref="AS758:AS761"/>
    <mergeCell ref="AO762:AO765"/>
    <mergeCell ref="AP762:AP765"/>
    <mergeCell ref="AQ762:AQ765"/>
    <mergeCell ref="AR762:AR765"/>
    <mergeCell ref="AS762:AS765"/>
    <mergeCell ref="AR736:AR739"/>
    <mergeCell ref="AS736:AS739"/>
    <mergeCell ref="AO746:AO749"/>
    <mergeCell ref="AP746:AP749"/>
    <mergeCell ref="AQ746:AQ749"/>
    <mergeCell ref="AR746:AR749"/>
    <mergeCell ref="AS746:AS749"/>
    <mergeCell ref="AO750:AO753"/>
    <mergeCell ref="AP750:AP753"/>
    <mergeCell ref="AQ750:AQ753"/>
    <mergeCell ref="AR750:AR753"/>
    <mergeCell ref="AP770:AP773"/>
    <mergeCell ref="AQ770:AQ773"/>
    <mergeCell ref="AR770:AR773"/>
    <mergeCell ref="AS770:AS773"/>
    <mergeCell ref="AO774:AO777"/>
    <mergeCell ref="AP774:AP777"/>
    <mergeCell ref="AQ774:AQ777"/>
    <mergeCell ref="AR774:AR777"/>
    <mergeCell ref="AS774:AS777"/>
    <mergeCell ref="AO724:AO727"/>
    <mergeCell ref="AP724:AP727"/>
    <mergeCell ref="AQ724:AQ727"/>
    <mergeCell ref="AR724:AR727"/>
    <mergeCell ref="AS724:AS727"/>
    <mergeCell ref="AO728:AO731"/>
    <mergeCell ref="AP728:AP731"/>
    <mergeCell ref="AQ728:AQ731"/>
    <mergeCell ref="AR728:AR731"/>
    <mergeCell ref="AS728:AS731"/>
    <mergeCell ref="AO732:AO735"/>
    <mergeCell ref="AP732:AP735"/>
    <mergeCell ref="AQ732:AQ735"/>
    <mergeCell ref="AR732:AR735"/>
    <mergeCell ref="AS732:AS735"/>
    <mergeCell ref="AO736:AO739"/>
    <mergeCell ref="AP736:AP739"/>
    <mergeCell ref="AQ736:AQ739"/>
    <mergeCell ref="AS750:AS753"/>
    <mergeCell ref="AP754:AP757"/>
    <mergeCell ref="AQ754:AQ757"/>
    <mergeCell ref="AR754:AR757"/>
    <mergeCell ref="AS754:AS757"/>
    <mergeCell ref="AP808:AP811"/>
    <mergeCell ref="AQ808:AQ811"/>
    <mergeCell ref="AR808:AR811"/>
    <mergeCell ref="AS808:AS811"/>
    <mergeCell ref="AO812:AO815"/>
    <mergeCell ref="AP812:AP815"/>
    <mergeCell ref="AQ812:AQ815"/>
    <mergeCell ref="AR812:AR815"/>
    <mergeCell ref="AS812:AS815"/>
    <mergeCell ref="AO816:AO819"/>
    <mergeCell ref="AP816:AP819"/>
    <mergeCell ref="AQ816:AQ819"/>
    <mergeCell ref="AR816:AR819"/>
    <mergeCell ref="AS816:AS819"/>
    <mergeCell ref="AO820:AO823"/>
    <mergeCell ref="AP820:AP823"/>
    <mergeCell ref="AQ820:AQ823"/>
    <mergeCell ref="AR820:AR823"/>
    <mergeCell ref="AS820:AS823"/>
    <mergeCell ref="AR800:AR803"/>
    <mergeCell ref="AS800:AS803"/>
    <mergeCell ref="AO804:AO807"/>
    <mergeCell ref="AP804:AP807"/>
    <mergeCell ref="AQ804:AQ807"/>
    <mergeCell ref="AR804:AR807"/>
    <mergeCell ref="AS804:AS807"/>
    <mergeCell ref="AP766:AP769"/>
    <mergeCell ref="AQ766:AQ769"/>
    <mergeCell ref="AR766:AR769"/>
    <mergeCell ref="AS766:AS769"/>
    <mergeCell ref="AO770:AO773"/>
    <mergeCell ref="AP824:AP827"/>
    <mergeCell ref="AQ824:AQ827"/>
    <mergeCell ref="AR824:AR827"/>
    <mergeCell ref="AS824:AS827"/>
    <mergeCell ref="AO828:AO831"/>
    <mergeCell ref="AP828:AP831"/>
    <mergeCell ref="AQ828:AQ831"/>
    <mergeCell ref="AR828:AR831"/>
    <mergeCell ref="AS828:AS831"/>
    <mergeCell ref="AO778:AO781"/>
    <mergeCell ref="AP778:AP781"/>
    <mergeCell ref="AQ778:AQ781"/>
    <mergeCell ref="AR778:AR781"/>
    <mergeCell ref="AS778:AS781"/>
    <mergeCell ref="AO782:AO785"/>
    <mergeCell ref="AP782:AP785"/>
    <mergeCell ref="AQ782:AQ785"/>
    <mergeCell ref="AR782:AR785"/>
    <mergeCell ref="AS782:AS785"/>
    <mergeCell ref="AO792:AO795"/>
    <mergeCell ref="AP792:AP795"/>
    <mergeCell ref="AQ792:AQ795"/>
    <mergeCell ref="AR792:AR795"/>
    <mergeCell ref="AS792:AS795"/>
    <mergeCell ref="AO796:AO799"/>
    <mergeCell ref="AP796:AP799"/>
    <mergeCell ref="AQ796:AQ799"/>
    <mergeCell ref="AR796:AR799"/>
    <mergeCell ref="AS796:AS799"/>
    <mergeCell ref="AO800:AO803"/>
    <mergeCell ref="AP800:AP803"/>
    <mergeCell ref="AQ800:AQ803"/>
    <mergeCell ref="AP862:AP865"/>
    <mergeCell ref="AQ862:AQ865"/>
    <mergeCell ref="AR862:AR865"/>
    <mergeCell ref="AS862:AS865"/>
    <mergeCell ref="AO866:AO869"/>
    <mergeCell ref="AP866:AP869"/>
    <mergeCell ref="AQ866:AQ869"/>
    <mergeCell ref="AR866:AR869"/>
    <mergeCell ref="AS866:AS869"/>
    <mergeCell ref="AO838:AO841"/>
    <mergeCell ref="AP838:AP841"/>
    <mergeCell ref="AQ838:AQ841"/>
    <mergeCell ref="AR838:AR841"/>
    <mergeCell ref="AS838:AS841"/>
    <mergeCell ref="AO842:AO845"/>
    <mergeCell ref="AP842:AP845"/>
    <mergeCell ref="AQ842:AQ845"/>
    <mergeCell ref="AR842:AR845"/>
    <mergeCell ref="AS842:AS845"/>
    <mergeCell ref="AO846:AO849"/>
    <mergeCell ref="AP870:AP873"/>
    <mergeCell ref="AQ870:AQ873"/>
    <mergeCell ref="AR870:AR873"/>
    <mergeCell ref="AS870:AS873"/>
    <mergeCell ref="AO874:AO877"/>
    <mergeCell ref="AP874:AP877"/>
    <mergeCell ref="AQ874:AQ877"/>
    <mergeCell ref="AR874:AR877"/>
    <mergeCell ref="AS874:AS877"/>
    <mergeCell ref="AP884:AP887"/>
    <mergeCell ref="AQ884:AQ887"/>
    <mergeCell ref="AR884:AR887"/>
    <mergeCell ref="AS884:AS887"/>
    <mergeCell ref="AO888:AO891"/>
    <mergeCell ref="AP888:AP891"/>
    <mergeCell ref="AQ888:AQ891"/>
    <mergeCell ref="AR888:AR891"/>
    <mergeCell ref="AS888:AS891"/>
    <mergeCell ref="AP846:AP849"/>
    <mergeCell ref="AQ846:AQ849"/>
    <mergeCell ref="AR846:AR849"/>
    <mergeCell ref="AS846:AS849"/>
    <mergeCell ref="AO850:AO853"/>
    <mergeCell ref="AP850:AP853"/>
    <mergeCell ref="AQ850:AQ853"/>
    <mergeCell ref="AR850:AR853"/>
    <mergeCell ref="AS850:AS853"/>
    <mergeCell ref="AO854:AO857"/>
    <mergeCell ref="AP854:AP857"/>
    <mergeCell ref="AQ854:AQ857"/>
    <mergeCell ref="AR854:AR857"/>
    <mergeCell ref="AS854:AS857"/>
    <mergeCell ref="AO858:AO861"/>
    <mergeCell ref="AP858:AP861"/>
    <mergeCell ref="AQ858:AQ861"/>
    <mergeCell ref="AR858:AR861"/>
    <mergeCell ref="AS858:AS861"/>
    <mergeCell ref="AP916:AP919"/>
    <mergeCell ref="AQ916:AQ919"/>
    <mergeCell ref="AR916:AR919"/>
    <mergeCell ref="AS916:AS919"/>
    <mergeCell ref="AO920:AO923"/>
    <mergeCell ref="AP920:AP923"/>
    <mergeCell ref="AQ920:AQ923"/>
    <mergeCell ref="AR920:AR923"/>
    <mergeCell ref="AS920:AS923"/>
    <mergeCell ref="AO930:AO933"/>
    <mergeCell ref="AP930:AP933"/>
    <mergeCell ref="AQ930:AQ933"/>
    <mergeCell ref="AR930:AR933"/>
    <mergeCell ref="AS930:AS933"/>
    <mergeCell ref="AQ904:AQ907"/>
    <mergeCell ref="AR904:AR907"/>
    <mergeCell ref="AS904:AS907"/>
    <mergeCell ref="AO908:AO911"/>
    <mergeCell ref="AP908:AP911"/>
    <mergeCell ref="AQ908:AQ911"/>
    <mergeCell ref="AR908:AR911"/>
    <mergeCell ref="AS908:AS911"/>
    <mergeCell ref="AO912:AO915"/>
    <mergeCell ref="AP912:AP915"/>
    <mergeCell ref="AQ912:AQ915"/>
    <mergeCell ref="AP892:AP895"/>
    <mergeCell ref="AQ892:AQ895"/>
    <mergeCell ref="AR892:AR895"/>
    <mergeCell ref="AS892:AS895"/>
    <mergeCell ref="AO896:AO899"/>
    <mergeCell ref="AP896:AP899"/>
    <mergeCell ref="AQ896:AQ899"/>
    <mergeCell ref="AR896:AR899"/>
    <mergeCell ref="AS896:AS899"/>
    <mergeCell ref="AO900:AO903"/>
    <mergeCell ref="AP900:AP903"/>
    <mergeCell ref="AQ900:AQ903"/>
    <mergeCell ref="AR900:AR903"/>
    <mergeCell ref="AS900:AS903"/>
    <mergeCell ref="AO904:AO907"/>
    <mergeCell ref="AP904:AP907"/>
    <mergeCell ref="AR912:AR915"/>
    <mergeCell ref="AS912:AS915"/>
    <mergeCell ref="AO946:AO949"/>
    <mergeCell ref="AP946:AP949"/>
    <mergeCell ref="AQ946:AQ949"/>
    <mergeCell ref="AR946:AR949"/>
    <mergeCell ref="AS946:AS949"/>
    <mergeCell ref="AO950:AO953"/>
    <mergeCell ref="AP950:AP953"/>
    <mergeCell ref="AQ950:AQ953"/>
    <mergeCell ref="AR950:AR953"/>
    <mergeCell ref="AS950:AS953"/>
    <mergeCell ref="AO954:AO957"/>
    <mergeCell ref="AP954:AP957"/>
    <mergeCell ref="AQ954:AQ957"/>
    <mergeCell ref="AR954:AR957"/>
    <mergeCell ref="AS954:AS957"/>
    <mergeCell ref="AO934:AO937"/>
    <mergeCell ref="AP934:AP937"/>
    <mergeCell ref="AQ934:AQ937"/>
    <mergeCell ref="AR934:AR937"/>
    <mergeCell ref="AS934:AS937"/>
    <mergeCell ref="AO938:AO941"/>
    <mergeCell ref="AP938:AP941"/>
    <mergeCell ref="AQ938:AQ941"/>
    <mergeCell ref="AR938:AR941"/>
    <mergeCell ref="AS938:AS941"/>
    <mergeCell ref="AO942:AO945"/>
    <mergeCell ref="AP942:AP945"/>
    <mergeCell ref="AQ942:AQ945"/>
    <mergeCell ref="AR942:AR945"/>
    <mergeCell ref="AS942:AS945"/>
    <mergeCell ref="AO958:AO961"/>
    <mergeCell ref="AP958:AP961"/>
    <mergeCell ref="AQ958:AQ961"/>
    <mergeCell ref="AR958:AR961"/>
    <mergeCell ref="AS958:AS961"/>
    <mergeCell ref="AO962:AO965"/>
    <mergeCell ref="AP962:AP965"/>
    <mergeCell ref="AQ962:AQ965"/>
    <mergeCell ref="AR962:AR965"/>
    <mergeCell ref="AS962:AS965"/>
    <mergeCell ref="AO966:AO969"/>
    <mergeCell ref="AP966:AP969"/>
    <mergeCell ref="AQ966:AQ969"/>
    <mergeCell ref="AR966:AR969"/>
    <mergeCell ref="AS966:AS969"/>
    <mergeCell ref="AQ5:AS9"/>
    <mergeCell ref="AN10:AN13"/>
    <mergeCell ref="AN14:AN17"/>
    <mergeCell ref="AN18:AN21"/>
    <mergeCell ref="AN22:AN25"/>
    <mergeCell ref="AN26:AN29"/>
    <mergeCell ref="AN30:AN33"/>
    <mergeCell ref="AN34:AN37"/>
    <mergeCell ref="AN38:AN41"/>
    <mergeCell ref="AN42:AN45"/>
    <mergeCell ref="AN46:AN49"/>
    <mergeCell ref="AN56:AN59"/>
    <mergeCell ref="AN60:AN63"/>
    <mergeCell ref="AN64:AN67"/>
    <mergeCell ref="AN68:AN71"/>
    <mergeCell ref="AN72:AN75"/>
    <mergeCell ref="AN76:AN79"/>
    <mergeCell ref="AN80:AN83"/>
    <mergeCell ref="AN84:AN87"/>
    <mergeCell ref="AN88:AN91"/>
    <mergeCell ref="AN92:AN95"/>
    <mergeCell ref="AN102:AN105"/>
    <mergeCell ref="AN106:AN109"/>
    <mergeCell ref="AN110:AN113"/>
    <mergeCell ref="AN114:AN117"/>
    <mergeCell ref="AN118:AN121"/>
    <mergeCell ref="AN122:AN125"/>
    <mergeCell ref="AN126:AN129"/>
    <mergeCell ref="AN130:AN133"/>
    <mergeCell ref="AN134:AN137"/>
    <mergeCell ref="AN138:AN141"/>
    <mergeCell ref="AN148:AN151"/>
    <mergeCell ref="AN152:AN155"/>
    <mergeCell ref="AP148:AP151"/>
    <mergeCell ref="AO152:AO155"/>
    <mergeCell ref="AP152:AP155"/>
    <mergeCell ref="AO88:AO91"/>
    <mergeCell ref="AO148:AO151"/>
    <mergeCell ref="AR152:AR155"/>
    <mergeCell ref="AS152:AS155"/>
    <mergeCell ref="AP88:AP91"/>
    <mergeCell ref="AQ88:AQ91"/>
    <mergeCell ref="AR88:AR91"/>
    <mergeCell ref="AS88:AS91"/>
    <mergeCell ref="AO92:AO95"/>
    <mergeCell ref="AP92:AP95"/>
    <mergeCell ref="AQ92:AQ95"/>
    <mergeCell ref="AR92:AR95"/>
    <mergeCell ref="AS92:AS95"/>
    <mergeCell ref="AO102:AO105"/>
    <mergeCell ref="AP102:AP105"/>
    <mergeCell ref="AQ102:AQ105"/>
    <mergeCell ref="AR102:AR105"/>
    <mergeCell ref="AS102:AS105"/>
    <mergeCell ref="AO106:AO109"/>
    <mergeCell ref="AP106:AP109"/>
    <mergeCell ref="AQ106:AQ109"/>
    <mergeCell ref="AR106:AR109"/>
    <mergeCell ref="AS106:AS109"/>
    <mergeCell ref="AO110:AO113"/>
    <mergeCell ref="AP110:AP113"/>
    <mergeCell ref="AQ110:AQ113"/>
    <mergeCell ref="AN226:AN229"/>
    <mergeCell ref="AN230:AN233"/>
    <mergeCell ref="AN240:AN243"/>
    <mergeCell ref="AN244:AN247"/>
    <mergeCell ref="AN248:AN251"/>
    <mergeCell ref="AN252:AN255"/>
    <mergeCell ref="AN256:AN259"/>
    <mergeCell ref="AN260:AN263"/>
    <mergeCell ref="AN264:AN267"/>
    <mergeCell ref="AN268:AN271"/>
    <mergeCell ref="AN272:AN275"/>
    <mergeCell ref="AN276:AN279"/>
    <mergeCell ref="AN286:AN289"/>
    <mergeCell ref="AN290:AN293"/>
    <mergeCell ref="AN294:AN297"/>
    <mergeCell ref="AN298:AN301"/>
    <mergeCell ref="AN302:AN305"/>
    <mergeCell ref="AN306:AN309"/>
    <mergeCell ref="AN310:AN313"/>
    <mergeCell ref="AN314:AN317"/>
    <mergeCell ref="AN318:AN321"/>
    <mergeCell ref="AN322:AN325"/>
    <mergeCell ref="AN332:AN335"/>
    <mergeCell ref="AN336:AN339"/>
    <mergeCell ref="AN340:AN343"/>
    <mergeCell ref="AN344:AN347"/>
    <mergeCell ref="AN348:AN351"/>
    <mergeCell ref="AN352:AN355"/>
    <mergeCell ref="AN356:AN359"/>
    <mergeCell ref="AN360:AN363"/>
    <mergeCell ref="AN364:AN367"/>
    <mergeCell ref="AN368:AN371"/>
    <mergeCell ref="AN378:AN381"/>
    <mergeCell ref="AN382:AN385"/>
    <mergeCell ref="AN386:AN389"/>
    <mergeCell ref="AN390:AN393"/>
    <mergeCell ref="AN394:AN397"/>
    <mergeCell ref="AN398:AN401"/>
    <mergeCell ref="AN402:AN405"/>
    <mergeCell ref="AN406:AN409"/>
    <mergeCell ref="AN410:AN413"/>
    <mergeCell ref="AN414:AN417"/>
    <mergeCell ref="AN424:AN427"/>
    <mergeCell ref="AN428:AN431"/>
    <mergeCell ref="AN432:AN435"/>
    <mergeCell ref="AN436:AN439"/>
    <mergeCell ref="AN440:AN443"/>
    <mergeCell ref="AN444:AN447"/>
    <mergeCell ref="AN448:AN451"/>
    <mergeCell ref="AN452:AN455"/>
    <mergeCell ref="AN456:AN459"/>
    <mergeCell ref="AN460:AN463"/>
    <mergeCell ref="AN470:AN473"/>
    <mergeCell ref="AN474:AN477"/>
    <mergeCell ref="AN478:AN481"/>
    <mergeCell ref="AN482:AN485"/>
    <mergeCell ref="AN486:AN489"/>
    <mergeCell ref="AN490:AN493"/>
    <mergeCell ref="AN494:AN497"/>
    <mergeCell ref="AN498:AN501"/>
    <mergeCell ref="AN502:AN505"/>
    <mergeCell ref="AN506:AN509"/>
    <mergeCell ref="AN516:AN519"/>
    <mergeCell ref="AN520:AN523"/>
    <mergeCell ref="AN524:AN527"/>
    <mergeCell ref="AN528:AN531"/>
    <mergeCell ref="AN532:AN535"/>
    <mergeCell ref="AN536:AN539"/>
    <mergeCell ref="AN540:AN543"/>
    <mergeCell ref="AN544:AN547"/>
    <mergeCell ref="AN548:AN551"/>
    <mergeCell ref="AN552:AN555"/>
    <mergeCell ref="AN562:AN565"/>
    <mergeCell ref="AN566:AN569"/>
    <mergeCell ref="AN570:AN573"/>
    <mergeCell ref="AN574:AN577"/>
    <mergeCell ref="AN578:AN581"/>
    <mergeCell ref="AN582:AN585"/>
    <mergeCell ref="AN586:AN589"/>
    <mergeCell ref="AN590:AN593"/>
    <mergeCell ref="AN594:AN597"/>
    <mergeCell ref="AN598:AN601"/>
    <mergeCell ref="AN608:AN611"/>
    <mergeCell ref="AN612:AN615"/>
    <mergeCell ref="AN616:AN619"/>
    <mergeCell ref="AN620:AN623"/>
    <mergeCell ref="AN624:AN627"/>
    <mergeCell ref="AN628:AN631"/>
    <mergeCell ref="AN632:AN635"/>
    <mergeCell ref="AN636:AN639"/>
    <mergeCell ref="AN640:AN643"/>
    <mergeCell ref="AN644:AN647"/>
    <mergeCell ref="AN654:AN657"/>
    <mergeCell ref="AN658:AN661"/>
    <mergeCell ref="AN662:AN665"/>
    <mergeCell ref="AN666:AN669"/>
    <mergeCell ref="AN670:AN673"/>
    <mergeCell ref="AN674:AN677"/>
    <mergeCell ref="AN678:AN681"/>
    <mergeCell ref="AN682:AN685"/>
    <mergeCell ref="AN686:AN689"/>
    <mergeCell ref="AN690:AN693"/>
    <mergeCell ref="AN700:AN703"/>
    <mergeCell ref="AN704:AN707"/>
    <mergeCell ref="AN708:AN711"/>
    <mergeCell ref="AN712:AN715"/>
    <mergeCell ref="AN716:AN719"/>
    <mergeCell ref="AN720:AN723"/>
    <mergeCell ref="AN724:AN727"/>
    <mergeCell ref="AN728:AN731"/>
    <mergeCell ref="AN732:AN735"/>
    <mergeCell ref="AN736:AN739"/>
    <mergeCell ref="AN746:AN749"/>
    <mergeCell ref="AN750:AN753"/>
    <mergeCell ref="AN754:AN757"/>
    <mergeCell ref="AN758:AN761"/>
    <mergeCell ref="AN762:AN765"/>
    <mergeCell ref="AN766:AN769"/>
    <mergeCell ref="AN770:AN773"/>
    <mergeCell ref="AN774:AN777"/>
    <mergeCell ref="AN778:AN781"/>
    <mergeCell ref="AN782:AN785"/>
    <mergeCell ref="AN792:AN795"/>
    <mergeCell ref="AN796:AN799"/>
    <mergeCell ref="AN800:AN803"/>
    <mergeCell ref="AN804:AN807"/>
    <mergeCell ref="AN808:AN811"/>
    <mergeCell ref="AN812:AN815"/>
    <mergeCell ref="AN816:AN819"/>
    <mergeCell ref="AN820:AN823"/>
    <mergeCell ref="AN824:AN827"/>
    <mergeCell ref="AN828:AN831"/>
    <mergeCell ref="AN838:AN841"/>
    <mergeCell ref="AN842:AN845"/>
    <mergeCell ref="AN846:AN849"/>
    <mergeCell ref="AN850:AN853"/>
    <mergeCell ref="AN854:AN857"/>
    <mergeCell ref="AN858:AN861"/>
    <mergeCell ref="AN862:AN865"/>
    <mergeCell ref="AN866:AN869"/>
    <mergeCell ref="AN870:AN873"/>
    <mergeCell ref="AN874:AN877"/>
    <mergeCell ref="AN884:AN887"/>
    <mergeCell ref="AN888:AN891"/>
    <mergeCell ref="AN892:AN895"/>
    <mergeCell ref="AN896:AN899"/>
    <mergeCell ref="AN900:AN903"/>
    <mergeCell ref="AN904:AN907"/>
    <mergeCell ref="AN908:AN911"/>
    <mergeCell ref="AN912:AN915"/>
    <mergeCell ref="AN916:AN919"/>
    <mergeCell ref="AN920:AN923"/>
    <mergeCell ref="AN930:AN933"/>
    <mergeCell ref="AN934:AN937"/>
    <mergeCell ref="AN938:AN941"/>
    <mergeCell ref="AN942:AN945"/>
    <mergeCell ref="AN946:AN949"/>
    <mergeCell ref="AN950:AN953"/>
    <mergeCell ref="AN954:AN957"/>
    <mergeCell ref="AN958:AN961"/>
    <mergeCell ref="AN962:AN965"/>
    <mergeCell ref="AN966:AN969"/>
    <mergeCell ref="W836:Z836"/>
    <mergeCell ref="W882:Z882"/>
    <mergeCell ref="W606:Z606"/>
    <mergeCell ref="L359:M359"/>
    <mergeCell ref="P359:Q359"/>
    <mergeCell ref="R359:S359"/>
    <mergeCell ref="F357:G357"/>
    <mergeCell ref="H357:I357"/>
    <mergeCell ref="L357:M357"/>
    <mergeCell ref="P357:Q357"/>
    <mergeCell ref="H370:I370"/>
    <mergeCell ref="F371:G371"/>
    <mergeCell ref="H371:I371"/>
    <mergeCell ref="L371:M371"/>
    <mergeCell ref="P371:Q371"/>
    <mergeCell ref="R371:S371"/>
    <mergeCell ref="F370:G370"/>
    <mergeCell ref="W376:Z376"/>
    <mergeCell ref="S512:Z512"/>
    <mergeCell ref="E557:I557"/>
    <mergeCell ref="S557:Y557"/>
    <mergeCell ref="S558:Z558"/>
    <mergeCell ref="E603:I603"/>
    <mergeCell ref="S328:Z328"/>
    <mergeCell ref="E373:I373"/>
    <mergeCell ref="S373:Y373"/>
    <mergeCell ref="S374:Z374"/>
    <mergeCell ref="E419:I419"/>
    <mergeCell ref="S419:Y419"/>
    <mergeCell ref="S420:Z420"/>
    <mergeCell ref="E465:I465"/>
    <mergeCell ref="S465:Y465"/>
    <mergeCell ref="S466:Z466"/>
    <mergeCell ref="E511:I511"/>
    <mergeCell ref="S511:Y511"/>
    <mergeCell ref="T286:U286"/>
    <mergeCell ref="T287:U287"/>
    <mergeCell ref="T288:U288"/>
    <mergeCell ref="T289:U289"/>
    <mergeCell ref="T290:U290"/>
    <mergeCell ref="T291:U291"/>
    <mergeCell ref="T292:U292"/>
    <mergeCell ref="T293:U293"/>
    <mergeCell ref="T294:U294"/>
    <mergeCell ref="T295:U295"/>
    <mergeCell ref="T296:U296"/>
    <mergeCell ref="T297:U297"/>
    <mergeCell ref="T298:U298"/>
    <mergeCell ref="T299:U299"/>
    <mergeCell ref="T300:U300"/>
    <mergeCell ref="W468:Z468"/>
    <mergeCell ref="F442:G442"/>
    <mergeCell ref="L435:M435"/>
    <mergeCell ref="P435:Q435"/>
    <mergeCell ref="R435:S435"/>
    <mergeCell ref="E281:I281"/>
    <mergeCell ref="S281:Y281"/>
    <mergeCell ref="S282:Z282"/>
    <mergeCell ref="E327:I327"/>
    <mergeCell ref="S327:Y327"/>
    <mergeCell ref="L325:M325"/>
    <mergeCell ref="P325:Q325"/>
    <mergeCell ref="R325:S325"/>
    <mergeCell ref="L309:M309"/>
    <mergeCell ref="P309:Q309"/>
    <mergeCell ref="R309:S309"/>
    <mergeCell ref="F308:G308"/>
    <mergeCell ref="R311:S311"/>
    <mergeCell ref="F312:G312"/>
    <mergeCell ref="F301:G301"/>
    <mergeCell ref="H301:I301"/>
    <mergeCell ref="L301:M301"/>
    <mergeCell ref="P301:Q301"/>
    <mergeCell ref="R301:S301"/>
    <mergeCell ref="F300:G300"/>
    <mergeCell ref="P294:Q294"/>
    <mergeCell ref="R294:S294"/>
    <mergeCell ref="Y294:Y297"/>
    <mergeCell ref="J316:K316"/>
    <mergeCell ref="J317:K317"/>
    <mergeCell ref="J318:K318"/>
    <mergeCell ref="J319:K319"/>
    <mergeCell ref="J320:K320"/>
    <mergeCell ref="J300:K300"/>
    <mergeCell ref="J301:K301"/>
    <mergeCell ref="J306:K306"/>
    <mergeCell ref="J307:K30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60:U60"/>
    <mergeCell ref="T61:U61"/>
    <mergeCell ref="T62:U62"/>
    <mergeCell ref="T63:U63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6:U56"/>
    <mergeCell ref="T57:U57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68:U168"/>
    <mergeCell ref="T169:U169"/>
    <mergeCell ref="T170:U170"/>
    <mergeCell ref="T171:U171"/>
    <mergeCell ref="T176:U176"/>
    <mergeCell ref="T177:U177"/>
    <mergeCell ref="T178:U178"/>
    <mergeCell ref="T179:U179"/>
    <mergeCell ref="T180:U180"/>
    <mergeCell ref="T181:U181"/>
    <mergeCell ref="T182:U182"/>
    <mergeCell ref="T183:U183"/>
    <mergeCell ref="T184:U184"/>
    <mergeCell ref="T200:U200"/>
    <mergeCell ref="T201:U201"/>
    <mergeCell ref="T202:U202"/>
    <mergeCell ref="T203:U203"/>
    <mergeCell ref="T204:U204"/>
    <mergeCell ref="T205:U205"/>
    <mergeCell ref="T206:U206"/>
    <mergeCell ref="T207:U207"/>
    <mergeCell ref="T210:U210"/>
    <mergeCell ref="T211:U211"/>
    <mergeCell ref="T212:U212"/>
    <mergeCell ref="T213:U213"/>
    <mergeCell ref="T214:U214"/>
    <mergeCell ref="T215:U215"/>
    <mergeCell ref="T216:U216"/>
    <mergeCell ref="T244:U244"/>
    <mergeCell ref="T245:U245"/>
    <mergeCell ref="T246:U246"/>
    <mergeCell ref="T247:U247"/>
    <mergeCell ref="T248:U248"/>
    <mergeCell ref="T249:U249"/>
    <mergeCell ref="T250:U250"/>
    <mergeCell ref="T251:U251"/>
    <mergeCell ref="T252:U252"/>
    <mergeCell ref="T253:U253"/>
    <mergeCell ref="T308:U308"/>
    <mergeCell ref="T309:U309"/>
    <mergeCell ref="T310:U310"/>
    <mergeCell ref="T311:U311"/>
    <mergeCell ref="T312:U312"/>
    <mergeCell ref="T313:U313"/>
    <mergeCell ref="T314:U314"/>
    <mergeCell ref="T315:U315"/>
    <mergeCell ref="T316:U316"/>
    <mergeCell ref="T317:U317"/>
    <mergeCell ref="T318:U318"/>
    <mergeCell ref="T319:U319"/>
    <mergeCell ref="T320:U320"/>
    <mergeCell ref="T321:U321"/>
    <mergeCell ref="T322:U322"/>
    <mergeCell ref="T323:U323"/>
    <mergeCell ref="T324:U324"/>
    <mergeCell ref="T344:U344"/>
    <mergeCell ref="T345:U345"/>
    <mergeCell ref="T346:U346"/>
    <mergeCell ref="T347:U347"/>
    <mergeCell ref="T348:U348"/>
    <mergeCell ref="T349:U349"/>
    <mergeCell ref="T350:U350"/>
    <mergeCell ref="T351:U351"/>
    <mergeCell ref="T352:U352"/>
    <mergeCell ref="T353:U353"/>
    <mergeCell ref="T354:U354"/>
    <mergeCell ref="T355:U355"/>
    <mergeCell ref="T356:U356"/>
    <mergeCell ref="T357:U357"/>
    <mergeCell ref="T358:U358"/>
    <mergeCell ref="T359:U359"/>
    <mergeCell ref="T360:U360"/>
    <mergeCell ref="T361:U361"/>
    <mergeCell ref="T362:U362"/>
    <mergeCell ref="T363:U363"/>
    <mergeCell ref="T364:U364"/>
    <mergeCell ref="T365:U365"/>
    <mergeCell ref="T366:U366"/>
    <mergeCell ref="T367:U367"/>
    <mergeCell ref="T368:U368"/>
    <mergeCell ref="T369:U369"/>
    <mergeCell ref="T370:U370"/>
    <mergeCell ref="T371:U371"/>
    <mergeCell ref="T378:U378"/>
    <mergeCell ref="T379:U379"/>
    <mergeCell ref="T380:U380"/>
    <mergeCell ref="T381:U381"/>
    <mergeCell ref="T382:U382"/>
    <mergeCell ref="T383:U383"/>
    <mergeCell ref="T409:U409"/>
    <mergeCell ref="T410:U410"/>
    <mergeCell ref="T411:U411"/>
    <mergeCell ref="T412:U412"/>
    <mergeCell ref="T413:U413"/>
    <mergeCell ref="T414:U414"/>
    <mergeCell ref="T415:U415"/>
    <mergeCell ref="T416:U416"/>
    <mergeCell ref="T417:U417"/>
    <mergeCell ref="T424:U424"/>
    <mergeCell ref="T425:U425"/>
    <mergeCell ref="T426:U426"/>
    <mergeCell ref="T427:U427"/>
    <mergeCell ref="T428:U428"/>
    <mergeCell ref="T429:U429"/>
    <mergeCell ref="T430:U430"/>
    <mergeCell ref="T431:U431"/>
    <mergeCell ref="T520:U520"/>
    <mergeCell ref="T521:U521"/>
    <mergeCell ref="T522:U522"/>
    <mergeCell ref="T523:U523"/>
    <mergeCell ref="T536:U536"/>
    <mergeCell ref="T537:U537"/>
    <mergeCell ref="T538:U538"/>
    <mergeCell ref="T539:U539"/>
    <mergeCell ref="T540:U540"/>
    <mergeCell ref="T541:U541"/>
    <mergeCell ref="T542:U542"/>
    <mergeCell ref="T543:U543"/>
    <mergeCell ref="T544:U544"/>
    <mergeCell ref="T545:U545"/>
    <mergeCell ref="T546:U546"/>
    <mergeCell ref="T547:U547"/>
    <mergeCell ref="T548:U548"/>
    <mergeCell ref="T645:U645"/>
    <mergeCell ref="T646:U646"/>
    <mergeCell ref="T647:U647"/>
    <mergeCell ref="T552:U552"/>
    <mergeCell ref="T553:U553"/>
    <mergeCell ref="T582:U582"/>
    <mergeCell ref="T583:U583"/>
    <mergeCell ref="T584:U584"/>
    <mergeCell ref="T591:U591"/>
    <mergeCell ref="T592:U592"/>
    <mergeCell ref="T593:U593"/>
    <mergeCell ref="T594:U594"/>
    <mergeCell ref="T595:U595"/>
    <mergeCell ref="T596:U596"/>
    <mergeCell ref="T597:U597"/>
    <mergeCell ref="T598:U598"/>
    <mergeCell ref="T599:U599"/>
    <mergeCell ref="T600:U600"/>
    <mergeCell ref="T601:U601"/>
    <mergeCell ref="T608:U608"/>
    <mergeCell ref="S603:Y603"/>
    <mergeCell ref="S604:Z604"/>
    <mergeCell ref="W652:Z652"/>
    <mergeCell ref="T612:U612"/>
    <mergeCell ref="T613:U613"/>
    <mergeCell ref="T614:U614"/>
    <mergeCell ref="T615:U615"/>
    <mergeCell ref="Y608:Y611"/>
    <mergeCell ref="T684:U684"/>
    <mergeCell ref="T685:U685"/>
    <mergeCell ref="T686:U686"/>
    <mergeCell ref="T712:U712"/>
    <mergeCell ref="T713:U713"/>
    <mergeCell ref="T714:U714"/>
    <mergeCell ref="T715:U715"/>
    <mergeCell ref="T716:U716"/>
    <mergeCell ref="T717:U717"/>
    <mergeCell ref="T718:U718"/>
    <mergeCell ref="T719:U719"/>
    <mergeCell ref="T670:U670"/>
    <mergeCell ref="T671:U671"/>
    <mergeCell ref="T672:U672"/>
    <mergeCell ref="T673:U673"/>
    <mergeCell ref="T674:U674"/>
    <mergeCell ref="T675:U675"/>
    <mergeCell ref="T676:U676"/>
    <mergeCell ref="T677:U677"/>
    <mergeCell ref="T678:U678"/>
    <mergeCell ref="T679:U679"/>
    <mergeCell ref="T680:U680"/>
    <mergeCell ref="T681:U681"/>
    <mergeCell ref="T682:U682"/>
    <mergeCell ref="T683:U683"/>
    <mergeCell ref="T644:U644"/>
    <mergeCell ref="T720:U720"/>
    <mergeCell ref="T721:U721"/>
    <mergeCell ref="T722:U722"/>
    <mergeCell ref="T723:U723"/>
    <mergeCell ref="T724:U724"/>
    <mergeCell ref="T725:U725"/>
    <mergeCell ref="T728:U728"/>
    <mergeCell ref="T750:U750"/>
    <mergeCell ref="T751:U751"/>
    <mergeCell ref="T752:U752"/>
    <mergeCell ref="T753:U753"/>
    <mergeCell ref="T754:U754"/>
    <mergeCell ref="T755:U755"/>
    <mergeCell ref="T756:U756"/>
    <mergeCell ref="T757:U757"/>
    <mergeCell ref="T758:U758"/>
    <mergeCell ref="T759:U759"/>
    <mergeCell ref="T760:U760"/>
    <mergeCell ref="T761:U761"/>
    <mergeCell ref="T762:U762"/>
    <mergeCell ref="T763:U763"/>
    <mergeCell ref="T764:U764"/>
    <mergeCell ref="T765:U765"/>
    <mergeCell ref="T766:U766"/>
    <mergeCell ref="T767:U767"/>
    <mergeCell ref="T768:U768"/>
    <mergeCell ref="T769:U769"/>
    <mergeCell ref="T770:U770"/>
    <mergeCell ref="T771:U771"/>
    <mergeCell ref="T772:U772"/>
    <mergeCell ref="T773:U773"/>
    <mergeCell ref="T774:U774"/>
    <mergeCell ref="T775:U775"/>
    <mergeCell ref="T776:U776"/>
    <mergeCell ref="T777:U777"/>
    <mergeCell ref="T778:U778"/>
    <mergeCell ref="T779:U779"/>
    <mergeCell ref="T780:U780"/>
    <mergeCell ref="T781:U781"/>
    <mergeCell ref="T782:U782"/>
    <mergeCell ref="T783:U783"/>
    <mergeCell ref="T804:U804"/>
    <mergeCell ref="T805:U805"/>
    <mergeCell ref="T806:U806"/>
    <mergeCell ref="T807:U807"/>
    <mergeCell ref="T808:U808"/>
    <mergeCell ref="T809:U809"/>
    <mergeCell ref="T810:U810"/>
    <mergeCell ref="T811:U811"/>
    <mergeCell ref="T812:U812"/>
    <mergeCell ref="T813:U813"/>
    <mergeCell ref="T814:U814"/>
    <mergeCell ref="T815:U815"/>
    <mergeCell ref="T816:U816"/>
    <mergeCell ref="T817:U817"/>
    <mergeCell ref="T818:U818"/>
    <mergeCell ref="T819:U819"/>
    <mergeCell ref="T820:U820"/>
    <mergeCell ref="T821:U821"/>
    <mergeCell ref="T822:U822"/>
    <mergeCell ref="T823:U823"/>
    <mergeCell ref="T824:U824"/>
    <mergeCell ref="T825:U825"/>
    <mergeCell ref="T826:U826"/>
    <mergeCell ref="T827:U827"/>
    <mergeCell ref="T828:U828"/>
    <mergeCell ref="T829:U829"/>
    <mergeCell ref="T830:U830"/>
    <mergeCell ref="T831:U831"/>
    <mergeCell ref="T838:U838"/>
    <mergeCell ref="T839:U839"/>
    <mergeCell ref="T840:U840"/>
    <mergeCell ref="T841:U841"/>
    <mergeCell ref="T842:U842"/>
    <mergeCell ref="T958:U958"/>
    <mergeCell ref="T843:U843"/>
    <mergeCell ref="T942:U942"/>
    <mergeCell ref="T943:U943"/>
    <mergeCell ref="T944:U944"/>
    <mergeCell ref="T945:U945"/>
    <mergeCell ref="T946:U946"/>
    <mergeCell ref="T947:U947"/>
    <mergeCell ref="T948:U948"/>
    <mergeCell ref="T949:U949"/>
    <mergeCell ref="T950:U950"/>
    <mergeCell ref="T951:U951"/>
    <mergeCell ref="T952:U952"/>
    <mergeCell ref="T953:U953"/>
    <mergeCell ref="T954:U954"/>
    <mergeCell ref="T955:U955"/>
    <mergeCell ref="T956:U956"/>
    <mergeCell ref="T957:U957"/>
    <mergeCell ref="T854:U854"/>
    <mergeCell ref="T855:U855"/>
    <mergeCell ref="T856:U856"/>
    <mergeCell ref="T857:U857"/>
  </mergeCells>
  <conditionalFormatting sqref="F13:G13">
    <cfRule type="cellIs" dxfId="167" priority="1942" operator="lessThan">
      <formula>$G$8</formula>
    </cfRule>
  </conditionalFormatting>
  <conditionalFormatting sqref="F17:G17 F21:G21 F25:G25 F29:G29 F33:G33 F37:G37 F41:G41 F45:G45 F49:G49">
    <cfRule type="cellIs" dxfId="166" priority="160" operator="lessThan">
      <formula>$G$8</formula>
    </cfRule>
  </conditionalFormatting>
  <conditionalFormatting sqref="F59:G59 F63:G63 F67:G67 F71:G71 F75:G75 F79:G79 F83:G83 F87:G87 F91:G91 F95:G95 F105:G105 F109:G109 F113:G113 F117:G117 F121:G121 F125:G125 F129:G129 F133:G133 F137:G137 F141:G141">
    <cfRule type="cellIs" dxfId="165" priority="152" operator="lessThan">
      <formula>$G$8</formula>
    </cfRule>
  </conditionalFormatting>
  <conditionalFormatting sqref="F151:G151 F155:G155 F159:G159 F163:G163 F167:G167 F171:G171 F175:G175 F179:G179 F183:G183 F187:G187">
    <cfRule type="cellIs" dxfId="164" priority="144" operator="lessThan">
      <formula>$G$8</formula>
    </cfRule>
  </conditionalFormatting>
  <conditionalFormatting sqref="F197:G197 F201:G201 F205:G205 F209:G209 F213:G213 F217:G217 F221:G221 F225:G225 F229:G229 F233:G233">
    <cfRule type="cellIs" dxfId="163" priority="136" operator="lessThan">
      <formula>$G$8</formula>
    </cfRule>
  </conditionalFormatting>
  <conditionalFormatting sqref="F243:G243 F247:G247 F251:G251 F255:G255 F259:G259 F263:G263 F267:G267 F271:G271 F275:G275 F279:G279">
    <cfRule type="cellIs" dxfId="162" priority="128" operator="lessThan">
      <formula>$G$8</formula>
    </cfRule>
  </conditionalFormatting>
  <conditionalFormatting sqref="F289:G289 F293:G293 F297:G297 F301:G301 F305:G305 F309:G309 F313:G313 F317:G317 F321:G321 F325:G325">
    <cfRule type="cellIs" dxfId="161" priority="120" operator="lessThan">
      <formula>$G$8</formula>
    </cfRule>
  </conditionalFormatting>
  <conditionalFormatting sqref="F335:G335 F339:G339 F343:G343 F347:G347 F351:G351 F355:G355 F359:G359 F363:G363 F367:G367 F371:G371">
    <cfRule type="cellIs" dxfId="160" priority="112" operator="lessThan">
      <formula>$G$8</formula>
    </cfRule>
  </conditionalFormatting>
  <conditionalFormatting sqref="F381:G381 F385:G385 F389:G389 F393:G393 F397:G397 F401:G401 F405:G405 F409:G409 F413:G413 F417:G417">
    <cfRule type="cellIs" dxfId="159" priority="104" operator="lessThan">
      <formula>$G$8</formula>
    </cfRule>
  </conditionalFormatting>
  <conditionalFormatting sqref="F427:G427 F431:G431 F435:G435 F439:G439 F443:G443 F447:G447 F451:G451 F455:G455 F459:G459 F463:G463">
    <cfRule type="cellIs" dxfId="158" priority="96" operator="lessThan">
      <formula>$G$8</formula>
    </cfRule>
  </conditionalFormatting>
  <conditionalFormatting sqref="F473:G473 F477:G477 F481:G481 F485:G485 F489:G489 F493:G493 F497:G497 F501:G501 F505:G505 F509:G509">
    <cfRule type="cellIs" dxfId="157" priority="88" operator="lessThan">
      <formula>$G$8</formula>
    </cfRule>
  </conditionalFormatting>
  <conditionalFormatting sqref="F519:G519 F523:G523 F527:G527 F531:G531 F535:G535 F539:G539 F543:G543 F547:G547 F551:G551 F555:G555">
    <cfRule type="cellIs" dxfId="156" priority="80" operator="lessThan">
      <formula>$G$8</formula>
    </cfRule>
  </conditionalFormatting>
  <conditionalFormatting sqref="F565:G565 F569:G569 F573:G573 F577:G577 F581:G581 F585:G585 F589:G589 F593:G593 F597:G597 F601:G601">
    <cfRule type="cellIs" dxfId="155" priority="72" operator="lessThan">
      <formula>$G$8</formula>
    </cfRule>
  </conditionalFormatting>
  <conditionalFormatting sqref="F611:G611 F615:G615 F619:G619 F623:G623 F627:G627 F631:G631 F635:G635 F639:G639 F643:G643 F647:G647">
    <cfRule type="cellIs" dxfId="154" priority="64" operator="lessThan">
      <formula>$G$8</formula>
    </cfRule>
  </conditionalFormatting>
  <conditionalFormatting sqref="F657:G657 F661:G661 F665:G665 F669:G669 F673:G673 F677:G677 F681:G681 F685:G685 F689:G689 F693:G693">
    <cfRule type="cellIs" dxfId="153" priority="56" operator="lessThan">
      <formula>$G$8</formula>
    </cfRule>
  </conditionalFormatting>
  <conditionalFormatting sqref="F703:G703 F707:G707 F711:G711 F715:G715 F719:G719 F723:G723 F727:G727 F731:G731 F735:G735 F739:G739">
    <cfRule type="cellIs" dxfId="152" priority="48" operator="lessThan">
      <formula>$G$8</formula>
    </cfRule>
  </conditionalFormatting>
  <conditionalFormatting sqref="F749:G749 F753:G753 F757:G757 F761:G761 F765:G765 F769:G769 F773:G773 F777:G777 F781:G781 F785:G785">
    <cfRule type="cellIs" dxfId="151" priority="40" operator="lessThan">
      <formula>$G$8</formula>
    </cfRule>
  </conditionalFormatting>
  <conditionalFormatting sqref="F795:G795 F799:G799 F803:G803 F807:G807 F811:G811 F815:G815 F819:G819 F823:G823 F827:G827 F831:G831">
    <cfRule type="cellIs" dxfId="150" priority="32" operator="lessThan">
      <formula>$G$8</formula>
    </cfRule>
  </conditionalFormatting>
  <conditionalFormatting sqref="F841:G841 F845:G845 F849:G849 F853:G853 F857:G857 F861:G861 F865:G865 F869:G869 F873:G873 F877:G877">
    <cfRule type="cellIs" dxfId="149" priority="24" operator="lessThan">
      <formula>$G$8</formula>
    </cfRule>
  </conditionalFormatting>
  <conditionalFormatting sqref="F887:G887 F891:G891 F895:G895 F899:G899 F903:G903 F907:G907 F911:G911 F915:G915 F919:G919 F923:G923">
    <cfRule type="cellIs" dxfId="148" priority="16" operator="lessThan">
      <formula>$G$8</formula>
    </cfRule>
  </conditionalFormatting>
  <conditionalFormatting sqref="F933:G933 F937:G937 F941:G941 F945:G945 F949:G949 F953:G953 F957:G957 F961:G961 F965:G965 F969:G969">
    <cfRule type="cellIs" dxfId="147" priority="8" operator="lessThan">
      <formula>$G$8</formula>
    </cfRule>
  </conditionalFormatting>
  <conditionalFormatting sqref="H13:I13">
    <cfRule type="cellIs" dxfId="146" priority="1941" operator="lessThan">
      <formula>$I$8</formula>
    </cfRule>
  </conditionalFormatting>
  <conditionalFormatting sqref="H17:I17 H21:I21 H25:I25 H29:I29 H33:I33 H37:I37 H41:I41 H45:I45 H49:I49">
    <cfRule type="cellIs" dxfId="145" priority="159" operator="lessThan">
      <formula>$I$8</formula>
    </cfRule>
  </conditionalFormatting>
  <conditionalFormatting sqref="H59:I59 H63:I63 H67:I67 H71:I71 H75:I75 H79:I79 H83:I83 H87:I87 H91:I91 H95:I95 H105:I105 H109:I109 H113:I113 H117:I117 H121:I121 H125:I125 H129:I129 H133:I133 H137:I137 H141:I141">
    <cfRule type="cellIs" dxfId="144" priority="151" operator="lessThan">
      <formula>$I$8</formula>
    </cfRule>
  </conditionalFormatting>
  <conditionalFormatting sqref="H151:I151 H155:I155 H159:I159 H163:I163 H167:I167 H171:I171 H175:I175 H179:I179 H183:I183 H187:I187">
    <cfRule type="cellIs" dxfId="143" priority="143" operator="lessThan">
      <formula>$I$8</formula>
    </cfRule>
  </conditionalFormatting>
  <conditionalFormatting sqref="H197:I197 H201:I201 H205:I205 H209:I209 H213:I213 H217:I217 H221:I221 H225:I225 H229:I229 H233:I233">
    <cfRule type="cellIs" dxfId="142" priority="135" operator="lessThan">
      <formula>$I$8</formula>
    </cfRule>
  </conditionalFormatting>
  <conditionalFormatting sqref="H243:I243 H247:I247 H251:I251 H255:I255 H259:I259 H263:I263 H267:I267 H271:I271 H275:I275 H279:I279">
    <cfRule type="cellIs" dxfId="141" priority="127" operator="lessThan">
      <formula>$I$8</formula>
    </cfRule>
  </conditionalFormatting>
  <conditionalFormatting sqref="H289:I289 H293:I293 H297:I297 H301:I301 H305:I305 H309:I309 H313:I313 H317:I317 H321:I321 H325:I325">
    <cfRule type="cellIs" dxfId="140" priority="119" operator="lessThan">
      <formula>$I$8</formula>
    </cfRule>
  </conditionalFormatting>
  <conditionalFormatting sqref="H335:I335 H339:I339 H343:I343 H347:I347 H351:I351 H355:I355 H359:I359 H363:I363 H367:I367 H371:I371">
    <cfRule type="cellIs" dxfId="139" priority="111" operator="lessThan">
      <formula>$I$8</formula>
    </cfRule>
  </conditionalFormatting>
  <conditionalFormatting sqref="H381:I381 H385:I385 H389:I389 H393:I393 H397:I397 H401:I401 H405:I405 H409:I409 H413:I413 H417:I417">
    <cfRule type="cellIs" dxfId="138" priority="103" operator="lessThan">
      <formula>$I$8</formula>
    </cfRule>
  </conditionalFormatting>
  <conditionalFormatting sqref="H427:I427 H431:I431 H435:I435 H439:I439 H443:I443 H447:I447 H451:I451 H455:I455 H459:I459 H463:I463">
    <cfRule type="cellIs" dxfId="137" priority="95" operator="lessThan">
      <formula>$I$8</formula>
    </cfRule>
  </conditionalFormatting>
  <conditionalFormatting sqref="H473:I473 H477:I477 H481:I481 H485:I485 H489:I489 H493:I493 H497:I497 H501:I501 H505:I505 H509:I509">
    <cfRule type="cellIs" dxfId="136" priority="87" operator="lessThan">
      <formula>$I$8</formula>
    </cfRule>
  </conditionalFormatting>
  <conditionalFormatting sqref="H519:I519 H523:I523 H527:I527 H531:I531 H535:I535 H539:I539 H543:I543 H547:I547 H551:I551 H555:I555">
    <cfRule type="cellIs" dxfId="135" priority="79" operator="lessThan">
      <formula>$I$8</formula>
    </cfRule>
  </conditionalFormatting>
  <conditionalFormatting sqref="H565:I565 H569:I569 H573:I573 H577:I577 H581:I581 H585:I585 H589:I589 H593:I593 H597:I597 H601:I601">
    <cfRule type="cellIs" dxfId="134" priority="71" operator="lessThan">
      <formula>$I$8</formula>
    </cfRule>
  </conditionalFormatting>
  <conditionalFormatting sqref="H611:I611 H615:I615 H619:I619 H623:I623 H627:I627 H631:I631 H635:I635 H639:I639 H643:I643 H647:I647">
    <cfRule type="cellIs" dxfId="133" priority="63" operator="lessThan">
      <formula>$I$8</formula>
    </cfRule>
  </conditionalFormatting>
  <conditionalFormatting sqref="H657:I657 H661:I661 H665:I665 H669:I669 H673:I673 H677:I677 H681:I681 H685:I685 H689:I689 H693:I693">
    <cfRule type="cellIs" dxfId="132" priority="55" operator="lessThan">
      <formula>$I$8</formula>
    </cfRule>
  </conditionalFormatting>
  <conditionalFormatting sqref="H703:I703 H707:I707 H711:I711 H715:I715 H719:I719 H723:I723 H727:I727 H731:I731 H735:I735 H739:I739">
    <cfRule type="cellIs" dxfId="131" priority="47" operator="lessThan">
      <formula>$I$8</formula>
    </cfRule>
  </conditionalFormatting>
  <conditionalFormatting sqref="H749:I749 H753:I753 H757:I757 H761:I761 H765:I765 H769:I769 H773:I773 H777:I777 H781:I781 H785:I785">
    <cfRule type="cellIs" dxfId="130" priority="39" operator="lessThan">
      <formula>$I$8</formula>
    </cfRule>
  </conditionalFormatting>
  <conditionalFormatting sqref="H795:I795 H799:I799 H803:I803 H807:I807 H811:I811 H815:I815 H819:I819 H823:I823 H827:I827 H831:I831">
    <cfRule type="cellIs" dxfId="129" priority="31" operator="lessThan">
      <formula>$I$8</formula>
    </cfRule>
  </conditionalFormatting>
  <conditionalFormatting sqref="H841:I841 H845:I845 H849:I849 H853:I853 H857:I857 H861:I861 H865:I865 H869:I869 H873:I873 H877:I877">
    <cfRule type="cellIs" dxfId="128" priority="23" operator="lessThan">
      <formula>$I$8</formula>
    </cfRule>
  </conditionalFormatting>
  <conditionalFormatting sqref="H887:I887 H891:I891 H895:I895 H899:I899 H903:I903 H907:I907 H911:I911 H915:I915 H919:I919 H923:I923">
    <cfRule type="cellIs" dxfId="127" priority="15" operator="lessThan">
      <formula>$I$8</formula>
    </cfRule>
  </conditionalFormatting>
  <conditionalFormatting sqref="H933:I933 H937:I937 H941:I941 H945:I945 H949:I949 H953:I953 H957:I957 H961:I961 H965:I965 H969:I969">
    <cfRule type="cellIs" dxfId="126" priority="7" operator="lessThan">
      <formula>$I$8</formula>
    </cfRule>
  </conditionalFormatting>
  <conditionalFormatting sqref="J13:K13">
    <cfRule type="cellIs" dxfId="125" priority="579" operator="lessThan">
      <formula>$K$8</formula>
    </cfRule>
  </conditionalFormatting>
  <conditionalFormatting sqref="J17:K17 J21:K21 J25:K25 J29:K29 J33:K33 J37:K37 J41:K41 J45:K45 J49:K49">
    <cfRule type="cellIs" dxfId="124" priority="154" operator="lessThan">
      <formula>$K$8</formula>
    </cfRule>
  </conditionalFormatting>
  <conditionalFormatting sqref="J59:K59 J63:K63 J67:K67 J71:K71 J75:K75 J79:K79 J83:K83 J87:K87 J91:K91 J95:K95 J105:K105 J109:K109 J113:K113 J117:K117 J121:K121 J125:K125 J129:K129 J133:K133 J137:K137 J141:K141">
    <cfRule type="cellIs" dxfId="123" priority="146" operator="lessThan">
      <formula>$K$8</formula>
    </cfRule>
  </conditionalFormatting>
  <conditionalFormatting sqref="J151:K151 J155:K155 J159:K159 J163:K163 J167:K167 J171:K171 J175:K175 J179:K179 J183:K183 J187:K187">
    <cfRule type="cellIs" dxfId="122" priority="138" operator="lessThan">
      <formula>$K$8</formula>
    </cfRule>
  </conditionalFormatting>
  <conditionalFormatting sqref="J197:K197 J201:K201 J205:K205 J209:K209 J213:K213 J217:K217 J221:K221 J225:K225 J229:K229 J233:K233">
    <cfRule type="cellIs" dxfId="121" priority="130" operator="lessThan">
      <formula>$K$8</formula>
    </cfRule>
  </conditionalFormatting>
  <conditionalFormatting sqref="J243:K243 J247:K247 J251:K251 J255:K255 J259:K259 J263:K263 J267:K267 J271:K271 J275:K275 J279:K279">
    <cfRule type="cellIs" dxfId="120" priority="122" operator="lessThan">
      <formula>$K$8</formula>
    </cfRule>
  </conditionalFormatting>
  <conditionalFormatting sqref="J289:K289 J293:K293 J297:K297 J301:K301 J305:K305 J309:K309 J313:K313 J317:K317 J321:K321 J325:K325">
    <cfRule type="cellIs" dxfId="119" priority="114" operator="lessThan">
      <formula>$K$8</formula>
    </cfRule>
  </conditionalFormatting>
  <conditionalFormatting sqref="J335:K335 J339:K339 J343:K343 J347:K347 J351:K351 J355:K355 J359:K359 J363:K363 J367:K367 J371:K371">
    <cfRule type="cellIs" dxfId="118" priority="106" operator="lessThan">
      <formula>$K$8</formula>
    </cfRule>
  </conditionalFormatting>
  <conditionalFormatting sqref="J381:K381 J385:K385 J389:K389 J393:K393 J397:K397 J401:K401 J405:K405 J409:K409 J413:K413 J417:K417">
    <cfRule type="cellIs" dxfId="117" priority="98" operator="lessThan">
      <formula>$K$8</formula>
    </cfRule>
  </conditionalFormatting>
  <conditionalFormatting sqref="J427:K427 J431:K431 J435:K435 J439:K439 J443:K443 J447:K447 J451:K451 J455:K455 J459:K459 J463:K463">
    <cfRule type="cellIs" dxfId="116" priority="90" operator="lessThan">
      <formula>$K$8</formula>
    </cfRule>
  </conditionalFormatting>
  <conditionalFormatting sqref="J473:K473 J477:K477 J481:K481 J485:K485 J489:K489 J493:K493 J497:K497 J501:K501 J505:K505 J509:K509">
    <cfRule type="cellIs" dxfId="115" priority="82" operator="lessThan">
      <formula>$K$8</formula>
    </cfRule>
  </conditionalFormatting>
  <conditionalFormatting sqref="J519:K519 J523:K523 J527:K527 J531:K531 J535:K535 J539:K539 J543:K543 J547:K547 J551:K551 J555:K555">
    <cfRule type="cellIs" dxfId="114" priority="74" operator="lessThan">
      <formula>$K$8</formula>
    </cfRule>
  </conditionalFormatting>
  <conditionalFormatting sqref="J565:K565 J569:K569 J573:K573 J577:K577 J581:K581 J585:K585 J589:K589 J593:K593 J597:K597 J601:K601">
    <cfRule type="cellIs" dxfId="113" priority="66" operator="lessThan">
      <formula>$K$8</formula>
    </cfRule>
  </conditionalFormatting>
  <conditionalFormatting sqref="J611:K611 J615:K615 J619:K619 J623:K623 J627:K627 J631:K631 J635:K635 J639:K639 J643:K643 J647:K647">
    <cfRule type="cellIs" dxfId="112" priority="58" operator="lessThan">
      <formula>$K$8</formula>
    </cfRule>
  </conditionalFormatting>
  <conditionalFormatting sqref="J657:K657 J661:K661 J665:K665 J669:K669 J673:K673 J677:K677 J681:K681 J685:K685 J689:K689 J693:K693">
    <cfRule type="cellIs" dxfId="111" priority="50" operator="lessThan">
      <formula>$K$8</formula>
    </cfRule>
  </conditionalFormatting>
  <conditionalFormatting sqref="J703:K703 J707:K707 J711:K711 J715:K715 J719:K719 J723:K723 J727:K727 J731:K731 J735:K735 J739:K739">
    <cfRule type="cellIs" dxfId="110" priority="42" operator="lessThan">
      <formula>$K$8</formula>
    </cfRule>
  </conditionalFormatting>
  <conditionalFormatting sqref="J749:K749 J753:K753 J757:K757 J761:K761 J765:K765 J769:K769 J773:K773 J777:K777 J781:K781 J785:K785">
    <cfRule type="cellIs" dxfId="109" priority="34" operator="lessThan">
      <formula>$K$8</formula>
    </cfRule>
  </conditionalFormatting>
  <conditionalFormatting sqref="J795:K795 J799:K799 J803:K803 J807:K807 J811:K811 J815:K815 J819:K819 J823:K823 J827:K827 J831:K831">
    <cfRule type="cellIs" dxfId="108" priority="26" operator="lessThan">
      <formula>$K$8</formula>
    </cfRule>
  </conditionalFormatting>
  <conditionalFormatting sqref="J841:K841 J845:K845 J849:K849 J853:K853 J857:K857 J861:K861 J865:K865 J869:K869 J873:K873 J877:K877">
    <cfRule type="cellIs" dxfId="107" priority="18" operator="lessThan">
      <formula>$K$8</formula>
    </cfRule>
  </conditionalFormatting>
  <conditionalFormatting sqref="J887:K887 J891:K891 J895:K895 J899:K899 J903:K903 J907:K907 J911:K911 J915:K915 J919:K919 J923:K923">
    <cfRule type="cellIs" dxfId="106" priority="10" operator="lessThan">
      <formula>$K$8</formula>
    </cfRule>
  </conditionalFormatting>
  <conditionalFormatting sqref="J933:K933 J937:K937 J941:K941 J945:K945 J949:K949 J953:K953 J957:K957 J961:K961 J965:K965 J969:K969">
    <cfRule type="cellIs" dxfId="105" priority="2" operator="lessThan">
      <formula>$K$8</formula>
    </cfRule>
  </conditionalFormatting>
  <conditionalFormatting sqref="L13:M13">
    <cfRule type="cellIs" dxfId="104" priority="1940" operator="lessThan">
      <formula>$M$8</formula>
    </cfRule>
  </conditionalFormatting>
  <conditionalFormatting sqref="L17:M17 L21:M21 L25:M25 L29:M29 L33:M33 L37:M37 L41:M41 L45:M45 L49:M49">
    <cfRule type="cellIs" dxfId="103" priority="158" operator="lessThan">
      <formula>$M$8</formula>
    </cfRule>
  </conditionalFormatting>
  <conditionalFormatting sqref="L59:M59 L63:M63 L67:M67 L71:M71 L75:M75 L79:M79 L83:M83 L87:M87 L91:M91 L95:M95 L105:M105 L109:M109 L113:M113 L117:M117 L121:M121 L125:M125 L129:M129 L133:M133 L137:M137 L141:M141">
    <cfRule type="cellIs" dxfId="102" priority="150" operator="lessThan">
      <formula>$M$8</formula>
    </cfRule>
  </conditionalFormatting>
  <conditionalFormatting sqref="L151:M151 L155:M155 L159:M159 L163:M163 L167:M167 L171:M171 L175:M175 L179:M179 L183:M183 L187:M187">
    <cfRule type="cellIs" dxfId="101" priority="142" operator="lessThan">
      <formula>$M$8</formula>
    </cfRule>
  </conditionalFormatting>
  <conditionalFormatting sqref="L197:M197 L201:M201 L205:M205 L209:M209 L213:M213 L217:M217 L221:M221 L225:M225 L229:M229 L233:M233">
    <cfRule type="cellIs" dxfId="100" priority="134" operator="lessThan">
      <formula>$M$8</formula>
    </cfRule>
  </conditionalFormatting>
  <conditionalFormatting sqref="L243:M243 L247:M247 L251:M251 L255:M255 L259:M259 L263:M263 L267:M267 L271:M271 L275:M275 L279:M279">
    <cfRule type="cellIs" dxfId="99" priority="126" operator="lessThan">
      <formula>$M$8</formula>
    </cfRule>
  </conditionalFormatting>
  <conditionalFormatting sqref="L289:M289 L293:M293 L297:M297 L301:M301 L305:M305 L309:M309 L313:M313 L317:M317 L321:M321 L325:M325">
    <cfRule type="cellIs" dxfId="98" priority="118" operator="lessThan">
      <formula>$M$8</formula>
    </cfRule>
  </conditionalFormatting>
  <conditionalFormatting sqref="L335:M335 L339:M339 L343:M343 L347:M347 L351:M351 L355:M355 L359:M359 L363:M363 L367:M367 L371:M371">
    <cfRule type="cellIs" dxfId="97" priority="110" operator="lessThan">
      <formula>$M$8</formula>
    </cfRule>
  </conditionalFormatting>
  <conditionalFormatting sqref="L381:M381 L385:M385 L389:M389 L393:M393 L397:M397 L401:M401 L405:M405 L409:M409 L413:M413 L417:M417">
    <cfRule type="cellIs" dxfId="96" priority="102" operator="lessThan">
      <formula>$M$8</formula>
    </cfRule>
  </conditionalFormatting>
  <conditionalFormatting sqref="L427:M427 L431:M431 L435:M435 L439:M439 L443:M443 L447:M447 L451:M451 L455:M455 L459:M459 L463:M463">
    <cfRule type="cellIs" dxfId="95" priority="94" operator="lessThan">
      <formula>$M$8</formula>
    </cfRule>
  </conditionalFormatting>
  <conditionalFormatting sqref="L473:M473 L477:M477 L481:M481 L485:M485 L489:M489 L493:M493 L497:M497 L501:M501 L505:M505 L509:M509">
    <cfRule type="cellIs" dxfId="94" priority="86" operator="lessThan">
      <formula>$M$8</formula>
    </cfRule>
  </conditionalFormatting>
  <conditionalFormatting sqref="L519:M519 L523:M523 L527:M527 L531:M531 L535:M535 L539:M539 L543:M543 L547:M547 L551:M551 L555:M555">
    <cfRule type="cellIs" dxfId="93" priority="78" operator="lessThan">
      <formula>$M$8</formula>
    </cfRule>
  </conditionalFormatting>
  <conditionalFormatting sqref="L565:M565 L569:M569 L573:M573 L577:M577 L581:M581 L585:M585 L589:M589 L593:M593 L597:M597 L601:M601">
    <cfRule type="cellIs" dxfId="92" priority="70" operator="lessThan">
      <formula>$M$8</formula>
    </cfRule>
  </conditionalFormatting>
  <conditionalFormatting sqref="L611:M611 L615:M615 L619:M619 L623:M623 L627:M627 L631:M631 L635:M635 L639:M639 L643:M643 L647:M647">
    <cfRule type="cellIs" dxfId="91" priority="62" operator="lessThan">
      <formula>$M$8</formula>
    </cfRule>
  </conditionalFormatting>
  <conditionalFormatting sqref="L657:M657 L661:M661 L665:M665 L669:M669 L673:M673 L677:M677 L681:M681 L685:M685 L689:M689 L693:M693">
    <cfRule type="cellIs" dxfId="90" priority="54" operator="lessThan">
      <formula>$M$8</formula>
    </cfRule>
  </conditionalFormatting>
  <conditionalFormatting sqref="L703:M703 L707:M707 L711:M711 L715:M715 L719:M719 L723:M723 L727:M727 L731:M731 L735:M735 L739:M739">
    <cfRule type="cellIs" dxfId="89" priority="46" operator="lessThan">
      <formula>$M$8</formula>
    </cfRule>
  </conditionalFormatting>
  <conditionalFormatting sqref="L749:M749 L753:M753 L757:M757 L761:M761 L765:M765 L769:M769 L773:M773 L777:M777 L781:M781 L785:M785">
    <cfRule type="cellIs" dxfId="88" priority="38" operator="lessThan">
      <formula>$M$8</formula>
    </cfRule>
  </conditionalFormatting>
  <conditionalFormatting sqref="L795:M795 L799:M799 L803:M803 L807:M807 L811:M811 L815:M815 L819:M819 L823:M823 L827:M827 L831:M831">
    <cfRule type="cellIs" dxfId="87" priority="30" operator="lessThan">
      <formula>$M$8</formula>
    </cfRule>
  </conditionalFormatting>
  <conditionalFormatting sqref="L841:M841 L845:M845 L849:M849 L853:M853 L857:M857 L861:M861 L865:M865 L869:M869 L873:M873 L877:M877">
    <cfRule type="cellIs" dxfId="86" priority="22" operator="lessThan">
      <formula>$M$8</formula>
    </cfRule>
  </conditionalFormatting>
  <conditionalFormatting sqref="L887:M887 L891:M891 L895:M895 L899:M899 L903:M903 L907:M907 L911:M911 L915:M915 L919:M919 L923:M923">
    <cfRule type="cellIs" dxfId="85" priority="14" operator="lessThan">
      <formula>$M$8</formula>
    </cfRule>
  </conditionalFormatting>
  <conditionalFormatting sqref="L933:M933 L937:M937 L941:M941 L945:M945 L949:M949 L953:M953 L957:M957 L961:M961 L965:M965 L969:M969">
    <cfRule type="cellIs" dxfId="84" priority="6" operator="lessThan">
      <formula>$M$8</formula>
    </cfRule>
  </conditionalFormatting>
  <conditionalFormatting sqref="N13:O13">
    <cfRule type="cellIs" dxfId="83" priority="393" operator="lessThan">
      <formula>$O$8</formula>
    </cfRule>
  </conditionalFormatting>
  <conditionalFormatting sqref="N17:O17 N21:O21 N25:O25 N29:O29 N33:O33 N37:O37 N41:O41 N45:O45 N49:O49">
    <cfRule type="cellIs" dxfId="82" priority="153" operator="lessThan">
      <formula>$O$8</formula>
    </cfRule>
  </conditionalFormatting>
  <conditionalFormatting sqref="N59:O59 N63:O63 N67:O67 N71:O71 N75:O75 N79:O79 N83:O83 N87:O87 N91:O91 N95:O95 N105:O105 N109:O109 N113:O113 N117:O117 N121:O121 N125:O125 N129:O129 N133:O133 N137:O137 N141:O141">
    <cfRule type="cellIs" dxfId="81" priority="145" operator="lessThan">
      <formula>$O$8</formula>
    </cfRule>
  </conditionalFormatting>
  <conditionalFormatting sqref="N151:O151 N155:O155 N159:O159 N163:O163 N167:O167 N171:O171 N175:O175 N179:O179 N183:O183 N187:O187">
    <cfRule type="cellIs" dxfId="80" priority="137" operator="lessThan">
      <formula>$O$8</formula>
    </cfRule>
  </conditionalFormatting>
  <conditionalFormatting sqref="N197:O197 N201:O201 N205:O205 N209:O209 N213:O213 N217:O217 N221:O221 N225:O225 N229:O229 N233:O233">
    <cfRule type="cellIs" dxfId="79" priority="129" operator="lessThan">
      <formula>$O$8</formula>
    </cfRule>
  </conditionalFormatting>
  <conditionalFormatting sqref="N243:O243 N247:O247 N251:O251 N255:O255 N259:O259 N263:O263 N267:O267 N271:O271 N275:O275 N279:O279">
    <cfRule type="cellIs" dxfId="78" priority="121" operator="lessThan">
      <formula>$O$8</formula>
    </cfRule>
  </conditionalFormatting>
  <conditionalFormatting sqref="N289:O289 N293:O293 N297:O297 N301:O301 N305:O305 N309:O309 N313:O313 N317:O317 N321:O321 N325:O325">
    <cfRule type="cellIs" dxfId="77" priority="113" operator="lessThan">
      <formula>$O$8</formula>
    </cfRule>
  </conditionalFormatting>
  <conditionalFormatting sqref="N335:O335 N339:O339 N343:O343 N347:O347 N351:O351 N355:O355 N359:O359 N363:O363 N367:O367 N371:O371">
    <cfRule type="cellIs" dxfId="76" priority="105" operator="lessThan">
      <formula>$O$8</formula>
    </cfRule>
  </conditionalFormatting>
  <conditionalFormatting sqref="N381:O381 N385:O385 N389:O389 N393:O393 N397:O397 N401:O401 N405:O405 N409:O409 N413:O413 N417:O417">
    <cfRule type="cellIs" dxfId="75" priority="97" operator="lessThan">
      <formula>$O$8</formula>
    </cfRule>
  </conditionalFormatting>
  <conditionalFormatting sqref="N427:O427 N431:O431 N435:O435 N439:O439 N443:O443 N447:O447 N451:O451 N455:O455 N459:O459 N463:O463">
    <cfRule type="cellIs" dxfId="74" priority="89" operator="lessThan">
      <formula>$O$8</formula>
    </cfRule>
  </conditionalFormatting>
  <conditionalFormatting sqref="N473:O473 N477:O477 N481:O481 N485:O485 N489:O489 N493:O493 N497:O497 N501:O501 N505:O505 N509:O509">
    <cfRule type="cellIs" dxfId="73" priority="81" operator="lessThan">
      <formula>$O$8</formula>
    </cfRule>
  </conditionalFormatting>
  <conditionalFormatting sqref="N519:O519 N523:O523 N527:O527 N531:O531 N535:O535 N539:O539 N543:O543 N547:O547 N551:O551 N555:O555">
    <cfRule type="cellIs" dxfId="72" priority="73" operator="lessThan">
      <formula>$O$8</formula>
    </cfRule>
  </conditionalFormatting>
  <conditionalFormatting sqref="N565:O565 N569:O569 N573:O573 N577:O577 N581:O581 N585:O585 N589:O589 N593:O593 N597:O597 N601:O601">
    <cfRule type="cellIs" dxfId="71" priority="65" operator="lessThan">
      <formula>$O$8</formula>
    </cfRule>
  </conditionalFormatting>
  <conditionalFormatting sqref="N611:O611 N615:O615 N619:O619 N623:O623 N627:O627 N631:O631 N635:O635 N639:O639 N643:O643 N647:O647">
    <cfRule type="cellIs" dxfId="70" priority="57" operator="lessThan">
      <formula>$O$8</formula>
    </cfRule>
  </conditionalFormatting>
  <conditionalFormatting sqref="N657:O657 N661:O661 N665:O665 N669:O669 N673:O673 N677:O677 N681:O681 N685:O685 N689:O689 N693:O693">
    <cfRule type="cellIs" dxfId="69" priority="49" operator="lessThan">
      <formula>$O$8</formula>
    </cfRule>
  </conditionalFormatting>
  <conditionalFormatting sqref="N703:O703 N707:O707 N711:O711 N715:O715 N719:O719 N723:O723 N727:O727 N731:O731 N735:O735 N739:O739">
    <cfRule type="cellIs" dxfId="68" priority="41" operator="lessThan">
      <formula>$O$8</formula>
    </cfRule>
  </conditionalFormatting>
  <conditionalFormatting sqref="N749:O749 N753:O753 N757:O757 N761:O761 N765:O765 N769:O769 N773:O773 N777:O777 N781:O781 N785:O785">
    <cfRule type="cellIs" dxfId="67" priority="33" operator="lessThan">
      <formula>$O$8</formula>
    </cfRule>
  </conditionalFormatting>
  <conditionalFormatting sqref="N795:O795 N799:O799 N803:O803 N807:O807 N811:O811 N815:O815 N819:O819 N823:O823 N827:O827 N831:O831">
    <cfRule type="cellIs" dxfId="66" priority="25" operator="lessThan">
      <formula>$O$8</formula>
    </cfRule>
  </conditionalFormatting>
  <conditionalFormatting sqref="N841:O841 N845:O845 N849:O849 N853:O853 N857:O857 N861:O861 N865:O865 N869:O869 N873:O873 N877:O877">
    <cfRule type="cellIs" dxfId="65" priority="17" operator="lessThan">
      <formula>$O$8</formula>
    </cfRule>
  </conditionalFormatting>
  <conditionalFormatting sqref="N887:O887 N891:O891 N895:O895 N899:O899 N903:O903 N907:O907 N911:O911 N915:O915 N919:O919 N923:O923">
    <cfRule type="cellIs" dxfId="64" priority="9" operator="lessThan">
      <formula>$O$8</formula>
    </cfRule>
  </conditionalFormatting>
  <conditionalFormatting sqref="N933:O933 N937:O937 N941:O941 N945:O945 N949:O949 N953:O953 N957:O957 N961:O961 N965:O965 N969:O969">
    <cfRule type="cellIs" dxfId="63" priority="1" operator="lessThan">
      <formula>$O$8</formula>
    </cfRule>
  </conditionalFormatting>
  <conditionalFormatting sqref="P13:Q13">
    <cfRule type="cellIs" dxfId="62" priority="1939" operator="lessThan">
      <formula>$Q$8</formula>
    </cfRule>
  </conditionalFormatting>
  <conditionalFormatting sqref="P17:Q17 P21:Q21 P25:Q25 P29:Q29 P33:Q33 P37:Q37 P41:Q41 P45:Q45 P49:Q49">
    <cfRule type="cellIs" dxfId="61" priority="157" operator="lessThan">
      <formula>$Q$8</formula>
    </cfRule>
  </conditionalFormatting>
  <conditionalFormatting sqref="P59:Q59 P63:Q63 P67:Q67 P71:Q71 P75:Q75 P79:Q79 P83:Q83 P87:Q87 P91:Q91 P95:Q95 P105:Q105 P109:Q109 P113:Q113 P117:Q117 P121:Q121 P125:Q125 P129:Q129 P133:Q133 P137:Q137 P141:Q141">
    <cfRule type="cellIs" dxfId="60" priority="149" operator="lessThan">
      <formula>$Q$8</formula>
    </cfRule>
  </conditionalFormatting>
  <conditionalFormatting sqref="P151:Q151 P155:Q155 P159:Q159 P163:Q163 P167:Q167 P171:Q171 P175:Q175 P179:Q179 P183:Q183 P187:Q187">
    <cfRule type="cellIs" dxfId="59" priority="141" operator="lessThan">
      <formula>$Q$8</formula>
    </cfRule>
  </conditionalFormatting>
  <conditionalFormatting sqref="P197:Q197 P201:Q201 P205:Q205 P209:Q209 P213:Q213 P217:Q217 P221:Q221 P225:Q225 P229:Q229 P233:Q233">
    <cfRule type="cellIs" dxfId="58" priority="133" operator="lessThan">
      <formula>$Q$8</formula>
    </cfRule>
  </conditionalFormatting>
  <conditionalFormatting sqref="P243:Q243 P247:Q247 P251:Q251 P255:Q255 P259:Q259 P263:Q263 P267:Q267 P271:Q271 P275:Q275 P279:Q279">
    <cfRule type="cellIs" dxfId="57" priority="125" operator="lessThan">
      <formula>$Q$8</formula>
    </cfRule>
  </conditionalFormatting>
  <conditionalFormatting sqref="P289:Q289 P293:Q293 P297:Q297 P301:Q301 P305:Q305 P309:Q309 P313:Q313 P317:Q317 P321:Q321 P325:Q325">
    <cfRule type="cellIs" dxfId="56" priority="117" operator="lessThan">
      <formula>$Q$8</formula>
    </cfRule>
  </conditionalFormatting>
  <conditionalFormatting sqref="P335:Q335 P339:Q339 P343:Q343 P347:Q347 P351:Q351 P355:Q355 P359:Q359 P363:Q363 P367:Q367 P371:Q371">
    <cfRule type="cellIs" dxfId="55" priority="109" operator="lessThan">
      <formula>$Q$8</formula>
    </cfRule>
  </conditionalFormatting>
  <conditionalFormatting sqref="P381:Q381 P385:Q385 P389:Q389 P393:Q393 P397:Q397 P401:Q401 P405:Q405 P409:Q409 P413:Q413 P417:Q417">
    <cfRule type="cellIs" dxfId="54" priority="101" operator="lessThan">
      <formula>$Q$8</formula>
    </cfRule>
  </conditionalFormatting>
  <conditionalFormatting sqref="P427:Q427 P431:Q431 P435:Q435 P439:Q439 P443:Q443 P447:Q447 P451:Q451 P455:Q455 P459:Q459 P463:Q463">
    <cfRule type="cellIs" dxfId="53" priority="93" operator="lessThan">
      <formula>$Q$8</formula>
    </cfRule>
  </conditionalFormatting>
  <conditionalFormatting sqref="P473:Q473 P477:Q477 P481:Q481 P485:Q485 P489:Q489 P493:Q493 P497:Q497 P501:Q501 P505:Q505 P509:Q509">
    <cfRule type="cellIs" dxfId="52" priority="85" operator="lessThan">
      <formula>$Q$8</formula>
    </cfRule>
  </conditionalFormatting>
  <conditionalFormatting sqref="P519:Q519 P523:Q523 P527:Q527 P531:Q531 P535:Q535 P539:Q539 P543:Q543 P547:Q547 P551:Q551 P555:Q555">
    <cfRule type="cellIs" dxfId="51" priority="77" operator="lessThan">
      <formula>$Q$8</formula>
    </cfRule>
  </conditionalFormatting>
  <conditionalFormatting sqref="P565:Q565 P569:Q569 P573:Q573 P577:Q577 P581:Q581 P585:Q585 P589:Q589 P593:Q593 P597:Q597 P601:Q601">
    <cfRule type="cellIs" dxfId="50" priority="69" operator="lessThan">
      <formula>$Q$8</formula>
    </cfRule>
  </conditionalFormatting>
  <conditionalFormatting sqref="P611:Q611 P615:Q615 P619:Q619 P623:Q623 P627:Q627 P631:Q631 P635:Q635 P639:Q639 P643:Q643 P647:Q647">
    <cfRule type="cellIs" dxfId="49" priority="61" operator="lessThan">
      <formula>$Q$8</formula>
    </cfRule>
  </conditionalFormatting>
  <conditionalFormatting sqref="P657:Q657 P661:Q661 P665:Q665 P669:Q669 P673:Q673 P677:Q677 P681:Q681 P685:Q685 P689:Q689 P693:Q693">
    <cfRule type="cellIs" dxfId="48" priority="53" operator="lessThan">
      <formula>$Q$8</formula>
    </cfRule>
  </conditionalFormatting>
  <conditionalFormatting sqref="P703:Q703 P707:Q707 P711:Q711 P715:Q715 P719:Q719 P723:Q723 P727:Q727 P731:Q731 P735:Q735 P739:Q739">
    <cfRule type="cellIs" dxfId="47" priority="45" operator="lessThan">
      <formula>$Q$8</formula>
    </cfRule>
  </conditionalFormatting>
  <conditionalFormatting sqref="P749:Q749 P753:Q753 P757:Q757 P761:Q761 P765:Q765 P769:Q769 P773:Q773 P777:Q777 P781:Q781 P785:Q785">
    <cfRule type="cellIs" dxfId="46" priority="37" operator="lessThan">
      <formula>$Q$8</formula>
    </cfRule>
  </conditionalFormatting>
  <conditionalFormatting sqref="P795:Q795 P799:Q799 P803:Q803 P807:Q807 P811:Q811 P815:Q815 P819:Q819 P823:Q823 P827:Q827 P831:Q831">
    <cfRule type="cellIs" dxfId="45" priority="29" operator="lessThan">
      <formula>$Q$8</formula>
    </cfRule>
  </conditionalFormatting>
  <conditionalFormatting sqref="P841:Q841 P845:Q845 P849:Q849 P853:Q853 P857:Q857 P861:Q861 P865:Q865 P869:Q869 P873:Q873 P877:Q877">
    <cfRule type="cellIs" dxfId="44" priority="21" operator="lessThan">
      <formula>$Q$8</formula>
    </cfRule>
  </conditionalFormatting>
  <conditionalFormatting sqref="P887:Q887 P891:Q891 P895:Q895 P899:Q899 P903:Q903 P907:Q907 P911:Q911 P915:Q915 P919:Q919 P923:Q923">
    <cfRule type="cellIs" dxfId="43" priority="13" operator="lessThan">
      <formula>$Q$8</formula>
    </cfRule>
  </conditionalFormatting>
  <conditionalFormatting sqref="P933:Q933 P937:Q937 P941:Q941 P945:Q945 P949:Q949 P953:Q953 P957:Q957 P961:Q961 P965:Q965 P969:Q969">
    <cfRule type="cellIs" dxfId="42" priority="5" operator="lessThan">
      <formula>$Q$8</formula>
    </cfRule>
  </conditionalFormatting>
  <conditionalFormatting sqref="R13:S13">
    <cfRule type="cellIs" dxfId="41" priority="1938" operator="lessThan">
      <formula>$S$8</formula>
    </cfRule>
  </conditionalFormatting>
  <conditionalFormatting sqref="R17:S17 R21:S21 R25:S25 R29:S29 R33:S33 R37:S37 R41:S41 R45:S45 R49:S49">
    <cfRule type="cellIs" dxfId="40" priority="156" operator="lessThan">
      <formula>$S$8</formula>
    </cfRule>
  </conditionalFormatting>
  <conditionalFormatting sqref="R59:S59 R63:S63 R67:S67 R71:S71 R75:S75 R79:S79 R83:S83 R87:S87 R91:S91 R95:S95 R105:S105 R109:S109 R113:S113 R117:S117 R121:S121 R125:S125 R129:S129 R133:S133 R137:S137 R141:S141">
    <cfRule type="cellIs" dxfId="39" priority="148" operator="lessThan">
      <formula>$S$8</formula>
    </cfRule>
  </conditionalFormatting>
  <conditionalFormatting sqref="R151:S151 R155:S155 R159:S159 R163:S163 R167:S167 R171:S171 R175:S175 R179:S179 R183:S183 R187:S187">
    <cfRule type="cellIs" dxfId="38" priority="140" operator="lessThan">
      <formula>$S$8</formula>
    </cfRule>
  </conditionalFormatting>
  <conditionalFormatting sqref="R197:S197 R201:S201 R205:S205 R209:S209 R213:S213 R217:S217 R221:S221 R225:S225 R229:S229 R233:S233">
    <cfRule type="cellIs" dxfId="37" priority="132" operator="lessThan">
      <formula>$S$8</formula>
    </cfRule>
  </conditionalFormatting>
  <conditionalFormatting sqref="R243:S243 R247:S247 R251:S251 R255:S255 R259:S259 R263:S263 R267:S267 R271:S271 R275:S275 R279:S279">
    <cfRule type="cellIs" dxfId="36" priority="124" operator="lessThan">
      <formula>$S$8</formula>
    </cfRule>
  </conditionalFormatting>
  <conditionalFormatting sqref="R289:S289 R293:S293 R297:S297 R301:S301 R305:S305 R309:S309 R313:S313 R317:S317 R321:S321 R325:S325">
    <cfRule type="cellIs" dxfId="35" priority="116" operator="lessThan">
      <formula>$S$8</formula>
    </cfRule>
  </conditionalFormatting>
  <conditionalFormatting sqref="R335:S335 R339:S339 R343:S343 R347:S347 R351:S351 R355:S355 R359:S359 R363:S363 R367:S367 R371:S371">
    <cfRule type="cellIs" dxfId="34" priority="108" operator="lessThan">
      <formula>$S$8</formula>
    </cfRule>
  </conditionalFormatting>
  <conditionalFormatting sqref="R381:S381 R385:S385 R389:S389 R393:S393 R397:S397 R401:S401 R405:S405 R409:S409 R413:S413 R417:S417">
    <cfRule type="cellIs" dxfId="33" priority="100" operator="lessThan">
      <formula>$S$8</formula>
    </cfRule>
  </conditionalFormatting>
  <conditionalFormatting sqref="R427:S427 R431:S431 R435:S435 R439:S439 R443:S443 R447:S447 R451:S451 R455:S455 R459:S459 R463:S463">
    <cfRule type="cellIs" dxfId="32" priority="92" operator="lessThan">
      <formula>$S$8</formula>
    </cfRule>
  </conditionalFormatting>
  <conditionalFormatting sqref="R473:S473 R477:S477 R481:S481 R485:S485 R489:S489 R493:S493 R497:S497 R501:S501 R505:S505 R509:S509">
    <cfRule type="cellIs" dxfId="31" priority="84" operator="lessThan">
      <formula>$S$8</formula>
    </cfRule>
  </conditionalFormatting>
  <conditionalFormatting sqref="R519:S519 R523:S523 R527:S527 R531:S531 R535:S535 R539:S539 R543:S543 R547:S547 R551:S551 R555:S555">
    <cfRule type="cellIs" dxfId="30" priority="76" operator="lessThan">
      <formula>$S$8</formula>
    </cfRule>
  </conditionalFormatting>
  <conditionalFormatting sqref="R565:S565 R569:S569 R573:S573 R577:S577 R581:S581 R585:S585 R589:S589 R593:S593 R597:S597 R601:S601">
    <cfRule type="cellIs" dxfId="29" priority="68" operator="lessThan">
      <formula>$S$8</formula>
    </cfRule>
  </conditionalFormatting>
  <conditionalFormatting sqref="R611:S611 R615:S615 R619:S619 R623:S623 R627:S627 R631:S631 R635:S635 R639:S639 R643:S643 R647:S647">
    <cfRule type="cellIs" dxfId="28" priority="60" operator="lessThan">
      <formula>$S$8</formula>
    </cfRule>
  </conditionalFormatting>
  <conditionalFormatting sqref="R657:S657 R661:S661 R665:S665 R669:S669 R673:S673 R677:S677 R681:S681 R685:S685 R689:S689 R693:S693">
    <cfRule type="cellIs" dxfId="27" priority="52" operator="lessThan">
      <formula>$S$8</formula>
    </cfRule>
  </conditionalFormatting>
  <conditionalFormatting sqref="R703:S703 R707:S707 R711:S711 R715:S715 R719:S719 R723:S723 R727:S727 R731:S731 R735:S735 R739:S739">
    <cfRule type="cellIs" dxfId="26" priority="44" operator="lessThan">
      <formula>$S$8</formula>
    </cfRule>
  </conditionalFormatting>
  <conditionalFormatting sqref="R749:S749 R753:S753 R757:S757 R761:S761 R765:S765 R769:S769 R773:S773 R777:S777 R781:S781 R785:S785">
    <cfRule type="cellIs" dxfId="25" priority="36" operator="lessThan">
      <formula>$S$8</formula>
    </cfRule>
  </conditionalFormatting>
  <conditionalFormatting sqref="R795:S795 R799:S799 R803:S803 R807:S807 R811:S811 R815:S815 R819:S819 R823:S823 R827:S827 R831:S831">
    <cfRule type="cellIs" dxfId="24" priority="28" operator="lessThan">
      <formula>$S$8</formula>
    </cfRule>
  </conditionalFormatting>
  <conditionalFormatting sqref="R841:S841 R845:S845 R849:S849 R853:S853 R857:S857 R861:S861 R865:S865 R869:S869 R873:S873 R877:S877">
    <cfRule type="cellIs" dxfId="23" priority="20" operator="lessThan">
      <formula>$S$8</formula>
    </cfRule>
  </conditionalFormatting>
  <conditionalFormatting sqref="R887:S887 R891:S891 R895:S895 R899:S899 R903:S903 R907:S907 R911:S911 R915:S915 R919:S919 R923:S923">
    <cfRule type="cellIs" dxfId="22" priority="12" operator="lessThan">
      <formula>$S$8</formula>
    </cfRule>
  </conditionalFormatting>
  <conditionalFormatting sqref="R933:S933 R937:S937 R941:S941 R945:S945 R949:S949 R953:S953 R957:S957 R961:S961 R965:S965 R969:S969">
    <cfRule type="cellIs" dxfId="21" priority="4" operator="lessThan">
      <formula>$S$8</formula>
    </cfRule>
  </conditionalFormatting>
  <conditionalFormatting sqref="T13:U13">
    <cfRule type="cellIs" dxfId="20" priority="611" operator="lessThan">
      <formula>$U$8</formula>
    </cfRule>
  </conditionalFormatting>
  <conditionalFormatting sqref="T17:U17 T21:U21 T25:U25 T29:U29 T33:U33 T37:U37 T41:U41 T45:U45 T49:U49">
    <cfRule type="cellIs" dxfId="19" priority="155" operator="lessThan">
      <formula>$U$8</formula>
    </cfRule>
  </conditionalFormatting>
  <conditionalFormatting sqref="T59:U59 T63:U63 T67:U67 T71:U71 T75:U75 T79:U79 T83:U83 T87:U87 T91:U91 T95:U95 T105:U105 T109:U109 T113:U113 T117:U117 T121:U121 T125:U125 T129:U129 T133:U133 T137:U137 T141:U141">
    <cfRule type="cellIs" dxfId="18" priority="147" operator="lessThan">
      <formula>$U$8</formula>
    </cfRule>
  </conditionalFormatting>
  <conditionalFormatting sqref="T151:U151 T155:U155 T159:U159 T163:U163 T167:U167 T171:U171 T175:U175 T179:U179 T183:U183 T187:U187">
    <cfRule type="cellIs" dxfId="17" priority="139" operator="lessThan">
      <formula>$U$8</formula>
    </cfRule>
  </conditionalFormatting>
  <conditionalFormatting sqref="T197:U197 T201:U201 T205:U205 T209:U209 T213:U213 T217:U217 T221:U221 T225:U225 T229:U229 T233:U233">
    <cfRule type="cellIs" dxfId="16" priority="131" operator="lessThan">
      <formula>$U$8</formula>
    </cfRule>
  </conditionalFormatting>
  <conditionalFormatting sqref="T243:U243 T247:U247 T251:U251 T255:U255 T259:U259 T263:U263 T267:U267 T271:U271 T275:U275 T279:U279">
    <cfRule type="cellIs" dxfId="15" priority="123" operator="lessThan">
      <formula>$U$8</formula>
    </cfRule>
  </conditionalFormatting>
  <conditionalFormatting sqref="T289:U289 T293:U293 T297:U297 T301:U301 T305:U305 T309:U309 T313:U313 T317:U317 T321:U321 T325:U325">
    <cfRule type="cellIs" dxfId="14" priority="115" operator="lessThan">
      <formula>$U$8</formula>
    </cfRule>
  </conditionalFormatting>
  <conditionalFormatting sqref="T335:U335 T339:U339 T343:U343 T347:U347 T351:U351 T355:U355 T359:U359 T363:U363 T367:U367 T371:U371">
    <cfRule type="cellIs" dxfId="13" priority="107" operator="lessThan">
      <formula>$U$8</formula>
    </cfRule>
  </conditionalFormatting>
  <conditionalFormatting sqref="T381:U381 T385:U385 T389:U389 T393:U393 T397:U397 T401:U401 T405:U405 T409:U409 T413:U413 T417:U417">
    <cfRule type="cellIs" dxfId="12" priority="99" operator="lessThan">
      <formula>$U$8</formula>
    </cfRule>
  </conditionalFormatting>
  <conditionalFormatting sqref="T427:U427 T431:U431 T435:U435 T439:U439 T443:U443 T447:U447 T451:U451 T455:U455 T459:U459 T463:U463">
    <cfRule type="cellIs" dxfId="11" priority="91" operator="lessThan">
      <formula>$U$8</formula>
    </cfRule>
  </conditionalFormatting>
  <conditionalFormatting sqref="T473:U473 T477:U477 T481:U481 T485:U485 T489:U489 T493:U493 T497:U497 T501:U501 T505:U505 T509:U509">
    <cfRule type="cellIs" dxfId="10" priority="83" operator="lessThan">
      <formula>$U$8</formula>
    </cfRule>
  </conditionalFormatting>
  <conditionalFormatting sqref="T519:U519 T523:U523 T527:U527 T531:U531 T535:U535 T539:U539 T543:U543 T547:U547 T551:U551 T555:U555">
    <cfRule type="cellIs" dxfId="9" priority="75" operator="lessThan">
      <formula>$U$8</formula>
    </cfRule>
  </conditionalFormatting>
  <conditionalFormatting sqref="T565:U565 T569:U569 T573:U573 T577:U577 T581:U581 T585:U585 T589:U589 T593:U593 T597:U597 T601:U601">
    <cfRule type="cellIs" dxfId="8" priority="67" operator="lessThan">
      <formula>$U$8</formula>
    </cfRule>
  </conditionalFormatting>
  <conditionalFormatting sqref="T611:U611 T615:U615 T619:U619 T623:U623 T627:U627 T631:U631 T635:U635 T639:U639 T643:U643 T647:U647">
    <cfRule type="cellIs" dxfId="7" priority="59" operator="lessThan">
      <formula>$U$8</formula>
    </cfRule>
  </conditionalFormatting>
  <conditionalFormatting sqref="T657:U657 T661:U661 T665:U665 T669:U669 T673:U673 T677:U677 T681:U681 T685:U685 T689:U689 T693:U693">
    <cfRule type="cellIs" dxfId="6" priority="51" operator="lessThan">
      <formula>$U$8</formula>
    </cfRule>
  </conditionalFormatting>
  <conditionalFormatting sqref="T703:U703 T707:U707 T711:U711 T715:U715 T719:U719 T723:U723 T727:U727 T731:U731 T735:U735 T739:U739">
    <cfRule type="cellIs" dxfId="5" priority="43" operator="lessThan">
      <formula>$U$8</formula>
    </cfRule>
  </conditionalFormatting>
  <conditionalFormatting sqref="T749:U749 T753:U753 T757:U757 T761:U761 T765:U765 T769:U769 T773:U773 T777:U777 T781:U781 T785:U785">
    <cfRule type="cellIs" dxfId="4" priority="35" operator="lessThan">
      <formula>$U$8</formula>
    </cfRule>
  </conditionalFormatting>
  <conditionalFormatting sqref="T795:U795 T799:U799 T803:U803 T807:U807 T811:U811 T815:U815 T819:U819 T823:U823 T827:U827 T831:U831">
    <cfRule type="cellIs" dxfId="3" priority="27" operator="lessThan">
      <formula>$U$8</formula>
    </cfRule>
  </conditionalFormatting>
  <conditionalFormatting sqref="T841:U841 T845:U845 T849:U849 T853:U853 T857:U857 T861:U861 T865:U865 T869:U869 T873:U873 T877:U877">
    <cfRule type="cellIs" dxfId="2" priority="19" operator="lessThan">
      <formula>$U$8</formula>
    </cfRule>
  </conditionalFormatting>
  <conditionalFormatting sqref="T887:U887 T891:U891 T895:U895 T899:U899 T903:U903 T907:U907 T911:U911 T915:U915 T919:U919 T923:U923">
    <cfRule type="cellIs" dxfId="1" priority="11" operator="lessThan">
      <formula>$U$8</formula>
    </cfRule>
  </conditionalFormatting>
  <conditionalFormatting sqref="T933:U933 T937:U937 T941:U941 T945:U945 T949:U949 T953:U953 T957:U957 T961:U961 T965:U965 T969:U969">
    <cfRule type="cellIs" dxfId="0" priority="3" operator="lessThan">
      <formula>$U$8</formula>
    </cfRule>
  </conditionalFormatting>
  <dataValidations count="1">
    <dataValidation type="list" showDropDown="1" showInputMessage="1" showErrorMessage="1" sqref="F1:AA5 A1:E9 F50:AA55 F96:AA101 F142:AA147 F188:AA193 F234:AA239 F280:AA285 F326:AA331 F372:AA377 F418:AA423 F464:AA469 F510:AA515 F556:AA561 F602:AA607 F648:AA653 F694:AA699 F740:AA745 F786:AA791 F832:AA837 F878:AA883 F924:AA929 F970:AA1048576 A14:E1048576 AF4:AF1048576 AG1:AZ1048576 AB1:AB1048576 AD1:AE1048576 AC1:AC9 AC50:AC55 AC96:AC101 AC142:AC147 AC188:AC193 AC234:AC239 AC280:AC285 AC326:AC331 AC372:AC377 AC418:AC423 AC464:AC469 AC510:AC515 AC556:AC561 AC602:AC607 AC648:AC653 AC694:AC699 AC740:AC745 AC786:AC791 AC832:AC837 AC878:AC883 AC924:AC929 AC970:AC1048576">
      <formula1>"@@@@@@@@@@@&amp;&amp;&amp;&amp;&amp;&amp;&amp;&amp;&amp;&amp;&amp;&amp;&amp;&amp;&amp;&amp;&amp;&amp;&amp;&amp;&amp;&amp;&amp;&amp;&amp;&amp;&amp;&amp;&amp;&amp;&amp;&amp;$$"</formula1>
    </dataValidation>
  </dataValidations>
  <printOptions horizontalCentered="1" verticalCentered="1"/>
  <pageMargins left="0" right="0" top="0" bottom="0" header="0" footer="0"/>
  <pageSetup paperSize="9" scale="81" orientation="portrait" r:id="rId1"/>
  <headerFooter>
    <oddFooter>&amp;Lصفحة &amp;P</oddFooter>
  </headerFooter>
  <colBreaks count="1" manualBreakCount="1">
    <brk id="27" max="97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7">
    <tabColor theme="7" tint="-0.499984740745262"/>
  </sheetPr>
  <dimension ref="A1:CV410"/>
  <sheetViews>
    <sheetView showZeros="0" rightToLeft="1" topLeftCell="B1" zoomScale="98" zoomScaleNormal="98" zoomScaleSheetLayoutView="90" workbookViewId="0">
      <pane xSplit="2" topLeftCell="D1" activePane="topRight" state="frozen"/>
      <selection activeCell="B1" sqref="B1"/>
      <selection pane="topRight" activeCell="B25" sqref="A25:XFD25"/>
    </sheetView>
  </sheetViews>
  <sheetFormatPr defaultColWidth="8.85546875" defaultRowHeight="15" x14ac:dyDescent="0.25"/>
  <cols>
    <col min="1" max="1" width="6" style="4" customWidth="1"/>
    <col min="2" max="2" width="22.85546875" style="17" customWidth="1"/>
    <col min="3" max="3" width="8.85546875" style="72" customWidth="1"/>
    <col min="4" max="4" width="16.140625" style="17" bestFit="1" customWidth="1"/>
    <col min="5" max="5" width="5" style="73" customWidth="1"/>
    <col min="6" max="13" width="3.7109375" style="1" customWidth="1"/>
    <col min="14" max="14" width="4.7109375" style="1" customWidth="1"/>
    <col min="15" max="17" width="4.140625" style="1" customWidth="1"/>
    <col min="18" max="18" width="5" style="312" customWidth="1"/>
    <col min="19" max="26" width="3.7109375" style="1" customWidth="1"/>
    <col min="27" max="27" width="4.7109375" style="1" customWidth="1"/>
    <col min="28" max="30" width="4.140625" style="1" customWidth="1"/>
    <col min="31" max="31" width="5" style="73" customWidth="1"/>
    <col min="32" max="39" width="3.7109375" style="1" customWidth="1"/>
    <col min="40" max="40" width="4.7109375" style="1" customWidth="1"/>
    <col min="41" max="43" width="4.140625" style="1" customWidth="1"/>
    <col min="44" max="46" width="5.5703125" style="1" customWidth="1"/>
    <col min="47" max="48" width="6.5703125" style="1" customWidth="1"/>
    <col min="49" max="52" width="8.85546875" style="1" customWidth="1"/>
    <col min="53" max="54" width="17.140625" style="261" hidden="1" customWidth="1"/>
    <col min="55" max="55" width="17.140625" style="261" customWidth="1"/>
    <col min="56" max="56" width="8.85546875" style="17"/>
    <col min="57" max="57" width="9.140625" style="17" customWidth="1"/>
    <col min="58" max="58" width="22.140625" style="17" customWidth="1"/>
    <col min="59" max="59" width="15" style="17" hidden="1" customWidth="1"/>
    <col min="60" max="60" width="8.85546875" style="17" hidden="1" customWidth="1"/>
    <col min="61" max="61" width="8.85546875" style="17"/>
    <col min="62" max="62" width="9.140625" style="17" customWidth="1"/>
    <col min="63" max="63" width="22.140625" style="17" customWidth="1"/>
    <col min="64" max="64" width="15" style="17" hidden="1" customWidth="1"/>
    <col min="65" max="65" width="13.7109375" style="17" hidden="1" customWidth="1"/>
    <col min="66" max="66" width="8.85546875" style="17"/>
    <col min="67" max="67" width="13" style="17" customWidth="1"/>
    <col min="68" max="68" width="22.140625" style="17" customWidth="1"/>
    <col min="69" max="69" width="11" style="17" customWidth="1"/>
    <col min="70" max="71" width="7.140625" style="17" customWidth="1"/>
    <col min="72" max="72" width="20.140625" style="17" customWidth="1"/>
    <col min="73" max="73" width="7.140625" style="17" customWidth="1"/>
    <col min="74" max="75" width="2.5703125" style="17" customWidth="1"/>
    <col min="76" max="85" width="2.5703125" style="1" customWidth="1"/>
    <col min="86" max="86" width="10.42578125" style="1" customWidth="1"/>
    <col min="87" max="88" width="10.7109375" style="1" customWidth="1"/>
    <col min="89" max="89" width="12.42578125" style="1" customWidth="1"/>
    <col min="90" max="94" width="8.85546875" style="1"/>
    <col min="95" max="95" width="8.85546875" style="1" hidden="1" customWidth="1"/>
    <col min="96" max="16384" width="8.85546875" style="1"/>
  </cols>
  <sheetData>
    <row r="1" spans="1:100" ht="15.75" thickBot="1" x14ac:dyDescent="0.3">
      <c r="B1" s="17">
        <v>1</v>
      </c>
      <c r="C1" s="72">
        <v>2</v>
      </c>
      <c r="D1" s="17">
        <v>3</v>
      </c>
      <c r="E1" s="72">
        <v>4</v>
      </c>
      <c r="F1" s="17">
        <v>5</v>
      </c>
      <c r="G1" s="72">
        <v>6</v>
      </c>
      <c r="H1" s="17">
        <v>7</v>
      </c>
      <c r="I1" s="72">
        <v>8</v>
      </c>
      <c r="J1" s="17">
        <v>9</v>
      </c>
      <c r="K1" s="72">
        <v>10</v>
      </c>
      <c r="L1" s="17">
        <v>11</v>
      </c>
      <c r="M1" s="72">
        <v>12</v>
      </c>
      <c r="N1" s="17">
        <v>13</v>
      </c>
      <c r="O1" s="72">
        <v>14</v>
      </c>
      <c r="P1" s="17">
        <v>15</v>
      </c>
      <c r="Q1" s="72">
        <v>16</v>
      </c>
      <c r="R1" s="17">
        <v>17</v>
      </c>
      <c r="S1" s="72">
        <v>18</v>
      </c>
      <c r="T1" s="17">
        <v>19</v>
      </c>
      <c r="U1" s="72">
        <v>20</v>
      </c>
      <c r="V1" s="17">
        <v>21</v>
      </c>
      <c r="W1" s="72">
        <v>22</v>
      </c>
      <c r="X1" s="17">
        <v>23</v>
      </c>
      <c r="Y1" s="72">
        <v>24</v>
      </c>
      <c r="Z1" s="17">
        <v>25</v>
      </c>
      <c r="AA1" s="72">
        <v>26</v>
      </c>
      <c r="AB1" s="17">
        <v>27</v>
      </c>
      <c r="AC1" s="72">
        <v>28</v>
      </c>
      <c r="AD1" s="17">
        <v>29</v>
      </c>
      <c r="AE1" s="72">
        <v>30</v>
      </c>
      <c r="AF1" s="17">
        <v>31</v>
      </c>
      <c r="AG1" s="72">
        <v>32</v>
      </c>
      <c r="AH1" s="17">
        <v>33</v>
      </c>
      <c r="AI1" s="72">
        <v>34</v>
      </c>
      <c r="AJ1" s="17">
        <v>35</v>
      </c>
      <c r="AK1" s="72">
        <v>36</v>
      </c>
      <c r="AL1" s="17">
        <v>37</v>
      </c>
      <c r="AM1" s="72">
        <v>38</v>
      </c>
      <c r="AN1" s="17">
        <v>39</v>
      </c>
      <c r="AO1" s="72">
        <v>40</v>
      </c>
      <c r="AP1" s="17">
        <v>41</v>
      </c>
      <c r="AQ1" s="72">
        <v>42</v>
      </c>
      <c r="AR1" s="17">
        <v>43</v>
      </c>
      <c r="AS1" s="72">
        <v>44</v>
      </c>
      <c r="AT1" s="17">
        <v>45</v>
      </c>
      <c r="AU1" s="72">
        <v>46</v>
      </c>
      <c r="AV1" s="17">
        <v>47</v>
      </c>
      <c r="AW1" s="72">
        <v>48</v>
      </c>
      <c r="AX1" s="17">
        <v>49</v>
      </c>
      <c r="AY1" s="72">
        <v>50</v>
      </c>
      <c r="AZ1" s="17">
        <v>51</v>
      </c>
      <c r="BA1" s="72">
        <v>52</v>
      </c>
      <c r="BB1" s="17">
        <v>53</v>
      </c>
      <c r="BC1" s="72">
        <v>54</v>
      </c>
      <c r="BD1" s="17">
        <v>55</v>
      </c>
      <c r="BE1" s="72">
        <v>56</v>
      </c>
      <c r="BF1" s="17">
        <v>57</v>
      </c>
      <c r="BG1" s="72">
        <v>58</v>
      </c>
      <c r="BH1" s="17">
        <v>59</v>
      </c>
      <c r="BI1" s="72">
        <v>60</v>
      </c>
      <c r="BJ1" s="17">
        <v>61</v>
      </c>
      <c r="BK1" s="72">
        <v>62</v>
      </c>
      <c r="BL1" s="17">
        <v>63</v>
      </c>
      <c r="BM1" s="72">
        <v>64</v>
      </c>
      <c r="BN1" s="17">
        <v>65</v>
      </c>
      <c r="BO1" s="72">
        <v>66</v>
      </c>
      <c r="BP1" s="17">
        <v>67</v>
      </c>
      <c r="BQ1" s="72">
        <v>68</v>
      </c>
      <c r="BR1" s="17">
        <v>69</v>
      </c>
      <c r="BS1" s="72">
        <v>70</v>
      </c>
      <c r="BT1" s="17">
        <v>71</v>
      </c>
      <c r="BU1" s="72">
        <v>72</v>
      </c>
      <c r="BV1" s="17">
        <v>73</v>
      </c>
      <c r="BW1" s="72">
        <v>74</v>
      </c>
      <c r="BX1" s="17">
        <v>75</v>
      </c>
      <c r="BY1" s="72">
        <v>76</v>
      </c>
      <c r="BZ1" s="17">
        <v>77</v>
      </c>
      <c r="CA1" s="72">
        <v>78</v>
      </c>
      <c r="CB1" s="17">
        <v>79</v>
      </c>
      <c r="CC1" s="72">
        <v>80</v>
      </c>
      <c r="CD1" s="17">
        <v>81</v>
      </c>
      <c r="CE1" s="72">
        <v>82</v>
      </c>
      <c r="CF1" s="17">
        <v>83</v>
      </c>
      <c r="CG1" s="72">
        <v>84</v>
      </c>
      <c r="CH1" s="17">
        <v>85</v>
      </c>
      <c r="CI1" s="72">
        <v>86</v>
      </c>
      <c r="CJ1" s="17">
        <v>87</v>
      </c>
      <c r="CK1" s="72">
        <v>88</v>
      </c>
      <c r="CL1" s="17">
        <v>89</v>
      </c>
      <c r="CM1" s="72">
        <v>90</v>
      </c>
      <c r="CN1" s="17">
        <v>91</v>
      </c>
      <c r="CO1" s="72">
        <v>92</v>
      </c>
      <c r="CP1" s="17">
        <v>93</v>
      </c>
      <c r="CQ1" s="72">
        <v>94</v>
      </c>
      <c r="CR1" s="17">
        <v>95</v>
      </c>
      <c r="CS1" s="72">
        <v>96</v>
      </c>
      <c r="CT1" s="17">
        <v>97</v>
      </c>
      <c r="CU1" s="72">
        <v>98</v>
      </c>
      <c r="CV1" s="17">
        <v>87</v>
      </c>
    </row>
    <row r="2" spans="1:100" ht="20.25" customHeight="1" x14ac:dyDescent="0.3">
      <c r="A2" s="676" t="s">
        <v>39</v>
      </c>
      <c r="B2" s="676"/>
      <c r="C2" s="676"/>
      <c r="D2" s="676" t="s">
        <v>178</v>
      </c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310">
        <v>4</v>
      </c>
      <c r="S2" s="17">
        <v>5</v>
      </c>
      <c r="T2" s="17">
        <v>6</v>
      </c>
      <c r="U2" s="17"/>
      <c r="V2" s="17">
        <v>7</v>
      </c>
      <c r="W2" s="17"/>
      <c r="X2" s="17">
        <v>8</v>
      </c>
      <c r="Y2" s="17">
        <v>9</v>
      </c>
      <c r="Z2" s="17"/>
      <c r="AA2" s="17">
        <v>12</v>
      </c>
      <c r="AB2" s="17">
        <v>13</v>
      </c>
      <c r="AC2" s="17"/>
      <c r="AD2" s="17">
        <v>14</v>
      </c>
      <c r="AE2" s="17">
        <v>4</v>
      </c>
      <c r="AF2" s="17">
        <v>5</v>
      </c>
      <c r="AG2" s="17">
        <v>6</v>
      </c>
      <c r="AH2" s="17"/>
      <c r="AI2" s="17">
        <v>7</v>
      </c>
      <c r="AJ2" s="17"/>
      <c r="AK2" s="17">
        <v>8</v>
      </c>
      <c r="AL2" s="17">
        <v>9</v>
      </c>
      <c r="AM2" s="17"/>
      <c r="AN2" s="17">
        <v>12</v>
      </c>
      <c r="AO2" s="17">
        <v>13</v>
      </c>
      <c r="AP2" s="17"/>
      <c r="AQ2" s="17">
        <v>14</v>
      </c>
      <c r="AR2" s="260"/>
      <c r="AS2" s="260"/>
      <c r="AT2" s="260"/>
      <c r="AV2" s="17"/>
      <c r="BG2" s="269"/>
      <c r="BH2" s="269"/>
      <c r="BI2" s="269"/>
      <c r="BJ2" s="269"/>
      <c r="BK2" s="269"/>
      <c r="BL2" s="269"/>
      <c r="BM2" s="269"/>
      <c r="BN2" s="269"/>
      <c r="BO2" s="757" t="s">
        <v>152</v>
      </c>
      <c r="BP2" s="758"/>
      <c r="BQ2" s="269"/>
      <c r="BR2" s="269"/>
      <c r="BU2" s="169"/>
    </row>
    <row r="3" spans="1:100" ht="20.25" customHeight="1" thickBot="1" x14ac:dyDescent="0.25">
      <c r="A3" s="676" t="s">
        <v>40</v>
      </c>
      <c r="B3" s="676"/>
      <c r="C3" s="676"/>
      <c r="D3" s="207"/>
      <c r="E3" s="90"/>
      <c r="F3" s="90"/>
      <c r="G3" s="90"/>
      <c r="H3" s="90"/>
      <c r="I3" s="90"/>
      <c r="J3" s="90"/>
      <c r="K3" s="90"/>
      <c r="L3" s="90"/>
      <c r="M3" s="90"/>
      <c r="N3" s="90"/>
      <c r="O3" s="677" t="s">
        <v>43</v>
      </c>
      <c r="P3" s="677"/>
      <c r="Q3" s="677"/>
      <c r="R3" s="677"/>
      <c r="S3" s="677"/>
      <c r="T3" s="677"/>
      <c r="U3" s="677"/>
      <c r="V3" s="677"/>
      <c r="W3" s="677"/>
      <c r="X3" s="677"/>
      <c r="Y3" s="677"/>
      <c r="Z3" s="677"/>
      <c r="AA3" s="677"/>
      <c r="AB3" s="677"/>
      <c r="AC3" s="677"/>
      <c r="AD3" s="677"/>
      <c r="AE3" s="677"/>
      <c r="AF3" s="677"/>
      <c r="AG3" s="677"/>
      <c r="AH3" s="677"/>
      <c r="AI3" s="677"/>
      <c r="AJ3" s="677"/>
      <c r="AK3" s="677"/>
      <c r="AL3" s="677"/>
      <c r="AM3" s="677"/>
      <c r="AN3" s="677"/>
      <c r="AO3" s="677"/>
      <c r="AP3" s="677"/>
      <c r="AQ3" s="677"/>
      <c r="AR3" s="677"/>
      <c r="AS3" s="677"/>
      <c r="AT3" s="677"/>
      <c r="AU3" s="677"/>
      <c r="BG3" s="247"/>
      <c r="BH3" s="270"/>
      <c r="BI3" s="270"/>
      <c r="BJ3" s="270"/>
      <c r="BK3" s="270"/>
      <c r="BL3" s="270"/>
      <c r="BM3" s="270"/>
      <c r="BN3" s="270"/>
      <c r="BO3" s="278" t="s">
        <v>8</v>
      </c>
      <c r="BP3" s="279"/>
      <c r="BQ3" s="270"/>
      <c r="BR3" s="270"/>
      <c r="CQ3" s="1" t="s">
        <v>147</v>
      </c>
    </row>
    <row r="4" spans="1:100" ht="15.75" customHeight="1" thickTop="1" thickBot="1" x14ac:dyDescent="0.25">
      <c r="A4" s="676" t="s">
        <v>41</v>
      </c>
      <c r="B4" s="676"/>
      <c r="C4" s="676"/>
      <c r="D4" s="208" t="s">
        <v>44</v>
      </c>
      <c r="E4" s="676" t="s">
        <v>45</v>
      </c>
      <c r="F4" s="676"/>
      <c r="G4" s="676"/>
      <c r="H4" s="676"/>
      <c r="I4" s="676"/>
      <c r="J4" s="207"/>
      <c r="K4" s="26"/>
      <c r="L4" s="26"/>
      <c r="M4" s="26"/>
      <c r="N4" s="680" t="s">
        <v>176</v>
      </c>
      <c r="O4" s="680"/>
      <c r="P4" s="680"/>
      <c r="Q4" s="680"/>
      <c r="R4" s="90">
        <f>ادخال1!R3</f>
        <v>0</v>
      </c>
      <c r="S4" s="90">
        <f>ادخال1!S3</f>
        <v>0</v>
      </c>
      <c r="T4" s="90">
        <f>ادخال1!T3</f>
        <v>0</v>
      </c>
      <c r="U4" s="90"/>
      <c r="V4" s="90">
        <f>ادخال1!V3</f>
        <v>0</v>
      </c>
      <c r="W4" s="90"/>
      <c r="X4" s="90">
        <f>ادخال1!X3</f>
        <v>0</v>
      </c>
      <c r="Y4" s="90">
        <f>ادخال1!Y3</f>
        <v>0</v>
      </c>
      <c r="Z4" s="90"/>
      <c r="AA4" s="90">
        <f>ادخال1!AA3</f>
        <v>0</v>
      </c>
      <c r="AB4" s="26"/>
      <c r="AC4" s="26"/>
      <c r="AD4" s="26"/>
      <c r="AE4" s="90">
        <f>ادخال1!AE3</f>
        <v>0</v>
      </c>
      <c r="AF4" s="90">
        <f>ادخال1!AF3</f>
        <v>0</v>
      </c>
      <c r="AG4" s="90">
        <f>ادخال1!AG3</f>
        <v>0</v>
      </c>
      <c r="AH4" s="90"/>
      <c r="AI4" s="90">
        <f>ادخال1!AI3</f>
        <v>0</v>
      </c>
      <c r="AJ4" s="90"/>
      <c r="AK4" s="90">
        <f>ادخال1!AK3</f>
        <v>0</v>
      </c>
      <c r="AL4" s="90">
        <f>ادخال1!AL3</f>
        <v>0</v>
      </c>
      <c r="AM4" s="90"/>
      <c r="AN4" s="90">
        <f>ادخال1!AN3</f>
        <v>0</v>
      </c>
      <c r="AO4" s="26"/>
      <c r="AP4" s="26"/>
      <c r="AQ4" s="26"/>
      <c r="AR4" s="26"/>
      <c r="AS4" s="26"/>
      <c r="AT4" s="26"/>
      <c r="BG4" s="247"/>
      <c r="BH4" s="270"/>
      <c r="BI4" s="270"/>
      <c r="BJ4" s="270"/>
      <c r="BK4" s="270"/>
      <c r="BL4" s="270"/>
      <c r="BM4" s="270"/>
      <c r="BN4" s="270"/>
      <c r="BO4" s="278" t="s">
        <v>10</v>
      </c>
      <c r="BP4" s="279"/>
      <c r="BQ4" s="270"/>
      <c r="BR4" s="270"/>
      <c r="CI4" s="167"/>
      <c r="CJ4" s="170" t="s">
        <v>113</v>
      </c>
      <c r="CK4" s="171" t="s">
        <v>154</v>
      </c>
      <c r="CQ4" s="1" t="s">
        <v>140</v>
      </c>
    </row>
    <row r="5" spans="1:100" ht="22.5" customHeight="1" thickTop="1" thickBot="1" x14ac:dyDescent="0.25">
      <c r="A5" s="207" t="s">
        <v>153</v>
      </c>
      <c r="B5" s="681" t="s">
        <v>169</v>
      </c>
      <c r="C5" s="681"/>
      <c r="D5" s="272"/>
      <c r="E5" s="682" t="s">
        <v>177</v>
      </c>
      <c r="F5" s="682"/>
      <c r="G5" s="682"/>
      <c r="H5" s="682"/>
      <c r="I5" s="682"/>
      <c r="J5" s="682"/>
      <c r="K5" s="682"/>
      <c r="L5" s="682"/>
      <c r="M5" s="682"/>
      <c r="N5" s="682"/>
      <c r="O5" s="682"/>
      <c r="P5" s="682"/>
      <c r="Q5" s="682"/>
      <c r="R5" s="682"/>
      <c r="S5" s="682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682"/>
      <c r="AF5" s="682"/>
      <c r="AG5" s="682"/>
      <c r="AH5" s="682"/>
      <c r="AI5" s="682"/>
      <c r="AJ5" s="682"/>
      <c r="AK5" s="682"/>
      <c r="AL5" s="682"/>
      <c r="AM5" s="682"/>
      <c r="AN5" s="682"/>
      <c r="AO5" s="682"/>
      <c r="AP5" s="682"/>
      <c r="AQ5" s="682"/>
      <c r="AR5" s="743"/>
      <c r="AS5" s="743"/>
      <c r="AT5" s="743"/>
      <c r="AU5" s="743"/>
      <c r="AV5" s="743"/>
      <c r="BG5" s="247"/>
      <c r="BH5" s="270"/>
      <c r="BI5" s="270"/>
      <c r="BJ5" s="270"/>
      <c r="BK5" s="270"/>
      <c r="BL5" s="270"/>
      <c r="BM5" s="270"/>
      <c r="BN5" s="270"/>
      <c r="BO5" s="278" t="s">
        <v>15</v>
      </c>
      <c r="BP5" s="279" t="s">
        <v>172</v>
      </c>
      <c r="BQ5" s="270"/>
      <c r="BR5" s="270"/>
      <c r="CJ5" s="172" t="s">
        <v>114</v>
      </c>
      <c r="CK5" s="171" t="s">
        <v>176</v>
      </c>
    </row>
    <row r="6" spans="1:100" ht="15" customHeight="1" thickTop="1" thickBot="1" x14ac:dyDescent="0.25">
      <c r="A6" s="708" t="s">
        <v>1</v>
      </c>
      <c r="B6" s="711" t="s">
        <v>0</v>
      </c>
      <c r="C6" s="728" t="s">
        <v>27</v>
      </c>
      <c r="D6" s="714" t="s">
        <v>28</v>
      </c>
      <c r="E6" s="748" t="s">
        <v>107</v>
      </c>
      <c r="F6" s="749"/>
      <c r="G6" s="749"/>
      <c r="H6" s="749"/>
      <c r="I6" s="749"/>
      <c r="J6" s="749"/>
      <c r="K6" s="749"/>
      <c r="L6" s="749"/>
      <c r="M6" s="749"/>
      <c r="N6" s="749"/>
      <c r="O6" s="749"/>
      <c r="P6" s="749"/>
      <c r="Q6" s="750"/>
      <c r="R6" s="751" t="s">
        <v>108</v>
      </c>
      <c r="S6" s="751"/>
      <c r="T6" s="751"/>
      <c r="U6" s="751"/>
      <c r="V6" s="751"/>
      <c r="W6" s="751"/>
      <c r="X6" s="751"/>
      <c r="Y6" s="751"/>
      <c r="Z6" s="751"/>
      <c r="AA6" s="751"/>
      <c r="AB6" s="751"/>
      <c r="AC6" s="751"/>
      <c r="AD6" s="751"/>
      <c r="AE6" s="752" t="s">
        <v>109</v>
      </c>
      <c r="AF6" s="753"/>
      <c r="AG6" s="753"/>
      <c r="AH6" s="753"/>
      <c r="AI6" s="753"/>
      <c r="AJ6" s="753"/>
      <c r="AK6" s="753"/>
      <c r="AL6" s="753"/>
      <c r="AM6" s="753"/>
      <c r="AN6" s="753"/>
      <c r="AO6" s="753"/>
      <c r="AP6" s="753"/>
      <c r="AQ6" s="753"/>
      <c r="AR6" s="769" t="s">
        <v>92</v>
      </c>
      <c r="AS6" s="770"/>
      <c r="AT6" s="771"/>
      <c r="AU6" s="778" t="s">
        <v>94</v>
      </c>
      <c r="AV6" s="779"/>
      <c r="AW6" s="779"/>
      <c r="AX6" s="779"/>
      <c r="AY6" s="779"/>
      <c r="AZ6" s="780"/>
      <c r="BG6" s="247"/>
      <c r="BH6" s="270"/>
      <c r="BI6" s="270"/>
      <c r="BJ6" s="270"/>
      <c r="BK6" s="270"/>
      <c r="BL6" s="270"/>
      <c r="BM6" s="270"/>
      <c r="BN6" s="270"/>
      <c r="BO6" s="280" t="s">
        <v>103</v>
      </c>
      <c r="BP6" s="281" t="s">
        <v>154</v>
      </c>
      <c r="BQ6" s="270"/>
      <c r="BR6" s="270"/>
      <c r="CH6" s="172" t="s">
        <v>42</v>
      </c>
      <c r="CI6" s="736" t="str">
        <f>B5</f>
        <v xml:space="preserve">سهول العلم للتعليم الخاص </v>
      </c>
      <c r="CJ6" s="737"/>
    </row>
    <row r="7" spans="1:100" ht="21" customHeight="1" thickTop="1" thickBot="1" x14ac:dyDescent="0.3">
      <c r="A7" s="709"/>
      <c r="B7" s="712"/>
      <c r="C7" s="729"/>
      <c r="D7" s="715"/>
      <c r="E7" s="223"/>
      <c r="F7" s="224">
        <v>3</v>
      </c>
      <c r="G7" s="224">
        <v>4</v>
      </c>
      <c r="H7" s="224">
        <v>2</v>
      </c>
      <c r="I7" s="224">
        <v>3</v>
      </c>
      <c r="J7" s="224">
        <v>1</v>
      </c>
      <c r="K7" s="224">
        <v>5</v>
      </c>
      <c r="L7" s="224">
        <v>3</v>
      </c>
      <c r="M7" s="224">
        <v>2</v>
      </c>
      <c r="N7" s="791" t="s">
        <v>25</v>
      </c>
      <c r="O7" s="224">
        <v>1</v>
      </c>
      <c r="P7" s="225">
        <v>2</v>
      </c>
      <c r="Q7" s="225">
        <v>1</v>
      </c>
      <c r="R7" s="315"/>
      <c r="S7" s="316">
        <f t="shared" ref="S7:Z9" si="0">F7</f>
        <v>3</v>
      </c>
      <c r="T7" s="316">
        <f t="shared" si="0"/>
        <v>4</v>
      </c>
      <c r="U7" s="316">
        <f t="shared" si="0"/>
        <v>2</v>
      </c>
      <c r="V7" s="316">
        <f t="shared" si="0"/>
        <v>3</v>
      </c>
      <c r="W7" s="316">
        <f t="shared" si="0"/>
        <v>1</v>
      </c>
      <c r="X7" s="316">
        <f t="shared" si="0"/>
        <v>5</v>
      </c>
      <c r="Y7" s="316">
        <f t="shared" si="0"/>
        <v>3</v>
      </c>
      <c r="Z7" s="316">
        <f t="shared" si="0"/>
        <v>2</v>
      </c>
      <c r="AA7" s="754" t="s">
        <v>25</v>
      </c>
      <c r="AB7" s="316">
        <f t="shared" ref="AB7:AD8" si="1">O7</f>
        <v>1</v>
      </c>
      <c r="AC7" s="344">
        <f t="shared" si="1"/>
        <v>2</v>
      </c>
      <c r="AD7" s="317">
        <f t="shared" si="1"/>
        <v>1</v>
      </c>
      <c r="AE7" s="227"/>
      <c r="AF7" s="228">
        <f t="shared" ref="AF7:AM7" si="2">F7</f>
        <v>3</v>
      </c>
      <c r="AG7" s="228">
        <f t="shared" si="2"/>
        <v>4</v>
      </c>
      <c r="AH7" s="228">
        <f t="shared" si="2"/>
        <v>2</v>
      </c>
      <c r="AI7" s="228">
        <f t="shared" si="2"/>
        <v>3</v>
      </c>
      <c r="AJ7" s="228">
        <f t="shared" si="2"/>
        <v>1</v>
      </c>
      <c r="AK7" s="228">
        <f t="shared" si="2"/>
        <v>5</v>
      </c>
      <c r="AL7" s="228">
        <f t="shared" si="2"/>
        <v>3</v>
      </c>
      <c r="AM7" s="228">
        <f t="shared" si="2"/>
        <v>2</v>
      </c>
      <c r="AN7" s="746" t="s">
        <v>25</v>
      </c>
      <c r="AO7" s="228">
        <f t="shared" ref="AO7:AQ8" si="3">O7</f>
        <v>1</v>
      </c>
      <c r="AP7" s="229">
        <f t="shared" si="3"/>
        <v>2</v>
      </c>
      <c r="AQ7" s="229">
        <f t="shared" si="3"/>
        <v>1</v>
      </c>
      <c r="AR7" s="772"/>
      <c r="AS7" s="773"/>
      <c r="AT7" s="774"/>
      <c r="AU7" s="781"/>
      <c r="AV7" s="782"/>
      <c r="AW7" s="782"/>
      <c r="AX7" s="782"/>
      <c r="AY7" s="782"/>
      <c r="AZ7" s="783"/>
      <c r="BH7" s="271"/>
      <c r="BI7" s="271"/>
      <c r="BJ7" s="271"/>
      <c r="BK7" s="271"/>
      <c r="BL7" s="271"/>
      <c r="BM7" s="271"/>
      <c r="BN7" s="271"/>
      <c r="BO7" s="271"/>
      <c r="BP7" s="271"/>
      <c r="BQ7" s="271"/>
      <c r="BR7" s="271"/>
      <c r="BU7" s="173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J7" s="738" t="s">
        <v>115</v>
      </c>
      <c r="CK7" s="739"/>
      <c r="CL7" s="172" t="s">
        <v>116</v>
      </c>
      <c r="CM7" s="174" t="s">
        <v>117</v>
      </c>
    </row>
    <row r="8" spans="1:100" ht="21" customHeight="1" thickTop="1" thickBot="1" x14ac:dyDescent="0.3">
      <c r="A8" s="709"/>
      <c r="B8" s="712"/>
      <c r="C8" s="729"/>
      <c r="D8" s="715"/>
      <c r="E8" s="223"/>
      <c r="F8" s="224">
        <f>F7*40*0.3</f>
        <v>36</v>
      </c>
      <c r="G8" s="224">
        <f t="shared" ref="G8:H8" si="4">G7*40*0.3</f>
        <v>48</v>
      </c>
      <c r="H8" s="224">
        <f t="shared" si="4"/>
        <v>24</v>
      </c>
      <c r="I8" s="224">
        <f t="shared" ref="I8:M8" si="5">I7*40*0.3</f>
        <v>36</v>
      </c>
      <c r="J8" s="224">
        <f t="shared" si="5"/>
        <v>12</v>
      </c>
      <c r="K8" s="224">
        <f t="shared" si="5"/>
        <v>60</v>
      </c>
      <c r="L8" s="224">
        <f t="shared" si="5"/>
        <v>36</v>
      </c>
      <c r="M8" s="224">
        <f t="shared" si="5"/>
        <v>24</v>
      </c>
      <c r="N8" s="792"/>
      <c r="O8" s="726" t="s">
        <v>16</v>
      </c>
      <c r="P8" s="727" t="s">
        <v>164</v>
      </c>
      <c r="Q8" s="727" t="s">
        <v>163</v>
      </c>
      <c r="R8" s="311"/>
      <c r="S8" s="226">
        <f t="shared" si="0"/>
        <v>36</v>
      </c>
      <c r="T8" s="226">
        <f t="shared" si="0"/>
        <v>48</v>
      </c>
      <c r="U8" s="226">
        <f t="shared" si="0"/>
        <v>24</v>
      </c>
      <c r="V8" s="226">
        <f t="shared" si="0"/>
        <v>36</v>
      </c>
      <c r="W8" s="226">
        <f t="shared" si="0"/>
        <v>12</v>
      </c>
      <c r="X8" s="226">
        <f t="shared" si="0"/>
        <v>60</v>
      </c>
      <c r="Y8" s="226">
        <f t="shared" si="0"/>
        <v>36</v>
      </c>
      <c r="Z8" s="226">
        <f t="shared" si="0"/>
        <v>24</v>
      </c>
      <c r="AA8" s="755"/>
      <c r="AB8" s="759" t="str">
        <f t="shared" si="1"/>
        <v>التربية الفنية</v>
      </c>
      <c r="AC8" s="744" t="str">
        <f t="shared" si="1"/>
        <v>التربية البدنية</v>
      </c>
      <c r="AD8" s="733" t="str">
        <f t="shared" si="1"/>
        <v>التربية الموسيقية</v>
      </c>
      <c r="AE8" s="227"/>
      <c r="AF8" s="228">
        <f>AF7*40*0.4</f>
        <v>48</v>
      </c>
      <c r="AG8" s="228">
        <f t="shared" ref="AG8:AL8" si="6">AG7*40*0.4</f>
        <v>64</v>
      </c>
      <c r="AH8" s="228">
        <f t="shared" ref="AH8" si="7">AH7*40*0.4</f>
        <v>32</v>
      </c>
      <c r="AI8" s="228">
        <f t="shared" si="6"/>
        <v>48</v>
      </c>
      <c r="AJ8" s="228">
        <f t="shared" si="6"/>
        <v>16</v>
      </c>
      <c r="AK8" s="228">
        <f t="shared" si="6"/>
        <v>80</v>
      </c>
      <c r="AL8" s="228">
        <f t="shared" si="6"/>
        <v>48</v>
      </c>
      <c r="AM8" s="228">
        <f t="shared" ref="AM8" si="8">AM7*40*0.4</f>
        <v>32</v>
      </c>
      <c r="AN8" s="756"/>
      <c r="AO8" s="731" t="str">
        <f t="shared" si="3"/>
        <v>التربية الفنية</v>
      </c>
      <c r="AP8" s="746" t="str">
        <f t="shared" si="3"/>
        <v>التربية البدنية</v>
      </c>
      <c r="AQ8" s="732" t="str">
        <f t="shared" si="3"/>
        <v>التربية الموسيقية</v>
      </c>
      <c r="AR8" s="772"/>
      <c r="AS8" s="773"/>
      <c r="AT8" s="774"/>
      <c r="AU8" s="784"/>
      <c r="AV8" s="785"/>
      <c r="AW8" s="785"/>
      <c r="AX8" s="785"/>
      <c r="AY8" s="785"/>
      <c r="AZ8" s="786"/>
      <c r="BG8" s="72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U8" s="173"/>
      <c r="CH8" s="175" t="s">
        <v>118</v>
      </c>
      <c r="CI8" s="171" t="s">
        <v>154</v>
      </c>
      <c r="CJ8" s="176" t="s">
        <v>175</v>
      </c>
      <c r="CK8" s="177" t="s">
        <v>174</v>
      </c>
    </row>
    <row r="9" spans="1:100" s="202" customFormat="1" ht="32.25" customHeight="1" thickTop="1" thickBot="1" x14ac:dyDescent="0.3">
      <c r="A9" s="709"/>
      <c r="B9" s="712"/>
      <c r="C9" s="729"/>
      <c r="D9" s="715"/>
      <c r="E9" s="238"/>
      <c r="F9" s="722" t="s">
        <v>19</v>
      </c>
      <c r="G9" s="722" t="s">
        <v>155</v>
      </c>
      <c r="H9" s="720" t="s">
        <v>165</v>
      </c>
      <c r="I9" s="722" t="s">
        <v>18</v>
      </c>
      <c r="J9" s="720" t="s">
        <v>162</v>
      </c>
      <c r="K9" s="734" t="s">
        <v>170</v>
      </c>
      <c r="L9" s="722" t="s">
        <v>17</v>
      </c>
      <c r="M9" s="722" t="s">
        <v>166</v>
      </c>
      <c r="N9" s="793"/>
      <c r="O9" s="726"/>
      <c r="P9" s="727"/>
      <c r="Q9" s="727"/>
      <c r="R9" s="249"/>
      <c r="S9" s="719" t="str">
        <f t="shared" si="0"/>
        <v>التربية الإسلامية</v>
      </c>
      <c r="T9" s="719" t="str">
        <f t="shared" si="0"/>
        <v>اللغة العربية</v>
      </c>
      <c r="U9" s="717" t="str">
        <f t="shared" si="0"/>
        <v>الكتابة</v>
      </c>
      <c r="V9" s="719" t="str">
        <f t="shared" si="0"/>
        <v>اللغة الإنجليزية</v>
      </c>
      <c r="W9" s="717" t="str">
        <f t="shared" si="0"/>
        <v>الحاسوب</v>
      </c>
      <c r="X9" s="719" t="str">
        <f t="shared" si="0"/>
        <v>الرياضيات</v>
      </c>
      <c r="Y9" s="701" t="str">
        <f t="shared" si="0"/>
        <v>العلوم</v>
      </c>
      <c r="Z9" s="701" t="str">
        <f t="shared" si="0"/>
        <v>الاجتماعيات</v>
      </c>
      <c r="AA9" s="745"/>
      <c r="AB9" s="759"/>
      <c r="AC9" s="745"/>
      <c r="AD9" s="733"/>
      <c r="AE9" s="239"/>
      <c r="AF9" s="705" t="str">
        <f t="shared" ref="AF9:AM9" si="9">F9</f>
        <v>التربية الإسلامية</v>
      </c>
      <c r="AG9" s="705" t="str">
        <f t="shared" si="9"/>
        <v>اللغة العربية</v>
      </c>
      <c r="AH9" s="705" t="str">
        <f t="shared" si="9"/>
        <v>الكتابة</v>
      </c>
      <c r="AI9" s="705" t="str">
        <f t="shared" si="9"/>
        <v>اللغة الإنجليزية</v>
      </c>
      <c r="AJ9" s="706" t="str">
        <f t="shared" si="9"/>
        <v>الحاسوب</v>
      </c>
      <c r="AK9" s="705" t="str">
        <f t="shared" si="9"/>
        <v>الرياضيات</v>
      </c>
      <c r="AL9" s="703" t="str">
        <f t="shared" si="9"/>
        <v>العلوم</v>
      </c>
      <c r="AM9" s="703" t="str">
        <f t="shared" si="9"/>
        <v>الاجتماعيات</v>
      </c>
      <c r="AN9" s="747"/>
      <c r="AO9" s="731"/>
      <c r="AP9" s="747"/>
      <c r="AQ9" s="732"/>
      <c r="AR9" s="775"/>
      <c r="AS9" s="776"/>
      <c r="AT9" s="777"/>
      <c r="AU9" s="724" t="s">
        <v>93</v>
      </c>
      <c r="AV9" s="725"/>
      <c r="AW9" s="787" t="s">
        <v>67</v>
      </c>
      <c r="AX9" s="788"/>
      <c r="AY9" s="789" t="s">
        <v>87</v>
      </c>
      <c r="AZ9" s="790"/>
      <c r="BA9" s="262"/>
      <c r="BB9" s="262"/>
      <c r="BC9" s="262"/>
      <c r="BF9" s="248"/>
      <c r="BG9" s="240"/>
      <c r="BH9" s="241"/>
      <c r="BI9" s="248"/>
      <c r="BJ9" s="248"/>
      <c r="BK9" s="248"/>
      <c r="BL9" s="240"/>
      <c r="BM9" s="241"/>
      <c r="BN9" s="248"/>
      <c r="BO9" s="248"/>
      <c r="BP9" s="248"/>
      <c r="BQ9" s="241"/>
      <c r="BR9" s="241"/>
      <c r="BS9" s="241"/>
      <c r="BT9" s="241"/>
      <c r="BU9" s="241"/>
      <c r="BV9" s="740"/>
      <c r="BW9" s="740"/>
      <c r="BX9" s="740"/>
      <c r="BY9" s="740"/>
      <c r="BZ9" s="740"/>
      <c r="CA9" s="740"/>
      <c r="CB9" s="740"/>
      <c r="CC9" s="740"/>
      <c r="CD9" s="740"/>
      <c r="CE9" s="740"/>
      <c r="CF9" s="740"/>
      <c r="CG9" s="740"/>
    </row>
    <row r="10" spans="1:100" s="202" customFormat="1" ht="32.25" customHeight="1" thickBot="1" x14ac:dyDescent="0.3">
      <c r="A10" s="710"/>
      <c r="B10" s="713"/>
      <c r="C10" s="730"/>
      <c r="D10" s="716"/>
      <c r="E10" s="242"/>
      <c r="F10" s="723"/>
      <c r="G10" s="723"/>
      <c r="H10" s="721"/>
      <c r="I10" s="723"/>
      <c r="J10" s="721"/>
      <c r="K10" s="735"/>
      <c r="L10" s="723"/>
      <c r="M10" s="723"/>
      <c r="N10" s="246">
        <f>SUM(F8:M8)</f>
        <v>276</v>
      </c>
      <c r="O10" s="367" t="s">
        <v>20</v>
      </c>
      <c r="P10" s="371" t="s">
        <v>20</v>
      </c>
      <c r="Q10" s="371" t="s">
        <v>20</v>
      </c>
      <c r="R10" s="318"/>
      <c r="S10" s="717"/>
      <c r="T10" s="717"/>
      <c r="U10" s="718"/>
      <c r="V10" s="717"/>
      <c r="W10" s="718"/>
      <c r="X10" s="717"/>
      <c r="Y10" s="702"/>
      <c r="Z10" s="702"/>
      <c r="AA10" s="246">
        <f>SUM(S8:Z8)</f>
        <v>276</v>
      </c>
      <c r="AB10" s="368" t="str">
        <f>O10</f>
        <v>تقديرات</v>
      </c>
      <c r="AC10" s="369" t="str">
        <f>P10</f>
        <v>تقديرات</v>
      </c>
      <c r="AD10" s="370" t="str">
        <f>Q10</f>
        <v>تقديرات</v>
      </c>
      <c r="AE10" s="243"/>
      <c r="AF10" s="706"/>
      <c r="AG10" s="706"/>
      <c r="AH10" s="706"/>
      <c r="AI10" s="706"/>
      <c r="AJ10" s="707"/>
      <c r="AK10" s="706"/>
      <c r="AL10" s="704"/>
      <c r="AM10" s="704"/>
      <c r="AN10" s="250">
        <f>SUM(AF8:AM8)</f>
        <v>368</v>
      </c>
      <c r="AO10" s="366" t="str">
        <f>O10</f>
        <v>تقديرات</v>
      </c>
      <c r="AP10" s="372" t="str">
        <f>P10</f>
        <v>تقديرات</v>
      </c>
      <c r="AQ10" s="372" t="str">
        <f>Q10</f>
        <v>تقديرات</v>
      </c>
      <c r="AR10" s="257" t="s">
        <v>93</v>
      </c>
      <c r="AS10" s="256" t="s">
        <v>67</v>
      </c>
      <c r="AT10" s="251" t="s">
        <v>87</v>
      </c>
      <c r="AU10" s="258" t="s">
        <v>95</v>
      </c>
      <c r="AV10" s="259" t="s">
        <v>96</v>
      </c>
      <c r="AW10" s="254" t="s">
        <v>95</v>
      </c>
      <c r="AX10" s="255" t="s">
        <v>96</v>
      </c>
      <c r="AY10" s="252" t="s">
        <v>95</v>
      </c>
      <c r="AZ10" s="253" t="s">
        <v>96</v>
      </c>
      <c r="BA10" s="262"/>
      <c r="BB10" s="262"/>
      <c r="BC10" s="262" t="s">
        <v>151</v>
      </c>
      <c r="BD10" s="766" t="s">
        <v>106</v>
      </c>
      <c r="BE10" s="767"/>
      <c r="BF10" s="768"/>
      <c r="BG10" s="240"/>
      <c r="BH10" s="241"/>
      <c r="BI10" s="763" t="s">
        <v>104</v>
      </c>
      <c r="BJ10" s="764"/>
      <c r="BK10" s="765"/>
      <c r="BL10" s="240"/>
      <c r="BM10" s="241"/>
      <c r="BN10" s="760" t="s">
        <v>111</v>
      </c>
      <c r="BO10" s="761"/>
      <c r="BP10" s="762"/>
      <c r="BQ10" s="241"/>
      <c r="BR10" s="241"/>
      <c r="BS10" s="241"/>
      <c r="BT10" s="241" t="s">
        <v>149</v>
      </c>
      <c r="BU10" s="244" t="s">
        <v>119</v>
      </c>
      <c r="BV10" s="741" t="s">
        <v>120</v>
      </c>
      <c r="BW10" s="741"/>
      <c r="BX10" s="741"/>
      <c r="BY10" s="741"/>
      <c r="BZ10" s="741"/>
      <c r="CA10" s="741"/>
      <c r="CB10" s="741"/>
      <c r="CC10" s="741"/>
      <c r="CD10" s="741"/>
      <c r="CE10" s="741"/>
      <c r="CF10" s="741"/>
      <c r="CG10" s="742"/>
      <c r="CH10" s="203" t="s">
        <v>121</v>
      </c>
      <c r="CI10" s="203" t="s">
        <v>122</v>
      </c>
      <c r="CJ10" s="203" t="s">
        <v>123</v>
      </c>
      <c r="CK10" s="203" t="s">
        <v>124</v>
      </c>
      <c r="CL10" s="203" t="s">
        <v>88</v>
      </c>
    </row>
    <row r="11" spans="1:100" ht="17.25" customHeight="1" thickBot="1" x14ac:dyDescent="0.3">
      <c r="A11" s="211">
        <v>1</v>
      </c>
      <c r="B11" s="89" t="s">
        <v>180</v>
      </c>
      <c r="C11" s="199">
        <v>42388</v>
      </c>
      <c r="D11" s="146" t="s">
        <v>181</v>
      </c>
      <c r="E11" s="319" t="s">
        <v>93</v>
      </c>
      <c r="F11" s="221">
        <v>36</v>
      </c>
      <c r="G11" s="222">
        <v>48</v>
      </c>
      <c r="H11" s="222">
        <v>23</v>
      </c>
      <c r="I11" s="222">
        <v>36</v>
      </c>
      <c r="J11" s="222">
        <v>12</v>
      </c>
      <c r="K11" s="222">
        <v>57</v>
      </c>
      <c r="L11" s="222">
        <v>36</v>
      </c>
      <c r="M11" s="331">
        <v>24</v>
      </c>
      <c r="N11" s="303">
        <f>SUM(F11:M11)</f>
        <v>272</v>
      </c>
      <c r="O11" s="304" t="s">
        <v>171</v>
      </c>
      <c r="P11" s="341" t="s">
        <v>171</v>
      </c>
      <c r="Q11" s="305"/>
      <c r="R11" s="328" t="s">
        <v>67</v>
      </c>
      <c r="S11" s="326"/>
      <c r="T11" s="327"/>
      <c r="U11" s="327"/>
      <c r="V11" s="327"/>
      <c r="W11" s="327"/>
      <c r="X11" s="327"/>
      <c r="Y11" s="95"/>
      <c r="Z11" s="331"/>
      <c r="AA11" s="331">
        <f>SUM(S11:Z11)</f>
        <v>0</v>
      </c>
      <c r="AB11" s="314"/>
      <c r="AC11" s="314"/>
      <c r="AD11" s="314"/>
      <c r="AE11" s="332" t="s">
        <v>148</v>
      </c>
      <c r="AF11" s="15"/>
      <c r="AG11" s="232"/>
      <c r="AH11" s="232"/>
      <c r="AI11" s="232"/>
      <c r="AJ11" s="232"/>
      <c r="AK11" s="232"/>
      <c r="AL11" s="7"/>
      <c r="AM11" s="352"/>
      <c r="AN11" s="333">
        <f>SUM(AF11:AM11)</f>
        <v>0</v>
      </c>
      <c r="AO11" s="15"/>
      <c r="AP11" s="345"/>
      <c r="AQ11" s="7"/>
      <c r="AR11" s="103"/>
      <c r="AS11" s="101"/>
      <c r="AT11" s="236"/>
      <c r="AU11" s="235"/>
      <c r="AV11" s="92"/>
      <c r="AW11" s="235"/>
      <c r="AX11" s="92"/>
      <c r="AY11" s="235"/>
      <c r="AZ11" s="92"/>
      <c r="BA11" s="17">
        <f t="shared" ref="BA11:BA73" si="10">N11+ROW()*0.0000001</f>
        <v>272.00000110000002</v>
      </c>
      <c r="BB11" s="17" t="str">
        <f t="shared" ref="BB11:BB73" si="11">B11</f>
        <v>أحمد نورالدين أحمد الذيب</v>
      </c>
      <c r="BC11" s="17"/>
      <c r="BD11" s="215">
        <v>1</v>
      </c>
      <c r="BE11" s="87">
        <f t="shared" ref="BE11:BE74" si="12">IFERROR(LARGE($BA$11:$BA$410,BD11),"")</f>
        <v>274.00000199999999</v>
      </c>
      <c r="BF11" s="215" t="str">
        <f t="shared" ref="BF11:BF73" si="13">IFERROR(VLOOKUP(BE11,الترتيب1,2,0),"")</f>
        <v>عبد العزيز عبدالله محمد المغربي</v>
      </c>
      <c r="BG11" s="245">
        <f t="shared" ref="BG11:BG73" si="14">AA11+ROW()*0.0000001</f>
        <v>1.1000000000000001E-6</v>
      </c>
      <c r="BH11" s="17" t="str">
        <f>BB11</f>
        <v>أحمد نورالدين أحمد الذيب</v>
      </c>
      <c r="BI11" s="215">
        <v>1</v>
      </c>
      <c r="BJ11" s="87">
        <f t="shared" ref="BJ11:BJ74" si="15">IFERROR(LARGE($BG$11:$BG$410,BI11),"")</f>
        <v>4.1E-5</v>
      </c>
      <c r="BK11" s="215" t="str">
        <f t="shared" ref="BK11:BK73" si="16">IFERROR(VLOOKUP(BJ11,الترتيب2,2,0),"")</f>
        <v/>
      </c>
      <c r="BL11" s="245">
        <f>AN11+ROW()*0.0000001</f>
        <v>1.1000000000000001E-6</v>
      </c>
      <c r="BM11" s="17" t="str">
        <f>BH11</f>
        <v>أحمد نورالدين أحمد الذيب</v>
      </c>
      <c r="BN11" s="215">
        <v>1</v>
      </c>
      <c r="BO11" s="87">
        <f t="shared" ref="BO11:BO74" si="17">IFERROR(LARGE($BL$11:$BL$410,BN11),"")</f>
        <v>4.1E-5</v>
      </c>
      <c r="BP11" s="215">
        <f t="shared" ref="BP11:BP73" si="18">IFERROR(VLOOKUP(BO11,الترتيب3,2,0),"")</f>
        <v>0</v>
      </c>
      <c r="BR11" s="126"/>
      <c r="BS11" s="126"/>
      <c r="BT11" s="126">
        <v>120161274822</v>
      </c>
      <c r="BU11" s="178" t="s">
        <v>214</v>
      </c>
      <c r="BV11" s="179" t="str">
        <f>MID($BT11,12,1)</f>
        <v>2</v>
      </c>
      <c r="BW11" s="179" t="str">
        <f>MID($BT11,11,1)</f>
        <v>2</v>
      </c>
      <c r="BX11" s="179" t="str">
        <f>MID($BT11,10,1)</f>
        <v>8</v>
      </c>
      <c r="BY11" s="179" t="str">
        <f>MID($BT11,9,1)</f>
        <v>4</v>
      </c>
      <c r="BZ11" s="179" t="str">
        <f>MID($BT11,8,1)</f>
        <v>7</v>
      </c>
      <c r="CA11" s="179" t="str">
        <f>MID($BT11,7,1)</f>
        <v>2</v>
      </c>
      <c r="CB11" s="179" t="str">
        <f>MID($BT11,6,1)</f>
        <v>1</v>
      </c>
      <c r="CC11" s="179" t="str">
        <f>MID($BT11,5,1)</f>
        <v>6</v>
      </c>
      <c r="CD11" s="179" t="str">
        <f>MID($BT11,4,1)</f>
        <v>1</v>
      </c>
      <c r="CE11" s="179" t="str">
        <f>MID($BT11,3,1)</f>
        <v>0</v>
      </c>
      <c r="CF11" s="179" t="str">
        <f>MID($BT11,2,1)</f>
        <v>2</v>
      </c>
      <c r="CG11" s="179" t="str">
        <f>MID($BT11,1,1)</f>
        <v>1</v>
      </c>
      <c r="CH11" s="166" t="s">
        <v>179</v>
      </c>
      <c r="CI11" s="166" t="s">
        <v>179</v>
      </c>
      <c r="CJ11" s="166" t="s">
        <v>147</v>
      </c>
      <c r="CK11" s="166" t="s">
        <v>150</v>
      </c>
      <c r="CL11" s="166" t="s">
        <v>229</v>
      </c>
    </row>
    <row r="12" spans="1:100" ht="14.25" customHeight="1" thickBot="1" x14ac:dyDescent="0.3">
      <c r="A12" s="213">
        <v>2</v>
      </c>
      <c r="B12" s="382" t="s">
        <v>182</v>
      </c>
      <c r="C12" s="199">
        <v>42371</v>
      </c>
      <c r="D12" s="146" t="s">
        <v>183</v>
      </c>
      <c r="E12" s="319" t="s">
        <v>93</v>
      </c>
      <c r="F12" s="221">
        <v>36</v>
      </c>
      <c r="G12" s="222">
        <v>48</v>
      </c>
      <c r="H12" s="222">
        <v>23</v>
      </c>
      <c r="I12" s="222">
        <v>36</v>
      </c>
      <c r="J12" s="222">
        <v>12</v>
      </c>
      <c r="K12" s="222">
        <v>59</v>
      </c>
      <c r="L12" s="222">
        <v>36</v>
      </c>
      <c r="M12" s="331">
        <v>24</v>
      </c>
      <c r="N12" s="303">
        <f t="shared" ref="N12" si="19">SUM(F12:M12)</f>
        <v>274</v>
      </c>
      <c r="O12" s="304" t="s">
        <v>171</v>
      </c>
      <c r="P12" s="341" t="s">
        <v>171</v>
      </c>
      <c r="Q12" s="305"/>
      <c r="R12" s="328" t="s">
        <v>67</v>
      </c>
      <c r="S12" s="326"/>
      <c r="T12" s="327"/>
      <c r="U12" s="327"/>
      <c r="V12" s="327"/>
      <c r="W12" s="327"/>
      <c r="X12" s="327"/>
      <c r="Y12" s="95"/>
      <c r="Z12" s="331"/>
      <c r="AA12" s="331">
        <f t="shared" ref="AA12" si="20">SUM(S12:Z12)</f>
        <v>0</v>
      </c>
      <c r="AB12" s="314"/>
      <c r="AC12" s="314"/>
      <c r="AD12" s="314">
        <f t="shared" ref="AD12:AD74" si="21">Q12</f>
        <v>0</v>
      </c>
      <c r="AE12" s="330" t="s">
        <v>87</v>
      </c>
      <c r="AF12" s="82"/>
      <c r="AG12" s="337"/>
      <c r="AH12" s="337"/>
      <c r="AI12" s="337"/>
      <c r="AJ12" s="337"/>
      <c r="AK12" s="337"/>
      <c r="AL12" s="338"/>
      <c r="AM12" s="354"/>
      <c r="AN12" s="334">
        <f t="shared" ref="AN12" si="22">SUM(AF12:AL12)</f>
        <v>0</v>
      </c>
      <c r="AO12" s="96">
        <f t="shared" ref="AO12:AO74" si="23">AB12</f>
        <v>0</v>
      </c>
      <c r="AP12" s="210"/>
      <c r="AQ12" s="97">
        <f t="shared" ref="AQ12:AQ74" si="24">AD12</f>
        <v>0</v>
      </c>
      <c r="AR12" s="105"/>
      <c r="AS12" s="102"/>
      <c r="AT12" s="237"/>
      <c r="AU12" s="231"/>
      <c r="AV12" s="93"/>
      <c r="AW12" s="231"/>
      <c r="AX12" s="93"/>
      <c r="AY12" s="231"/>
      <c r="AZ12" s="93"/>
      <c r="BA12" s="17">
        <f t="shared" si="10"/>
        <v>274.00000119999999</v>
      </c>
      <c r="BB12" s="17" t="str">
        <f t="shared" si="11"/>
        <v>أدم أحمد الفرجاني الترهوني</v>
      </c>
      <c r="BC12" s="17"/>
      <c r="BD12" s="86">
        <v>3</v>
      </c>
      <c r="BE12" s="87">
        <f t="shared" si="12"/>
        <v>272.00000269999998</v>
      </c>
      <c r="BF12" s="215">
        <f t="shared" si="13"/>
        <v>0</v>
      </c>
      <c r="BG12" s="245">
        <f t="shared" si="14"/>
        <v>1.1999999999999999E-6</v>
      </c>
      <c r="BH12" s="17" t="str">
        <f t="shared" ref="BH12:BH74" si="25">BB12</f>
        <v>أدم أحمد الفرجاني الترهوني</v>
      </c>
      <c r="BI12" s="86">
        <v>3</v>
      </c>
      <c r="BJ12" s="87">
        <f t="shared" si="15"/>
        <v>4.0799999999999996E-5</v>
      </c>
      <c r="BK12" s="215">
        <f t="shared" si="16"/>
        <v>0</v>
      </c>
      <c r="BL12" s="245">
        <f t="shared" ref="BL12:BL74" si="26">AN12+ROW()*0.0000001</f>
        <v>1.1999999999999999E-6</v>
      </c>
      <c r="BM12" s="17" t="str">
        <f t="shared" ref="BM12:BM74" si="27">BH12</f>
        <v>أدم أحمد الفرجاني الترهوني</v>
      </c>
      <c r="BN12" s="86">
        <v>3</v>
      </c>
      <c r="BO12" s="87">
        <f t="shared" si="17"/>
        <v>4.0799999999999996E-5</v>
      </c>
      <c r="BP12" s="215">
        <f t="shared" si="18"/>
        <v>0</v>
      </c>
      <c r="BR12" s="126"/>
      <c r="BS12" s="126"/>
      <c r="BT12" s="17">
        <v>120160067519</v>
      </c>
      <c r="BU12" s="178" t="s">
        <v>215</v>
      </c>
      <c r="BV12" s="179" t="str">
        <f t="shared" ref="BV12:BV74" si="28">MID($BT12,12,1)</f>
        <v>9</v>
      </c>
      <c r="BW12" s="179" t="str">
        <f t="shared" ref="BW12:BW74" si="29">MID($BT12,11,1)</f>
        <v>1</v>
      </c>
      <c r="BX12" s="179" t="str">
        <f t="shared" ref="BX12:BX74" si="30">MID($BT12,10,1)</f>
        <v>5</v>
      </c>
      <c r="BY12" s="179" t="str">
        <f t="shared" ref="BY12:BY74" si="31">MID($BT12,9,1)</f>
        <v>7</v>
      </c>
      <c r="BZ12" s="179" t="str">
        <f t="shared" ref="BZ12:BZ74" si="32">MID($BT12,8,1)</f>
        <v>6</v>
      </c>
      <c r="CA12" s="179" t="str">
        <f t="shared" ref="CA12:CA74" si="33">MID($BT12,7,1)</f>
        <v>0</v>
      </c>
      <c r="CB12" s="179" t="str">
        <f t="shared" ref="CB12:CB74" si="34">MID($BT12,6,1)</f>
        <v>0</v>
      </c>
      <c r="CC12" s="179" t="str">
        <f t="shared" ref="CC12:CC74" si="35">MID($BT12,5,1)</f>
        <v>6</v>
      </c>
      <c r="CD12" s="179" t="str">
        <f t="shared" ref="CD12:CD74" si="36">MID($BT12,4,1)</f>
        <v>1</v>
      </c>
      <c r="CE12" s="179" t="str">
        <f t="shared" ref="CE12:CE74" si="37">MID($BT12,3,1)</f>
        <v>0</v>
      </c>
      <c r="CF12" s="179" t="str">
        <f t="shared" ref="CF12:CF74" si="38">MID($BT12,2,1)</f>
        <v>2</v>
      </c>
      <c r="CG12" s="179" t="str">
        <f t="shared" ref="CG12:CG74" si="39">MID($BT12,1,1)</f>
        <v>1</v>
      </c>
      <c r="CH12" s="166" t="s">
        <v>179</v>
      </c>
      <c r="CI12" s="166" t="s">
        <v>179</v>
      </c>
      <c r="CJ12" s="166" t="s">
        <v>147</v>
      </c>
      <c r="CK12" s="166" t="s">
        <v>150</v>
      </c>
      <c r="CL12" s="166" t="s">
        <v>229</v>
      </c>
    </row>
    <row r="13" spans="1:100" ht="12" customHeight="1" thickBot="1" x14ac:dyDescent="0.3">
      <c r="A13" s="211">
        <v>3</v>
      </c>
      <c r="B13" s="381" t="s">
        <v>184</v>
      </c>
      <c r="C13" s="200">
        <v>42436</v>
      </c>
      <c r="D13" s="145" t="s">
        <v>185</v>
      </c>
      <c r="E13" s="320" t="s">
        <v>93</v>
      </c>
      <c r="F13" s="326">
        <v>36</v>
      </c>
      <c r="G13" s="222">
        <v>39</v>
      </c>
      <c r="H13" s="327">
        <v>17</v>
      </c>
      <c r="I13" s="327">
        <v>32</v>
      </c>
      <c r="J13" s="327">
        <v>12</v>
      </c>
      <c r="K13" s="222">
        <v>50</v>
      </c>
      <c r="L13" s="222">
        <v>31</v>
      </c>
      <c r="M13" s="331">
        <v>20</v>
      </c>
      <c r="N13" s="233">
        <f>SUM(F13:M13)</f>
        <v>237</v>
      </c>
      <c r="O13" s="304" t="s">
        <v>171</v>
      </c>
      <c r="P13" s="341" t="s">
        <v>171</v>
      </c>
      <c r="Q13" s="307"/>
      <c r="R13" s="329" t="s">
        <v>67</v>
      </c>
      <c r="S13" s="221"/>
      <c r="T13" s="222"/>
      <c r="U13" s="222"/>
      <c r="V13" s="222"/>
      <c r="W13" s="222"/>
      <c r="X13" s="222"/>
      <c r="Y13" s="222"/>
      <c r="Z13" s="331"/>
      <c r="AA13" s="339">
        <f t="shared" ref="AA13" si="40">SUM(S13:Y13)</f>
        <v>0</v>
      </c>
      <c r="AB13" s="314"/>
      <c r="AC13" s="314"/>
      <c r="AD13" s="314">
        <f t="shared" si="21"/>
        <v>0</v>
      </c>
      <c r="AE13" s="325" t="s">
        <v>148</v>
      </c>
      <c r="AF13" s="15"/>
      <c r="AG13" s="232"/>
      <c r="AH13" s="232"/>
      <c r="AI13" s="232"/>
      <c r="AJ13" s="232"/>
      <c r="AK13" s="232"/>
      <c r="AL13" s="7"/>
      <c r="AM13" s="352"/>
      <c r="AN13" s="22">
        <f t="shared" ref="AN13:AN76" si="41">SUM(AF13:AL13)</f>
        <v>0</v>
      </c>
      <c r="AO13" s="15">
        <f t="shared" si="23"/>
        <v>0</v>
      </c>
      <c r="AP13" s="345"/>
      <c r="AQ13" s="7">
        <f t="shared" si="24"/>
        <v>0</v>
      </c>
      <c r="AR13" s="103"/>
      <c r="AS13" s="101"/>
      <c r="AT13" s="236"/>
      <c r="AU13" s="235"/>
      <c r="AV13" s="92"/>
      <c r="AW13" s="235"/>
      <c r="AX13" s="92"/>
      <c r="AY13" s="235"/>
      <c r="AZ13" s="92"/>
      <c r="BA13" s="17">
        <f t="shared" si="10"/>
        <v>237.00000130000001</v>
      </c>
      <c r="BB13" s="17" t="str">
        <f t="shared" si="11"/>
        <v>إلين محمد النفاتي الهليب</v>
      </c>
      <c r="BC13" s="17"/>
      <c r="BD13" s="218">
        <v>4</v>
      </c>
      <c r="BE13" s="87">
        <f t="shared" si="12"/>
        <v>272.00000110000002</v>
      </c>
      <c r="BF13" s="215" t="str">
        <f t="shared" si="13"/>
        <v>أحمد نورالدين أحمد الذيب</v>
      </c>
      <c r="BG13" s="245">
        <f t="shared" si="14"/>
        <v>1.2999999999999998E-6</v>
      </c>
      <c r="BH13" s="17" t="str">
        <f t="shared" si="25"/>
        <v>إلين محمد النفاتي الهليب</v>
      </c>
      <c r="BI13" s="218">
        <v>4</v>
      </c>
      <c r="BJ13" s="87">
        <f t="shared" si="15"/>
        <v>4.07E-5</v>
      </c>
      <c r="BK13" s="215">
        <f t="shared" si="16"/>
        <v>0</v>
      </c>
      <c r="BL13" s="245">
        <f t="shared" si="26"/>
        <v>1.2999999999999998E-6</v>
      </c>
      <c r="BM13" s="17" t="str">
        <f t="shared" si="27"/>
        <v>إلين محمد النفاتي الهليب</v>
      </c>
      <c r="BN13" s="218">
        <v>4</v>
      </c>
      <c r="BO13" s="87">
        <f t="shared" si="17"/>
        <v>4.07E-5</v>
      </c>
      <c r="BP13" s="215">
        <f t="shared" si="18"/>
        <v>0</v>
      </c>
      <c r="BR13" s="126"/>
      <c r="BS13" s="126"/>
      <c r="BT13" s="17">
        <v>220161210162</v>
      </c>
      <c r="BU13" s="178" t="s">
        <v>216</v>
      </c>
      <c r="BV13" s="179" t="str">
        <f t="shared" si="28"/>
        <v>2</v>
      </c>
      <c r="BW13" s="179" t="str">
        <f t="shared" si="29"/>
        <v>6</v>
      </c>
      <c r="BX13" s="179" t="str">
        <f t="shared" si="30"/>
        <v>1</v>
      </c>
      <c r="BY13" s="179" t="str">
        <f t="shared" si="31"/>
        <v>0</v>
      </c>
      <c r="BZ13" s="179" t="str">
        <f t="shared" si="32"/>
        <v>1</v>
      </c>
      <c r="CA13" s="179" t="str">
        <f t="shared" si="33"/>
        <v>2</v>
      </c>
      <c r="CB13" s="179" t="str">
        <f t="shared" si="34"/>
        <v>1</v>
      </c>
      <c r="CC13" s="179" t="str">
        <f t="shared" si="35"/>
        <v>6</v>
      </c>
      <c r="CD13" s="179" t="str">
        <f t="shared" si="36"/>
        <v>1</v>
      </c>
      <c r="CE13" s="179" t="str">
        <f t="shared" si="37"/>
        <v>0</v>
      </c>
      <c r="CF13" s="179" t="str">
        <f t="shared" si="38"/>
        <v>2</v>
      </c>
      <c r="CG13" s="179" t="str">
        <f t="shared" si="39"/>
        <v>2</v>
      </c>
      <c r="CH13" s="166" t="s">
        <v>173</v>
      </c>
      <c r="CI13" s="166" t="s">
        <v>173</v>
      </c>
      <c r="CJ13" s="166" t="s">
        <v>147</v>
      </c>
      <c r="CK13" s="166" t="s">
        <v>150</v>
      </c>
      <c r="CL13" s="166" t="s">
        <v>229</v>
      </c>
    </row>
    <row r="14" spans="1:100" ht="14.25" customHeight="1" thickBot="1" x14ac:dyDescent="0.3">
      <c r="A14" s="213">
        <v>4</v>
      </c>
      <c r="B14" s="382" t="s">
        <v>186</v>
      </c>
      <c r="C14" s="199">
        <v>42705</v>
      </c>
      <c r="D14" s="146" t="s">
        <v>187</v>
      </c>
      <c r="E14" s="319" t="s">
        <v>93</v>
      </c>
      <c r="F14" s="221">
        <v>27</v>
      </c>
      <c r="G14" s="222">
        <v>24</v>
      </c>
      <c r="H14" s="222">
        <v>14</v>
      </c>
      <c r="I14" s="222">
        <v>24</v>
      </c>
      <c r="J14" s="222">
        <v>9</v>
      </c>
      <c r="K14" s="222">
        <v>40</v>
      </c>
      <c r="L14" s="222">
        <v>33</v>
      </c>
      <c r="M14" s="331">
        <v>15</v>
      </c>
      <c r="N14" s="303">
        <f t="shared" ref="N14" si="42">SUM(F14:M14)</f>
        <v>186</v>
      </c>
      <c r="O14" s="304" t="s">
        <v>171</v>
      </c>
      <c r="P14" s="341" t="s">
        <v>171</v>
      </c>
      <c r="Q14" s="305"/>
      <c r="R14" s="328" t="s">
        <v>67</v>
      </c>
      <c r="S14" s="326"/>
      <c r="T14" s="327"/>
      <c r="U14" s="327"/>
      <c r="V14" s="327"/>
      <c r="W14" s="327"/>
      <c r="X14" s="327"/>
      <c r="Y14" s="95"/>
      <c r="Z14" s="331"/>
      <c r="AA14" s="331">
        <f t="shared" ref="AA14" si="43">SUM(S14:Z14)</f>
        <v>0</v>
      </c>
      <c r="AB14" s="314"/>
      <c r="AC14" s="314"/>
      <c r="AD14" s="314">
        <f t="shared" si="21"/>
        <v>0</v>
      </c>
      <c r="AE14" s="323" t="s">
        <v>87</v>
      </c>
      <c r="AF14" s="81"/>
      <c r="AG14" s="335"/>
      <c r="AH14" s="335"/>
      <c r="AI14" s="335"/>
      <c r="AJ14" s="335"/>
      <c r="AK14" s="335"/>
      <c r="AL14" s="336"/>
      <c r="AM14" s="353"/>
      <c r="AN14" s="22">
        <f t="shared" si="41"/>
        <v>0</v>
      </c>
      <c r="AO14" s="209">
        <f t="shared" si="23"/>
        <v>0</v>
      </c>
      <c r="AP14" s="339"/>
      <c r="AQ14" s="125">
        <f t="shared" si="24"/>
        <v>0</v>
      </c>
      <c r="AR14" s="104"/>
      <c r="AS14" s="217"/>
      <c r="AT14" s="216"/>
      <c r="AU14" s="230"/>
      <c r="AV14" s="220"/>
      <c r="AW14" s="230"/>
      <c r="AX14" s="220"/>
      <c r="AY14" s="230"/>
      <c r="AZ14" s="220"/>
      <c r="BA14" s="17">
        <f t="shared" si="10"/>
        <v>186.0000014</v>
      </c>
      <c r="BB14" s="17" t="str">
        <f t="shared" si="11"/>
        <v>جنان عبدالسلام محمد الجوادي</v>
      </c>
      <c r="BC14" s="17"/>
      <c r="BD14" s="218">
        <v>5</v>
      </c>
      <c r="BE14" s="87">
        <f t="shared" si="12"/>
        <v>268.00000210000002</v>
      </c>
      <c r="BF14" s="215" t="str">
        <f t="shared" si="13"/>
        <v>عبد الوهاب علي عبد الوهاب بودجاجة</v>
      </c>
      <c r="BG14" s="245">
        <f t="shared" si="14"/>
        <v>1.3999999999999999E-6</v>
      </c>
      <c r="BH14" s="17" t="str">
        <f t="shared" si="25"/>
        <v>جنان عبدالسلام محمد الجوادي</v>
      </c>
      <c r="BI14" s="218">
        <v>5</v>
      </c>
      <c r="BJ14" s="87">
        <f t="shared" si="15"/>
        <v>4.0599999999999998E-5</v>
      </c>
      <c r="BK14" s="215">
        <f t="shared" si="16"/>
        <v>0</v>
      </c>
      <c r="BL14" s="245">
        <f t="shared" si="26"/>
        <v>1.3999999999999999E-6</v>
      </c>
      <c r="BM14" s="17" t="str">
        <f t="shared" si="27"/>
        <v>جنان عبدالسلام محمد الجوادي</v>
      </c>
      <c r="BN14" s="218">
        <v>5</v>
      </c>
      <c r="BO14" s="87">
        <f t="shared" si="17"/>
        <v>4.0599999999999998E-5</v>
      </c>
      <c r="BP14" s="215">
        <f t="shared" si="18"/>
        <v>0</v>
      </c>
      <c r="BR14" s="126"/>
      <c r="BS14" s="126"/>
      <c r="BT14" s="17">
        <v>220160948105</v>
      </c>
      <c r="BU14" s="178" t="s">
        <v>217</v>
      </c>
      <c r="BV14" s="179" t="str">
        <f t="shared" si="28"/>
        <v>5</v>
      </c>
      <c r="BW14" s="179" t="str">
        <f t="shared" si="29"/>
        <v>0</v>
      </c>
      <c r="BX14" s="179" t="str">
        <f t="shared" si="30"/>
        <v>1</v>
      </c>
      <c r="BY14" s="179" t="str">
        <f t="shared" si="31"/>
        <v>8</v>
      </c>
      <c r="BZ14" s="179" t="str">
        <f t="shared" si="32"/>
        <v>4</v>
      </c>
      <c r="CA14" s="179" t="str">
        <f t="shared" si="33"/>
        <v>9</v>
      </c>
      <c r="CB14" s="179" t="str">
        <f t="shared" si="34"/>
        <v>0</v>
      </c>
      <c r="CC14" s="179" t="str">
        <f t="shared" si="35"/>
        <v>6</v>
      </c>
      <c r="CD14" s="179" t="str">
        <f t="shared" si="36"/>
        <v>1</v>
      </c>
      <c r="CE14" s="179" t="str">
        <f t="shared" si="37"/>
        <v>0</v>
      </c>
      <c r="CF14" s="179" t="str">
        <f t="shared" si="38"/>
        <v>2</v>
      </c>
      <c r="CG14" s="179" t="str">
        <f t="shared" si="39"/>
        <v>2</v>
      </c>
      <c r="CH14" s="166" t="s">
        <v>173</v>
      </c>
      <c r="CI14" s="166" t="s">
        <v>173</v>
      </c>
      <c r="CJ14" s="166" t="s">
        <v>147</v>
      </c>
      <c r="CK14" s="166" t="s">
        <v>150</v>
      </c>
      <c r="CL14" s="166" t="s">
        <v>229</v>
      </c>
    </row>
    <row r="15" spans="1:100" ht="14.25" customHeight="1" thickBot="1" x14ac:dyDescent="0.3">
      <c r="A15" s="211">
        <v>5</v>
      </c>
      <c r="B15" s="381" t="s">
        <v>188</v>
      </c>
      <c r="C15" s="200">
        <v>42569</v>
      </c>
      <c r="D15" s="145" t="s">
        <v>189</v>
      </c>
      <c r="E15" s="320" t="s">
        <v>93</v>
      </c>
      <c r="F15" s="326">
        <v>32</v>
      </c>
      <c r="G15" s="222">
        <v>41</v>
      </c>
      <c r="H15" s="327">
        <v>18</v>
      </c>
      <c r="I15" s="327">
        <v>31</v>
      </c>
      <c r="J15" s="327">
        <v>10</v>
      </c>
      <c r="K15" s="222">
        <v>52</v>
      </c>
      <c r="L15" s="222">
        <v>33</v>
      </c>
      <c r="M15" s="331">
        <v>20</v>
      </c>
      <c r="N15" s="233">
        <f>SUM(F15:M15)</f>
        <v>237</v>
      </c>
      <c r="O15" s="304" t="s">
        <v>171</v>
      </c>
      <c r="P15" s="341" t="s">
        <v>171</v>
      </c>
      <c r="Q15" s="307"/>
      <c r="R15" s="329" t="s">
        <v>67</v>
      </c>
      <c r="S15" s="221"/>
      <c r="T15" s="222"/>
      <c r="U15" s="222"/>
      <c r="V15" s="222"/>
      <c r="W15" s="222"/>
      <c r="X15" s="222"/>
      <c r="Y15" s="222"/>
      <c r="Z15" s="331"/>
      <c r="AA15" s="339">
        <f t="shared" ref="AA15" si="44">SUM(S15:Y15)</f>
        <v>0</v>
      </c>
      <c r="AB15" s="314"/>
      <c r="AC15" s="314"/>
      <c r="AD15" s="314">
        <f t="shared" si="21"/>
        <v>0</v>
      </c>
      <c r="AE15" s="324" t="s">
        <v>87</v>
      </c>
      <c r="AF15" s="82"/>
      <c r="AG15" s="337"/>
      <c r="AH15" s="337"/>
      <c r="AI15" s="337"/>
      <c r="AJ15" s="337"/>
      <c r="AK15" s="337"/>
      <c r="AL15" s="338"/>
      <c r="AM15" s="354"/>
      <c r="AN15" s="91">
        <f t="shared" si="41"/>
        <v>0</v>
      </c>
      <c r="AO15" s="96">
        <f t="shared" si="23"/>
        <v>0</v>
      </c>
      <c r="AP15" s="210"/>
      <c r="AQ15" s="97">
        <f t="shared" si="24"/>
        <v>0</v>
      </c>
      <c r="AR15" s="105"/>
      <c r="AS15" s="102"/>
      <c r="AT15" s="237"/>
      <c r="AU15" s="231"/>
      <c r="AV15" s="93"/>
      <c r="AW15" s="231"/>
      <c r="AX15" s="93"/>
      <c r="AY15" s="231"/>
      <c r="AZ15" s="93"/>
      <c r="BA15" s="17">
        <f t="shared" si="10"/>
        <v>237.0000015</v>
      </c>
      <c r="BB15" s="17" t="str">
        <f t="shared" si="11"/>
        <v>حور حمدي عبدالهادي ديهوم</v>
      </c>
      <c r="BC15" s="17"/>
      <c r="BD15" s="218">
        <v>6</v>
      </c>
      <c r="BE15" s="87">
        <f t="shared" si="12"/>
        <v>263.00000260000002</v>
      </c>
      <c r="BF15" s="215" t="str">
        <f t="shared" si="13"/>
        <v xml:space="preserve">ميّار صالح محمد ديماس </v>
      </c>
      <c r="BG15" s="245">
        <f t="shared" si="14"/>
        <v>1.5E-6</v>
      </c>
      <c r="BH15" s="17" t="str">
        <f t="shared" si="25"/>
        <v>حور حمدي عبدالهادي ديهوم</v>
      </c>
      <c r="BI15" s="218">
        <v>6</v>
      </c>
      <c r="BJ15" s="87">
        <f t="shared" si="15"/>
        <v>4.0499999999999995E-5</v>
      </c>
      <c r="BK15" s="215">
        <f t="shared" si="16"/>
        <v>0</v>
      </c>
      <c r="BL15" s="245">
        <f t="shared" si="26"/>
        <v>1.5E-6</v>
      </c>
      <c r="BM15" s="17" t="str">
        <f t="shared" si="27"/>
        <v>حور حمدي عبدالهادي ديهوم</v>
      </c>
      <c r="BN15" s="218">
        <v>6</v>
      </c>
      <c r="BO15" s="87">
        <f t="shared" si="17"/>
        <v>4.0499999999999995E-5</v>
      </c>
      <c r="BP15" s="215">
        <f t="shared" si="18"/>
        <v>0</v>
      </c>
      <c r="BR15" s="126"/>
      <c r="BS15" s="126"/>
      <c r="BT15" s="17">
        <v>220160474444</v>
      </c>
      <c r="BU15" s="178" t="s">
        <v>218</v>
      </c>
      <c r="BV15" s="179" t="str">
        <f t="shared" si="28"/>
        <v>4</v>
      </c>
      <c r="BW15" s="179" t="str">
        <f t="shared" si="29"/>
        <v>4</v>
      </c>
      <c r="BX15" s="179" t="str">
        <f t="shared" si="30"/>
        <v>4</v>
      </c>
      <c r="BY15" s="179" t="str">
        <f t="shared" si="31"/>
        <v>4</v>
      </c>
      <c r="BZ15" s="179" t="str">
        <f t="shared" si="32"/>
        <v>7</v>
      </c>
      <c r="CA15" s="179" t="str">
        <f t="shared" si="33"/>
        <v>4</v>
      </c>
      <c r="CB15" s="179" t="str">
        <f t="shared" si="34"/>
        <v>0</v>
      </c>
      <c r="CC15" s="179" t="str">
        <f t="shared" si="35"/>
        <v>6</v>
      </c>
      <c r="CD15" s="179" t="str">
        <f t="shared" si="36"/>
        <v>1</v>
      </c>
      <c r="CE15" s="179" t="str">
        <f t="shared" si="37"/>
        <v>0</v>
      </c>
      <c r="CF15" s="179" t="str">
        <f t="shared" si="38"/>
        <v>2</v>
      </c>
      <c r="CG15" s="179" t="str">
        <f t="shared" si="39"/>
        <v>2</v>
      </c>
      <c r="CH15" s="166" t="s">
        <v>173</v>
      </c>
      <c r="CI15" s="166" t="s">
        <v>173</v>
      </c>
      <c r="CJ15" s="166" t="s">
        <v>147</v>
      </c>
      <c r="CK15" s="166" t="s">
        <v>150</v>
      </c>
      <c r="CL15" s="166" t="s">
        <v>229</v>
      </c>
    </row>
    <row r="16" spans="1:100" ht="14.25" customHeight="1" thickBot="1" x14ac:dyDescent="0.3">
      <c r="A16" s="213">
        <v>6</v>
      </c>
      <c r="B16" s="382" t="s">
        <v>190</v>
      </c>
      <c r="C16" s="199">
        <v>42564</v>
      </c>
      <c r="D16" s="146" t="s">
        <v>191</v>
      </c>
      <c r="E16" s="319" t="s">
        <v>93</v>
      </c>
      <c r="F16" s="221">
        <v>30</v>
      </c>
      <c r="G16" s="222">
        <v>47</v>
      </c>
      <c r="H16" s="222">
        <v>19</v>
      </c>
      <c r="I16" s="222">
        <v>31</v>
      </c>
      <c r="J16" s="222">
        <v>11</v>
      </c>
      <c r="K16" s="222">
        <v>52</v>
      </c>
      <c r="L16" s="222">
        <v>30</v>
      </c>
      <c r="M16" s="331">
        <v>24</v>
      </c>
      <c r="N16" s="303">
        <f t="shared" ref="N16" si="45">SUM(F16:M16)</f>
        <v>244</v>
      </c>
      <c r="O16" s="304" t="s">
        <v>171</v>
      </c>
      <c r="P16" s="341" t="s">
        <v>171</v>
      </c>
      <c r="Q16" s="305"/>
      <c r="R16" s="328" t="s">
        <v>67</v>
      </c>
      <c r="S16" s="326"/>
      <c r="T16" s="327"/>
      <c r="U16" s="327"/>
      <c r="V16" s="327"/>
      <c r="W16" s="327"/>
      <c r="X16" s="327"/>
      <c r="Y16" s="95"/>
      <c r="Z16" s="331"/>
      <c r="AA16" s="331">
        <f t="shared" ref="AA16" si="46">SUM(S16:Z16)</f>
        <v>0</v>
      </c>
      <c r="AB16" s="314"/>
      <c r="AC16" s="314"/>
      <c r="AD16" s="314">
        <f t="shared" si="21"/>
        <v>0</v>
      </c>
      <c r="AE16" s="325" t="s">
        <v>148</v>
      </c>
      <c r="AF16" s="15"/>
      <c r="AG16" s="232"/>
      <c r="AH16" s="232"/>
      <c r="AI16" s="232"/>
      <c r="AJ16" s="232"/>
      <c r="AK16" s="232"/>
      <c r="AL16" s="7"/>
      <c r="AM16" s="352"/>
      <c r="AN16" s="22">
        <f t="shared" si="41"/>
        <v>0</v>
      </c>
      <c r="AO16" s="15">
        <f t="shared" si="23"/>
        <v>0</v>
      </c>
      <c r="AP16" s="345"/>
      <c r="AQ16" s="7">
        <f t="shared" si="24"/>
        <v>0</v>
      </c>
      <c r="AR16" s="103"/>
      <c r="AS16" s="101"/>
      <c r="AT16" s="236"/>
      <c r="AU16" s="235"/>
      <c r="AV16" s="92"/>
      <c r="AW16" s="235"/>
      <c r="AX16" s="92"/>
      <c r="AY16" s="235"/>
      <c r="AZ16" s="92"/>
      <c r="BA16" s="17">
        <f t="shared" si="10"/>
        <v>244.00000159999999</v>
      </c>
      <c r="BB16" s="17" t="str">
        <f t="shared" si="11"/>
        <v>خديجة خليل محمد علي</v>
      </c>
      <c r="BC16" s="17"/>
      <c r="BD16" s="218">
        <v>7</v>
      </c>
      <c r="BE16" s="87">
        <f t="shared" si="12"/>
        <v>262.00000180000001</v>
      </c>
      <c r="BF16" s="215" t="str">
        <f t="shared" si="13"/>
        <v>سوار وليد مصطفي الورشفاني</v>
      </c>
      <c r="BG16" s="245">
        <f t="shared" si="14"/>
        <v>1.5999999999999999E-6</v>
      </c>
      <c r="BH16" s="17" t="str">
        <f t="shared" si="25"/>
        <v>خديجة خليل محمد علي</v>
      </c>
      <c r="BI16" s="218">
        <v>7</v>
      </c>
      <c r="BJ16" s="87">
        <f t="shared" si="15"/>
        <v>4.0399999999999999E-5</v>
      </c>
      <c r="BK16" s="215">
        <f t="shared" si="16"/>
        <v>0</v>
      </c>
      <c r="BL16" s="245">
        <f t="shared" si="26"/>
        <v>1.5999999999999999E-6</v>
      </c>
      <c r="BM16" s="17" t="str">
        <f t="shared" si="27"/>
        <v>خديجة خليل محمد علي</v>
      </c>
      <c r="BN16" s="218">
        <v>7</v>
      </c>
      <c r="BO16" s="87">
        <f t="shared" si="17"/>
        <v>4.0399999999999999E-5</v>
      </c>
      <c r="BP16" s="215">
        <f t="shared" si="18"/>
        <v>0</v>
      </c>
      <c r="BR16" s="126"/>
      <c r="BS16" s="126"/>
      <c r="BT16" s="17">
        <v>220160311727</v>
      </c>
      <c r="BU16" s="178" t="s">
        <v>219</v>
      </c>
      <c r="BV16" s="179" t="str">
        <f t="shared" si="28"/>
        <v>7</v>
      </c>
      <c r="BW16" s="179" t="str">
        <f t="shared" si="29"/>
        <v>2</v>
      </c>
      <c r="BX16" s="179" t="str">
        <f t="shared" si="30"/>
        <v>7</v>
      </c>
      <c r="BY16" s="179" t="str">
        <f t="shared" si="31"/>
        <v>1</v>
      </c>
      <c r="BZ16" s="179" t="str">
        <f t="shared" si="32"/>
        <v>1</v>
      </c>
      <c r="CA16" s="179" t="str">
        <f t="shared" si="33"/>
        <v>3</v>
      </c>
      <c r="CB16" s="179" t="str">
        <f t="shared" si="34"/>
        <v>0</v>
      </c>
      <c r="CC16" s="179" t="str">
        <f t="shared" si="35"/>
        <v>6</v>
      </c>
      <c r="CD16" s="179" t="str">
        <f t="shared" si="36"/>
        <v>1</v>
      </c>
      <c r="CE16" s="179" t="str">
        <f t="shared" si="37"/>
        <v>0</v>
      </c>
      <c r="CF16" s="179" t="str">
        <f t="shared" si="38"/>
        <v>2</v>
      </c>
      <c r="CG16" s="179" t="str">
        <f t="shared" si="39"/>
        <v>2</v>
      </c>
      <c r="CH16" s="166" t="s">
        <v>179</v>
      </c>
      <c r="CI16" s="166" t="s">
        <v>173</v>
      </c>
      <c r="CJ16" s="166" t="s">
        <v>147</v>
      </c>
      <c r="CK16" s="166" t="s">
        <v>150</v>
      </c>
      <c r="CL16" s="166" t="s">
        <v>229</v>
      </c>
    </row>
    <row r="17" spans="1:90" ht="14.25" customHeight="1" thickBot="1" x14ac:dyDescent="0.3">
      <c r="A17" s="211">
        <v>7</v>
      </c>
      <c r="B17" s="381" t="s">
        <v>192</v>
      </c>
      <c r="C17" s="200">
        <v>42537</v>
      </c>
      <c r="D17" s="145" t="s">
        <v>193</v>
      </c>
      <c r="E17" s="320" t="s">
        <v>93</v>
      </c>
      <c r="F17" s="326">
        <v>36</v>
      </c>
      <c r="G17" s="327">
        <v>35</v>
      </c>
      <c r="H17" s="327">
        <v>16</v>
      </c>
      <c r="I17" s="327">
        <v>27</v>
      </c>
      <c r="J17" s="327">
        <v>11</v>
      </c>
      <c r="K17" s="222">
        <v>51</v>
      </c>
      <c r="L17" s="222">
        <v>36</v>
      </c>
      <c r="M17" s="331">
        <v>18</v>
      </c>
      <c r="N17" s="233">
        <f>SUM(F17:M17)</f>
        <v>230</v>
      </c>
      <c r="O17" s="304" t="s">
        <v>171</v>
      </c>
      <c r="P17" s="341" t="s">
        <v>171</v>
      </c>
      <c r="Q17" s="307"/>
      <c r="R17" s="329" t="s">
        <v>67</v>
      </c>
      <c r="S17" s="221"/>
      <c r="T17" s="222"/>
      <c r="U17" s="222"/>
      <c r="V17" s="222"/>
      <c r="W17" s="222"/>
      <c r="X17" s="222"/>
      <c r="Y17" s="222"/>
      <c r="Z17" s="331"/>
      <c r="AA17" s="339">
        <f t="shared" ref="AA17" si="47">SUM(S17:Y17)</f>
        <v>0</v>
      </c>
      <c r="AB17" s="314"/>
      <c r="AC17" s="314"/>
      <c r="AD17" s="314">
        <f t="shared" si="21"/>
        <v>0</v>
      </c>
      <c r="AE17" s="323" t="s">
        <v>87</v>
      </c>
      <c r="AF17" s="81"/>
      <c r="AG17" s="335"/>
      <c r="AH17" s="335"/>
      <c r="AI17" s="335"/>
      <c r="AJ17" s="335"/>
      <c r="AK17" s="335"/>
      <c r="AL17" s="336"/>
      <c r="AM17" s="353"/>
      <c r="AN17" s="22">
        <f t="shared" si="41"/>
        <v>0</v>
      </c>
      <c r="AO17" s="209">
        <f t="shared" si="23"/>
        <v>0</v>
      </c>
      <c r="AP17" s="339"/>
      <c r="AQ17" s="125">
        <f t="shared" si="24"/>
        <v>0</v>
      </c>
      <c r="AR17" s="104"/>
      <c r="AS17" s="217"/>
      <c r="AT17" s="216"/>
      <c r="AU17" s="230"/>
      <c r="AV17" s="220"/>
      <c r="AW17" s="230"/>
      <c r="AX17" s="220"/>
      <c r="AY17" s="230"/>
      <c r="AZ17" s="220"/>
      <c r="BA17" s="17">
        <f t="shared" si="10"/>
        <v>230.00000170000001</v>
      </c>
      <c r="BB17" s="17" t="str">
        <f t="shared" si="11"/>
        <v xml:space="preserve">سالم عمر سالم التائب </v>
      </c>
      <c r="BC17" s="17"/>
      <c r="BD17" s="218">
        <v>8</v>
      </c>
      <c r="BE17" s="87">
        <f t="shared" si="12"/>
        <v>246.00000220000001</v>
      </c>
      <c r="BF17" s="215" t="str">
        <f t="shared" si="13"/>
        <v>كنان حسني محمد محمد سمالوس</v>
      </c>
      <c r="BG17" s="245">
        <f t="shared" si="14"/>
        <v>1.6999999999999998E-6</v>
      </c>
      <c r="BH17" s="17" t="str">
        <f t="shared" si="25"/>
        <v xml:space="preserve">سالم عمر سالم التائب </v>
      </c>
      <c r="BI17" s="218">
        <v>8</v>
      </c>
      <c r="BJ17" s="87">
        <f t="shared" si="15"/>
        <v>4.0299999999999997E-5</v>
      </c>
      <c r="BK17" s="215">
        <f t="shared" si="16"/>
        <v>0</v>
      </c>
      <c r="BL17" s="245">
        <f t="shared" si="26"/>
        <v>1.6999999999999998E-6</v>
      </c>
      <c r="BM17" s="17" t="str">
        <f t="shared" si="27"/>
        <v xml:space="preserve">سالم عمر سالم التائب </v>
      </c>
      <c r="BN17" s="218">
        <v>8</v>
      </c>
      <c r="BO17" s="87">
        <f t="shared" si="17"/>
        <v>4.0299999999999997E-5</v>
      </c>
      <c r="BP17" s="215">
        <f t="shared" si="18"/>
        <v>0</v>
      </c>
      <c r="BR17" s="126"/>
      <c r="BS17" s="126"/>
      <c r="BT17" s="17">
        <v>120161330913</v>
      </c>
      <c r="BU17" s="178" t="s">
        <v>220</v>
      </c>
      <c r="BV17" s="179" t="str">
        <f t="shared" si="28"/>
        <v>3</v>
      </c>
      <c r="BW17" s="179" t="str">
        <f t="shared" si="29"/>
        <v>1</v>
      </c>
      <c r="BX17" s="179" t="str">
        <f t="shared" si="30"/>
        <v>9</v>
      </c>
      <c r="BY17" s="179" t="str">
        <f t="shared" si="31"/>
        <v>0</v>
      </c>
      <c r="BZ17" s="179" t="str">
        <f t="shared" si="32"/>
        <v>3</v>
      </c>
      <c r="CA17" s="179" t="str">
        <f t="shared" si="33"/>
        <v>3</v>
      </c>
      <c r="CB17" s="179" t="str">
        <f t="shared" si="34"/>
        <v>1</v>
      </c>
      <c r="CC17" s="179" t="str">
        <f t="shared" si="35"/>
        <v>6</v>
      </c>
      <c r="CD17" s="179" t="str">
        <f t="shared" si="36"/>
        <v>1</v>
      </c>
      <c r="CE17" s="179" t="str">
        <f t="shared" si="37"/>
        <v>0</v>
      </c>
      <c r="CF17" s="179" t="str">
        <f t="shared" si="38"/>
        <v>2</v>
      </c>
      <c r="CG17" s="179" t="str">
        <f t="shared" si="39"/>
        <v>1</v>
      </c>
      <c r="CH17" s="166" t="s">
        <v>179</v>
      </c>
      <c r="CI17" s="166" t="s">
        <v>179</v>
      </c>
      <c r="CJ17" s="166" t="s">
        <v>147</v>
      </c>
      <c r="CK17" s="166" t="s">
        <v>150</v>
      </c>
      <c r="CL17" s="166" t="s">
        <v>229</v>
      </c>
    </row>
    <row r="18" spans="1:90" ht="14.25" customHeight="1" thickBot="1" x14ac:dyDescent="0.3">
      <c r="A18" s="213">
        <v>8</v>
      </c>
      <c r="B18" s="17" t="s">
        <v>194</v>
      </c>
      <c r="C18" s="199">
        <v>42418</v>
      </c>
      <c r="D18" s="146" t="s">
        <v>195</v>
      </c>
      <c r="E18" s="319" t="s">
        <v>93</v>
      </c>
      <c r="F18" s="221">
        <v>36</v>
      </c>
      <c r="G18" s="222">
        <v>48</v>
      </c>
      <c r="H18" s="222">
        <v>23</v>
      </c>
      <c r="I18" s="222">
        <v>36</v>
      </c>
      <c r="J18" s="222">
        <v>12</v>
      </c>
      <c r="K18" s="222">
        <v>56</v>
      </c>
      <c r="L18" s="222">
        <v>36</v>
      </c>
      <c r="M18" s="331">
        <v>15</v>
      </c>
      <c r="N18" s="303">
        <f t="shared" ref="N18" si="48">SUM(F18:M18)</f>
        <v>262</v>
      </c>
      <c r="O18" s="304" t="s">
        <v>171</v>
      </c>
      <c r="P18" s="341" t="s">
        <v>171</v>
      </c>
      <c r="Q18" s="305"/>
      <c r="R18" s="328" t="s">
        <v>67</v>
      </c>
      <c r="S18" s="326"/>
      <c r="T18" s="327"/>
      <c r="U18" s="327"/>
      <c r="V18" s="327"/>
      <c r="W18" s="327"/>
      <c r="X18" s="327"/>
      <c r="Y18" s="95"/>
      <c r="Z18" s="331"/>
      <c r="AA18" s="331">
        <f t="shared" ref="AA18" si="49">SUM(S18:Z18)</f>
        <v>0</v>
      </c>
      <c r="AB18" s="314"/>
      <c r="AC18" s="314"/>
      <c r="AD18" s="314">
        <f t="shared" si="21"/>
        <v>0</v>
      </c>
      <c r="AE18" s="324" t="s">
        <v>87</v>
      </c>
      <c r="AF18" s="82"/>
      <c r="AG18" s="337"/>
      <c r="AH18" s="337"/>
      <c r="AI18" s="337"/>
      <c r="AJ18" s="337"/>
      <c r="AK18" s="337"/>
      <c r="AL18" s="338"/>
      <c r="AM18" s="354"/>
      <c r="AN18" s="91">
        <f t="shared" si="41"/>
        <v>0</v>
      </c>
      <c r="AO18" s="96">
        <f t="shared" si="23"/>
        <v>0</v>
      </c>
      <c r="AP18" s="210"/>
      <c r="AQ18" s="97">
        <f t="shared" si="24"/>
        <v>0</v>
      </c>
      <c r="AR18" s="105"/>
      <c r="AS18" s="102"/>
      <c r="AT18" s="237"/>
      <c r="AU18" s="231"/>
      <c r="AV18" s="93"/>
      <c r="AW18" s="231"/>
      <c r="AX18" s="93"/>
      <c r="AY18" s="231"/>
      <c r="AZ18" s="93"/>
      <c r="BA18" s="17">
        <f t="shared" si="10"/>
        <v>262.00000180000001</v>
      </c>
      <c r="BB18" s="17" t="str">
        <f t="shared" ref="BB18:BB27" si="50">B19</f>
        <v>سوار وليد مصطفي الورشفاني</v>
      </c>
      <c r="BC18" s="17"/>
      <c r="BD18" s="218">
        <v>9</v>
      </c>
      <c r="BE18" s="87">
        <f t="shared" si="12"/>
        <v>244.00000159999999</v>
      </c>
      <c r="BF18" s="215" t="str">
        <f t="shared" si="13"/>
        <v>خديجة خليل محمد علي</v>
      </c>
      <c r="BG18" s="245">
        <f t="shared" si="14"/>
        <v>1.7999999999999999E-6</v>
      </c>
      <c r="BH18" s="17" t="str">
        <f t="shared" si="25"/>
        <v>سوار وليد مصطفي الورشفاني</v>
      </c>
      <c r="BI18" s="218">
        <v>9</v>
      </c>
      <c r="BJ18" s="87">
        <f t="shared" si="15"/>
        <v>4.0200000000000001E-5</v>
      </c>
      <c r="BK18" s="215">
        <f t="shared" si="16"/>
        <v>0</v>
      </c>
      <c r="BL18" s="245">
        <f t="shared" si="26"/>
        <v>1.7999999999999999E-6</v>
      </c>
      <c r="BM18" s="17" t="str">
        <f t="shared" si="27"/>
        <v>سوار وليد مصطفي الورشفاني</v>
      </c>
      <c r="BN18" s="218">
        <v>9</v>
      </c>
      <c r="BO18" s="87">
        <f t="shared" si="17"/>
        <v>4.0200000000000001E-5</v>
      </c>
      <c r="BP18" s="215">
        <f t="shared" si="18"/>
        <v>0</v>
      </c>
      <c r="BR18" s="126"/>
      <c r="BS18" s="126"/>
      <c r="BT18" s="17">
        <v>120161081235</v>
      </c>
      <c r="BU18" s="178" t="s">
        <v>221</v>
      </c>
      <c r="BV18" s="179" t="str">
        <f t="shared" si="28"/>
        <v>5</v>
      </c>
      <c r="BW18" s="179" t="str">
        <f t="shared" si="29"/>
        <v>3</v>
      </c>
      <c r="BX18" s="179" t="str">
        <f t="shared" si="30"/>
        <v>2</v>
      </c>
      <c r="BY18" s="179" t="str">
        <f t="shared" si="31"/>
        <v>1</v>
      </c>
      <c r="BZ18" s="179" t="str">
        <f t="shared" si="32"/>
        <v>8</v>
      </c>
      <c r="CA18" s="179" t="str">
        <f t="shared" si="33"/>
        <v>0</v>
      </c>
      <c r="CB18" s="179" t="str">
        <f t="shared" si="34"/>
        <v>1</v>
      </c>
      <c r="CC18" s="179" t="str">
        <f t="shared" si="35"/>
        <v>6</v>
      </c>
      <c r="CD18" s="179" t="str">
        <f t="shared" si="36"/>
        <v>1</v>
      </c>
      <c r="CE18" s="179" t="str">
        <f t="shared" si="37"/>
        <v>0</v>
      </c>
      <c r="CF18" s="179" t="str">
        <f t="shared" si="38"/>
        <v>2</v>
      </c>
      <c r="CG18" s="179" t="str">
        <f t="shared" si="39"/>
        <v>1</v>
      </c>
      <c r="CH18" s="166" t="s">
        <v>179</v>
      </c>
      <c r="CI18" s="166" t="s">
        <v>179</v>
      </c>
      <c r="CJ18" s="166" t="s">
        <v>147</v>
      </c>
      <c r="CK18" s="166" t="s">
        <v>150</v>
      </c>
      <c r="CL18" s="166" t="s">
        <v>229</v>
      </c>
    </row>
    <row r="19" spans="1:90" ht="14.25" customHeight="1" thickBot="1" x14ac:dyDescent="0.3">
      <c r="A19" s="211">
        <v>9</v>
      </c>
      <c r="B19" s="89" t="s">
        <v>196</v>
      </c>
      <c r="C19" s="200">
        <v>42527</v>
      </c>
      <c r="D19" s="145" t="s">
        <v>197</v>
      </c>
      <c r="E19" s="320" t="s">
        <v>93</v>
      </c>
      <c r="F19" s="326">
        <v>31</v>
      </c>
      <c r="G19" s="222">
        <v>43</v>
      </c>
      <c r="H19" s="327">
        <v>19</v>
      </c>
      <c r="I19" s="327">
        <v>31</v>
      </c>
      <c r="J19" s="327">
        <v>10</v>
      </c>
      <c r="K19" s="222">
        <v>45</v>
      </c>
      <c r="L19" s="222">
        <v>35</v>
      </c>
      <c r="M19" s="331">
        <v>24</v>
      </c>
      <c r="N19" s="233">
        <f>SUM(F19:M19)</f>
        <v>238</v>
      </c>
      <c r="O19" s="304" t="s">
        <v>171</v>
      </c>
      <c r="P19" s="341" t="s">
        <v>171</v>
      </c>
      <c r="Q19" s="307"/>
      <c r="R19" s="329" t="s">
        <v>67</v>
      </c>
      <c r="S19" s="221"/>
      <c r="T19" s="222"/>
      <c r="U19" s="222"/>
      <c r="V19" s="222"/>
      <c r="W19" s="222"/>
      <c r="X19" s="222"/>
      <c r="Y19" s="222"/>
      <c r="Z19" s="331"/>
      <c r="AA19" s="339">
        <f t="shared" ref="AA19" si="51">SUM(S19:Y19)</f>
        <v>0</v>
      </c>
      <c r="AB19" s="314"/>
      <c r="AC19" s="314"/>
      <c r="AD19" s="314">
        <f t="shared" si="21"/>
        <v>0</v>
      </c>
      <c r="AE19" s="325" t="s">
        <v>148</v>
      </c>
      <c r="AF19" s="15"/>
      <c r="AG19" s="232"/>
      <c r="AH19" s="232"/>
      <c r="AI19" s="232"/>
      <c r="AJ19" s="232"/>
      <c r="AK19" s="232"/>
      <c r="AL19" s="7"/>
      <c r="AM19" s="352"/>
      <c r="AN19" s="22">
        <f t="shared" si="41"/>
        <v>0</v>
      </c>
      <c r="AO19" s="15">
        <f t="shared" si="23"/>
        <v>0</v>
      </c>
      <c r="AP19" s="345"/>
      <c r="AQ19" s="7">
        <f t="shared" si="24"/>
        <v>0</v>
      </c>
      <c r="AR19" s="103"/>
      <c r="AS19" s="101"/>
      <c r="AT19" s="236"/>
      <c r="AU19" s="235"/>
      <c r="AV19" s="92"/>
      <c r="AW19" s="235"/>
      <c r="AX19" s="92"/>
      <c r="AY19" s="235"/>
      <c r="AZ19" s="92"/>
      <c r="BA19" s="17">
        <f t="shared" si="10"/>
        <v>238.0000019</v>
      </c>
      <c r="BB19" s="17" t="str">
        <f t="shared" si="50"/>
        <v>عبد السميع محمد الهادي موسى</v>
      </c>
      <c r="BC19" s="17"/>
      <c r="BD19" s="218">
        <v>10</v>
      </c>
      <c r="BE19" s="87">
        <f t="shared" si="12"/>
        <v>242.00000230000001</v>
      </c>
      <c r="BF19" s="215" t="str">
        <f t="shared" si="13"/>
        <v>محمد مجدي عبدالله سليمان</v>
      </c>
      <c r="BG19" s="245">
        <f t="shared" si="14"/>
        <v>1.9E-6</v>
      </c>
      <c r="BH19" s="17" t="str">
        <f t="shared" si="25"/>
        <v>عبد السميع محمد الهادي موسى</v>
      </c>
      <c r="BI19" s="218">
        <v>10</v>
      </c>
      <c r="BJ19" s="87">
        <f t="shared" si="15"/>
        <v>4.0099999999999999E-5</v>
      </c>
      <c r="BK19" s="215">
        <f t="shared" si="16"/>
        <v>0</v>
      </c>
      <c r="BL19" s="245">
        <f t="shared" si="26"/>
        <v>1.9E-6</v>
      </c>
      <c r="BM19" s="17" t="str">
        <f t="shared" si="27"/>
        <v>عبد السميع محمد الهادي موسى</v>
      </c>
      <c r="BN19" s="218">
        <v>10</v>
      </c>
      <c r="BO19" s="87">
        <f t="shared" si="17"/>
        <v>4.0099999999999999E-5</v>
      </c>
      <c r="BP19" s="215">
        <f t="shared" si="18"/>
        <v>0</v>
      </c>
      <c r="BR19" s="126"/>
      <c r="BS19" s="126"/>
      <c r="BU19" s="178" t="s">
        <v>231</v>
      </c>
      <c r="BV19" s="179" t="str">
        <f t="shared" si="28"/>
        <v/>
      </c>
      <c r="BW19" s="179" t="str">
        <f t="shared" si="29"/>
        <v/>
      </c>
      <c r="BX19" s="179" t="str">
        <f t="shared" si="30"/>
        <v/>
      </c>
      <c r="BY19" s="179" t="str">
        <f t="shared" si="31"/>
        <v/>
      </c>
      <c r="BZ19" s="179" t="str">
        <f t="shared" si="32"/>
        <v/>
      </c>
      <c r="CA19" s="179" t="str">
        <f t="shared" si="33"/>
        <v/>
      </c>
      <c r="CB19" s="179" t="str">
        <f t="shared" si="34"/>
        <v/>
      </c>
      <c r="CC19" s="179" t="str">
        <f t="shared" si="35"/>
        <v/>
      </c>
      <c r="CD19" s="179" t="str">
        <f t="shared" si="36"/>
        <v/>
      </c>
      <c r="CE19" s="179" t="str">
        <f t="shared" si="37"/>
        <v/>
      </c>
      <c r="CF19" s="179" t="str">
        <f t="shared" si="38"/>
        <v/>
      </c>
      <c r="CG19" s="179" t="str">
        <f t="shared" si="39"/>
        <v/>
      </c>
      <c r="CH19" s="166" t="s">
        <v>173</v>
      </c>
      <c r="CI19" s="166" t="s">
        <v>173</v>
      </c>
      <c r="CJ19" s="166" t="s">
        <v>147</v>
      </c>
      <c r="CK19" s="166" t="s">
        <v>150</v>
      </c>
      <c r="CL19" s="166" t="s">
        <v>229</v>
      </c>
    </row>
    <row r="20" spans="1:90" ht="14.25" customHeight="1" thickBot="1" x14ac:dyDescent="0.3">
      <c r="A20" s="213">
        <v>10</v>
      </c>
      <c r="B20" s="219" t="s">
        <v>198</v>
      </c>
      <c r="C20" s="199">
        <v>42626</v>
      </c>
      <c r="D20" s="146" t="s">
        <v>199</v>
      </c>
      <c r="E20" s="319" t="s">
        <v>93</v>
      </c>
      <c r="F20" s="221">
        <v>36</v>
      </c>
      <c r="G20" s="222">
        <v>48</v>
      </c>
      <c r="H20" s="222">
        <v>23</v>
      </c>
      <c r="I20" s="222">
        <v>35</v>
      </c>
      <c r="J20" s="222">
        <v>12</v>
      </c>
      <c r="K20" s="222">
        <v>60</v>
      </c>
      <c r="L20" s="222">
        <v>36</v>
      </c>
      <c r="M20" s="331">
        <v>24</v>
      </c>
      <c r="N20" s="303">
        <f t="shared" ref="N20" si="52">SUM(F20:M20)</f>
        <v>274</v>
      </c>
      <c r="O20" s="304" t="s">
        <v>171</v>
      </c>
      <c r="P20" s="341" t="s">
        <v>171</v>
      </c>
      <c r="Q20" s="305"/>
      <c r="R20" s="328" t="s">
        <v>67</v>
      </c>
      <c r="S20" s="326"/>
      <c r="T20" s="327"/>
      <c r="U20" s="327"/>
      <c r="V20" s="327"/>
      <c r="W20" s="327"/>
      <c r="X20" s="327"/>
      <c r="Y20" s="95"/>
      <c r="Z20" s="331"/>
      <c r="AA20" s="331">
        <f t="shared" ref="AA20" si="53">SUM(S20:Z20)</f>
        <v>0</v>
      </c>
      <c r="AB20" s="314"/>
      <c r="AC20" s="314"/>
      <c r="AD20" s="314">
        <f t="shared" si="21"/>
        <v>0</v>
      </c>
      <c r="AE20" s="323" t="s">
        <v>87</v>
      </c>
      <c r="AF20" s="81"/>
      <c r="AG20" s="335"/>
      <c r="AH20" s="335"/>
      <c r="AI20" s="335"/>
      <c r="AJ20" s="335"/>
      <c r="AK20" s="335"/>
      <c r="AL20" s="336"/>
      <c r="AM20" s="353"/>
      <c r="AN20" s="22">
        <f t="shared" si="41"/>
        <v>0</v>
      </c>
      <c r="AO20" s="209">
        <f t="shared" si="23"/>
        <v>0</v>
      </c>
      <c r="AP20" s="339"/>
      <c r="AQ20" s="125">
        <f t="shared" si="24"/>
        <v>0</v>
      </c>
      <c r="AR20" s="104"/>
      <c r="AS20" s="217"/>
      <c r="AT20" s="216"/>
      <c r="AU20" s="230"/>
      <c r="AV20" s="220"/>
      <c r="AW20" s="230"/>
      <c r="AX20" s="220"/>
      <c r="AY20" s="230"/>
      <c r="AZ20" s="220"/>
      <c r="BA20" s="17">
        <f t="shared" si="10"/>
        <v>274.00000199999999</v>
      </c>
      <c r="BB20" s="17" t="str">
        <f t="shared" si="50"/>
        <v>عبد العزيز عبدالله محمد المغربي</v>
      </c>
      <c r="BC20" s="17"/>
      <c r="BD20" s="218">
        <v>11</v>
      </c>
      <c r="BE20" s="87">
        <f t="shared" si="12"/>
        <v>238.0000019</v>
      </c>
      <c r="BF20" s="215" t="str">
        <f t="shared" si="13"/>
        <v>عبد السميع محمد الهادي موسى</v>
      </c>
      <c r="BG20" s="245">
        <f t="shared" si="14"/>
        <v>1.9999999999999999E-6</v>
      </c>
      <c r="BH20" s="17" t="str">
        <f t="shared" si="25"/>
        <v>عبد العزيز عبدالله محمد المغربي</v>
      </c>
      <c r="BI20" s="218">
        <v>11</v>
      </c>
      <c r="BJ20" s="87">
        <f t="shared" si="15"/>
        <v>3.9999999999999996E-5</v>
      </c>
      <c r="BK20" s="215">
        <f t="shared" si="16"/>
        <v>0</v>
      </c>
      <c r="BL20" s="245">
        <f t="shared" si="26"/>
        <v>1.9999999999999999E-6</v>
      </c>
      <c r="BM20" s="17" t="str">
        <f t="shared" si="27"/>
        <v>عبد العزيز عبدالله محمد المغربي</v>
      </c>
      <c r="BN20" s="218">
        <v>11</v>
      </c>
      <c r="BO20" s="87">
        <f t="shared" si="17"/>
        <v>3.9999999999999996E-5</v>
      </c>
      <c r="BP20" s="215">
        <f t="shared" si="18"/>
        <v>0</v>
      </c>
      <c r="BR20" s="126"/>
      <c r="BS20" s="126"/>
      <c r="BT20" s="17">
        <v>120160572059</v>
      </c>
      <c r="BU20" s="178" t="s">
        <v>222</v>
      </c>
      <c r="BV20" s="179" t="str">
        <f t="shared" si="28"/>
        <v>9</v>
      </c>
      <c r="BW20" s="179" t="str">
        <f t="shared" si="29"/>
        <v>5</v>
      </c>
      <c r="BX20" s="179" t="str">
        <f t="shared" si="30"/>
        <v>0</v>
      </c>
      <c r="BY20" s="179" t="str">
        <f t="shared" si="31"/>
        <v>2</v>
      </c>
      <c r="BZ20" s="179" t="str">
        <f t="shared" si="32"/>
        <v>7</v>
      </c>
      <c r="CA20" s="179" t="str">
        <f t="shared" si="33"/>
        <v>5</v>
      </c>
      <c r="CB20" s="179" t="str">
        <f t="shared" si="34"/>
        <v>0</v>
      </c>
      <c r="CC20" s="179" t="str">
        <f t="shared" si="35"/>
        <v>6</v>
      </c>
      <c r="CD20" s="179" t="str">
        <f t="shared" si="36"/>
        <v>1</v>
      </c>
      <c r="CE20" s="179" t="str">
        <f t="shared" si="37"/>
        <v>0</v>
      </c>
      <c r="CF20" s="179" t="str">
        <f t="shared" si="38"/>
        <v>2</v>
      </c>
      <c r="CG20" s="179" t="str">
        <f t="shared" si="39"/>
        <v>1</v>
      </c>
      <c r="CH20" s="166" t="s">
        <v>179</v>
      </c>
      <c r="CI20" s="166" t="s">
        <v>179</v>
      </c>
      <c r="CJ20" s="166" t="s">
        <v>147</v>
      </c>
      <c r="CK20" s="166" t="s">
        <v>150</v>
      </c>
      <c r="CL20" s="166" t="s">
        <v>229</v>
      </c>
    </row>
    <row r="21" spans="1:90" ht="14.25" customHeight="1" thickBot="1" x14ac:dyDescent="0.3">
      <c r="A21" s="211">
        <v>11</v>
      </c>
      <c r="B21" s="89" t="s">
        <v>200</v>
      </c>
      <c r="C21" s="200">
        <v>42393</v>
      </c>
      <c r="D21" s="145" t="s">
        <v>201</v>
      </c>
      <c r="E21" s="320" t="s">
        <v>93</v>
      </c>
      <c r="F21" s="326">
        <v>36</v>
      </c>
      <c r="G21" s="222">
        <v>48</v>
      </c>
      <c r="H21" s="327">
        <v>22</v>
      </c>
      <c r="I21" s="327">
        <v>30</v>
      </c>
      <c r="J21" s="327">
        <v>12</v>
      </c>
      <c r="K21" s="222">
        <v>60</v>
      </c>
      <c r="L21" s="222">
        <v>36</v>
      </c>
      <c r="M21" s="331">
        <v>24</v>
      </c>
      <c r="N21" s="233">
        <f>SUM(F21:M21)</f>
        <v>268</v>
      </c>
      <c r="O21" s="304" t="s">
        <v>171</v>
      </c>
      <c r="P21" s="341" t="s">
        <v>171</v>
      </c>
      <c r="Q21" s="307"/>
      <c r="R21" s="329" t="s">
        <v>67</v>
      </c>
      <c r="S21" s="221"/>
      <c r="T21" s="222"/>
      <c r="U21" s="222"/>
      <c r="V21" s="222"/>
      <c r="W21" s="222"/>
      <c r="X21" s="222"/>
      <c r="Y21" s="222"/>
      <c r="Z21" s="331"/>
      <c r="AA21" s="339">
        <f t="shared" ref="AA21" si="54">SUM(S21:Y21)</f>
        <v>0</v>
      </c>
      <c r="AB21" s="314"/>
      <c r="AC21" s="314"/>
      <c r="AD21" s="314">
        <f t="shared" si="21"/>
        <v>0</v>
      </c>
      <c r="AE21" s="324" t="s">
        <v>87</v>
      </c>
      <c r="AF21" s="82"/>
      <c r="AG21" s="337"/>
      <c r="AH21" s="337"/>
      <c r="AI21" s="337"/>
      <c r="AJ21" s="337"/>
      <c r="AK21" s="337"/>
      <c r="AL21" s="338"/>
      <c r="AM21" s="354"/>
      <c r="AN21" s="91">
        <f t="shared" si="41"/>
        <v>0</v>
      </c>
      <c r="AO21" s="96">
        <f t="shared" si="23"/>
        <v>0</v>
      </c>
      <c r="AP21" s="210"/>
      <c r="AQ21" s="97">
        <f t="shared" si="24"/>
        <v>0</v>
      </c>
      <c r="AR21" s="105"/>
      <c r="AS21" s="102"/>
      <c r="AT21" s="237"/>
      <c r="AU21" s="231"/>
      <c r="AV21" s="93"/>
      <c r="AW21" s="231"/>
      <c r="AX21" s="93"/>
      <c r="AY21" s="231"/>
      <c r="AZ21" s="93"/>
      <c r="BA21" s="17">
        <f t="shared" si="10"/>
        <v>268.00000210000002</v>
      </c>
      <c r="BB21" s="17" t="str">
        <f t="shared" si="50"/>
        <v>عبد الوهاب علي عبد الوهاب بودجاجة</v>
      </c>
      <c r="BC21" s="17"/>
      <c r="BD21" s="218">
        <v>12</v>
      </c>
      <c r="BE21" s="87">
        <f t="shared" si="12"/>
        <v>237.0000015</v>
      </c>
      <c r="BF21" s="215" t="str">
        <f t="shared" si="13"/>
        <v>حور حمدي عبدالهادي ديهوم</v>
      </c>
      <c r="BG21" s="245">
        <f t="shared" si="14"/>
        <v>2.0999999999999998E-6</v>
      </c>
      <c r="BH21" s="17" t="str">
        <f t="shared" si="25"/>
        <v>عبد الوهاب علي عبد الوهاب بودجاجة</v>
      </c>
      <c r="BI21" s="218">
        <v>12</v>
      </c>
      <c r="BJ21" s="87">
        <f t="shared" si="15"/>
        <v>3.9900000000000001E-5</v>
      </c>
      <c r="BK21" s="215">
        <f t="shared" si="16"/>
        <v>0</v>
      </c>
      <c r="BL21" s="245">
        <f t="shared" si="26"/>
        <v>2.0999999999999998E-6</v>
      </c>
      <c r="BM21" s="17" t="str">
        <f t="shared" si="27"/>
        <v>عبد الوهاب علي عبد الوهاب بودجاجة</v>
      </c>
      <c r="BN21" s="218">
        <v>12</v>
      </c>
      <c r="BO21" s="87">
        <f t="shared" si="17"/>
        <v>3.9900000000000001E-5</v>
      </c>
      <c r="BP21" s="215">
        <f t="shared" si="18"/>
        <v>0</v>
      </c>
      <c r="BR21" s="126"/>
      <c r="BS21" s="126"/>
      <c r="BT21" s="17">
        <v>120160141189</v>
      </c>
      <c r="BU21" s="178" t="s">
        <v>223</v>
      </c>
      <c r="BV21" s="179" t="str">
        <f t="shared" si="28"/>
        <v>9</v>
      </c>
      <c r="BW21" s="179" t="str">
        <f t="shared" si="29"/>
        <v>8</v>
      </c>
      <c r="BX21" s="179" t="str">
        <f t="shared" si="30"/>
        <v>1</v>
      </c>
      <c r="BY21" s="179" t="str">
        <f t="shared" si="31"/>
        <v>1</v>
      </c>
      <c r="BZ21" s="179" t="str">
        <f t="shared" si="32"/>
        <v>4</v>
      </c>
      <c r="CA21" s="179" t="str">
        <f t="shared" si="33"/>
        <v>1</v>
      </c>
      <c r="CB21" s="179" t="str">
        <f t="shared" si="34"/>
        <v>0</v>
      </c>
      <c r="CC21" s="179" t="str">
        <f t="shared" si="35"/>
        <v>6</v>
      </c>
      <c r="CD21" s="179" t="str">
        <f t="shared" si="36"/>
        <v>1</v>
      </c>
      <c r="CE21" s="179" t="str">
        <f t="shared" si="37"/>
        <v>0</v>
      </c>
      <c r="CF21" s="179" t="str">
        <f t="shared" si="38"/>
        <v>2</v>
      </c>
      <c r="CG21" s="179" t="str">
        <f t="shared" si="39"/>
        <v>1</v>
      </c>
      <c r="CH21" s="166" t="s">
        <v>179</v>
      </c>
      <c r="CI21" s="166" t="s">
        <v>179</v>
      </c>
      <c r="CJ21" s="166" t="s">
        <v>147</v>
      </c>
      <c r="CK21" s="166" t="s">
        <v>150</v>
      </c>
      <c r="CL21" s="166" t="s">
        <v>229</v>
      </c>
    </row>
    <row r="22" spans="1:90" ht="14.25" customHeight="1" thickBot="1" x14ac:dyDescent="0.3">
      <c r="A22" s="213">
        <v>12</v>
      </c>
      <c r="B22" s="219" t="s">
        <v>202</v>
      </c>
      <c r="C22" s="199">
        <v>42597</v>
      </c>
      <c r="D22" s="146" t="s">
        <v>203</v>
      </c>
      <c r="E22" s="319" t="s">
        <v>93</v>
      </c>
      <c r="F22" s="221">
        <v>35</v>
      </c>
      <c r="G22" s="222">
        <v>46</v>
      </c>
      <c r="H22" s="222">
        <v>19</v>
      </c>
      <c r="I22" s="222">
        <v>30</v>
      </c>
      <c r="J22" s="222">
        <v>12</v>
      </c>
      <c r="K22" s="222">
        <v>44</v>
      </c>
      <c r="L22" s="222">
        <v>36</v>
      </c>
      <c r="M22" s="331">
        <v>24</v>
      </c>
      <c r="N22" s="303">
        <f t="shared" ref="N22" si="55">SUM(F22:M22)</f>
        <v>246</v>
      </c>
      <c r="O22" s="304" t="s">
        <v>171</v>
      </c>
      <c r="P22" s="341" t="s">
        <v>171</v>
      </c>
      <c r="Q22" s="305"/>
      <c r="R22" s="328" t="s">
        <v>67</v>
      </c>
      <c r="S22" s="326"/>
      <c r="T22" s="327"/>
      <c r="U22" s="327"/>
      <c r="V22" s="327"/>
      <c r="W22" s="327"/>
      <c r="X22" s="327"/>
      <c r="Y22" s="95"/>
      <c r="Z22" s="331"/>
      <c r="AA22" s="331">
        <f t="shared" ref="AA22" si="56">SUM(S22:Z22)</f>
        <v>0</v>
      </c>
      <c r="AB22" s="314"/>
      <c r="AC22" s="314"/>
      <c r="AD22" s="314">
        <f t="shared" si="21"/>
        <v>0</v>
      </c>
      <c r="AE22" s="325" t="s">
        <v>148</v>
      </c>
      <c r="AF22" s="15"/>
      <c r="AG22" s="232"/>
      <c r="AH22" s="232"/>
      <c r="AI22" s="232"/>
      <c r="AJ22" s="232"/>
      <c r="AK22" s="232"/>
      <c r="AL22" s="7"/>
      <c r="AM22" s="352"/>
      <c r="AN22" s="22">
        <f t="shared" si="41"/>
        <v>0</v>
      </c>
      <c r="AO22" s="15">
        <f t="shared" si="23"/>
        <v>0</v>
      </c>
      <c r="AP22" s="345"/>
      <c r="AQ22" s="7">
        <f t="shared" si="24"/>
        <v>0</v>
      </c>
      <c r="AR22" s="103"/>
      <c r="AS22" s="101"/>
      <c r="AT22" s="236"/>
      <c r="AU22" s="235"/>
      <c r="AV22" s="92"/>
      <c r="AW22" s="235"/>
      <c r="AX22" s="92"/>
      <c r="AY22" s="235"/>
      <c r="AZ22" s="92"/>
      <c r="BA22" s="17">
        <f t="shared" si="10"/>
        <v>246.00000220000001</v>
      </c>
      <c r="BB22" s="17" t="str">
        <f t="shared" si="50"/>
        <v>كنان حسني محمد محمد سمالوس</v>
      </c>
      <c r="BC22" s="17"/>
      <c r="BD22" s="218">
        <v>13</v>
      </c>
      <c r="BE22" s="87">
        <f t="shared" si="12"/>
        <v>237.00000130000001</v>
      </c>
      <c r="BF22" s="215" t="str">
        <f t="shared" si="13"/>
        <v>إلين محمد النفاتي الهليب</v>
      </c>
      <c r="BG22" s="245">
        <f t="shared" si="14"/>
        <v>2.2000000000000001E-6</v>
      </c>
      <c r="BH22" s="17" t="str">
        <f t="shared" si="25"/>
        <v>كنان حسني محمد محمد سمالوس</v>
      </c>
      <c r="BI22" s="218">
        <v>13</v>
      </c>
      <c r="BJ22" s="87">
        <f t="shared" si="15"/>
        <v>3.9799999999999998E-5</v>
      </c>
      <c r="BK22" s="215">
        <f t="shared" si="16"/>
        <v>0</v>
      </c>
      <c r="BL22" s="245">
        <f t="shared" si="26"/>
        <v>2.2000000000000001E-6</v>
      </c>
      <c r="BM22" s="17" t="str">
        <f t="shared" si="27"/>
        <v>كنان حسني محمد محمد سمالوس</v>
      </c>
      <c r="BN22" s="218">
        <v>13</v>
      </c>
      <c r="BO22" s="87">
        <f t="shared" si="17"/>
        <v>3.9799999999999998E-5</v>
      </c>
      <c r="BP22" s="215">
        <f t="shared" si="18"/>
        <v>0</v>
      </c>
      <c r="BR22" s="126"/>
      <c r="BS22" s="126"/>
      <c r="BT22" s="17">
        <v>120161048153</v>
      </c>
      <c r="BU22" s="178" t="s">
        <v>224</v>
      </c>
      <c r="BV22" s="179" t="str">
        <f t="shared" si="28"/>
        <v>3</v>
      </c>
      <c r="BW22" s="179" t="str">
        <f t="shared" si="29"/>
        <v>5</v>
      </c>
      <c r="BX22" s="179" t="str">
        <f t="shared" si="30"/>
        <v>1</v>
      </c>
      <c r="BY22" s="179" t="str">
        <f t="shared" si="31"/>
        <v>8</v>
      </c>
      <c r="BZ22" s="179" t="str">
        <f t="shared" si="32"/>
        <v>4</v>
      </c>
      <c r="CA22" s="179" t="str">
        <f t="shared" si="33"/>
        <v>0</v>
      </c>
      <c r="CB22" s="179" t="str">
        <f t="shared" si="34"/>
        <v>1</v>
      </c>
      <c r="CC22" s="179" t="str">
        <f t="shared" si="35"/>
        <v>6</v>
      </c>
      <c r="CD22" s="179" t="str">
        <f t="shared" si="36"/>
        <v>1</v>
      </c>
      <c r="CE22" s="179" t="str">
        <f t="shared" si="37"/>
        <v>0</v>
      </c>
      <c r="CF22" s="179" t="str">
        <f t="shared" si="38"/>
        <v>2</v>
      </c>
      <c r="CG22" s="179" t="str">
        <f t="shared" si="39"/>
        <v>1</v>
      </c>
      <c r="CH22" s="166" t="s">
        <v>179</v>
      </c>
      <c r="CI22" s="166" t="s">
        <v>179</v>
      </c>
      <c r="CJ22" s="166" t="s">
        <v>147</v>
      </c>
      <c r="CK22" s="166" t="s">
        <v>150</v>
      </c>
      <c r="CL22" s="166" t="s">
        <v>229</v>
      </c>
    </row>
    <row r="23" spans="1:90" ht="14.25" customHeight="1" thickBot="1" x14ac:dyDescent="0.3">
      <c r="A23" s="211">
        <v>13</v>
      </c>
      <c r="B23" s="89" t="s">
        <v>204</v>
      </c>
      <c r="C23" s="200">
        <v>42712</v>
      </c>
      <c r="D23" s="145" t="s">
        <v>205</v>
      </c>
      <c r="E23" s="320" t="s">
        <v>93</v>
      </c>
      <c r="F23" s="326">
        <v>36</v>
      </c>
      <c r="G23" s="327">
        <v>44</v>
      </c>
      <c r="H23" s="327">
        <v>21</v>
      </c>
      <c r="I23" s="327">
        <v>30</v>
      </c>
      <c r="J23" s="327">
        <v>12</v>
      </c>
      <c r="K23" s="222">
        <v>45</v>
      </c>
      <c r="L23" s="222">
        <v>36</v>
      </c>
      <c r="M23" s="331">
        <v>18</v>
      </c>
      <c r="N23" s="233">
        <f>SUM(F23:M23)</f>
        <v>242</v>
      </c>
      <c r="O23" s="304" t="s">
        <v>171</v>
      </c>
      <c r="P23" s="341" t="s">
        <v>171</v>
      </c>
      <c r="Q23" s="307"/>
      <c r="R23" s="329" t="s">
        <v>67</v>
      </c>
      <c r="S23" s="221"/>
      <c r="T23" s="222"/>
      <c r="U23" s="222"/>
      <c r="V23" s="222"/>
      <c r="W23" s="222"/>
      <c r="X23" s="222"/>
      <c r="Y23" s="222"/>
      <c r="Z23" s="331"/>
      <c r="AA23" s="339">
        <f t="shared" ref="AA23" si="57">SUM(S23:Y23)</f>
        <v>0</v>
      </c>
      <c r="AB23" s="314"/>
      <c r="AC23" s="314"/>
      <c r="AD23" s="314">
        <f t="shared" si="21"/>
        <v>0</v>
      </c>
      <c r="AE23" s="323" t="s">
        <v>87</v>
      </c>
      <c r="AF23" s="81"/>
      <c r="AG23" s="335"/>
      <c r="AH23" s="335"/>
      <c r="AI23" s="335"/>
      <c r="AJ23" s="335"/>
      <c r="AK23" s="335"/>
      <c r="AL23" s="336"/>
      <c r="AM23" s="353"/>
      <c r="AN23" s="22">
        <f t="shared" si="41"/>
        <v>0</v>
      </c>
      <c r="AO23" s="209">
        <f t="shared" si="23"/>
        <v>0</v>
      </c>
      <c r="AP23" s="339"/>
      <c r="AQ23" s="125">
        <f t="shared" si="24"/>
        <v>0</v>
      </c>
      <c r="AR23" s="104"/>
      <c r="AS23" s="217"/>
      <c r="AT23" s="216"/>
      <c r="AU23" s="230"/>
      <c r="AV23" s="220"/>
      <c r="AW23" s="230"/>
      <c r="AX23" s="220"/>
      <c r="AY23" s="230"/>
      <c r="AZ23" s="220"/>
      <c r="BA23" s="17">
        <f t="shared" si="10"/>
        <v>242.00000230000001</v>
      </c>
      <c r="BB23" s="17" t="str">
        <f t="shared" si="50"/>
        <v>محمد مجدي عبدالله سليمان</v>
      </c>
      <c r="BC23" s="17"/>
      <c r="BD23" s="218">
        <v>14</v>
      </c>
      <c r="BE23" s="87">
        <f t="shared" si="12"/>
        <v>232.0000024</v>
      </c>
      <c r="BF23" s="215" t="str">
        <f t="shared" si="13"/>
        <v>مصطفى طارق فتحي الختال</v>
      </c>
      <c r="BG23" s="245">
        <f t="shared" si="14"/>
        <v>2.3E-6</v>
      </c>
      <c r="BH23" s="17" t="str">
        <f t="shared" si="25"/>
        <v>محمد مجدي عبدالله سليمان</v>
      </c>
      <c r="BI23" s="218">
        <v>14</v>
      </c>
      <c r="BJ23" s="87">
        <f t="shared" si="15"/>
        <v>3.9699999999999996E-5</v>
      </c>
      <c r="BK23" s="215">
        <f t="shared" si="16"/>
        <v>0</v>
      </c>
      <c r="BL23" s="245">
        <f t="shared" si="26"/>
        <v>2.3E-6</v>
      </c>
      <c r="BM23" s="17" t="str">
        <f t="shared" si="27"/>
        <v>محمد مجدي عبدالله سليمان</v>
      </c>
      <c r="BN23" s="218">
        <v>14</v>
      </c>
      <c r="BO23" s="87">
        <f t="shared" si="17"/>
        <v>3.9699999999999996E-5</v>
      </c>
      <c r="BP23" s="215">
        <f t="shared" si="18"/>
        <v>0</v>
      </c>
      <c r="BR23" s="126"/>
      <c r="BS23" s="126"/>
      <c r="BT23" s="17">
        <v>120161009523</v>
      </c>
      <c r="BU23" s="178" t="s">
        <v>225</v>
      </c>
      <c r="BV23" s="179" t="str">
        <f t="shared" si="28"/>
        <v>3</v>
      </c>
      <c r="BW23" s="179" t="str">
        <f t="shared" si="29"/>
        <v>2</v>
      </c>
      <c r="BX23" s="179" t="str">
        <f t="shared" si="30"/>
        <v>5</v>
      </c>
      <c r="BY23" s="179" t="str">
        <f t="shared" si="31"/>
        <v>9</v>
      </c>
      <c r="BZ23" s="179" t="str">
        <f t="shared" si="32"/>
        <v>0</v>
      </c>
      <c r="CA23" s="179" t="str">
        <f t="shared" si="33"/>
        <v>0</v>
      </c>
      <c r="CB23" s="179" t="str">
        <f t="shared" si="34"/>
        <v>1</v>
      </c>
      <c r="CC23" s="179" t="str">
        <f t="shared" si="35"/>
        <v>6</v>
      </c>
      <c r="CD23" s="179" t="str">
        <f t="shared" si="36"/>
        <v>1</v>
      </c>
      <c r="CE23" s="179" t="str">
        <f t="shared" si="37"/>
        <v>0</v>
      </c>
      <c r="CF23" s="179" t="str">
        <f t="shared" si="38"/>
        <v>2</v>
      </c>
      <c r="CG23" s="179" t="str">
        <f t="shared" si="39"/>
        <v>1</v>
      </c>
      <c r="CH23" s="166" t="s">
        <v>179</v>
      </c>
      <c r="CI23" s="166" t="s">
        <v>179</v>
      </c>
      <c r="CJ23" s="166" t="s">
        <v>147</v>
      </c>
      <c r="CK23" s="166" t="s">
        <v>150</v>
      </c>
      <c r="CL23" s="166" t="s">
        <v>229</v>
      </c>
    </row>
    <row r="24" spans="1:90" ht="14.25" customHeight="1" thickBot="1" x14ac:dyDescent="0.3">
      <c r="A24" s="213">
        <v>14</v>
      </c>
      <c r="B24" s="219" t="s">
        <v>206</v>
      </c>
      <c r="C24" s="199">
        <v>42656</v>
      </c>
      <c r="D24" s="146" t="s">
        <v>207</v>
      </c>
      <c r="E24" s="319" t="s">
        <v>93</v>
      </c>
      <c r="F24" s="221">
        <v>27</v>
      </c>
      <c r="G24" s="222">
        <v>35</v>
      </c>
      <c r="H24" s="222">
        <v>15</v>
      </c>
      <c r="I24" s="222">
        <v>31</v>
      </c>
      <c r="J24" s="222">
        <v>10</v>
      </c>
      <c r="K24" s="222">
        <v>58</v>
      </c>
      <c r="L24" s="222">
        <v>36</v>
      </c>
      <c r="M24" s="331">
        <v>20</v>
      </c>
      <c r="N24" s="303">
        <f t="shared" ref="N24" si="58">SUM(F24:M24)</f>
        <v>232</v>
      </c>
      <c r="O24" s="304" t="s">
        <v>171</v>
      </c>
      <c r="P24" s="341" t="s">
        <v>171</v>
      </c>
      <c r="Q24" s="305"/>
      <c r="R24" s="328" t="s">
        <v>67</v>
      </c>
      <c r="S24" s="326"/>
      <c r="T24" s="327"/>
      <c r="U24" s="327"/>
      <c r="V24" s="327"/>
      <c r="W24" s="327"/>
      <c r="X24" s="327"/>
      <c r="Y24" s="95"/>
      <c r="Z24" s="331"/>
      <c r="AA24" s="331">
        <f t="shared" ref="AA24" si="59">SUM(S24:Z24)</f>
        <v>0</v>
      </c>
      <c r="AB24" s="314"/>
      <c r="AC24" s="314"/>
      <c r="AD24" s="314">
        <f t="shared" si="21"/>
        <v>0</v>
      </c>
      <c r="AE24" s="324" t="s">
        <v>87</v>
      </c>
      <c r="AF24" s="82"/>
      <c r="AG24" s="337"/>
      <c r="AH24" s="337"/>
      <c r="AI24" s="337"/>
      <c r="AJ24" s="337"/>
      <c r="AK24" s="337"/>
      <c r="AL24" s="338"/>
      <c r="AM24" s="354"/>
      <c r="AN24" s="91">
        <f t="shared" si="41"/>
        <v>0</v>
      </c>
      <c r="AO24" s="96">
        <f t="shared" si="23"/>
        <v>0</v>
      </c>
      <c r="AP24" s="210"/>
      <c r="AQ24" s="97">
        <f t="shared" si="24"/>
        <v>0</v>
      </c>
      <c r="AR24" s="105"/>
      <c r="AS24" s="102"/>
      <c r="AT24" s="237"/>
      <c r="AU24" s="231"/>
      <c r="AV24" s="93"/>
      <c r="AW24" s="231"/>
      <c r="AX24" s="93"/>
      <c r="AY24" s="231"/>
      <c r="AZ24" s="93"/>
      <c r="BA24" s="17">
        <f t="shared" si="10"/>
        <v>232.0000024</v>
      </c>
      <c r="BB24" s="17" t="str">
        <f t="shared" si="50"/>
        <v>مصطفى طارق فتحي الختال</v>
      </c>
      <c r="BC24" s="17"/>
      <c r="BD24" s="218">
        <v>15</v>
      </c>
      <c r="BE24" s="87">
        <f t="shared" si="12"/>
        <v>230.00000170000001</v>
      </c>
      <c r="BF24" s="215" t="str">
        <f t="shared" si="13"/>
        <v xml:space="preserve">سالم عمر سالم التائب </v>
      </c>
      <c r="BG24" s="245">
        <f t="shared" si="14"/>
        <v>2.3999999999999999E-6</v>
      </c>
      <c r="BH24" s="17" t="str">
        <f t="shared" si="25"/>
        <v>مصطفى طارق فتحي الختال</v>
      </c>
      <c r="BI24" s="218">
        <v>15</v>
      </c>
      <c r="BJ24" s="87">
        <f t="shared" si="15"/>
        <v>3.96E-5</v>
      </c>
      <c r="BK24" s="215">
        <f t="shared" si="16"/>
        <v>0</v>
      </c>
      <c r="BL24" s="245">
        <f t="shared" si="26"/>
        <v>2.3999999999999999E-6</v>
      </c>
      <c r="BM24" s="17" t="str">
        <f t="shared" si="27"/>
        <v>مصطفى طارق فتحي الختال</v>
      </c>
      <c r="BN24" s="218">
        <v>15</v>
      </c>
      <c r="BO24" s="87">
        <f t="shared" si="17"/>
        <v>3.96E-5</v>
      </c>
      <c r="BP24" s="215">
        <f t="shared" si="18"/>
        <v>0</v>
      </c>
      <c r="BR24" s="126"/>
      <c r="BS24" s="126"/>
      <c r="BT24" s="17">
        <v>120160674788</v>
      </c>
      <c r="BU24" s="178" t="s">
        <v>226</v>
      </c>
      <c r="BV24" s="179" t="str">
        <f t="shared" si="28"/>
        <v>8</v>
      </c>
      <c r="BW24" s="179" t="str">
        <f t="shared" si="29"/>
        <v>8</v>
      </c>
      <c r="BX24" s="179" t="str">
        <f t="shared" si="30"/>
        <v>7</v>
      </c>
      <c r="BY24" s="179" t="str">
        <f t="shared" si="31"/>
        <v>4</v>
      </c>
      <c r="BZ24" s="179" t="str">
        <f t="shared" si="32"/>
        <v>7</v>
      </c>
      <c r="CA24" s="179" t="str">
        <f t="shared" si="33"/>
        <v>6</v>
      </c>
      <c r="CB24" s="179" t="str">
        <f t="shared" si="34"/>
        <v>0</v>
      </c>
      <c r="CC24" s="179" t="str">
        <f t="shared" si="35"/>
        <v>6</v>
      </c>
      <c r="CD24" s="179" t="str">
        <f t="shared" si="36"/>
        <v>1</v>
      </c>
      <c r="CE24" s="179" t="str">
        <f t="shared" si="37"/>
        <v>0</v>
      </c>
      <c r="CF24" s="179" t="str">
        <f t="shared" si="38"/>
        <v>2</v>
      </c>
      <c r="CG24" s="179" t="str">
        <f t="shared" si="39"/>
        <v>1</v>
      </c>
      <c r="CH24" s="166" t="s">
        <v>179</v>
      </c>
      <c r="CI24" s="166" t="s">
        <v>179</v>
      </c>
      <c r="CJ24" s="166" t="s">
        <v>147</v>
      </c>
      <c r="CK24" s="166" t="s">
        <v>150</v>
      </c>
      <c r="CL24" s="166" t="s">
        <v>229</v>
      </c>
    </row>
    <row r="25" spans="1:90" ht="14.25" customHeight="1" thickBot="1" x14ac:dyDescent="0.3">
      <c r="A25" s="211">
        <v>15</v>
      </c>
      <c r="B25" s="89" t="s">
        <v>208</v>
      </c>
      <c r="C25" s="200">
        <v>42569</v>
      </c>
      <c r="D25" s="145" t="s">
        <v>209</v>
      </c>
      <c r="E25" s="320" t="s">
        <v>93</v>
      </c>
      <c r="F25" s="326">
        <v>24</v>
      </c>
      <c r="G25" s="222">
        <v>24</v>
      </c>
      <c r="H25" s="327">
        <v>15</v>
      </c>
      <c r="I25" s="327">
        <v>28</v>
      </c>
      <c r="J25" s="327">
        <v>9</v>
      </c>
      <c r="K25" s="222">
        <v>30</v>
      </c>
      <c r="L25" s="222">
        <v>35</v>
      </c>
      <c r="M25" s="331">
        <v>14</v>
      </c>
      <c r="N25" s="233">
        <f>SUM(F25:M25)</f>
        <v>179</v>
      </c>
      <c r="O25" s="304" t="s">
        <v>171</v>
      </c>
      <c r="P25" s="341" t="s">
        <v>171</v>
      </c>
      <c r="Q25" s="307"/>
      <c r="R25" s="329" t="s">
        <v>67</v>
      </c>
      <c r="S25" s="221"/>
      <c r="T25" s="222"/>
      <c r="U25" s="222"/>
      <c r="V25" s="222"/>
      <c r="W25" s="222"/>
      <c r="X25" s="222"/>
      <c r="Y25" s="222"/>
      <c r="Z25" s="331"/>
      <c r="AA25" s="339">
        <f t="shared" ref="AA25" si="60">SUM(S25:Y25)</f>
        <v>0</v>
      </c>
      <c r="AB25" s="314"/>
      <c r="AC25" s="314"/>
      <c r="AD25" s="314">
        <f t="shared" si="21"/>
        <v>0</v>
      </c>
      <c r="AE25" s="325" t="s">
        <v>148</v>
      </c>
      <c r="AF25" s="15"/>
      <c r="AG25" s="232"/>
      <c r="AH25" s="232"/>
      <c r="AI25" s="232"/>
      <c r="AJ25" s="232"/>
      <c r="AK25" s="232"/>
      <c r="AL25" s="7"/>
      <c r="AM25" s="352"/>
      <c r="AN25" s="22">
        <f t="shared" si="41"/>
        <v>0</v>
      </c>
      <c r="AO25" s="15">
        <f t="shared" si="23"/>
        <v>0</v>
      </c>
      <c r="AP25" s="345"/>
      <c r="AQ25" s="7">
        <f t="shared" si="24"/>
        <v>0</v>
      </c>
      <c r="AR25" s="103"/>
      <c r="AS25" s="101"/>
      <c r="AT25" s="236"/>
      <c r="AU25" s="235"/>
      <c r="AV25" s="92"/>
      <c r="AW25" s="235"/>
      <c r="AX25" s="92"/>
      <c r="AY25" s="235"/>
      <c r="AZ25" s="92"/>
      <c r="BA25" s="17">
        <f t="shared" si="10"/>
        <v>179.00000249999999</v>
      </c>
      <c r="BB25" s="17" t="str">
        <f t="shared" si="50"/>
        <v>معاوية عز الدين محمد أحفيظان</v>
      </c>
      <c r="BC25" s="17"/>
      <c r="BD25" s="218">
        <v>16</v>
      </c>
      <c r="BE25" s="87">
        <f t="shared" si="12"/>
        <v>186.0000014</v>
      </c>
      <c r="BF25" s="215" t="str">
        <f t="shared" si="13"/>
        <v>جنان عبدالسلام محمد الجوادي</v>
      </c>
      <c r="BG25" s="245">
        <f t="shared" si="14"/>
        <v>2.4999999999999998E-6</v>
      </c>
      <c r="BH25" s="17" t="str">
        <f t="shared" si="25"/>
        <v>معاوية عز الدين محمد أحفيظان</v>
      </c>
      <c r="BI25" s="218">
        <v>16</v>
      </c>
      <c r="BJ25" s="87">
        <f t="shared" si="15"/>
        <v>3.9499999999999998E-5</v>
      </c>
      <c r="BK25" s="215">
        <f t="shared" si="16"/>
        <v>0</v>
      </c>
      <c r="BL25" s="245">
        <f t="shared" si="26"/>
        <v>2.4999999999999998E-6</v>
      </c>
      <c r="BM25" s="17" t="str">
        <f t="shared" si="27"/>
        <v>معاوية عز الدين محمد أحفيظان</v>
      </c>
      <c r="BN25" s="218">
        <v>16</v>
      </c>
      <c r="BO25" s="87">
        <f t="shared" si="17"/>
        <v>3.9499999999999998E-5</v>
      </c>
      <c r="BP25" s="215">
        <f t="shared" si="18"/>
        <v>0</v>
      </c>
      <c r="BR25" s="126"/>
      <c r="BS25" s="126"/>
      <c r="BT25" s="17">
        <v>120160454465</v>
      </c>
      <c r="BU25" s="178" t="s">
        <v>227</v>
      </c>
      <c r="BV25" s="179" t="str">
        <f t="shared" si="28"/>
        <v>5</v>
      </c>
      <c r="BW25" s="179" t="str">
        <f t="shared" si="29"/>
        <v>6</v>
      </c>
      <c r="BX25" s="179" t="str">
        <f t="shared" si="30"/>
        <v>4</v>
      </c>
      <c r="BY25" s="179" t="str">
        <f t="shared" si="31"/>
        <v>4</v>
      </c>
      <c r="BZ25" s="179" t="str">
        <f t="shared" si="32"/>
        <v>5</v>
      </c>
      <c r="CA25" s="179" t="str">
        <f t="shared" si="33"/>
        <v>4</v>
      </c>
      <c r="CB25" s="179" t="str">
        <f t="shared" si="34"/>
        <v>0</v>
      </c>
      <c r="CC25" s="179" t="str">
        <f t="shared" si="35"/>
        <v>6</v>
      </c>
      <c r="CD25" s="179" t="str">
        <f t="shared" si="36"/>
        <v>1</v>
      </c>
      <c r="CE25" s="179" t="str">
        <f t="shared" si="37"/>
        <v>0</v>
      </c>
      <c r="CF25" s="179" t="str">
        <f t="shared" si="38"/>
        <v>2</v>
      </c>
      <c r="CG25" s="179" t="str">
        <f t="shared" si="39"/>
        <v>1</v>
      </c>
      <c r="CH25" s="1" t="s">
        <v>179</v>
      </c>
      <c r="CI25" s="166" t="s">
        <v>179</v>
      </c>
      <c r="CJ25" s="166" t="s">
        <v>147</v>
      </c>
      <c r="CK25" s="166" t="s">
        <v>150</v>
      </c>
      <c r="CL25" s="166" t="s">
        <v>229</v>
      </c>
    </row>
    <row r="26" spans="1:90" ht="14.25" customHeight="1" thickBot="1" x14ac:dyDescent="0.3">
      <c r="A26" s="213">
        <v>16</v>
      </c>
      <c r="B26" s="219" t="s">
        <v>210</v>
      </c>
      <c r="C26" s="199">
        <v>42560</v>
      </c>
      <c r="D26" s="146" t="s">
        <v>211</v>
      </c>
      <c r="E26" s="319" t="s">
        <v>93</v>
      </c>
      <c r="F26" s="221">
        <v>36</v>
      </c>
      <c r="G26" s="222">
        <v>48</v>
      </c>
      <c r="H26" s="222">
        <v>23</v>
      </c>
      <c r="I26" s="222">
        <v>32</v>
      </c>
      <c r="J26" s="222">
        <v>12</v>
      </c>
      <c r="K26" s="222">
        <v>52</v>
      </c>
      <c r="L26" s="222">
        <v>36</v>
      </c>
      <c r="M26" s="331">
        <v>24</v>
      </c>
      <c r="N26" s="303">
        <f t="shared" ref="N26:N27" si="61">SUM(F26:M26)</f>
        <v>263</v>
      </c>
      <c r="O26" s="304" t="s">
        <v>171</v>
      </c>
      <c r="P26" s="341" t="s">
        <v>171</v>
      </c>
      <c r="Q26" s="305"/>
      <c r="R26" s="328" t="s">
        <v>67</v>
      </c>
      <c r="S26" s="326"/>
      <c r="T26" s="327"/>
      <c r="U26" s="327"/>
      <c r="V26" s="327"/>
      <c r="W26" s="327"/>
      <c r="X26" s="327"/>
      <c r="Y26" s="95"/>
      <c r="Z26" s="331"/>
      <c r="AA26" s="331">
        <f t="shared" ref="AA26" si="62">SUM(S26:Z26)</f>
        <v>0</v>
      </c>
      <c r="AB26" s="314"/>
      <c r="AC26" s="314"/>
      <c r="AD26" s="314">
        <f t="shared" si="21"/>
        <v>0</v>
      </c>
      <c r="AE26" s="323" t="s">
        <v>87</v>
      </c>
      <c r="AF26" s="81"/>
      <c r="AG26" s="335"/>
      <c r="AH26" s="335"/>
      <c r="AI26" s="335"/>
      <c r="AJ26" s="335"/>
      <c r="AK26" s="335"/>
      <c r="AL26" s="336"/>
      <c r="AM26" s="353"/>
      <c r="AN26" s="22">
        <f t="shared" si="41"/>
        <v>0</v>
      </c>
      <c r="AO26" s="209">
        <f t="shared" si="23"/>
        <v>0</v>
      </c>
      <c r="AP26" s="339"/>
      <c r="AQ26" s="125">
        <f t="shared" si="24"/>
        <v>0</v>
      </c>
      <c r="AR26" s="104"/>
      <c r="AS26" s="217"/>
      <c r="AT26" s="216"/>
      <c r="AU26" s="230"/>
      <c r="AV26" s="220"/>
      <c r="AW26" s="230"/>
      <c r="AX26" s="220"/>
      <c r="AY26" s="230"/>
      <c r="AZ26" s="220"/>
      <c r="BA26" s="17">
        <f t="shared" si="10"/>
        <v>263.00000260000002</v>
      </c>
      <c r="BB26" s="17" t="str">
        <f t="shared" si="50"/>
        <v xml:space="preserve">ميّار صالح محمد ديماس </v>
      </c>
      <c r="BC26" s="17"/>
      <c r="BD26" s="218">
        <v>17</v>
      </c>
      <c r="BE26" s="87">
        <f t="shared" si="12"/>
        <v>179.00000249999999</v>
      </c>
      <c r="BF26" s="215" t="str">
        <f t="shared" si="13"/>
        <v>معاوية عز الدين محمد أحفيظان</v>
      </c>
      <c r="BG26" s="245">
        <f t="shared" si="14"/>
        <v>2.5999999999999997E-6</v>
      </c>
      <c r="BH26" s="17" t="str">
        <f t="shared" si="25"/>
        <v xml:space="preserve">ميّار صالح محمد ديماس </v>
      </c>
      <c r="BI26" s="218">
        <v>17</v>
      </c>
      <c r="BJ26" s="87">
        <f t="shared" si="15"/>
        <v>3.9399999999999995E-5</v>
      </c>
      <c r="BK26" s="215">
        <f t="shared" si="16"/>
        <v>0</v>
      </c>
      <c r="BL26" s="245">
        <f t="shared" si="26"/>
        <v>2.5999999999999997E-6</v>
      </c>
      <c r="BM26" s="17" t="str">
        <f t="shared" si="27"/>
        <v xml:space="preserve">ميّار صالح محمد ديماس </v>
      </c>
      <c r="BN26" s="218">
        <v>17</v>
      </c>
      <c r="BO26" s="87">
        <f t="shared" si="17"/>
        <v>3.9399999999999995E-5</v>
      </c>
      <c r="BP26" s="215">
        <f t="shared" si="18"/>
        <v>0</v>
      </c>
      <c r="BR26" s="126"/>
      <c r="BS26" s="126"/>
      <c r="BT26" s="17">
        <v>120160386388</v>
      </c>
      <c r="BU26" s="178" t="s">
        <v>228</v>
      </c>
      <c r="BV26" s="179" t="str">
        <f t="shared" si="28"/>
        <v>8</v>
      </c>
      <c r="BW26" s="179" t="str">
        <f t="shared" si="29"/>
        <v>8</v>
      </c>
      <c r="BX26" s="179" t="str">
        <f t="shared" si="30"/>
        <v>3</v>
      </c>
      <c r="BY26" s="179" t="str">
        <f t="shared" si="31"/>
        <v>6</v>
      </c>
      <c r="BZ26" s="179" t="str">
        <f t="shared" si="32"/>
        <v>8</v>
      </c>
      <c r="CA26" s="179" t="str">
        <f t="shared" si="33"/>
        <v>3</v>
      </c>
      <c r="CB26" s="179" t="str">
        <f t="shared" si="34"/>
        <v>0</v>
      </c>
      <c r="CC26" s="179" t="str">
        <f t="shared" si="35"/>
        <v>6</v>
      </c>
      <c r="CD26" s="179" t="str">
        <f t="shared" si="36"/>
        <v>1</v>
      </c>
      <c r="CE26" s="179" t="str">
        <f t="shared" si="37"/>
        <v>0</v>
      </c>
      <c r="CF26" s="179" t="str">
        <f t="shared" si="38"/>
        <v>2</v>
      </c>
      <c r="CG26" s="179" t="str">
        <f t="shared" si="39"/>
        <v>1</v>
      </c>
      <c r="CH26" s="166" t="s">
        <v>179</v>
      </c>
      <c r="CI26" s="166" t="s">
        <v>179</v>
      </c>
      <c r="CJ26" s="166" t="s">
        <v>147</v>
      </c>
      <c r="CK26" s="166" t="s">
        <v>150</v>
      </c>
      <c r="CL26" s="166" t="s">
        <v>229</v>
      </c>
    </row>
    <row r="27" spans="1:90" ht="14.25" customHeight="1" thickBot="1" x14ac:dyDescent="0.3">
      <c r="A27" s="211">
        <v>17</v>
      </c>
      <c r="B27" s="89" t="s">
        <v>212</v>
      </c>
      <c r="C27" s="200">
        <v>42689</v>
      </c>
      <c r="D27" s="145" t="s">
        <v>213</v>
      </c>
      <c r="E27" s="320" t="s">
        <v>93</v>
      </c>
      <c r="F27" s="326">
        <v>36</v>
      </c>
      <c r="G27" s="222">
        <v>48</v>
      </c>
      <c r="H27" s="327">
        <v>23</v>
      </c>
      <c r="I27" s="327">
        <v>36</v>
      </c>
      <c r="J27" s="327">
        <v>12</v>
      </c>
      <c r="K27" s="222">
        <v>57</v>
      </c>
      <c r="L27" s="222">
        <v>36</v>
      </c>
      <c r="M27" s="331">
        <v>24</v>
      </c>
      <c r="N27" s="303">
        <f t="shared" si="61"/>
        <v>272</v>
      </c>
      <c r="O27" s="304" t="s">
        <v>171</v>
      </c>
      <c r="P27" s="341" t="s">
        <v>171</v>
      </c>
      <c r="Q27" s="307"/>
      <c r="R27" s="329" t="s">
        <v>67</v>
      </c>
      <c r="S27" s="221"/>
      <c r="T27" s="222"/>
      <c r="U27" s="222"/>
      <c r="V27" s="222"/>
      <c r="W27" s="222"/>
      <c r="X27" s="222"/>
      <c r="Y27" s="222"/>
      <c r="Z27" s="331"/>
      <c r="AA27" s="339">
        <f t="shared" ref="AA27" si="63">SUM(S27:Y27)</f>
        <v>0</v>
      </c>
      <c r="AB27" s="314"/>
      <c r="AC27" s="314"/>
      <c r="AD27" s="314">
        <f t="shared" si="21"/>
        <v>0</v>
      </c>
      <c r="AE27" s="324" t="s">
        <v>87</v>
      </c>
      <c r="AF27" s="82"/>
      <c r="AG27" s="337"/>
      <c r="AH27" s="337"/>
      <c r="AI27" s="337"/>
      <c r="AJ27" s="337"/>
      <c r="AK27" s="337"/>
      <c r="AL27" s="338"/>
      <c r="AM27" s="354"/>
      <c r="AN27" s="91">
        <f t="shared" si="41"/>
        <v>0</v>
      </c>
      <c r="AO27" s="96">
        <f t="shared" si="23"/>
        <v>0</v>
      </c>
      <c r="AP27" s="210"/>
      <c r="AQ27" s="97">
        <f t="shared" si="24"/>
        <v>0</v>
      </c>
      <c r="AR27" s="105"/>
      <c r="AS27" s="102"/>
      <c r="AT27" s="237"/>
      <c r="AU27" s="231"/>
      <c r="AV27" s="93"/>
      <c r="AW27" s="231"/>
      <c r="AX27" s="93"/>
      <c r="AY27" s="231"/>
      <c r="AZ27" s="93"/>
      <c r="BA27" s="17">
        <f t="shared" si="10"/>
        <v>272.00000269999998</v>
      </c>
      <c r="BB27" s="17">
        <f t="shared" si="50"/>
        <v>0</v>
      </c>
      <c r="BC27" s="17"/>
      <c r="BD27" s="218">
        <v>18</v>
      </c>
      <c r="BE27" s="87">
        <f t="shared" si="12"/>
        <v>4.1E-5</v>
      </c>
      <c r="BF27" s="215">
        <f t="shared" si="13"/>
        <v>0</v>
      </c>
      <c r="BG27" s="245">
        <f t="shared" si="14"/>
        <v>2.7E-6</v>
      </c>
      <c r="BH27" s="17">
        <f t="shared" si="25"/>
        <v>0</v>
      </c>
      <c r="BI27" s="218">
        <v>18</v>
      </c>
      <c r="BJ27" s="87">
        <f t="shared" si="15"/>
        <v>3.93E-5</v>
      </c>
      <c r="BK27" s="215">
        <f t="shared" si="16"/>
        <v>0</v>
      </c>
      <c r="BL27" s="245">
        <f t="shared" si="26"/>
        <v>2.7E-6</v>
      </c>
      <c r="BM27" s="17">
        <f t="shared" si="27"/>
        <v>0</v>
      </c>
      <c r="BN27" s="218">
        <v>18</v>
      </c>
      <c r="BO27" s="87">
        <f t="shared" si="17"/>
        <v>3.93E-5</v>
      </c>
      <c r="BP27" s="215">
        <f t="shared" si="18"/>
        <v>0</v>
      </c>
      <c r="BR27" s="126"/>
      <c r="BS27" s="126"/>
      <c r="BU27" s="178" t="s">
        <v>232</v>
      </c>
      <c r="BV27" s="179" t="str">
        <f t="shared" si="28"/>
        <v/>
      </c>
      <c r="BW27" s="179" t="str">
        <f t="shared" si="29"/>
        <v/>
      </c>
      <c r="BX27" s="179" t="str">
        <f t="shared" si="30"/>
        <v/>
      </c>
      <c r="BY27" s="179" t="str">
        <f t="shared" si="31"/>
        <v/>
      </c>
      <c r="BZ27" s="179" t="str">
        <f t="shared" si="32"/>
        <v/>
      </c>
      <c r="CA27" s="179" t="str">
        <f t="shared" si="33"/>
        <v/>
      </c>
      <c r="CB27" s="179" t="str">
        <f t="shared" si="34"/>
        <v/>
      </c>
      <c r="CC27" s="179" t="str">
        <f t="shared" si="35"/>
        <v/>
      </c>
      <c r="CD27" s="179" t="str">
        <f t="shared" si="36"/>
        <v/>
      </c>
      <c r="CE27" s="179" t="str">
        <f t="shared" si="37"/>
        <v/>
      </c>
      <c r="CF27" s="179" t="str">
        <f t="shared" si="38"/>
        <v/>
      </c>
      <c r="CG27" s="179" t="str">
        <f t="shared" si="39"/>
        <v/>
      </c>
      <c r="CH27" s="166" t="s">
        <v>230</v>
      </c>
      <c r="CI27" s="166" t="s">
        <v>233</v>
      </c>
      <c r="CJ27" s="166" t="s">
        <v>147</v>
      </c>
      <c r="CK27" s="166" t="s">
        <v>150</v>
      </c>
      <c r="CL27" s="166" t="s">
        <v>229</v>
      </c>
    </row>
    <row r="28" spans="1:90" ht="14.25" customHeight="1" thickBot="1" x14ac:dyDescent="0.3">
      <c r="A28" s="213">
        <v>18</v>
      </c>
      <c r="B28" s="219"/>
      <c r="C28" s="199"/>
      <c r="D28" s="146"/>
      <c r="E28" s="319" t="s">
        <v>93</v>
      </c>
      <c r="F28" s="221"/>
      <c r="G28" s="222"/>
      <c r="H28" s="222"/>
      <c r="I28" s="222"/>
      <c r="J28" s="222"/>
      <c r="K28" s="222"/>
      <c r="L28" s="222"/>
      <c r="M28" s="331"/>
      <c r="N28" s="303"/>
      <c r="O28" s="304"/>
      <c r="P28" s="341"/>
      <c r="Q28" s="305"/>
      <c r="R28" s="328" t="s">
        <v>67</v>
      </c>
      <c r="S28" s="326"/>
      <c r="T28" s="327"/>
      <c r="U28" s="327"/>
      <c r="V28" s="327"/>
      <c r="W28" s="327"/>
      <c r="X28" s="327"/>
      <c r="Y28" s="95"/>
      <c r="Z28" s="331"/>
      <c r="AA28" s="331">
        <f t="shared" ref="AA28" si="64">SUM(S28:Z28)</f>
        <v>0</v>
      </c>
      <c r="AB28" s="314"/>
      <c r="AC28" s="314"/>
      <c r="AD28" s="314">
        <f t="shared" si="21"/>
        <v>0</v>
      </c>
      <c r="AE28" s="325" t="s">
        <v>148</v>
      </c>
      <c r="AF28" s="15"/>
      <c r="AG28" s="232"/>
      <c r="AH28" s="232"/>
      <c r="AI28" s="232"/>
      <c r="AJ28" s="232"/>
      <c r="AK28" s="232"/>
      <c r="AL28" s="7"/>
      <c r="AM28" s="352"/>
      <c r="AN28" s="22">
        <f t="shared" si="41"/>
        <v>0</v>
      </c>
      <c r="AO28" s="15">
        <f t="shared" si="23"/>
        <v>0</v>
      </c>
      <c r="AP28" s="345"/>
      <c r="AQ28" s="7">
        <f t="shared" si="24"/>
        <v>0</v>
      </c>
      <c r="AR28" s="103"/>
      <c r="AS28" s="101"/>
      <c r="AT28" s="236"/>
      <c r="AU28" s="235"/>
      <c r="AV28" s="92"/>
      <c r="AW28" s="235"/>
      <c r="AX28" s="92"/>
      <c r="AY28" s="235"/>
      <c r="AZ28" s="92"/>
      <c r="BA28" s="17">
        <f t="shared" si="10"/>
        <v>2.7999999999999999E-6</v>
      </c>
      <c r="BB28" s="17" t="e">
        <f>#REF!</f>
        <v>#REF!</v>
      </c>
      <c r="BC28" s="17"/>
      <c r="BD28" s="218">
        <v>19</v>
      </c>
      <c r="BE28" s="87">
        <f t="shared" si="12"/>
        <v>4.0899999999999998E-5</v>
      </c>
      <c r="BF28" s="215">
        <f t="shared" si="13"/>
        <v>0</v>
      </c>
      <c r="BG28" s="245">
        <f t="shared" si="14"/>
        <v>2.7999999999999999E-6</v>
      </c>
      <c r="BH28" s="17" t="e">
        <f t="shared" si="25"/>
        <v>#REF!</v>
      </c>
      <c r="BI28" s="218">
        <v>19</v>
      </c>
      <c r="BJ28" s="87">
        <f t="shared" si="15"/>
        <v>3.9199999999999997E-5</v>
      </c>
      <c r="BK28" s="215">
        <f t="shared" si="16"/>
        <v>0</v>
      </c>
      <c r="BL28" s="245">
        <f t="shared" si="26"/>
        <v>2.7999999999999999E-6</v>
      </c>
      <c r="BM28" s="17" t="e">
        <f t="shared" si="27"/>
        <v>#REF!</v>
      </c>
      <c r="BN28" s="218">
        <v>19</v>
      </c>
      <c r="BO28" s="87">
        <f t="shared" si="17"/>
        <v>3.9199999999999997E-5</v>
      </c>
      <c r="BP28" s="215">
        <f t="shared" si="18"/>
        <v>0</v>
      </c>
      <c r="BR28" s="126"/>
      <c r="BS28" s="126"/>
      <c r="BU28" s="178"/>
      <c r="BV28" s="179" t="str">
        <f t="shared" si="28"/>
        <v/>
      </c>
      <c r="BW28" s="179" t="str">
        <f t="shared" si="29"/>
        <v/>
      </c>
      <c r="BX28" s="179" t="str">
        <f t="shared" si="30"/>
        <v/>
      </c>
      <c r="BY28" s="179" t="str">
        <f t="shared" si="31"/>
        <v/>
      </c>
      <c r="BZ28" s="179" t="str">
        <f t="shared" si="32"/>
        <v/>
      </c>
      <c r="CA28" s="179" t="str">
        <f t="shared" si="33"/>
        <v/>
      </c>
      <c r="CB28" s="179" t="str">
        <f t="shared" si="34"/>
        <v/>
      </c>
      <c r="CC28" s="179" t="str">
        <f t="shared" si="35"/>
        <v/>
      </c>
      <c r="CD28" s="179" t="str">
        <f t="shared" si="36"/>
        <v/>
      </c>
      <c r="CE28" s="179" t="str">
        <f t="shared" si="37"/>
        <v/>
      </c>
      <c r="CF28" s="179" t="str">
        <f t="shared" si="38"/>
        <v/>
      </c>
      <c r="CG28" s="179" t="str">
        <f t="shared" si="39"/>
        <v/>
      </c>
      <c r="CH28" s="166"/>
      <c r="CI28" s="166"/>
      <c r="CJ28" s="166"/>
      <c r="CK28" s="166"/>
      <c r="CL28" s="166"/>
    </row>
    <row r="29" spans="1:90" ht="14.25" customHeight="1" x14ac:dyDescent="0.25">
      <c r="A29" s="211">
        <v>19</v>
      </c>
      <c r="B29" s="219"/>
      <c r="C29" s="200"/>
      <c r="D29" s="145"/>
      <c r="E29" s="320" t="s">
        <v>93</v>
      </c>
      <c r="F29" s="326"/>
      <c r="G29" s="222"/>
      <c r="H29" s="327"/>
      <c r="I29" s="327"/>
      <c r="J29" s="327"/>
      <c r="K29" s="222"/>
      <c r="L29" s="222"/>
      <c r="M29" s="331"/>
      <c r="N29" s="233"/>
      <c r="O29" s="304"/>
      <c r="P29" s="341"/>
      <c r="Q29" s="307"/>
      <c r="R29" s="329" t="s">
        <v>67</v>
      </c>
      <c r="S29" s="221"/>
      <c r="T29" s="222"/>
      <c r="U29" s="222"/>
      <c r="V29" s="222"/>
      <c r="W29" s="222"/>
      <c r="X29" s="222"/>
      <c r="Y29" s="222"/>
      <c r="Z29" s="331"/>
      <c r="AA29" s="339">
        <f t="shared" ref="AA29" si="65">SUM(S29:Y29)</f>
        <v>0</v>
      </c>
      <c r="AB29" s="314"/>
      <c r="AC29" s="314"/>
      <c r="AD29" s="314">
        <f t="shared" si="21"/>
        <v>0</v>
      </c>
      <c r="AE29" s="323" t="s">
        <v>87</v>
      </c>
      <c r="AF29" s="81"/>
      <c r="AG29" s="335"/>
      <c r="AH29" s="335"/>
      <c r="AI29" s="335"/>
      <c r="AJ29" s="335"/>
      <c r="AK29" s="335"/>
      <c r="AL29" s="336"/>
      <c r="AM29" s="353"/>
      <c r="AN29" s="22">
        <f t="shared" si="41"/>
        <v>0</v>
      </c>
      <c r="AO29" s="209">
        <f t="shared" si="23"/>
        <v>0</v>
      </c>
      <c r="AP29" s="339"/>
      <c r="AQ29" s="125">
        <f t="shared" si="24"/>
        <v>0</v>
      </c>
      <c r="AR29" s="104"/>
      <c r="AS29" s="217"/>
      <c r="AT29" s="216"/>
      <c r="AU29" s="230"/>
      <c r="AV29" s="220"/>
      <c r="AW29" s="230"/>
      <c r="AX29" s="220"/>
      <c r="AY29" s="230"/>
      <c r="AZ29" s="220"/>
      <c r="BA29" s="17">
        <f t="shared" si="10"/>
        <v>2.8999999999999998E-6</v>
      </c>
      <c r="BB29" s="17">
        <f t="shared" si="11"/>
        <v>0</v>
      </c>
      <c r="BC29" s="17"/>
      <c r="BD29" s="218">
        <v>20</v>
      </c>
      <c r="BE29" s="87">
        <f t="shared" si="12"/>
        <v>4.0799999999999996E-5</v>
      </c>
      <c r="BF29" s="215">
        <f t="shared" si="13"/>
        <v>0</v>
      </c>
      <c r="BG29" s="245">
        <f t="shared" si="14"/>
        <v>2.8999999999999998E-6</v>
      </c>
      <c r="BH29" s="17">
        <f t="shared" si="25"/>
        <v>0</v>
      </c>
      <c r="BI29" s="218">
        <v>20</v>
      </c>
      <c r="BJ29" s="87">
        <f t="shared" si="15"/>
        <v>3.9099999999999995E-5</v>
      </c>
      <c r="BK29" s="215">
        <f t="shared" si="16"/>
        <v>0</v>
      </c>
      <c r="BL29" s="245">
        <f t="shared" si="26"/>
        <v>2.8999999999999998E-6</v>
      </c>
      <c r="BM29" s="17">
        <f t="shared" si="27"/>
        <v>0</v>
      </c>
      <c r="BN29" s="218">
        <v>20</v>
      </c>
      <c r="BO29" s="87">
        <f t="shared" si="17"/>
        <v>3.9099999999999995E-5</v>
      </c>
      <c r="BP29" s="215">
        <f t="shared" si="18"/>
        <v>0</v>
      </c>
      <c r="BR29" s="126"/>
      <c r="BS29" s="126"/>
      <c r="BU29" s="178"/>
      <c r="BV29" s="179" t="str">
        <f t="shared" si="28"/>
        <v/>
      </c>
      <c r="BW29" s="179" t="str">
        <f t="shared" si="29"/>
        <v/>
      </c>
      <c r="BX29" s="179" t="str">
        <f t="shared" si="30"/>
        <v/>
      </c>
      <c r="BY29" s="179" t="str">
        <f t="shared" si="31"/>
        <v/>
      </c>
      <c r="BZ29" s="179" t="str">
        <f t="shared" si="32"/>
        <v/>
      </c>
      <c r="CA29" s="179" t="str">
        <f t="shared" si="33"/>
        <v/>
      </c>
      <c r="CB29" s="179" t="str">
        <f t="shared" si="34"/>
        <v/>
      </c>
      <c r="CC29" s="179" t="str">
        <f t="shared" si="35"/>
        <v/>
      </c>
      <c r="CD29" s="179" t="str">
        <f t="shared" si="36"/>
        <v/>
      </c>
      <c r="CE29" s="179" t="str">
        <f t="shared" si="37"/>
        <v/>
      </c>
      <c r="CF29" s="179" t="str">
        <f t="shared" si="38"/>
        <v/>
      </c>
      <c r="CG29" s="179" t="str">
        <f t="shared" si="39"/>
        <v/>
      </c>
      <c r="CH29" s="166"/>
      <c r="CI29" s="166"/>
      <c r="CJ29" s="166"/>
      <c r="CK29" s="166"/>
      <c r="CL29" s="166"/>
    </row>
    <row r="30" spans="1:90" ht="14.25" customHeight="1" thickBot="1" x14ac:dyDescent="0.3">
      <c r="A30" s="213">
        <v>20</v>
      </c>
      <c r="B30" s="88"/>
      <c r="C30" s="201"/>
      <c r="D30" s="94"/>
      <c r="E30" s="321" t="s">
        <v>93</v>
      </c>
      <c r="F30" s="96"/>
      <c r="G30" s="100"/>
      <c r="H30" s="100"/>
      <c r="I30" s="100"/>
      <c r="J30" s="100"/>
      <c r="K30" s="100"/>
      <c r="L30" s="100"/>
      <c r="M30" s="210"/>
      <c r="N30" s="234">
        <f t="shared" ref="N30:N76" si="66">SUM(F30:L30)</f>
        <v>0</v>
      </c>
      <c r="O30" s="308"/>
      <c r="P30" s="343"/>
      <c r="Q30" s="309"/>
      <c r="R30" s="324" t="s">
        <v>67</v>
      </c>
      <c r="S30" s="96"/>
      <c r="T30" s="100"/>
      <c r="U30" s="100"/>
      <c r="V30" s="100"/>
      <c r="W30" s="100"/>
      <c r="X30" s="100"/>
      <c r="Y30" s="97"/>
      <c r="Z30" s="210"/>
      <c r="AA30" s="234">
        <f t="shared" ref="AA30:AA76" si="67">SUM(S30:Y30)</f>
        <v>0</v>
      </c>
      <c r="AB30" s="314">
        <f t="shared" ref="AB30:AB74" si="68">O30</f>
        <v>0</v>
      </c>
      <c r="AC30" s="314"/>
      <c r="AD30" s="314">
        <f t="shared" si="21"/>
        <v>0</v>
      </c>
      <c r="AE30" s="324" t="s">
        <v>87</v>
      </c>
      <c r="AF30" s="82"/>
      <c r="AG30" s="337"/>
      <c r="AH30" s="337"/>
      <c r="AI30" s="337"/>
      <c r="AJ30" s="337"/>
      <c r="AK30" s="337"/>
      <c r="AL30" s="338"/>
      <c r="AM30" s="354"/>
      <c r="AN30" s="91">
        <f t="shared" si="41"/>
        <v>0</v>
      </c>
      <c r="AO30" s="96">
        <f t="shared" si="23"/>
        <v>0</v>
      </c>
      <c r="AP30" s="210"/>
      <c r="AQ30" s="97">
        <f t="shared" si="24"/>
        <v>0</v>
      </c>
      <c r="AR30" s="105"/>
      <c r="AS30" s="102"/>
      <c r="AT30" s="237"/>
      <c r="AU30" s="231"/>
      <c r="AV30" s="93"/>
      <c r="AW30" s="231"/>
      <c r="AX30" s="93"/>
      <c r="AY30" s="231"/>
      <c r="AZ30" s="93"/>
      <c r="BA30" s="17">
        <f t="shared" si="10"/>
        <v>3.0000000000000001E-6</v>
      </c>
      <c r="BB30" s="17">
        <f t="shared" si="11"/>
        <v>0</v>
      </c>
      <c r="BC30" s="17"/>
      <c r="BD30" s="218">
        <v>21</v>
      </c>
      <c r="BE30" s="87">
        <f t="shared" si="12"/>
        <v>4.07E-5</v>
      </c>
      <c r="BF30" s="215">
        <f t="shared" si="13"/>
        <v>0</v>
      </c>
      <c r="BG30" s="245">
        <f t="shared" si="14"/>
        <v>3.0000000000000001E-6</v>
      </c>
      <c r="BH30" s="17">
        <f t="shared" si="25"/>
        <v>0</v>
      </c>
      <c r="BI30" s="218">
        <v>21</v>
      </c>
      <c r="BJ30" s="87">
        <f t="shared" si="15"/>
        <v>3.8999999999999999E-5</v>
      </c>
      <c r="BK30" s="215">
        <f t="shared" si="16"/>
        <v>0</v>
      </c>
      <c r="BL30" s="245">
        <f t="shared" si="26"/>
        <v>3.0000000000000001E-6</v>
      </c>
      <c r="BM30" s="17">
        <f t="shared" si="27"/>
        <v>0</v>
      </c>
      <c r="BN30" s="218">
        <v>21</v>
      </c>
      <c r="BO30" s="87">
        <f t="shared" si="17"/>
        <v>3.8999999999999999E-5</v>
      </c>
      <c r="BP30" s="215">
        <f t="shared" si="18"/>
        <v>0</v>
      </c>
      <c r="BR30" s="126"/>
      <c r="BS30" s="126"/>
      <c r="BU30" s="178"/>
      <c r="BV30" s="179" t="str">
        <f t="shared" si="28"/>
        <v/>
      </c>
      <c r="BW30" s="179" t="str">
        <f t="shared" si="29"/>
        <v/>
      </c>
      <c r="BX30" s="179" t="str">
        <f t="shared" si="30"/>
        <v/>
      </c>
      <c r="BY30" s="179" t="str">
        <f t="shared" si="31"/>
        <v/>
      </c>
      <c r="BZ30" s="179" t="str">
        <f t="shared" si="32"/>
        <v/>
      </c>
      <c r="CA30" s="179" t="str">
        <f t="shared" si="33"/>
        <v/>
      </c>
      <c r="CB30" s="179" t="str">
        <f t="shared" si="34"/>
        <v/>
      </c>
      <c r="CC30" s="179" t="str">
        <f t="shared" si="35"/>
        <v/>
      </c>
      <c r="CD30" s="179" t="str">
        <f t="shared" si="36"/>
        <v/>
      </c>
      <c r="CE30" s="179" t="str">
        <f t="shared" si="37"/>
        <v/>
      </c>
      <c r="CF30" s="179" t="str">
        <f t="shared" si="38"/>
        <v/>
      </c>
      <c r="CG30" s="179" t="str">
        <f t="shared" si="39"/>
        <v/>
      </c>
      <c r="CH30" s="166"/>
      <c r="CI30" s="166"/>
      <c r="CJ30" s="166"/>
      <c r="CK30" s="166"/>
      <c r="CL30" s="166"/>
    </row>
    <row r="31" spans="1:90" ht="14.25" customHeight="1" x14ac:dyDescent="0.25">
      <c r="A31" s="211">
        <v>21</v>
      </c>
      <c r="B31" s="89"/>
      <c r="C31" s="199"/>
      <c r="D31" s="146"/>
      <c r="E31" s="319" t="s">
        <v>93</v>
      </c>
      <c r="F31" s="221"/>
      <c r="G31" s="222"/>
      <c r="H31" s="222"/>
      <c r="I31" s="222"/>
      <c r="J31" s="222"/>
      <c r="K31" s="222"/>
      <c r="L31" s="222"/>
      <c r="M31" s="331"/>
      <c r="N31" s="303">
        <f t="shared" si="66"/>
        <v>0</v>
      </c>
      <c r="O31" s="304"/>
      <c r="P31" s="341"/>
      <c r="Q31" s="305"/>
      <c r="R31" s="322" t="s">
        <v>67</v>
      </c>
      <c r="S31" s="326"/>
      <c r="T31" s="327"/>
      <c r="U31" s="327"/>
      <c r="V31" s="327"/>
      <c r="W31" s="327"/>
      <c r="X31" s="327"/>
      <c r="Y31" s="95"/>
      <c r="Z31" s="331"/>
      <c r="AA31" s="303">
        <f t="shared" si="67"/>
        <v>0</v>
      </c>
      <c r="AB31" s="314">
        <f t="shared" si="68"/>
        <v>0</v>
      </c>
      <c r="AC31" s="314"/>
      <c r="AD31" s="314">
        <f t="shared" si="21"/>
        <v>0</v>
      </c>
      <c r="AE31" s="325" t="s">
        <v>148</v>
      </c>
      <c r="AF31" s="15"/>
      <c r="AG31" s="232"/>
      <c r="AH31" s="232"/>
      <c r="AI31" s="232"/>
      <c r="AJ31" s="232"/>
      <c r="AK31" s="232"/>
      <c r="AL31" s="7"/>
      <c r="AM31" s="352"/>
      <c r="AN31" s="22">
        <f t="shared" si="41"/>
        <v>0</v>
      </c>
      <c r="AO31" s="15">
        <f t="shared" si="23"/>
        <v>0</v>
      </c>
      <c r="AP31" s="345"/>
      <c r="AQ31" s="7">
        <f t="shared" si="24"/>
        <v>0</v>
      </c>
      <c r="AR31" s="103"/>
      <c r="AS31" s="101"/>
      <c r="AT31" s="236"/>
      <c r="AU31" s="235"/>
      <c r="AV31" s="92"/>
      <c r="AW31" s="235"/>
      <c r="AX31" s="92"/>
      <c r="AY31" s="235"/>
      <c r="AZ31" s="92"/>
      <c r="BA31" s="17">
        <f t="shared" si="10"/>
        <v>3.1E-6</v>
      </c>
      <c r="BB31" s="17">
        <f t="shared" si="11"/>
        <v>0</v>
      </c>
      <c r="BC31" s="17"/>
      <c r="BD31" s="218">
        <v>22</v>
      </c>
      <c r="BE31" s="87">
        <f t="shared" si="12"/>
        <v>4.0599999999999998E-5</v>
      </c>
      <c r="BF31" s="215">
        <f t="shared" si="13"/>
        <v>0</v>
      </c>
      <c r="BG31" s="245">
        <f t="shared" si="14"/>
        <v>3.1E-6</v>
      </c>
      <c r="BH31" s="17">
        <f t="shared" si="25"/>
        <v>0</v>
      </c>
      <c r="BI31" s="218">
        <v>22</v>
      </c>
      <c r="BJ31" s="87">
        <f t="shared" si="15"/>
        <v>3.8899999999999997E-5</v>
      </c>
      <c r="BK31" s="215">
        <f t="shared" si="16"/>
        <v>0</v>
      </c>
      <c r="BL31" s="245">
        <f t="shared" si="26"/>
        <v>3.1E-6</v>
      </c>
      <c r="BM31" s="17">
        <f t="shared" si="27"/>
        <v>0</v>
      </c>
      <c r="BN31" s="218">
        <v>22</v>
      </c>
      <c r="BO31" s="87">
        <f t="shared" si="17"/>
        <v>3.8899999999999997E-5</v>
      </c>
      <c r="BP31" s="215">
        <f t="shared" si="18"/>
        <v>0</v>
      </c>
      <c r="BR31" s="126"/>
      <c r="BS31" s="126"/>
      <c r="BU31" s="178"/>
      <c r="BV31" s="179" t="str">
        <f t="shared" si="28"/>
        <v/>
      </c>
      <c r="BW31" s="179" t="str">
        <f t="shared" si="29"/>
        <v/>
      </c>
      <c r="BX31" s="179" t="str">
        <f t="shared" si="30"/>
        <v/>
      </c>
      <c r="BY31" s="179" t="str">
        <f t="shared" si="31"/>
        <v/>
      </c>
      <c r="BZ31" s="179" t="str">
        <f t="shared" si="32"/>
        <v/>
      </c>
      <c r="CA31" s="179" t="str">
        <f t="shared" si="33"/>
        <v/>
      </c>
      <c r="CB31" s="179" t="str">
        <f t="shared" si="34"/>
        <v/>
      </c>
      <c r="CC31" s="179" t="str">
        <f t="shared" si="35"/>
        <v/>
      </c>
      <c r="CD31" s="179" t="str">
        <f t="shared" si="36"/>
        <v/>
      </c>
      <c r="CE31" s="179" t="str">
        <f t="shared" si="37"/>
        <v/>
      </c>
      <c r="CF31" s="179" t="str">
        <f t="shared" si="38"/>
        <v/>
      </c>
      <c r="CG31" s="179" t="str">
        <f t="shared" si="39"/>
        <v/>
      </c>
      <c r="CH31" s="166"/>
      <c r="CI31" s="166"/>
      <c r="CJ31" s="166"/>
      <c r="CK31" s="166"/>
      <c r="CL31" s="166"/>
    </row>
    <row r="32" spans="1:90" ht="14.25" customHeight="1" thickBot="1" x14ac:dyDescent="0.3">
      <c r="A32" s="213">
        <v>22</v>
      </c>
      <c r="B32" s="219"/>
      <c r="C32" s="200"/>
      <c r="D32" s="145"/>
      <c r="E32" s="320" t="s">
        <v>93</v>
      </c>
      <c r="F32" s="209"/>
      <c r="G32" s="313"/>
      <c r="H32" s="313"/>
      <c r="I32" s="313"/>
      <c r="J32" s="313"/>
      <c r="K32" s="313"/>
      <c r="L32" s="313"/>
      <c r="M32" s="339"/>
      <c r="N32" s="233">
        <f t="shared" si="66"/>
        <v>0</v>
      </c>
      <c r="O32" s="306"/>
      <c r="P32" s="342"/>
      <c r="Q32" s="307"/>
      <c r="R32" s="323" t="s">
        <v>67</v>
      </c>
      <c r="S32" s="209"/>
      <c r="T32" s="313"/>
      <c r="U32" s="313"/>
      <c r="V32" s="313"/>
      <c r="W32" s="313"/>
      <c r="X32" s="313"/>
      <c r="Y32" s="125"/>
      <c r="Z32" s="339"/>
      <c r="AA32" s="233">
        <f t="shared" si="67"/>
        <v>0</v>
      </c>
      <c r="AB32" s="314">
        <f t="shared" si="68"/>
        <v>0</v>
      </c>
      <c r="AC32" s="314"/>
      <c r="AD32" s="314">
        <f t="shared" si="21"/>
        <v>0</v>
      </c>
      <c r="AE32" s="323" t="s">
        <v>87</v>
      </c>
      <c r="AF32" s="81"/>
      <c r="AG32" s="335"/>
      <c r="AH32" s="335"/>
      <c r="AI32" s="335"/>
      <c r="AJ32" s="335"/>
      <c r="AK32" s="335"/>
      <c r="AL32" s="336"/>
      <c r="AM32" s="353"/>
      <c r="AN32" s="22">
        <f t="shared" si="41"/>
        <v>0</v>
      </c>
      <c r="AO32" s="209">
        <f t="shared" si="23"/>
        <v>0</v>
      </c>
      <c r="AP32" s="339"/>
      <c r="AQ32" s="125">
        <f t="shared" si="24"/>
        <v>0</v>
      </c>
      <c r="AR32" s="104"/>
      <c r="AS32" s="217"/>
      <c r="AT32" s="216"/>
      <c r="AU32" s="230"/>
      <c r="AV32" s="220"/>
      <c r="AW32" s="230"/>
      <c r="AX32" s="220"/>
      <c r="AY32" s="230"/>
      <c r="AZ32" s="220"/>
      <c r="BA32" s="17">
        <f t="shared" si="10"/>
        <v>3.1999999999999999E-6</v>
      </c>
      <c r="BB32" s="17">
        <f t="shared" si="11"/>
        <v>0</v>
      </c>
      <c r="BC32" s="17"/>
      <c r="BD32" s="218">
        <v>23</v>
      </c>
      <c r="BE32" s="87">
        <f t="shared" si="12"/>
        <v>4.0499999999999995E-5</v>
      </c>
      <c r="BF32" s="215">
        <f t="shared" si="13"/>
        <v>0</v>
      </c>
      <c r="BG32" s="245">
        <f t="shared" si="14"/>
        <v>3.1999999999999999E-6</v>
      </c>
      <c r="BH32" s="17">
        <f t="shared" si="25"/>
        <v>0</v>
      </c>
      <c r="BI32" s="218">
        <v>23</v>
      </c>
      <c r="BJ32" s="87">
        <f t="shared" si="15"/>
        <v>3.8800000000000001E-5</v>
      </c>
      <c r="BK32" s="215">
        <f t="shared" si="16"/>
        <v>0</v>
      </c>
      <c r="BL32" s="245">
        <f t="shared" si="26"/>
        <v>3.1999999999999999E-6</v>
      </c>
      <c r="BM32" s="17">
        <f t="shared" si="27"/>
        <v>0</v>
      </c>
      <c r="BN32" s="218">
        <v>23</v>
      </c>
      <c r="BO32" s="87">
        <f t="shared" si="17"/>
        <v>3.8800000000000001E-5</v>
      </c>
      <c r="BP32" s="215">
        <f t="shared" si="18"/>
        <v>0</v>
      </c>
      <c r="BR32" s="126"/>
      <c r="BS32" s="126"/>
      <c r="BU32" s="178"/>
      <c r="BV32" s="179" t="str">
        <f t="shared" si="28"/>
        <v/>
      </c>
      <c r="BW32" s="179" t="str">
        <f t="shared" si="29"/>
        <v/>
      </c>
      <c r="BX32" s="179" t="str">
        <f t="shared" si="30"/>
        <v/>
      </c>
      <c r="BY32" s="179" t="str">
        <f t="shared" si="31"/>
        <v/>
      </c>
      <c r="BZ32" s="179" t="str">
        <f t="shared" si="32"/>
        <v/>
      </c>
      <c r="CA32" s="179" t="str">
        <f t="shared" si="33"/>
        <v/>
      </c>
      <c r="CB32" s="179" t="str">
        <f t="shared" si="34"/>
        <v/>
      </c>
      <c r="CC32" s="179" t="str">
        <f t="shared" si="35"/>
        <v/>
      </c>
      <c r="CD32" s="179" t="str">
        <f t="shared" si="36"/>
        <v/>
      </c>
      <c r="CE32" s="179" t="str">
        <f t="shared" si="37"/>
        <v/>
      </c>
      <c r="CF32" s="179" t="str">
        <f t="shared" si="38"/>
        <v/>
      </c>
      <c r="CG32" s="179" t="str">
        <f t="shared" si="39"/>
        <v/>
      </c>
      <c r="CH32" s="166"/>
      <c r="CI32" s="166"/>
      <c r="CJ32" s="166"/>
      <c r="CK32" s="166"/>
      <c r="CL32" s="166"/>
    </row>
    <row r="33" spans="1:90" ht="14.25" customHeight="1" thickBot="1" x14ac:dyDescent="0.3">
      <c r="A33" s="211">
        <v>23</v>
      </c>
      <c r="B33" s="88"/>
      <c r="C33" s="201"/>
      <c r="D33" s="94"/>
      <c r="E33" s="321" t="s">
        <v>93</v>
      </c>
      <c r="F33" s="96"/>
      <c r="G33" s="100"/>
      <c r="H33" s="100"/>
      <c r="I33" s="100"/>
      <c r="J33" s="100"/>
      <c r="K33" s="100"/>
      <c r="L33" s="100"/>
      <c r="M33" s="210"/>
      <c r="N33" s="234">
        <f t="shared" si="66"/>
        <v>0</v>
      </c>
      <c r="O33" s="308"/>
      <c r="P33" s="343"/>
      <c r="Q33" s="309"/>
      <c r="R33" s="324" t="s">
        <v>67</v>
      </c>
      <c r="S33" s="96"/>
      <c r="T33" s="100"/>
      <c r="U33" s="100"/>
      <c r="V33" s="100"/>
      <c r="W33" s="100"/>
      <c r="X33" s="100"/>
      <c r="Y33" s="97"/>
      <c r="Z33" s="210"/>
      <c r="AA33" s="234">
        <f t="shared" si="67"/>
        <v>0</v>
      </c>
      <c r="AB33" s="314">
        <f t="shared" si="68"/>
        <v>0</v>
      </c>
      <c r="AC33" s="314"/>
      <c r="AD33" s="314">
        <f t="shared" si="21"/>
        <v>0</v>
      </c>
      <c r="AE33" s="324" t="s">
        <v>87</v>
      </c>
      <c r="AF33" s="82"/>
      <c r="AG33" s="337"/>
      <c r="AH33" s="337"/>
      <c r="AI33" s="337"/>
      <c r="AJ33" s="337"/>
      <c r="AK33" s="337"/>
      <c r="AL33" s="338"/>
      <c r="AM33" s="354"/>
      <c r="AN33" s="91">
        <f t="shared" si="41"/>
        <v>0</v>
      </c>
      <c r="AO33" s="96">
        <f t="shared" si="23"/>
        <v>0</v>
      </c>
      <c r="AP33" s="210"/>
      <c r="AQ33" s="97">
        <f t="shared" si="24"/>
        <v>0</v>
      </c>
      <c r="AR33" s="105"/>
      <c r="AS33" s="102"/>
      <c r="AT33" s="237"/>
      <c r="AU33" s="231"/>
      <c r="AV33" s="93"/>
      <c r="AW33" s="231"/>
      <c r="AX33" s="93"/>
      <c r="AY33" s="231"/>
      <c r="AZ33" s="93"/>
      <c r="BA33" s="17">
        <f t="shared" si="10"/>
        <v>3.2999999999999997E-6</v>
      </c>
      <c r="BB33" s="17">
        <f t="shared" si="11"/>
        <v>0</v>
      </c>
      <c r="BC33" s="17"/>
      <c r="BD33" s="218">
        <v>24</v>
      </c>
      <c r="BE33" s="87">
        <f t="shared" si="12"/>
        <v>4.0399999999999999E-5</v>
      </c>
      <c r="BF33" s="215">
        <f t="shared" si="13"/>
        <v>0</v>
      </c>
      <c r="BG33" s="245">
        <f t="shared" si="14"/>
        <v>3.2999999999999997E-6</v>
      </c>
      <c r="BH33" s="17">
        <f t="shared" si="25"/>
        <v>0</v>
      </c>
      <c r="BI33" s="218">
        <v>24</v>
      </c>
      <c r="BJ33" s="87">
        <f t="shared" si="15"/>
        <v>3.8699999999999999E-5</v>
      </c>
      <c r="BK33" s="215">
        <f t="shared" si="16"/>
        <v>0</v>
      </c>
      <c r="BL33" s="245">
        <f t="shared" si="26"/>
        <v>3.2999999999999997E-6</v>
      </c>
      <c r="BM33" s="17">
        <f t="shared" si="27"/>
        <v>0</v>
      </c>
      <c r="BN33" s="218">
        <v>24</v>
      </c>
      <c r="BO33" s="87">
        <f t="shared" si="17"/>
        <v>3.8699999999999999E-5</v>
      </c>
      <c r="BP33" s="215">
        <f t="shared" si="18"/>
        <v>0</v>
      </c>
      <c r="BR33" s="126"/>
      <c r="BS33" s="126"/>
      <c r="BU33" s="178"/>
      <c r="BV33" s="179" t="str">
        <f t="shared" si="28"/>
        <v/>
      </c>
      <c r="BW33" s="179" t="str">
        <f t="shared" si="29"/>
        <v/>
      </c>
      <c r="BX33" s="179" t="str">
        <f t="shared" si="30"/>
        <v/>
      </c>
      <c r="BY33" s="179" t="str">
        <f t="shared" si="31"/>
        <v/>
      </c>
      <c r="BZ33" s="179" t="str">
        <f t="shared" si="32"/>
        <v/>
      </c>
      <c r="CA33" s="179" t="str">
        <f t="shared" si="33"/>
        <v/>
      </c>
      <c r="CB33" s="179" t="str">
        <f t="shared" si="34"/>
        <v/>
      </c>
      <c r="CC33" s="179" t="str">
        <f t="shared" si="35"/>
        <v/>
      </c>
      <c r="CD33" s="179" t="str">
        <f t="shared" si="36"/>
        <v/>
      </c>
      <c r="CE33" s="179" t="str">
        <f t="shared" si="37"/>
        <v/>
      </c>
      <c r="CF33" s="179" t="str">
        <f t="shared" si="38"/>
        <v/>
      </c>
      <c r="CG33" s="179" t="str">
        <f t="shared" si="39"/>
        <v/>
      </c>
      <c r="CH33" s="166"/>
      <c r="CI33" s="166"/>
      <c r="CJ33" s="166"/>
      <c r="CK33" s="166"/>
      <c r="CL33" s="166"/>
    </row>
    <row r="34" spans="1:90" ht="14.25" customHeight="1" thickBot="1" x14ac:dyDescent="0.3">
      <c r="A34" s="213">
        <v>24</v>
      </c>
      <c r="B34" s="89"/>
      <c r="C34" s="199"/>
      <c r="D34" s="146"/>
      <c r="E34" s="319" t="s">
        <v>93</v>
      </c>
      <c r="F34" s="221"/>
      <c r="G34" s="222"/>
      <c r="H34" s="222"/>
      <c r="I34" s="222"/>
      <c r="J34" s="222"/>
      <c r="K34" s="222"/>
      <c r="L34" s="222"/>
      <c r="M34" s="331"/>
      <c r="N34" s="303">
        <f t="shared" si="66"/>
        <v>0</v>
      </c>
      <c r="O34" s="304"/>
      <c r="P34" s="341"/>
      <c r="Q34" s="305"/>
      <c r="R34" s="322" t="s">
        <v>67</v>
      </c>
      <c r="S34" s="326"/>
      <c r="T34" s="327"/>
      <c r="U34" s="327"/>
      <c r="V34" s="327"/>
      <c r="W34" s="327"/>
      <c r="X34" s="327"/>
      <c r="Y34" s="95"/>
      <c r="Z34" s="331"/>
      <c r="AA34" s="303">
        <f t="shared" si="67"/>
        <v>0</v>
      </c>
      <c r="AB34" s="314">
        <f t="shared" si="68"/>
        <v>0</v>
      </c>
      <c r="AC34" s="314"/>
      <c r="AD34" s="314">
        <f t="shared" si="21"/>
        <v>0</v>
      </c>
      <c r="AE34" s="325" t="s">
        <v>148</v>
      </c>
      <c r="AF34" s="15"/>
      <c r="AG34" s="232"/>
      <c r="AH34" s="232"/>
      <c r="AI34" s="232"/>
      <c r="AJ34" s="232"/>
      <c r="AK34" s="232"/>
      <c r="AL34" s="7"/>
      <c r="AM34" s="352"/>
      <c r="AN34" s="22">
        <f t="shared" si="41"/>
        <v>0</v>
      </c>
      <c r="AO34" s="15">
        <f t="shared" si="23"/>
        <v>0</v>
      </c>
      <c r="AP34" s="345"/>
      <c r="AQ34" s="7">
        <f t="shared" si="24"/>
        <v>0</v>
      </c>
      <c r="AR34" s="103"/>
      <c r="AS34" s="101"/>
      <c r="AT34" s="236"/>
      <c r="AU34" s="235"/>
      <c r="AV34" s="92"/>
      <c r="AW34" s="235"/>
      <c r="AX34" s="92"/>
      <c r="AY34" s="235"/>
      <c r="AZ34" s="92"/>
      <c r="BA34" s="17">
        <f t="shared" si="10"/>
        <v>3.3999999999999996E-6</v>
      </c>
      <c r="BB34" s="17">
        <f t="shared" si="11"/>
        <v>0</v>
      </c>
      <c r="BC34" s="17"/>
      <c r="BD34" s="218">
        <v>25</v>
      </c>
      <c r="BE34" s="87">
        <f t="shared" si="12"/>
        <v>4.0299999999999997E-5</v>
      </c>
      <c r="BF34" s="215">
        <f t="shared" si="13"/>
        <v>0</v>
      </c>
      <c r="BG34" s="245">
        <f t="shared" si="14"/>
        <v>3.3999999999999996E-6</v>
      </c>
      <c r="BH34" s="17">
        <f t="shared" si="25"/>
        <v>0</v>
      </c>
      <c r="BI34" s="218">
        <v>25</v>
      </c>
      <c r="BJ34" s="87">
        <f t="shared" si="15"/>
        <v>3.8599999999999996E-5</v>
      </c>
      <c r="BK34" s="215">
        <f t="shared" si="16"/>
        <v>0</v>
      </c>
      <c r="BL34" s="245">
        <f t="shared" si="26"/>
        <v>3.3999999999999996E-6</v>
      </c>
      <c r="BM34" s="17">
        <f t="shared" si="27"/>
        <v>0</v>
      </c>
      <c r="BN34" s="218">
        <v>25</v>
      </c>
      <c r="BO34" s="87">
        <f t="shared" si="17"/>
        <v>3.8599999999999996E-5</v>
      </c>
      <c r="BP34" s="215">
        <f t="shared" si="18"/>
        <v>0</v>
      </c>
      <c r="BR34" s="126"/>
      <c r="BS34" s="126"/>
      <c r="BU34" s="178"/>
      <c r="BV34" s="179" t="str">
        <f t="shared" si="28"/>
        <v/>
      </c>
      <c r="BW34" s="179" t="str">
        <f t="shared" si="29"/>
        <v/>
      </c>
      <c r="BX34" s="179" t="str">
        <f t="shared" si="30"/>
        <v/>
      </c>
      <c r="BY34" s="179" t="str">
        <f t="shared" si="31"/>
        <v/>
      </c>
      <c r="BZ34" s="179" t="str">
        <f t="shared" si="32"/>
        <v/>
      </c>
      <c r="CA34" s="179" t="str">
        <f t="shared" si="33"/>
        <v/>
      </c>
      <c r="CB34" s="179" t="str">
        <f t="shared" si="34"/>
        <v/>
      </c>
      <c r="CC34" s="179" t="str">
        <f t="shared" si="35"/>
        <v/>
      </c>
      <c r="CD34" s="179" t="str">
        <f t="shared" si="36"/>
        <v/>
      </c>
      <c r="CE34" s="179" t="str">
        <f t="shared" si="37"/>
        <v/>
      </c>
      <c r="CF34" s="179" t="str">
        <f t="shared" si="38"/>
        <v/>
      </c>
      <c r="CG34" s="179" t="str">
        <f t="shared" si="39"/>
        <v/>
      </c>
      <c r="CH34" s="166"/>
      <c r="CI34" s="166"/>
      <c r="CJ34" s="166"/>
      <c r="CK34" s="166"/>
      <c r="CL34" s="166"/>
    </row>
    <row r="35" spans="1:90" ht="14.25" customHeight="1" x14ac:dyDescent="0.25">
      <c r="A35" s="211">
        <v>25</v>
      </c>
      <c r="B35" s="219"/>
      <c r="C35" s="200"/>
      <c r="D35" s="145"/>
      <c r="E35" s="320" t="s">
        <v>93</v>
      </c>
      <c r="F35" s="209"/>
      <c r="G35" s="313"/>
      <c r="H35" s="313"/>
      <c r="I35" s="313"/>
      <c r="J35" s="313"/>
      <c r="K35" s="313"/>
      <c r="L35" s="313"/>
      <c r="M35" s="339"/>
      <c r="N35" s="233">
        <f t="shared" si="66"/>
        <v>0</v>
      </c>
      <c r="O35" s="306"/>
      <c r="P35" s="342"/>
      <c r="Q35" s="307"/>
      <c r="R35" s="323" t="s">
        <v>67</v>
      </c>
      <c r="S35" s="209"/>
      <c r="T35" s="313"/>
      <c r="U35" s="313"/>
      <c r="V35" s="313"/>
      <c r="W35" s="313"/>
      <c r="X35" s="313"/>
      <c r="Y35" s="125"/>
      <c r="Z35" s="339"/>
      <c r="AA35" s="233">
        <f t="shared" si="67"/>
        <v>0</v>
      </c>
      <c r="AB35" s="314">
        <f t="shared" si="68"/>
        <v>0</v>
      </c>
      <c r="AC35" s="314"/>
      <c r="AD35" s="314">
        <f t="shared" si="21"/>
        <v>0</v>
      </c>
      <c r="AE35" s="323" t="s">
        <v>87</v>
      </c>
      <c r="AF35" s="81"/>
      <c r="AG35" s="335"/>
      <c r="AH35" s="335"/>
      <c r="AI35" s="335"/>
      <c r="AJ35" s="335"/>
      <c r="AK35" s="335"/>
      <c r="AL35" s="336"/>
      <c r="AM35" s="353"/>
      <c r="AN35" s="22">
        <f t="shared" si="41"/>
        <v>0</v>
      </c>
      <c r="AO35" s="209">
        <f t="shared" si="23"/>
        <v>0</v>
      </c>
      <c r="AP35" s="339"/>
      <c r="AQ35" s="125">
        <f t="shared" si="24"/>
        <v>0</v>
      </c>
      <c r="AR35" s="104"/>
      <c r="AS35" s="217"/>
      <c r="AT35" s="216"/>
      <c r="AU35" s="230"/>
      <c r="AV35" s="220"/>
      <c r="AW35" s="230"/>
      <c r="AX35" s="220"/>
      <c r="AY35" s="230"/>
      <c r="AZ35" s="220"/>
      <c r="BA35" s="17">
        <f t="shared" si="10"/>
        <v>3.4999999999999999E-6</v>
      </c>
      <c r="BB35" s="17">
        <f t="shared" si="11"/>
        <v>0</v>
      </c>
      <c r="BC35" s="17"/>
      <c r="BD35" s="218">
        <v>26</v>
      </c>
      <c r="BE35" s="87">
        <f t="shared" si="12"/>
        <v>4.0200000000000001E-5</v>
      </c>
      <c r="BF35" s="215">
        <f t="shared" si="13"/>
        <v>0</v>
      </c>
      <c r="BG35" s="245">
        <f t="shared" si="14"/>
        <v>3.4999999999999999E-6</v>
      </c>
      <c r="BH35" s="17">
        <f t="shared" si="25"/>
        <v>0</v>
      </c>
      <c r="BI35" s="218">
        <v>26</v>
      </c>
      <c r="BJ35" s="87">
        <f t="shared" si="15"/>
        <v>3.8500000000000001E-5</v>
      </c>
      <c r="BK35" s="215">
        <f t="shared" si="16"/>
        <v>0</v>
      </c>
      <c r="BL35" s="245">
        <f t="shared" si="26"/>
        <v>3.4999999999999999E-6</v>
      </c>
      <c r="BM35" s="17">
        <f t="shared" si="27"/>
        <v>0</v>
      </c>
      <c r="BN35" s="218">
        <v>26</v>
      </c>
      <c r="BO35" s="87">
        <f t="shared" si="17"/>
        <v>3.8500000000000001E-5</v>
      </c>
      <c r="BP35" s="215">
        <f t="shared" si="18"/>
        <v>0</v>
      </c>
      <c r="BR35" s="126"/>
      <c r="BS35" s="126"/>
      <c r="BU35" s="178"/>
      <c r="BV35" s="179" t="str">
        <f t="shared" si="28"/>
        <v/>
      </c>
      <c r="BW35" s="179" t="str">
        <f t="shared" si="29"/>
        <v/>
      </c>
      <c r="BX35" s="179" t="str">
        <f t="shared" si="30"/>
        <v/>
      </c>
      <c r="BY35" s="179" t="str">
        <f t="shared" si="31"/>
        <v/>
      </c>
      <c r="BZ35" s="179" t="str">
        <f t="shared" si="32"/>
        <v/>
      </c>
      <c r="CA35" s="179" t="str">
        <f t="shared" si="33"/>
        <v/>
      </c>
      <c r="CB35" s="179" t="str">
        <f t="shared" si="34"/>
        <v/>
      </c>
      <c r="CC35" s="179" t="str">
        <f t="shared" si="35"/>
        <v/>
      </c>
      <c r="CD35" s="179" t="str">
        <f t="shared" si="36"/>
        <v/>
      </c>
      <c r="CE35" s="179" t="str">
        <f t="shared" si="37"/>
        <v/>
      </c>
      <c r="CF35" s="179" t="str">
        <f t="shared" si="38"/>
        <v/>
      </c>
      <c r="CG35" s="179" t="str">
        <f t="shared" si="39"/>
        <v/>
      </c>
      <c r="CH35" s="166"/>
      <c r="CI35" s="166"/>
      <c r="CJ35" s="166"/>
      <c r="CK35" s="166"/>
      <c r="CL35" s="166"/>
    </row>
    <row r="36" spans="1:90" ht="14.25" customHeight="1" thickBot="1" x14ac:dyDescent="0.3">
      <c r="A36" s="213">
        <v>26</v>
      </c>
      <c r="B36" s="88"/>
      <c r="C36" s="201"/>
      <c r="D36" s="94"/>
      <c r="E36" s="321" t="s">
        <v>93</v>
      </c>
      <c r="F36" s="96"/>
      <c r="G36" s="100"/>
      <c r="H36" s="100"/>
      <c r="I36" s="100"/>
      <c r="J36" s="100"/>
      <c r="K36" s="100"/>
      <c r="L36" s="100"/>
      <c r="M36" s="210"/>
      <c r="N36" s="234">
        <f t="shared" si="66"/>
        <v>0</v>
      </c>
      <c r="O36" s="308"/>
      <c r="P36" s="343"/>
      <c r="Q36" s="309"/>
      <c r="R36" s="324" t="s">
        <v>67</v>
      </c>
      <c r="S36" s="96"/>
      <c r="T36" s="100"/>
      <c r="U36" s="100"/>
      <c r="V36" s="100"/>
      <c r="W36" s="100"/>
      <c r="X36" s="100"/>
      <c r="Y36" s="97"/>
      <c r="Z36" s="210"/>
      <c r="AA36" s="234">
        <f t="shared" si="67"/>
        <v>0</v>
      </c>
      <c r="AB36" s="314">
        <f t="shared" si="68"/>
        <v>0</v>
      </c>
      <c r="AC36" s="314"/>
      <c r="AD36" s="314">
        <f t="shared" si="21"/>
        <v>0</v>
      </c>
      <c r="AE36" s="324" t="s">
        <v>87</v>
      </c>
      <c r="AF36" s="82"/>
      <c r="AG36" s="337"/>
      <c r="AH36" s="337"/>
      <c r="AI36" s="337"/>
      <c r="AJ36" s="337"/>
      <c r="AK36" s="337"/>
      <c r="AL36" s="338"/>
      <c r="AM36" s="354"/>
      <c r="AN36" s="91">
        <f t="shared" si="41"/>
        <v>0</v>
      </c>
      <c r="AO36" s="96">
        <f t="shared" si="23"/>
        <v>0</v>
      </c>
      <c r="AP36" s="210"/>
      <c r="AQ36" s="97">
        <f t="shared" si="24"/>
        <v>0</v>
      </c>
      <c r="AR36" s="105"/>
      <c r="AS36" s="102"/>
      <c r="AT36" s="237"/>
      <c r="AU36" s="231"/>
      <c r="AV36" s="93"/>
      <c r="AW36" s="231"/>
      <c r="AX36" s="93"/>
      <c r="AY36" s="231"/>
      <c r="AZ36" s="93"/>
      <c r="BA36" s="17">
        <f t="shared" si="10"/>
        <v>3.5999999999999998E-6</v>
      </c>
      <c r="BB36" s="17">
        <f t="shared" si="11"/>
        <v>0</v>
      </c>
      <c r="BC36" s="17"/>
      <c r="BD36" s="218">
        <v>27</v>
      </c>
      <c r="BE36" s="87">
        <f t="shared" si="12"/>
        <v>4.0099999999999999E-5</v>
      </c>
      <c r="BF36" s="215">
        <f t="shared" si="13"/>
        <v>0</v>
      </c>
      <c r="BG36" s="245">
        <f t="shared" si="14"/>
        <v>3.5999999999999998E-6</v>
      </c>
      <c r="BH36" s="17">
        <f t="shared" si="25"/>
        <v>0</v>
      </c>
      <c r="BI36" s="218">
        <v>27</v>
      </c>
      <c r="BJ36" s="87">
        <f t="shared" si="15"/>
        <v>3.8399999999999998E-5</v>
      </c>
      <c r="BK36" s="215">
        <f t="shared" si="16"/>
        <v>0</v>
      </c>
      <c r="BL36" s="245">
        <f t="shared" si="26"/>
        <v>3.5999999999999998E-6</v>
      </c>
      <c r="BM36" s="17">
        <f t="shared" si="27"/>
        <v>0</v>
      </c>
      <c r="BN36" s="218">
        <v>27</v>
      </c>
      <c r="BO36" s="87">
        <f t="shared" si="17"/>
        <v>3.8399999999999998E-5</v>
      </c>
      <c r="BP36" s="215">
        <f t="shared" si="18"/>
        <v>0</v>
      </c>
      <c r="BR36" s="126"/>
      <c r="BS36" s="126"/>
      <c r="BU36" s="178"/>
      <c r="BV36" s="179" t="str">
        <f t="shared" si="28"/>
        <v/>
      </c>
      <c r="BW36" s="179" t="str">
        <f t="shared" si="29"/>
        <v/>
      </c>
      <c r="BX36" s="179" t="str">
        <f t="shared" si="30"/>
        <v/>
      </c>
      <c r="BY36" s="179" t="str">
        <f t="shared" si="31"/>
        <v/>
      </c>
      <c r="BZ36" s="179" t="str">
        <f t="shared" si="32"/>
        <v/>
      </c>
      <c r="CA36" s="179" t="str">
        <f t="shared" si="33"/>
        <v/>
      </c>
      <c r="CB36" s="179" t="str">
        <f t="shared" si="34"/>
        <v/>
      </c>
      <c r="CC36" s="179" t="str">
        <f t="shared" si="35"/>
        <v/>
      </c>
      <c r="CD36" s="179" t="str">
        <f t="shared" si="36"/>
        <v/>
      </c>
      <c r="CE36" s="179" t="str">
        <f t="shared" si="37"/>
        <v/>
      </c>
      <c r="CF36" s="179" t="str">
        <f t="shared" si="38"/>
        <v/>
      </c>
      <c r="CG36" s="179" t="str">
        <f t="shared" si="39"/>
        <v/>
      </c>
      <c r="CH36" s="166"/>
      <c r="CI36" s="166"/>
      <c r="CJ36" s="166"/>
      <c r="CK36" s="166"/>
      <c r="CL36" s="166"/>
    </row>
    <row r="37" spans="1:90" ht="14.25" customHeight="1" x14ac:dyDescent="0.25">
      <c r="A37" s="211">
        <v>27</v>
      </c>
      <c r="B37" s="89"/>
      <c r="C37" s="199"/>
      <c r="D37" s="146"/>
      <c r="E37" s="319" t="s">
        <v>93</v>
      </c>
      <c r="F37" s="221"/>
      <c r="G37" s="222"/>
      <c r="H37" s="222"/>
      <c r="I37" s="222"/>
      <c r="J37" s="222"/>
      <c r="K37" s="222"/>
      <c r="L37" s="222"/>
      <c r="M37" s="331"/>
      <c r="N37" s="303">
        <f t="shared" si="66"/>
        <v>0</v>
      </c>
      <c r="O37" s="304"/>
      <c r="P37" s="341"/>
      <c r="Q37" s="305"/>
      <c r="R37" s="322" t="s">
        <v>67</v>
      </c>
      <c r="S37" s="326"/>
      <c r="T37" s="327"/>
      <c r="U37" s="327"/>
      <c r="V37" s="327"/>
      <c r="W37" s="327"/>
      <c r="X37" s="327"/>
      <c r="Y37" s="95"/>
      <c r="Z37" s="331"/>
      <c r="AA37" s="303">
        <f t="shared" si="67"/>
        <v>0</v>
      </c>
      <c r="AB37" s="314">
        <f t="shared" si="68"/>
        <v>0</v>
      </c>
      <c r="AC37" s="314"/>
      <c r="AD37" s="314">
        <f t="shared" si="21"/>
        <v>0</v>
      </c>
      <c r="AE37" s="325" t="s">
        <v>148</v>
      </c>
      <c r="AF37" s="15"/>
      <c r="AG37" s="232"/>
      <c r="AH37" s="232"/>
      <c r="AI37" s="232"/>
      <c r="AJ37" s="232"/>
      <c r="AK37" s="232"/>
      <c r="AL37" s="7"/>
      <c r="AM37" s="352"/>
      <c r="AN37" s="22">
        <f t="shared" si="41"/>
        <v>0</v>
      </c>
      <c r="AO37" s="15">
        <f t="shared" si="23"/>
        <v>0</v>
      </c>
      <c r="AP37" s="345"/>
      <c r="AQ37" s="7">
        <f t="shared" si="24"/>
        <v>0</v>
      </c>
      <c r="AR37" s="103"/>
      <c r="AS37" s="101"/>
      <c r="AT37" s="236"/>
      <c r="AU37" s="235"/>
      <c r="AV37" s="92"/>
      <c r="AW37" s="235"/>
      <c r="AX37" s="92"/>
      <c r="AY37" s="235"/>
      <c r="AZ37" s="92"/>
      <c r="BA37" s="17">
        <f t="shared" si="10"/>
        <v>3.6999999999999997E-6</v>
      </c>
      <c r="BB37" s="17">
        <f t="shared" si="11"/>
        <v>0</v>
      </c>
      <c r="BC37" s="17"/>
      <c r="BD37" s="218">
        <v>28</v>
      </c>
      <c r="BE37" s="87">
        <f t="shared" si="12"/>
        <v>3.9999999999999996E-5</v>
      </c>
      <c r="BF37" s="215">
        <f t="shared" si="13"/>
        <v>0</v>
      </c>
      <c r="BG37" s="245">
        <f t="shared" si="14"/>
        <v>3.6999999999999997E-6</v>
      </c>
      <c r="BH37" s="17">
        <f t="shared" si="25"/>
        <v>0</v>
      </c>
      <c r="BI37" s="218">
        <v>28</v>
      </c>
      <c r="BJ37" s="87">
        <f t="shared" si="15"/>
        <v>3.8299999999999996E-5</v>
      </c>
      <c r="BK37" s="215">
        <f t="shared" si="16"/>
        <v>0</v>
      </c>
      <c r="BL37" s="245">
        <f t="shared" si="26"/>
        <v>3.6999999999999997E-6</v>
      </c>
      <c r="BM37" s="17">
        <f t="shared" si="27"/>
        <v>0</v>
      </c>
      <c r="BN37" s="218">
        <v>28</v>
      </c>
      <c r="BO37" s="87">
        <f t="shared" si="17"/>
        <v>3.8299999999999996E-5</v>
      </c>
      <c r="BP37" s="215">
        <f t="shared" si="18"/>
        <v>0</v>
      </c>
      <c r="BR37" s="126"/>
      <c r="BS37" s="126"/>
      <c r="BU37" s="178"/>
      <c r="BV37" s="179" t="str">
        <f t="shared" si="28"/>
        <v/>
      </c>
      <c r="BW37" s="179" t="str">
        <f t="shared" si="29"/>
        <v/>
      </c>
      <c r="BX37" s="179" t="str">
        <f t="shared" si="30"/>
        <v/>
      </c>
      <c r="BY37" s="179" t="str">
        <f t="shared" si="31"/>
        <v/>
      </c>
      <c r="BZ37" s="179" t="str">
        <f t="shared" si="32"/>
        <v/>
      </c>
      <c r="CA37" s="179" t="str">
        <f t="shared" si="33"/>
        <v/>
      </c>
      <c r="CB37" s="179" t="str">
        <f t="shared" si="34"/>
        <v/>
      </c>
      <c r="CC37" s="179" t="str">
        <f t="shared" si="35"/>
        <v/>
      </c>
      <c r="CD37" s="179" t="str">
        <f t="shared" si="36"/>
        <v/>
      </c>
      <c r="CE37" s="179" t="str">
        <f t="shared" si="37"/>
        <v/>
      </c>
      <c r="CF37" s="179" t="str">
        <f t="shared" si="38"/>
        <v/>
      </c>
      <c r="CG37" s="179" t="str">
        <f t="shared" si="39"/>
        <v/>
      </c>
      <c r="CH37" s="166"/>
      <c r="CI37" s="166"/>
      <c r="CJ37" s="166"/>
      <c r="CK37" s="166"/>
      <c r="CL37" s="166"/>
    </row>
    <row r="38" spans="1:90" ht="14.25" customHeight="1" thickBot="1" x14ac:dyDescent="0.3">
      <c r="A38" s="213">
        <v>28</v>
      </c>
      <c r="B38" s="219"/>
      <c r="C38" s="200"/>
      <c r="D38" s="145"/>
      <c r="E38" s="320" t="s">
        <v>93</v>
      </c>
      <c r="F38" s="209"/>
      <c r="G38" s="313"/>
      <c r="H38" s="313"/>
      <c r="I38" s="313"/>
      <c r="J38" s="313"/>
      <c r="K38" s="313"/>
      <c r="L38" s="313"/>
      <c r="M38" s="339"/>
      <c r="N38" s="233">
        <f t="shared" si="66"/>
        <v>0</v>
      </c>
      <c r="O38" s="306"/>
      <c r="P38" s="342"/>
      <c r="Q38" s="307"/>
      <c r="R38" s="323" t="s">
        <v>67</v>
      </c>
      <c r="S38" s="209"/>
      <c r="T38" s="313"/>
      <c r="U38" s="313"/>
      <c r="V38" s="313"/>
      <c r="W38" s="313"/>
      <c r="X38" s="313"/>
      <c r="Y38" s="125"/>
      <c r="Z38" s="339"/>
      <c r="AA38" s="233">
        <f t="shared" si="67"/>
        <v>0</v>
      </c>
      <c r="AB38" s="314">
        <f t="shared" si="68"/>
        <v>0</v>
      </c>
      <c r="AC38" s="314"/>
      <c r="AD38" s="314">
        <f t="shared" si="21"/>
        <v>0</v>
      </c>
      <c r="AE38" s="323" t="s">
        <v>87</v>
      </c>
      <c r="AF38" s="81"/>
      <c r="AG38" s="335"/>
      <c r="AH38" s="335"/>
      <c r="AI38" s="335"/>
      <c r="AJ38" s="335"/>
      <c r="AK38" s="335"/>
      <c r="AL38" s="336"/>
      <c r="AM38" s="353"/>
      <c r="AN38" s="22">
        <f t="shared" si="41"/>
        <v>0</v>
      </c>
      <c r="AO38" s="209">
        <f t="shared" si="23"/>
        <v>0</v>
      </c>
      <c r="AP38" s="339"/>
      <c r="AQ38" s="125">
        <f t="shared" si="24"/>
        <v>0</v>
      </c>
      <c r="AR38" s="104"/>
      <c r="AS38" s="217"/>
      <c r="AT38" s="216"/>
      <c r="AU38" s="230"/>
      <c r="AV38" s="220"/>
      <c r="AW38" s="230"/>
      <c r="AX38" s="220"/>
      <c r="AY38" s="230"/>
      <c r="AZ38" s="220"/>
      <c r="BA38" s="17">
        <f t="shared" si="10"/>
        <v>3.8E-6</v>
      </c>
      <c r="BB38" s="17">
        <f t="shared" si="11"/>
        <v>0</v>
      </c>
      <c r="BC38" s="17"/>
      <c r="BD38" s="218">
        <v>29</v>
      </c>
      <c r="BE38" s="87">
        <f t="shared" si="12"/>
        <v>3.9900000000000001E-5</v>
      </c>
      <c r="BF38" s="215">
        <f t="shared" si="13"/>
        <v>0</v>
      </c>
      <c r="BG38" s="245">
        <f t="shared" si="14"/>
        <v>3.8E-6</v>
      </c>
      <c r="BH38" s="17">
        <f t="shared" si="25"/>
        <v>0</v>
      </c>
      <c r="BI38" s="218">
        <v>29</v>
      </c>
      <c r="BJ38" s="87">
        <f t="shared" si="15"/>
        <v>3.82E-5</v>
      </c>
      <c r="BK38" s="215">
        <f t="shared" si="16"/>
        <v>0</v>
      </c>
      <c r="BL38" s="245">
        <f t="shared" si="26"/>
        <v>3.8E-6</v>
      </c>
      <c r="BM38" s="17">
        <f t="shared" si="27"/>
        <v>0</v>
      </c>
      <c r="BN38" s="218">
        <v>29</v>
      </c>
      <c r="BO38" s="87">
        <f t="shared" si="17"/>
        <v>3.82E-5</v>
      </c>
      <c r="BP38" s="215">
        <f t="shared" si="18"/>
        <v>0</v>
      </c>
      <c r="BR38" s="126"/>
      <c r="BS38" s="126"/>
      <c r="BU38" s="178"/>
      <c r="BV38" s="179" t="str">
        <f t="shared" si="28"/>
        <v/>
      </c>
      <c r="BW38" s="179" t="str">
        <f t="shared" si="29"/>
        <v/>
      </c>
      <c r="BX38" s="179" t="str">
        <f t="shared" si="30"/>
        <v/>
      </c>
      <c r="BY38" s="179" t="str">
        <f t="shared" si="31"/>
        <v/>
      </c>
      <c r="BZ38" s="179" t="str">
        <f t="shared" si="32"/>
        <v/>
      </c>
      <c r="CA38" s="179" t="str">
        <f t="shared" si="33"/>
        <v/>
      </c>
      <c r="CB38" s="179" t="str">
        <f t="shared" si="34"/>
        <v/>
      </c>
      <c r="CC38" s="179" t="str">
        <f t="shared" si="35"/>
        <v/>
      </c>
      <c r="CD38" s="179" t="str">
        <f t="shared" si="36"/>
        <v/>
      </c>
      <c r="CE38" s="179" t="str">
        <f t="shared" si="37"/>
        <v/>
      </c>
      <c r="CF38" s="179" t="str">
        <f t="shared" si="38"/>
        <v/>
      </c>
      <c r="CG38" s="179" t="str">
        <f t="shared" si="39"/>
        <v/>
      </c>
      <c r="CH38" s="166"/>
      <c r="CI38" s="166"/>
      <c r="CJ38" s="166"/>
      <c r="CK38" s="166"/>
      <c r="CL38" s="166"/>
    </row>
    <row r="39" spans="1:90" ht="14.25" customHeight="1" thickBot="1" x14ac:dyDescent="0.3">
      <c r="A39" s="211">
        <v>29</v>
      </c>
      <c r="B39" s="88"/>
      <c r="C39" s="201"/>
      <c r="D39" s="94"/>
      <c r="E39" s="321" t="s">
        <v>93</v>
      </c>
      <c r="F39" s="96"/>
      <c r="G39" s="100"/>
      <c r="H39" s="100"/>
      <c r="I39" s="100"/>
      <c r="J39" s="100"/>
      <c r="K39" s="100"/>
      <c r="L39" s="100"/>
      <c r="M39" s="210"/>
      <c r="N39" s="234">
        <f t="shared" si="66"/>
        <v>0</v>
      </c>
      <c r="O39" s="308"/>
      <c r="P39" s="343"/>
      <c r="Q39" s="309"/>
      <c r="R39" s="324" t="s">
        <v>67</v>
      </c>
      <c r="S39" s="96"/>
      <c r="T39" s="100"/>
      <c r="U39" s="100"/>
      <c r="V39" s="100"/>
      <c r="W39" s="100"/>
      <c r="X39" s="100"/>
      <c r="Y39" s="97"/>
      <c r="Z39" s="210"/>
      <c r="AA39" s="234">
        <f t="shared" si="67"/>
        <v>0</v>
      </c>
      <c r="AB39" s="314">
        <f t="shared" si="68"/>
        <v>0</v>
      </c>
      <c r="AC39" s="314"/>
      <c r="AD39" s="314">
        <f t="shared" si="21"/>
        <v>0</v>
      </c>
      <c r="AE39" s="324" t="s">
        <v>87</v>
      </c>
      <c r="AF39" s="82"/>
      <c r="AG39" s="337"/>
      <c r="AH39" s="337"/>
      <c r="AI39" s="337"/>
      <c r="AJ39" s="337"/>
      <c r="AK39" s="337"/>
      <c r="AL39" s="338"/>
      <c r="AM39" s="354"/>
      <c r="AN39" s="91">
        <f t="shared" si="41"/>
        <v>0</v>
      </c>
      <c r="AO39" s="96">
        <f t="shared" si="23"/>
        <v>0</v>
      </c>
      <c r="AP39" s="210"/>
      <c r="AQ39" s="97">
        <f t="shared" si="24"/>
        <v>0</v>
      </c>
      <c r="AR39" s="105"/>
      <c r="AS39" s="102"/>
      <c r="AT39" s="237"/>
      <c r="AU39" s="231"/>
      <c r="AV39" s="93"/>
      <c r="AW39" s="231"/>
      <c r="AX39" s="93"/>
      <c r="AY39" s="231"/>
      <c r="AZ39" s="93"/>
      <c r="BA39" s="17">
        <f t="shared" si="10"/>
        <v>3.8999999999999999E-6</v>
      </c>
      <c r="BB39" s="17">
        <f t="shared" si="11"/>
        <v>0</v>
      </c>
      <c r="BC39" s="17"/>
      <c r="BD39" s="218">
        <v>30</v>
      </c>
      <c r="BE39" s="87">
        <f t="shared" si="12"/>
        <v>3.9799999999999998E-5</v>
      </c>
      <c r="BF39" s="215">
        <f t="shared" si="13"/>
        <v>0</v>
      </c>
      <c r="BG39" s="245">
        <f t="shared" si="14"/>
        <v>3.8999999999999999E-6</v>
      </c>
      <c r="BH39" s="17">
        <f t="shared" si="25"/>
        <v>0</v>
      </c>
      <c r="BI39" s="218">
        <v>30</v>
      </c>
      <c r="BJ39" s="87">
        <f t="shared" si="15"/>
        <v>3.8099999999999998E-5</v>
      </c>
      <c r="BK39" s="215">
        <f t="shared" si="16"/>
        <v>0</v>
      </c>
      <c r="BL39" s="245">
        <f t="shared" si="26"/>
        <v>3.8999999999999999E-6</v>
      </c>
      <c r="BM39" s="17">
        <f t="shared" si="27"/>
        <v>0</v>
      </c>
      <c r="BN39" s="218">
        <v>30</v>
      </c>
      <c r="BO39" s="87">
        <f t="shared" si="17"/>
        <v>3.8099999999999998E-5</v>
      </c>
      <c r="BP39" s="215">
        <f t="shared" si="18"/>
        <v>0</v>
      </c>
      <c r="BR39" s="126"/>
      <c r="BS39" s="126"/>
      <c r="BU39" s="178"/>
      <c r="BV39" s="179" t="str">
        <f t="shared" si="28"/>
        <v/>
      </c>
      <c r="BW39" s="179" t="str">
        <f t="shared" si="29"/>
        <v/>
      </c>
      <c r="BX39" s="179" t="str">
        <f t="shared" si="30"/>
        <v/>
      </c>
      <c r="BY39" s="179" t="str">
        <f t="shared" si="31"/>
        <v/>
      </c>
      <c r="BZ39" s="179" t="str">
        <f t="shared" si="32"/>
        <v/>
      </c>
      <c r="CA39" s="179" t="str">
        <f t="shared" si="33"/>
        <v/>
      </c>
      <c r="CB39" s="179" t="str">
        <f t="shared" si="34"/>
        <v/>
      </c>
      <c r="CC39" s="179" t="str">
        <f t="shared" si="35"/>
        <v/>
      </c>
      <c r="CD39" s="179" t="str">
        <f t="shared" si="36"/>
        <v/>
      </c>
      <c r="CE39" s="179" t="str">
        <f t="shared" si="37"/>
        <v/>
      </c>
      <c r="CF39" s="179" t="str">
        <f t="shared" si="38"/>
        <v/>
      </c>
      <c r="CG39" s="179" t="str">
        <f t="shared" si="39"/>
        <v/>
      </c>
      <c r="CH39" s="166"/>
      <c r="CI39" s="166"/>
      <c r="CJ39" s="166"/>
      <c r="CK39" s="166"/>
      <c r="CL39" s="166"/>
    </row>
    <row r="40" spans="1:90" ht="14.25" customHeight="1" thickBot="1" x14ac:dyDescent="0.3">
      <c r="A40" s="213">
        <v>30</v>
      </c>
      <c r="B40" s="89"/>
      <c r="C40" s="199"/>
      <c r="D40" s="146"/>
      <c r="E40" s="319" t="s">
        <v>93</v>
      </c>
      <c r="F40" s="221"/>
      <c r="G40" s="222"/>
      <c r="H40" s="222"/>
      <c r="I40" s="222"/>
      <c r="J40" s="222"/>
      <c r="K40" s="222"/>
      <c r="L40" s="222"/>
      <c r="M40" s="331"/>
      <c r="N40" s="303">
        <f t="shared" si="66"/>
        <v>0</v>
      </c>
      <c r="O40" s="304"/>
      <c r="P40" s="341"/>
      <c r="Q40" s="305"/>
      <c r="R40" s="322" t="s">
        <v>67</v>
      </c>
      <c r="S40" s="326"/>
      <c r="T40" s="327"/>
      <c r="U40" s="327"/>
      <c r="V40" s="327"/>
      <c r="W40" s="327"/>
      <c r="X40" s="327"/>
      <c r="Y40" s="95"/>
      <c r="Z40" s="331"/>
      <c r="AA40" s="303">
        <f t="shared" si="67"/>
        <v>0</v>
      </c>
      <c r="AB40" s="314">
        <f t="shared" si="68"/>
        <v>0</v>
      </c>
      <c r="AC40" s="314"/>
      <c r="AD40" s="314">
        <f t="shared" si="21"/>
        <v>0</v>
      </c>
      <c r="AE40" s="325" t="s">
        <v>148</v>
      </c>
      <c r="AF40" s="15"/>
      <c r="AG40" s="232"/>
      <c r="AH40" s="232"/>
      <c r="AI40" s="232"/>
      <c r="AJ40" s="232"/>
      <c r="AK40" s="232"/>
      <c r="AL40" s="7"/>
      <c r="AM40" s="352"/>
      <c r="AN40" s="22">
        <f t="shared" si="41"/>
        <v>0</v>
      </c>
      <c r="AO40" s="15">
        <f t="shared" si="23"/>
        <v>0</v>
      </c>
      <c r="AP40" s="345"/>
      <c r="AQ40" s="7">
        <f t="shared" si="24"/>
        <v>0</v>
      </c>
      <c r="AR40" s="103"/>
      <c r="AS40" s="101"/>
      <c r="AT40" s="236"/>
      <c r="AU40" s="235"/>
      <c r="AV40" s="92"/>
      <c r="AW40" s="235"/>
      <c r="AX40" s="92"/>
      <c r="AY40" s="235"/>
      <c r="AZ40" s="92"/>
      <c r="BA40" s="17">
        <f t="shared" si="10"/>
        <v>3.9999999999999998E-6</v>
      </c>
      <c r="BB40" s="17">
        <f t="shared" si="11"/>
        <v>0</v>
      </c>
      <c r="BC40" s="17"/>
      <c r="BD40" s="218">
        <v>31</v>
      </c>
      <c r="BE40" s="87">
        <f t="shared" si="12"/>
        <v>3.9699999999999996E-5</v>
      </c>
      <c r="BF40" s="215">
        <f t="shared" si="13"/>
        <v>0</v>
      </c>
      <c r="BG40" s="245">
        <f t="shared" si="14"/>
        <v>3.9999999999999998E-6</v>
      </c>
      <c r="BH40" s="17">
        <f t="shared" si="25"/>
        <v>0</v>
      </c>
      <c r="BI40" s="218">
        <v>31</v>
      </c>
      <c r="BJ40" s="87">
        <f t="shared" si="15"/>
        <v>3.7999999999999995E-5</v>
      </c>
      <c r="BK40" s="215">
        <f t="shared" si="16"/>
        <v>0</v>
      </c>
      <c r="BL40" s="245">
        <f t="shared" si="26"/>
        <v>3.9999999999999998E-6</v>
      </c>
      <c r="BM40" s="17">
        <f t="shared" si="27"/>
        <v>0</v>
      </c>
      <c r="BN40" s="218">
        <v>31</v>
      </c>
      <c r="BO40" s="87">
        <f t="shared" si="17"/>
        <v>3.7999999999999995E-5</v>
      </c>
      <c r="BP40" s="215">
        <f t="shared" si="18"/>
        <v>0</v>
      </c>
      <c r="BR40" s="126"/>
      <c r="BS40" s="126"/>
      <c r="BU40" s="178"/>
      <c r="BV40" s="179" t="str">
        <f t="shared" si="28"/>
        <v/>
      </c>
      <c r="BW40" s="179" t="str">
        <f t="shared" si="29"/>
        <v/>
      </c>
      <c r="BX40" s="179" t="str">
        <f t="shared" si="30"/>
        <v/>
      </c>
      <c r="BY40" s="179" t="str">
        <f t="shared" si="31"/>
        <v/>
      </c>
      <c r="BZ40" s="179" t="str">
        <f t="shared" si="32"/>
        <v/>
      </c>
      <c r="CA40" s="179" t="str">
        <f t="shared" si="33"/>
        <v/>
      </c>
      <c r="CB40" s="179" t="str">
        <f t="shared" si="34"/>
        <v/>
      </c>
      <c r="CC40" s="179" t="str">
        <f t="shared" si="35"/>
        <v/>
      </c>
      <c r="CD40" s="179" t="str">
        <f t="shared" si="36"/>
        <v/>
      </c>
      <c r="CE40" s="179" t="str">
        <f t="shared" si="37"/>
        <v/>
      </c>
      <c r="CF40" s="179" t="str">
        <f t="shared" si="38"/>
        <v/>
      </c>
      <c r="CG40" s="179" t="str">
        <f t="shared" si="39"/>
        <v/>
      </c>
      <c r="CH40" s="166"/>
      <c r="CI40" s="166"/>
      <c r="CJ40" s="166"/>
      <c r="CK40" s="166"/>
      <c r="CL40" s="166"/>
    </row>
    <row r="41" spans="1:90" ht="14.25" customHeight="1" x14ac:dyDescent="0.25">
      <c r="A41" s="211">
        <v>31</v>
      </c>
      <c r="B41" s="219"/>
      <c r="C41" s="200"/>
      <c r="D41" s="145"/>
      <c r="E41" s="320" t="s">
        <v>93</v>
      </c>
      <c r="F41" s="209"/>
      <c r="G41" s="313"/>
      <c r="H41" s="313"/>
      <c r="I41" s="313"/>
      <c r="J41" s="313"/>
      <c r="K41" s="313"/>
      <c r="L41" s="313"/>
      <c r="M41" s="339"/>
      <c r="N41" s="233">
        <f t="shared" si="66"/>
        <v>0</v>
      </c>
      <c r="O41" s="306"/>
      <c r="P41" s="342"/>
      <c r="Q41" s="307"/>
      <c r="R41" s="323" t="s">
        <v>67</v>
      </c>
      <c r="S41" s="209"/>
      <c r="T41" s="313"/>
      <c r="U41" s="313"/>
      <c r="V41" s="313"/>
      <c r="W41" s="313"/>
      <c r="X41" s="313"/>
      <c r="Y41" s="125"/>
      <c r="Z41" s="339"/>
      <c r="AA41" s="233">
        <f t="shared" si="67"/>
        <v>0</v>
      </c>
      <c r="AB41" s="314">
        <f t="shared" si="68"/>
        <v>0</v>
      </c>
      <c r="AC41" s="314"/>
      <c r="AD41" s="314">
        <f t="shared" si="21"/>
        <v>0</v>
      </c>
      <c r="AE41" s="323" t="s">
        <v>87</v>
      </c>
      <c r="AF41" s="81"/>
      <c r="AG41" s="335"/>
      <c r="AH41" s="335"/>
      <c r="AI41" s="335"/>
      <c r="AJ41" s="335"/>
      <c r="AK41" s="335"/>
      <c r="AL41" s="336"/>
      <c r="AM41" s="353"/>
      <c r="AN41" s="22">
        <f t="shared" si="41"/>
        <v>0</v>
      </c>
      <c r="AO41" s="209">
        <f t="shared" si="23"/>
        <v>0</v>
      </c>
      <c r="AP41" s="339"/>
      <c r="AQ41" s="125">
        <f t="shared" si="24"/>
        <v>0</v>
      </c>
      <c r="AR41" s="104"/>
      <c r="AS41" s="217"/>
      <c r="AT41" s="216"/>
      <c r="AU41" s="230"/>
      <c r="AV41" s="220"/>
      <c r="AW41" s="230"/>
      <c r="AX41" s="220"/>
      <c r="AY41" s="230"/>
      <c r="AZ41" s="220"/>
      <c r="BA41" s="17">
        <f t="shared" si="10"/>
        <v>4.0999999999999997E-6</v>
      </c>
      <c r="BB41" s="17">
        <f t="shared" si="11"/>
        <v>0</v>
      </c>
      <c r="BC41" s="17"/>
      <c r="BD41" s="218">
        <v>32</v>
      </c>
      <c r="BE41" s="87">
        <f t="shared" si="12"/>
        <v>3.96E-5</v>
      </c>
      <c r="BF41" s="215">
        <f t="shared" si="13"/>
        <v>0</v>
      </c>
      <c r="BG41" s="245">
        <f t="shared" si="14"/>
        <v>4.0999999999999997E-6</v>
      </c>
      <c r="BH41" s="17">
        <f t="shared" si="25"/>
        <v>0</v>
      </c>
      <c r="BI41" s="218">
        <v>32</v>
      </c>
      <c r="BJ41" s="87">
        <f t="shared" si="15"/>
        <v>3.79E-5</v>
      </c>
      <c r="BK41" s="215">
        <f t="shared" si="16"/>
        <v>0</v>
      </c>
      <c r="BL41" s="245">
        <f t="shared" si="26"/>
        <v>4.0999999999999997E-6</v>
      </c>
      <c r="BM41" s="17">
        <f t="shared" si="27"/>
        <v>0</v>
      </c>
      <c r="BN41" s="218">
        <v>32</v>
      </c>
      <c r="BO41" s="87">
        <f t="shared" si="17"/>
        <v>3.79E-5</v>
      </c>
      <c r="BP41" s="215">
        <f t="shared" si="18"/>
        <v>0</v>
      </c>
      <c r="BR41" s="126"/>
      <c r="BS41" s="126"/>
      <c r="BU41" s="178"/>
      <c r="BV41" s="179" t="str">
        <f t="shared" si="28"/>
        <v/>
      </c>
      <c r="BW41" s="179" t="str">
        <f t="shared" si="29"/>
        <v/>
      </c>
      <c r="BX41" s="179" t="str">
        <f t="shared" si="30"/>
        <v/>
      </c>
      <c r="BY41" s="179" t="str">
        <f t="shared" si="31"/>
        <v/>
      </c>
      <c r="BZ41" s="179" t="str">
        <f t="shared" si="32"/>
        <v/>
      </c>
      <c r="CA41" s="179" t="str">
        <f t="shared" si="33"/>
        <v/>
      </c>
      <c r="CB41" s="179" t="str">
        <f t="shared" si="34"/>
        <v/>
      </c>
      <c r="CC41" s="179" t="str">
        <f t="shared" si="35"/>
        <v/>
      </c>
      <c r="CD41" s="179" t="str">
        <f t="shared" si="36"/>
        <v/>
      </c>
      <c r="CE41" s="179" t="str">
        <f t="shared" si="37"/>
        <v/>
      </c>
      <c r="CF41" s="179" t="str">
        <f t="shared" si="38"/>
        <v/>
      </c>
      <c r="CG41" s="179" t="str">
        <f t="shared" si="39"/>
        <v/>
      </c>
      <c r="CH41" s="166"/>
      <c r="CI41" s="166"/>
      <c r="CJ41" s="166"/>
      <c r="CK41" s="166"/>
      <c r="CL41" s="166"/>
    </row>
    <row r="42" spans="1:90" ht="14.25" customHeight="1" thickBot="1" x14ac:dyDescent="0.3">
      <c r="A42" s="213">
        <v>32</v>
      </c>
      <c r="B42" s="88"/>
      <c r="C42" s="201"/>
      <c r="D42" s="94"/>
      <c r="E42" s="321" t="s">
        <v>93</v>
      </c>
      <c r="F42" s="96"/>
      <c r="G42" s="100"/>
      <c r="H42" s="100"/>
      <c r="I42" s="100"/>
      <c r="J42" s="100"/>
      <c r="K42" s="100"/>
      <c r="L42" s="100"/>
      <c r="M42" s="210"/>
      <c r="N42" s="234">
        <f t="shared" si="66"/>
        <v>0</v>
      </c>
      <c r="O42" s="308"/>
      <c r="P42" s="343"/>
      <c r="Q42" s="309"/>
      <c r="R42" s="324" t="s">
        <v>67</v>
      </c>
      <c r="S42" s="96"/>
      <c r="T42" s="100"/>
      <c r="U42" s="100"/>
      <c r="V42" s="100"/>
      <c r="W42" s="100"/>
      <c r="X42" s="100"/>
      <c r="Y42" s="97"/>
      <c r="Z42" s="210"/>
      <c r="AA42" s="234">
        <f t="shared" si="67"/>
        <v>0</v>
      </c>
      <c r="AB42" s="314">
        <f t="shared" si="68"/>
        <v>0</v>
      </c>
      <c r="AC42" s="314"/>
      <c r="AD42" s="314">
        <f t="shared" si="21"/>
        <v>0</v>
      </c>
      <c r="AE42" s="324" t="s">
        <v>87</v>
      </c>
      <c r="AF42" s="82"/>
      <c r="AG42" s="337"/>
      <c r="AH42" s="337"/>
      <c r="AI42" s="337"/>
      <c r="AJ42" s="337"/>
      <c r="AK42" s="337"/>
      <c r="AL42" s="338"/>
      <c r="AM42" s="354"/>
      <c r="AN42" s="91">
        <f t="shared" si="41"/>
        <v>0</v>
      </c>
      <c r="AO42" s="96">
        <f t="shared" si="23"/>
        <v>0</v>
      </c>
      <c r="AP42" s="210"/>
      <c r="AQ42" s="97">
        <f t="shared" si="24"/>
        <v>0</v>
      </c>
      <c r="AR42" s="105"/>
      <c r="AS42" s="102"/>
      <c r="AT42" s="237"/>
      <c r="AU42" s="231"/>
      <c r="AV42" s="93"/>
      <c r="AW42" s="231"/>
      <c r="AX42" s="93"/>
      <c r="AY42" s="231"/>
      <c r="AZ42" s="93"/>
      <c r="BA42" s="17">
        <f t="shared" si="10"/>
        <v>4.1999999999999996E-6</v>
      </c>
      <c r="BB42" s="17">
        <f t="shared" si="11"/>
        <v>0</v>
      </c>
      <c r="BC42" s="17"/>
      <c r="BD42" s="218">
        <v>33</v>
      </c>
      <c r="BE42" s="87">
        <f t="shared" si="12"/>
        <v>3.9499999999999998E-5</v>
      </c>
      <c r="BF42" s="215">
        <f t="shared" si="13"/>
        <v>0</v>
      </c>
      <c r="BG42" s="245">
        <f t="shared" si="14"/>
        <v>4.1999999999999996E-6</v>
      </c>
      <c r="BH42" s="17">
        <f t="shared" si="25"/>
        <v>0</v>
      </c>
      <c r="BI42" s="218">
        <v>33</v>
      </c>
      <c r="BJ42" s="87">
        <f t="shared" si="15"/>
        <v>3.7799999999999997E-5</v>
      </c>
      <c r="BK42" s="215">
        <f t="shared" si="16"/>
        <v>0</v>
      </c>
      <c r="BL42" s="245">
        <f t="shared" si="26"/>
        <v>4.1999999999999996E-6</v>
      </c>
      <c r="BM42" s="17">
        <f t="shared" si="27"/>
        <v>0</v>
      </c>
      <c r="BN42" s="218">
        <v>33</v>
      </c>
      <c r="BO42" s="87">
        <f t="shared" si="17"/>
        <v>3.7799999999999997E-5</v>
      </c>
      <c r="BP42" s="215">
        <f t="shared" si="18"/>
        <v>0</v>
      </c>
      <c r="BR42" s="126"/>
      <c r="BS42" s="126"/>
      <c r="BU42" s="178"/>
      <c r="BV42" s="179" t="str">
        <f t="shared" si="28"/>
        <v/>
      </c>
      <c r="BW42" s="179" t="str">
        <f t="shared" si="29"/>
        <v/>
      </c>
      <c r="BX42" s="179" t="str">
        <f t="shared" si="30"/>
        <v/>
      </c>
      <c r="BY42" s="179" t="str">
        <f t="shared" si="31"/>
        <v/>
      </c>
      <c r="BZ42" s="179" t="str">
        <f t="shared" si="32"/>
        <v/>
      </c>
      <c r="CA42" s="179" t="str">
        <f t="shared" si="33"/>
        <v/>
      </c>
      <c r="CB42" s="179" t="str">
        <f t="shared" si="34"/>
        <v/>
      </c>
      <c r="CC42" s="179" t="str">
        <f t="shared" si="35"/>
        <v/>
      </c>
      <c r="CD42" s="179" t="str">
        <f t="shared" si="36"/>
        <v/>
      </c>
      <c r="CE42" s="179" t="str">
        <f t="shared" si="37"/>
        <v/>
      </c>
      <c r="CF42" s="179" t="str">
        <f t="shared" si="38"/>
        <v/>
      </c>
      <c r="CG42" s="179" t="str">
        <f t="shared" si="39"/>
        <v/>
      </c>
      <c r="CH42" s="166"/>
      <c r="CI42" s="166"/>
      <c r="CJ42" s="166"/>
      <c r="CK42" s="166"/>
      <c r="CL42" s="166"/>
    </row>
    <row r="43" spans="1:90" ht="14.25" customHeight="1" x14ac:dyDescent="0.25">
      <c r="A43" s="211">
        <v>33</v>
      </c>
      <c r="B43" s="89"/>
      <c r="C43" s="199"/>
      <c r="D43" s="146"/>
      <c r="E43" s="319" t="s">
        <v>93</v>
      </c>
      <c r="F43" s="221"/>
      <c r="G43" s="222"/>
      <c r="H43" s="222"/>
      <c r="I43" s="222"/>
      <c r="J43" s="222"/>
      <c r="K43" s="222"/>
      <c r="L43" s="222"/>
      <c r="M43" s="331"/>
      <c r="N43" s="303">
        <f t="shared" si="66"/>
        <v>0</v>
      </c>
      <c r="O43" s="304"/>
      <c r="P43" s="341"/>
      <c r="Q43" s="305"/>
      <c r="R43" s="322" t="s">
        <v>67</v>
      </c>
      <c r="S43" s="326"/>
      <c r="T43" s="327"/>
      <c r="U43" s="327"/>
      <c r="V43" s="327"/>
      <c r="W43" s="327"/>
      <c r="X43" s="327"/>
      <c r="Y43" s="95"/>
      <c r="Z43" s="331"/>
      <c r="AA43" s="303">
        <f t="shared" si="67"/>
        <v>0</v>
      </c>
      <c r="AB43" s="314">
        <f t="shared" si="68"/>
        <v>0</v>
      </c>
      <c r="AC43" s="314"/>
      <c r="AD43" s="314">
        <f t="shared" si="21"/>
        <v>0</v>
      </c>
      <c r="AE43" s="325" t="s">
        <v>148</v>
      </c>
      <c r="AF43" s="15"/>
      <c r="AG43" s="232"/>
      <c r="AH43" s="232"/>
      <c r="AI43" s="232"/>
      <c r="AJ43" s="232"/>
      <c r="AK43" s="232"/>
      <c r="AL43" s="7"/>
      <c r="AM43" s="352"/>
      <c r="AN43" s="22">
        <f t="shared" si="41"/>
        <v>0</v>
      </c>
      <c r="AO43" s="15">
        <f t="shared" si="23"/>
        <v>0</v>
      </c>
      <c r="AP43" s="345"/>
      <c r="AQ43" s="7">
        <f t="shared" si="24"/>
        <v>0</v>
      </c>
      <c r="AR43" s="103"/>
      <c r="AS43" s="101"/>
      <c r="AT43" s="236"/>
      <c r="AU43" s="235"/>
      <c r="AV43" s="92"/>
      <c r="AW43" s="235"/>
      <c r="AX43" s="92"/>
      <c r="AY43" s="235"/>
      <c r="AZ43" s="92"/>
      <c r="BA43" s="17">
        <f t="shared" si="10"/>
        <v>4.2999999999999995E-6</v>
      </c>
      <c r="BB43" s="17">
        <f t="shared" si="11"/>
        <v>0</v>
      </c>
      <c r="BC43" s="17"/>
      <c r="BD43" s="218">
        <v>34</v>
      </c>
      <c r="BE43" s="87">
        <f t="shared" si="12"/>
        <v>3.9399999999999995E-5</v>
      </c>
      <c r="BF43" s="215">
        <f t="shared" si="13"/>
        <v>0</v>
      </c>
      <c r="BG43" s="245">
        <f t="shared" si="14"/>
        <v>4.2999999999999995E-6</v>
      </c>
      <c r="BH43" s="17">
        <f t="shared" si="25"/>
        <v>0</v>
      </c>
      <c r="BI43" s="218">
        <v>34</v>
      </c>
      <c r="BJ43" s="87">
        <f t="shared" si="15"/>
        <v>3.7700000000000002E-5</v>
      </c>
      <c r="BK43" s="215">
        <f t="shared" si="16"/>
        <v>0</v>
      </c>
      <c r="BL43" s="245">
        <f t="shared" si="26"/>
        <v>4.2999999999999995E-6</v>
      </c>
      <c r="BM43" s="17">
        <f t="shared" si="27"/>
        <v>0</v>
      </c>
      <c r="BN43" s="218">
        <v>34</v>
      </c>
      <c r="BO43" s="87">
        <f t="shared" si="17"/>
        <v>3.7700000000000002E-5</v>
      </c>
      <c r="BP43" s="215">
        <f t="shared" si="18"/>
        <v>0</v>
      </c>
      <c r="BR43" s="126"/>
      <c r="BS43" s="126"/>
      <c r="BU43" s="178"/>
      <c r="BV43" s="179" t="str">
        <f t="shared" si="28"/>
        <v/>
      </c>
      <c r="BW43" s="179" t="str">
        <f t="shared" si="29"/>
        <v/>
      </c>
      <c r="BX43" s="179" t="str">
        <f t="shared" si="30"/>
        <v/>
      </c>
      <c r="BY43" s="179" t="str">
        <f t="shared" si="31"/>
        <v/>
      </c>
      <c r="BZ43" s="179" t="str">
        <f t="shared" si="32"/>
        <v/>
      </c>
      <c r="CA43" s="179" t="str">
        <f t="shared" si="33"/>
        <v/>
      </c>
      <c r="CB43" s="179" t="str">
        <f t="shared" si="34"/>
        <v/>
      </c>
      <c r="CC43" s="179" t="str">
        <f t="shared" si="35"/>
        <v/>
      </c>
      <c r="CD43" s="179" t="str">
        <f t="shared" si="36"/>
        <v/>
      </c>
      <c r="CE43" s="179" t="str">
        <f t="shared" si="37"/>
        <v/>
      </c>
      <c r="CF43" s="179" t="str">
        <f t="shared" si="38"/>
        <v/>
      </c>
      <c r="CG43" s="179" t="str">
        <f t="shared" si="39"/>
        <v/>
      </c>
      <c r="CH43" s="166"/>
      <c r="CI43" s="166"/>
      <c r="CJ43" s="166"/>
      <c r="CK43" s="166"/>
      <c r="CL43" s="166"/>
    </row>
    <row r="44" spans="1:90" ht="14.25" customHeight="1" thickBot="1" x14ac:dyDescent="0.3">
      <c r="A44" s="213">
        <v>34</v>
      </c>
      <c r="B44" s="219"/>
      <c r="C44" s="200"/>
      <c r="D44" s="145"/>
      <c r="E44" s="320" t="s">
        <v>93</v>
      </c>
      <c r="F44" s="209"/>
      <c r="G44" s="313"/>
      <c r="H44" s="313"/>
      <c r="I44" s="313"/>
      <c r="J44" s="313"/>
      <c r="K44" s="313"/>
      <c r="L44" s="313"/>
      <c r="M44" s="339"/>
      <c r="N44" s="233">
        <f t="shared" si="66"/>
        <v>0</v>
      </c>
      <c r="O44" s="306"/>
      <c r="P44" s="342"/>
      <c r="Q44" s="307"/>
      <c r="R44" s="323" t="s">
        <v>67</v>
      </c>
      <c r="S44" s="209"/>
      <c r="T44" s="313"/>
      <c r="U44" s="313"/>
      <c r="V44" s="313"/>
      <c r="W44" s="313"/>
      <c r="X44" s="313"/>
      <c r="Y44" s="125"/>
      <c r="Z44" s="339"/>
      <c r="AA44" s="233">
        <f t="shared" si="67"/>
        <v>0</v>
      </c>
      <c r="AB44" s="314">
        <f t="shared" si="68"/>
        <v>0</v>
      </c>
      <c r="AC44" s="314"/>
      <c r="AD44" s="314">
        <f t="shared" si="21"/>
        <v>0</v>
      </c>
      <c r="AE44" s="323" t="s">
        <v>87</v>
      </c>
      <c r="AF44" s="81"/>
      <c r="AG44" s="335"/>
      <c r="AH44" s="335"/>
      <c r="AI44" s="335"/>
      <c r="AJ44" s="335"/>
      <c r="AK44" s="335"/>
      <c r="AL44" s="336"/>
      <c r="AM44" s="353"/>
      <c r="AN44" s="22">
        <f t="shared" si="41"/>
        <v>0</v>
      </c>
      <c r="AO44" s="209">
        <f t="shared" si="23"/>
        <v>0</v>
      </c>
      <c r="AP44" s="339"/>
      <c r="AQ44" s="125">
        <f t="shared" si="24"/>
        <v>0</v>
      </c>
      <c r="AR44" s="104"/>
      <c r="AS44" s="217"/>
      <c r="AT44" s="216"/>
      <c r="AU44" s="230"/>
      <c r="AV44" s="220"/>
      <c r="AW44" s="230"/>
      <c r="AX44" s="220"/>
      <c r="AY44" s="230"/>
      <c r="AZ44" s="220"/>
      <c r="BA44" s="17">
        <f t="shared" si="10"/>
        <v>4.4000000000000002E-6</v>
      </c>
      <c r="BB44" s="17">
        <f t="shared" si="11"/>
        <v>0</v>
      </c>
      <c r="BC44" s="17"/>
      <c r="BD44" s="218">
        <v>35</v>
      </c>
      <c r="BE44" s="87">
        <f t="shared" si="12"/>
        <v>3.93E-5</v>
      </c>
      <c r="BF44" s="215">
        <f t="shared" si="13"/>
        <v>0</v>
      </c>
      <c r="BG44" s="245">
        <f t="shared" si="14"/>
        <v>4.4000000000000002E-6</v>
      </c>
      <c r="BH44" s="17">
        <f t="shared" si="25"/>
        <v>0</v>
      </c>
      <c r="BI44" s="218">
        <v>35</v>
      </c>
      <c r="BJ44" s="87">
        <f t="shared" si="15"/>
        <v>3.7599999999999999E-5</v>
      </c>
      <c r="BK44" s="215">
        <f t="shared" si="16"/>
        <v>0</v>
      </c>
      <c r="BL44" s="245">
        <f t="shared" si="26"/>
        <v>4.4000000000000002E-6</v>
      </c>
      <c r="BM44" s="17">
        <f t="shared" si="27"/>
        <v>0</v>
      </c>
      <c r="BN44" s="218">
        <v>35</v>
      </c>
      <c r="BO44" s="87">
        <f t="shared" si="17"/>
        <v>3.7599999999999999E-5</v>
      </c>
      <c r="BP44" s="215">
        <f t="shared" si="18"/>
        <v>0</v>
      </c>
      <c r="BR44" s="126"/>
      <c r="BS44" s="126"/>
      <c r="BU44" s="178"/>
      <c r="BV44" s="179" t="str">
        <f t="shared" si="28"/>
        <v/>
      </c>
      <c r="BW44" s="179" t="str">
        <f t="shared" si="29"/>
        <v/>
      </c>
      <c r="BX44" s="179" t="str">
        <f t="shared" si="30"/>
        <v/>
      </c>
      <c r="BY44" s="179" t="str">
        <f t="shared" si="31"/>
        <v/>
      </c>
      <c r="BZ44" s="179" t="str">
        <f t="shared" si="32"/>
        <v/>
      </c>
      <c r="CA44" s="179" t="str">
        <f t="shared" si="33"/>
        <v/>
      </c>
      <c r="CB44" s="179" t="str">
        <f t="shared" si="34"/>
        <v/>
      </c>
      <c r="CC44" s="179" t="str">
        <f t="shared" si="35"/>
        <v/>
      </c>
      <c r="CD44" s="179" t="str">
        <f t="shared" si="36"/>
        <v/>
      </c>
      <c r="CE44" s="179" t="str">
        <f t="shared" si="37"/>
        <v/>
      </c>
      <c r="CF44" s="179" t="str">
        <f t="shared" si="38"/>
        <v/>
      </c>
      <c r="CG44" s="179" t="str">
        <f t="shared" si="39"/>
        <v/>
      </c>
      <c r="CH44" s="166"/>
      <c r="CI44" s="166"/>
      <c r="CJ44" s="166"/>
      <c r="CK44" s="166"/>
      <c r="CL44" s="166"/>
    </row>
    <row r="45" spans="1:90" ht="14.25" customHeight="1" thickBot="1" x14ac:dyDescent="0.3">
      <c r="A45" s="211">
        <v>35</v>
      </c>
      <c r="B45" s="88"/>
      <c r="C45" s="201"/>
      <c r="D45" s="94"/>
      <c r="E45" s="321" t="s">
        <v>93</v>
      </c>
      <c r="F45" s="96"/>
      <c r="G45" s="100"/>
      <c r="H45" s="100"/>
      <c r="I45" s="100"/>
      <c r="J45" s="100"/>
      <c r="K45" s="100"/>
      <c r="L45" s="100"/>
      <c r="M45" s="210"/>
      <c r="N45" s="234">
        <f t="shared" si="66"/>
        <v>0</v>
      </c>
      <c r="O45" s="308"/>
      <c r="P45" s="343"/>
      <c r="Q45" s="309"/>
      <c r="R45" s="324" t="s">
        <v>67</v>
      </c>
      <c r="S45" s="96"/>
      <c r="T45" s="100"/>
      <c r="U45" s="100"/>
      <c r="V45" s="100"/>
      <c r="W45" s="100"/>
      <c r="X45" s="100"/>
      <c r="Y45" s="97"/>
      <c r="Z45" s="210"/>
      <c r="AA45" s="234">
        <f t="shared" si="67"/>
        <v>0</v>
      </c>
      <c r="AB45" s="314">
        <f t="shared" si="68"/>
        <v>0</v>
      </c>
      <c r="AC45" s="314"/>
      <c r="AD45" s="314">
        <f t="shared" si="21"/>
        <v>0</v>
      </c>
      <c r="AE45" s="324" t="s">
        <v>87</v>
      </c>
      <c r="AF45" s="82"/>
      <c r="AG45" s="337"/>
      <c r="AH45" s="337"/>
      <c r="AI45" s="337"/>
      <c r="AJ45" s="337"/>
      <c r="AK45" s="337"/>
      <c r="AL45" s="338"/>
      <c r="AM45" s="354"/>
      <c r="AN45" s="91">
        <f t="shared" si="41"/>
        <v>0</v>
      </c>
      <c r="AO45" s="96">
        <f t="shared" si="23"/>
        <v>0</v>
      </c>
      <c r="AP45" s="210"/>
      <c r="AQ45" s="97">
        <f t="shared" si="24"/>
        <v>0</v>
      </c>
      <c r="AR45" s="105"/>
      <c r="AS45" s="102"/>
      <c r="AT45" s="237"/>
      <c r="AU45" s="231"/>
      <c r="AV45" s="93"/>
      <c r="AW45" s="231"/>
      <c r="AX45" s="93"/>
      <c r="AY45" s="231"/>
      <c r="AZ45" s="93"/>
      <c r="BA45" s="17">
        <f t="shared" si="10"/>
        <v>4.5000000000000001E-6</v>
      </c>
      <c r="BB45" s="17">
        <f t="shared" si="11"/>
        <v>0</v>
      </c>
      <c r="BC45" s="17"/>
      <c r="BD45" s="218">
        <v>36</v>
      </c>
      <c r="BE45" s="87">
        <f t="shared" si="12"/>
        <v>3.9199999999999997E-5</v>
      </c>
      <c r="BF45" s="215">
        <f t="shared" si="13"/>
        <v>0</v>
      </c>
      <c r="BG45" s="245">
        <f t="shared" si="14"/>
        <v>4.5000000000000001E-6</v>
      </c>
      <c r="BH45" s="17">
        <f t="shared" si="25"/>
        <v>0</v>
      </c>
      <c r="BI45" s="218">
        <v>36</v>
      </c>
      <c r="BJ45" s="87">
        <f t="shared" si="15"/>
        <v>3.7499999999999997E-5</v>
      </c>
      <c r="BK45" s="215">
        <f t="shared" si="16"/>
        <v>0</v>
      </c>
      <c r="BL45" s="245">
        <f t="shared" si="26"/>
        <v>4.5000000000000001E-6</v>
      </c>
      <c r="BM45" s="17">
        <f t="shared" si="27"/>
        <v>0</v>
      </c>
      <c r="BN45" s="218">
        <v>36</v>
      </c>
      <c r="BO45" s="87">
        <f t="shared" si="17"/>
        <v>3.7499999999999997E-5</v>
      </c>
      <c r="BP45" s="215">
        <f t="shared" si="18"/>
        <v>0</v>
      </c>
      <c r="BR45" s="126"/>
      <c r="BS45" s="126"/>
      <c r="BU45" s="178"/>
      <c r="BV45" s="179" t="str">
        <f t="shared" si="28"/>
        <v/>
      </c>
      <c r="BW45" s="179" t="str">
        <f t="shared" si="29"/>
        <v/>
      </c>
      <c r="BX45" s="179" t="str">
        <f t="shared" si="30"/>
        <v/>
      </c>
      <c r="BY45" s="179" t="str">
        <f t="shared" si="31"/>
        <v/>
      </c>
      <c r="BZ45" s="179" t="str">
        <f t="shared" si="32"/>
        <v/>
      </c>
      <c r="CA45" s="179" t="str">
        <f t="shared" si="33"/>
        <v/>
      </c>
      <c r="CB45" s="179" t="str">
        <f t="shared" si="34"/>
        <v/>
      </c>
      <c r="CC45" s="179" t="str">
        <f t="shared" si="35"/>
        <v/>
      </c>
      <c r="CD45" s="179" t="str">
        <f t="shared" si="36"/>
        <v/>
      </c>
      <c r="CE45" s="179" t="str">
        <f t="shared" si="37"/>
        <v/>
      </c>
      <c r="CF45" s="179" t="str">
        <f t="shared" si="38"/>
        <v/>
      </c>
      <c r="CG45" s="179" t="str">
        <f t="shared" si="39"/>
        <v/>
      </c>
      <c r="CH45" s="166"/>
      <c r="CI45" s="166"/>
      <c r="CJ45" s="166"/>
      <c r="CK45" s="166"/>
      <c r="CL45" s="166"/>
    </row>
    <row r="46" spans="1:90" ht="14.25" customHeight="1" thickBot="1" x14ac:dyDescent="0.3">
      <c r="A46" s="213">
        <v>36</v>
      </c>
      <c r="B46" s="89"/>
      <c r="C46" s="199"/>
      <c r="D46" s="146"/>
      <c r="E46" s="319" t="s">
        <v>93</v>
      </c>
      <c r="F46" s="221"/>
      <c r="G46" s="222"/>
      <c r="H46" s="222"/>
      <c r="I46" s="222"/>
      <c r="J46" s="222"/>
      <c r="K46" s="222"/>
      <c r="L46" s="222"/>
      <c r="M46" s="331"/>
      <c r="N46" s="303">
        <f t="shared" si="66"/>
        <v>0</v>
      </c>
      <c r="O46" s="304"/>
      <c r="P46" s="341"/>
      <c r="Q46" s="305"/>
      <c r="R46" s="322" t="s">
        <v>67</v>
      </c>
      <c r="S46" s="326"/>
      <c r="T46" s="327"/>
      <c r="U46" s="327"/>
      <c r="V46" s="327"/>
      <c r="W46" s="327"/>
      <c r="X46" s="327"/>
      <c r="Y46" s="95"/>
      <c r="Z46" s="331"/>
      <c r="AA46" s="303">
        <f t="shared" si="67"/>
        <v>0</v>
      </c>
      <c r="AB46" s="314">
        <f t="shared" si="68"/>
        <v>0</v>
      </c>
      <c r="AC46" s="314"/>
      <c r="AD46" s="314">
        <f t="shared" si="21"/>
        <v>0</v>
      </c>
      <c r="AE46" s="325" t="s">
        <v>148</v>
      </c>
      <c r="AF46" s="15"/>
      <c r="AG46" s="232"/>
      <c r="AH46" s="232"/>
      <c r="AI46" s="232"/>
      <c r="AJ46" s="232"/>
      <c r="AK46" s="232"/>
      <c r="AL46" s="7"/>
      <c r="AM46" s="352"/>
      <c r="AN46" s="22">
        <f t="shared" si="41"/>
        <v>0</v>
      </c>
      <c r="AO46" s="15">
        <f t="shared" si="23"/>
        <v>0</v>
      </c>
      <c r="AP46" s="345"/>
      <c r="AQ46" s="7">
        <f t="shared" si="24"/>
        <v>0</v>
      </c>
      <c r="AR46" s="103"/>
      <c r="AS46" s="101"/>
      <c r="AT46" s="236"/>
      <c r="AU46" s="235"/>
      <c r="AV46" s="92"/>
      <c r="AW46" s="235"/>
      <c r="AX46" s="92"/>
      <c r="AY46" s="235"/>
      <c r="AZ46" s="92"/>
      <c r="BA46" s="17">
        <f t="shared" si="10"/>
        <v>4.6E-6</v>
      </c>
      <c r="BB46" s="17">
        <f t="shared" si="11"/>
        <v>0</v>
      </c>
      <c r="BC46" s="17"/>
      <c r="BD46" s="218">
        <v>37</v>
      </c>
      <c r="BE46" s="87">
        <f t="shared" si="12"/>
        <v>3.9099999999999995E-5</v>
      </c>
      <c r="BF46" s="215">
        <f t="shared" si="13"/>
        <v>0</v>
      </c>
      <c r="BG46" s="245">
        <f t="shared" si="14"/>
        <v>4.6E-6</v>
      </c>
      <c r="BH46" s="17">
        <f t="shared" si="25"/>
        <v>0</v>
      </c>
      <c r="BI46" s="218">
        <v>37</v>
      </c>
      <c r="BJ46" s="87">
        <f t="shared" si="15"/>
        <v>3.7400000000000001E-5</v>
      </c>
      <c r="BK46" s="215">
        <f t="shared" si="16"/>
        <v>0</v>
      </c>
      <c r="BL46" s="245">
        <f t="shared" si="26"/>
        <v>4.6E-6</v>
      </c>
      <c r="BM46" s="17">
        <f t="shared" si="27"/>
        <v>0</v>
      </c>
      <c r="BN46" s="218">
        <v>37</v>
      </c>
      <c r="BO46" s="87">
        <f t="shared" si="17"/>
        <v>3.7400000000000001E-5</v>
      </c>
      <c r="BP46" s="215">
        <f t="shared" si="18"/>
        <v>0</v>
      </c>
      <c r="BR46" s="126"/>
      <c r="BS46" s="126"/>
      <c r="BU46" s="178"/>
      <c r="BV46" s="179" t="str">
        <f t="shared" si="28"/>
        <v/>
      </c>
      <c r="BW46" s="179" t="str">
        <f t="shared" si="29"/>
        <v/>
      </c>
      <c r="BX46" s="179" t="str">
        <f t="shared" si="30"/>
        <v/>
      </c>
      <c r="BY46" s="179" t="str">
        <f t="shared" si="31"/>
        <v/>
      </c>
      <c r="BZ46" s="179" t="str">
        <f t="shared" si="32"/>
        <v/>
      </c>
      <c r="CA46" s="179" t="str">
        <f t="shared" si="33"/>
        <v/>
      </c>
      <c r="CB46" s="179" t="str">
        <f t="shared" si="34"/>
        <v/>
      </c>
      <c r="CC46" s="179" t="str">
        <f t="shared" si="35"/>
        <v/>
      </c>
      <c r="CD46" s="179" t="str">
        <f t="shared" si="36"/>
        <v/>
      </c>
      <c r="CE46" s="179" t="str">
        <f t="shared" si="37"/>
        <v/>
      </c>
      <c r="CF46" s="179" t="str">
        <f t="shared" si="38"/>
        <v/>
      </c>
      <c r="CG46" s="179" t="str">
        <f t="shared" si="39"/>
        <v/>
      </c>
      <c r="CH46" s="166"/>
      <c r="CI46" s="166"/>
      <c r="CJ46" s="166"/>
      <c r="CK46" s="166"/>
      <c r="CL46" s="166"/>
    </row>
    <row r="47" spans="1:90" ht="14.25" customHeight="1" x14ac:dyDescent="0.25">
      <c r="A47" s="211">
        <v>37</v>
      </c>
      <c r="B47" s="219"/>
      <c r="C47" s="200"/>
      <c r="D47" s="145"/>
      <c r="E47" s="320" t="s">
        <v>93</v>
      </c>
      <c r="F47" s="209"/>
      <c r="G47" s="313"/>
      <c r="H47" s="313"/>
      <c r="I47" s="313"/>
      <c r="J47" s="313"/>
      <c r="K47" s="313"/>
      <c r="L47" s="313"/>
      <c r="M47" s="339"/>
      <c r="N47" s="233">
        <f t="shared" si="66"/>
        <v>0</v>
      </c>
      <c r="O47" s="306"/>
      <c r="P47" s="342"/>
      <c r="Q47" s="307"/>
      <c r="R47" s="323" t="s">
        <v>67</v>
      </c>
      <c r="S47" s="209"/>
      <c r="T47" s="313"/>
      <c r="U47" s="313"/>
      <c r="V47" s="313"/>
      <c r="W47" s="313"/>
      <c r="X47" s="313"/>
      <c r="Y47" s="125"/>
      <c r="Z47" s="339"/>
      <c r="AA47" s="233">
        <f t="shared" si="67"/>
        <v>0</v>
      </c>
      <c r="AB47" s="314">
        <f t="shared" si="68"/>
        <v>0</v>
      </c>
      <c r="AC47" s="314"/>
      <c r="AD47" s="314">
        <f t="shared" si="21"/>
        <v>0</v>
      </c>
      <c r="AE47" s="323" t="s">
        <v>87</v>
      </c>
      <c r="AF47" s="81"/>
      <c r="AG47" s="335"/>
      <c r="AH47" s="335"/>
      <c r="AI47" s="335"/>
      <c r="AJ47" s="335"/>
      <c r="AK47" s="335"/>
      <c r="AL47" s="336"/>
      <c r="AM47" s="353"/>
      <c r="AN47" s="22">
        <f t="shared" si="41"/>
        <v>0</v>
      </c>
      <c r="AO47" s="209">
        <f t="shared" si="23"/>
        <v>0</v>
      </c>
      <c r="AP47" s="339"/>
      <c r="AQ47" s="125">
        <f t="shared" si="24"/>
        <v>0</v>
      </c>
      <c r="AR47" s="104"/>
      <c r="AS47" s="217"/>
      <c r="AT47" s="216"/>
      <c r="AU47" s="230"/>
      <c r="AV47" s="220"/>
      <c r="AW47" s="230"/>
      <c r="AX47" s="220"/>
      <c r="AY47" s="230"/>
      <c r="AZ47" s="220"/>
      <c r="BA47" s="17">
        <f t="shared" si="10"/>
        <v>4.6999999999999999E-6</v>
      </c>
      <c r="BB47" s="17">
        <f t="shared" si="11"/>
        <v>0</v>
      </c>
      <c r="BC47" s="17"/>
      <c r="BD47" s="218">
        <v>38</v>
      </c>
      <c r="BE47" s="87">
        <f t="shared" si="12"/>
        <v>3.8999999999999999E-5</v>
      </c>
      <c r="BF47" s="215">
        <f t="shared" si="13"/>
        <v>0</v>
      </c>
      <c r="BG47" s="245">
        <f t="shared" si="14"/>
        <v>4.6999999999999999E-6</v>
      </c>
      <c r="BH47" s="17">
        <f t="shared" si="25"/>
        <v>0</v>
      </c>
      <c r="BI47" s="218">
        <v>38</v>
      </c>
      <c r="BJ47" s="87">
        <f t="shared" si="15"/>
        <v>3.7299999999999999E-5</v>
      </c>
      <c r="BK47" s="215">
        <f t="shared" si="16"/>
        <v>0</v>
      </c>
      <c r="BL47" s="245">
        <f t="shared" si="26"/>
        <v>4.6999999999999999E-6</v>
      </c>
      <c r="BM47" s="17">
        <f t="shared" si="27"/>
        <v>0</v>
      </c>
      <c r="BN47" s="218">
        <v>38</v>
      </c>
      <c r="BO47" s="87">
        <f t="shared" si="17"/>
        <v>3.7299999999999999E-5</v>
      </c>
      <c r="BP47" s="215">
        <f t="shared" si="18"/>
        <v>0</v>
      </c>
      <c r="BR47" s="126"/>
      <c r="BS47" s="126"/>
      <c r="BU47" s="178"/>
      <c r="BV47" s="179" t="str">
        <f t="shared" si="28"/>
        <v/>
      </c>
      <c r="BW47" s="179" t="str">
        <f t="shared" si="29"/>
        <v/>
      </c>
      <c r="BX47" s="179" t="str">
        <f t="shared" si="30"/>
        <v/>
      </c>
      <c r="BY47" s="179" t="str">
        <f t="shared" si="31"/>
        <v/>
      </c>
      <c r="BZ47" s="179" t="str">
        <f t="shared" si="32"/>
        <v/>
      </c>
      <c r="CA47" s="179" t="str">
        <f t="shared" si="33"/>
        <v/>
      </c>
      <c r="CB47" s="179" t="str">
        <f t="shared" si="34"/>
        <v/>
      </c>
      <c r="CC47" s="179" t="str">
        <f t="shared" si="35"/>
        <v/>
      </c>
      <c r="CD47" s="179" t="str">
        <f t="shared" si="36"/>
        <v/>
      </c>
      <c r="CE47" s="179" t="str">
        <f t="shared" si="37"/>
        <v/>
      </c>
      <c r="CF47" s="179" t="str">
        <f t="shared" si="38"/>
        <v/>
      </c>
      <c r="CG47" s="179" t="str">
        <f t="shared" si="39"/>
        <v/>
      </c>
      <c r="CH47" s="166"/>
      <c r="CI47" s="166"/>
      <c r="CJ47" s="166"/>
      <c r="CK47" s="166"/>
      <c r="CL47" s="166"/>
    </row>
    <row r="48" spans="1:90" ht="14.25" customHeight="1" thickBot="1" x14ac:dyDescent="0.3">
      <c r="A48" s="213">
        <v>38</v>
      </c>
      <c r="B48" s="88"/>
      <c r="C48" s="201"/>
      <c r="D48" s="94"/>
      <c r="E48" s="321" t="s">
        <v>93</v>
      </c>
      <c r="F48" s="96"/>
      <c r="G48" s="100"/>
      <c r="H48" s="100"/>
      <c r="I48" s="100"/>
      <c r="J48" s="100"/>
      <c r="K48" s="100"/>
      <c r="L48" s="100"/>
      <c r="M48" s="210"/>
      <c r="N48" s="234">
        <f t="shared" si="66"/>
        <v>0</v>
      </c>
      <c r="O48" s="308"/>
      <c r="P48" s="343"/>
      <c r="Q48" s="309"/>
      <c r="R48" s="324" t="s">
        <v>67</v>
      </c>
      <c r="S48" s="96"/>
      <c r="T48" s="100"/>
      <c r="U48" s="100"/>
      <c r="V48" s="100"/>
      <c r="W48" s="100"/>
      <c r="X48" s="100"/>
      <c r="Y48" s="97"/>
      <c r="Z48" s="210"/>
      <c r="AA48" s="234">
        <f t="shared" si="67"/>
        <v>0</v>
      </c>
      <c r="AB48" s="314">
        <f t="shared" si="68"/>
        <v>0</v>
      </c>
      <c r="AC48" s="314"/>
      <c r="AD48" s="314">
        <f t="shared" si="21"/>
        <v>0</v>
      </c>
      <c r="AE48" s="324" t="s">
        <v>87</v>
      </c>
      <c r="AF48" s="82"/>
      <c r="AG48" s="337"/>
      <c r="AH48" s="337"/>
      <c r="AI48" s="337"/>
      <c r="AJ48" s="337"/>
      <c r="AK48" s="337"/>
      <c r="AL48" s="338"/>
      <c r="AM48" s="354"/>
      <c r="AN48" s="91">
        <f t="shared" si="41"/>
        <v>0</v>
      </c>
      <c r="AO48" s="96">
        <f t="shared" si="23"/>
        <v>0</v>
      </c>
      <c r="AP48" s="210"/>
      <c r="AQ48" s="97">
        <f t="shared" si="24"/>
        <v>0</v>
      </c>
      <c r="AR48" s="105"/>
      <c r="AS48" s="102"/>
      <c r="AT48" s="237"/>
      <c r="AU48" s="231"/>
      <c r="AV48" s="93"/>
      <c r="AW48" s="231"/>
      <c r="AX48" s="93"/>
      <c r="AY48" s="231"/>
      <c r="AZ48" s="93"/>
      <c r="BA48" s="17">
        <f t="shared" si="10"/>
        <v>4.7999999999999998E-6</v>
      </c>
      <c r="BB48" s="17">
        <f t="shared" si="11"/>
        <v>0</v>
      </c>
      <c r="BC48" s="17"/>
      <c r="BD48" s="218">
        <v>39</v>
      </c>
      <c r="BE48" s="87">
        <f t="shared" si="12"/>
        <v>3.8899999999999997E-5</v>
      </c>
      <c r="BF48" s="215">
        <f t="shared" si="13"/>
        <v>0</v>
      </c>
      <c r="BG48" s="245">
        <f t="shared" si="14"/>
        <v>4.7999999999999998E-6</v>
      </c>
      <c r="BH48" s="17">
        <f t="shared" si="25"/>
        <v>0</v>
      </c>
      <c r="BI48" s="218">
        <v>39</v>
      </c>
      <c r="BJ48" s="87">
        <f t="shared" si="15"/>
        <v>3.7199999999999996E-5</v>
      </c>
      <c r="BK48" s="215">
        <f t="shared" si="16"/>
        <v>0</v>
      </c>
      <c r="BL48" s="245">
        <f t="shared" si="26"/>
        <v>4.7999999999999998E-6</v>
      </c>
      <c r="BM48" s="17">
        <f t="shared" si="27"/>
        <v>0</v>
      </c>
      <c r="BN48" s="218">
        <v>39</v>
      </c>
      <c r="BO48" s="87">
        <f t="shared" si="17"/>
        <v>3.7199999999999996E-5</v>
      </c>
      <c r="BP48" s="215">
        <f t="shared" si="18"/>
        <v>0</v>
      </c>
      <c r="BR48" s="126"/>
      <c r="BS48" s="126"/>
      <c r="BU48" s="178"/>
      <c r="BV48" s="179" t="str">
        <f t="shared" si="28"/>
        <v/>
      </c>
      <c r="BW48" s="179" t="str">
        <f t="shared" si="29"/>
        <v/>
      </c>
      <c r="BX48" s="179" t="str">
        <f t="shared" si="30"/>
        <v/>
      </c>
      <c r="BY48" s="179" t="str">
        <f t="shared" si="31"/>
        <v/>
      </c>
      <c r="BZ48" s="179" t="str">
        <f t="shared" si="32"/>
        <v/>
      </c>
      <c r="CA48" s="179" t="str">
        <f t="shared" si="33"/>
        <v/>
      </c>
      <c r="CB48" s="179" t="str">
        <f t="shared" si="34"/>
        <v/>
      </c>
      <c r="CC48" s="179" t="str">
        <f t="shared" si="35"/>
        <v/>
      </c>
      <c r="CD48" s="179" t="str">
        <f t="shared" si="36"/>
        <v/>
      </c>
      <c r="CE48" s="179" t="str">
        <f t="shared" si="37"/>
        <v/>
      </c>
      <c r="CF48" s="179" t="str">
        <f t="shared" si="38"/>
        <v/>
      </c>
      <c r="CG48" s="179" t="str">
        <f t="shared" si="39"/>
        <v/>
      </c>
      <c r="CH48" s="166"/>
      <c r="CI48" s="166"/>
      <c r="CJ48" s="166"/>
      <c r="CK48" s="166"/>
      <c r="CL48" s="166"/>
    </row>
    <row r="49" spans="1:90" ht="14.25" customHeight="1" x14ac:dyDescent="0.25">
      <c r="A49" s="211">
        <v>39</v>
      </c>
      <c r="B49" s="89"/>
      <c r="C49" s="199"/>
      <c r="D49" s="146"/>
      <c r="E49" s="319" t="s">
        <v>93</v>
      </c>
      <c r="F49" s="221"/>
      <c r="G49" s="222"/>
      <c r="H49" s="222"/>
      <c r="I49" s="222"/>
      <c r="J49" s="222"/>
      <c r="K49" s="222"/>
      <c r="L49" s="222"/>
      <c r="M49" s="331"/>
      <c r="N49" s="303">
        <f t="shared" si="66"/>
        <v>0</v>
      </c>
      <c r="O49" s="304"/>
      <c r="P49" s="341"/>
      <c r="Q49" s="305"/>
      <c r="R49" s="322" t="s">
        <v>67</v>
      </c>
      <c r="S49" s="326"/>
      <c r="T49" s="327"/>
      <c r="U49" s="327"/>
      <c r="V49" s="327"/>
      <c r="W49" s="327"/>
      <c r="X49" s="327"/>
      <c r="Y49" s="95"/>
      <c r="Z49" s="331"/>
      <c r="AA49" s="303">
        <f t="shared" si="67"/>
        <v>0</v>
      </c>
      <c r="AB49" s="314">
        <f t="shared" si="68"/>
        <v>0</v>
      </c>
      <c r="AC49" s="314"/>
      <c r="AD49" s="314">
        <f t="shared" si="21"/>
        <v>0</v>
      </c>
      <c r="AE49" s="325" t="s">
        <v>148</v>
      </c>
      <c r="AF49" s="15"/>
      <c r="AG49" s="232"/>
      <c r="AH49" s="232"/>
      <c r="AI49" s="232"/>
      <c r="AJ49" s="232"/>
      <c r="AK49" s="232"/>
      <c r="AL49" s="7"/>
      <c r="AM49" s="352"/>
      <c r="AN49" s="22">
        <f t="shared" si="41"/>
        <v>0</v>
      </c>
      <c r="AO49" s="15">
        <f t="shared" si="23"/>
        <v>0</v>
      </c>
      <c r="AP49" s="345"/>
      <c r="AQ49" s="7">
        <f t="shared" si="24"/>
        <v>0</v>
      </c>
      <c r="AR49" s="103"/>
      <c r="AS49" s="101"/>
      <c r="AT49" s="236"/>
      <c r="AU49" s="235"/>
      <c r="AV49" s="92"/>
      <c r="AW49" s="235"/>
      <c r="AX49" s="92"/>
      <c r="AY49" s="235"/>
      <c r="AZ49" s="92"/>
      <c r="BA49" s="17">
        <f t="shared" si="10"/>
        <v>4.8999999999999997E-6</v>
      </c>
      <c r="BB49" s="17">
        <f t="shared" si="11"/>
        <v>0</v>
      </c>
      <c r="BC49" s="17"/>
      <c r="BD49" s="218">
        <v>40</v>
      </c>
      <c r="BE49" s="87">
        <f t="shared" si="12"/>
        <v>3.8800000000000001E-5</v>
      </c>
      <c r="BF49" s="215">
        <f t="shared" si="13"/>
        <v>0</v>
      </c>
      <c r="BG49" s="245">
        <f t="shared" si="14"/>
        <v>4.8999999999999997E-6</v>
      </c>
      <c r="BH49" s="17">
        <f t="shared" si="25"/>
        <v>0</v>
      </c>
      <c r="BI49" s="218">
        <v>40</v>
      </c>
      <c r="BJ49" s="87">
        <f t="shared" si="15"/>
        <v>3.7100000000000001E-5</v>
      </c>
      <c r="BK49" s="215">
        <f t="shared" si="16"/>
        <v>0</v>
      </c>
      <c r="BL49" s="245">
        <f t="shared" si="26"/>
        <v>4.8999999999999997E-6</v>
      </c>
      <c r="BM49" s="17">
        <f t="shared" si="27"/>
        <v>0</v>
      </c>
      <c r="BN49" s="218">
        <v>40</v>
      </c>
      <c r="BO49" s="87">
        <f t="shared" si="17"/>
        <v>3.7100000000000001E-5</v>
      </c>
      <c r="BP49" s="215">
        <f t="shared" si="18"/>
        <v>0</v>
      </c>
      <c r="BR49" s="126"/>
      <c r="BS49" s="126"/>
      <c r="BU49" s="178"/>
      <c r="BV49" s="179" t="str">
        <f t="shared" si="28"/>
        <v/>
      </c>
      <c r="BW49" s="179" t="str">
        <f t="shared" si="29"/>
        <v/>
      </c>
      <c r="BX49" s="179" t="str">
        <f t="shared" si="30"/>
        <v/>
      </c>
      <c r="BY49" s="179" t="str">
        <f t="shared" si="31"/>
        <v/>
      </c>
      <c r="BZ49" s="179" t="str">
        <f t="shared" si="32"/>
        <v/>
      </c>
      <c r="CA49" s="179" t="str">
        <f t="shared" si="33"/>
        <v/>
      </c>
      <c r="CB49" s="179" t="str">
        <f t="shared" si="34"/>
        <v/>
      </c>
      <c r="CC49" s="179" t="str">
        <f t="shared" si="35"/>
        <v/>
      </c>
      <c r="CD49" s="179" t="str">
        <f t="shared" si="36"/>
        <v/>
      </c>
      <c r="CE49" s="179" t="str">
        <f t="shared" si="37"/>
        <v/>
      </c>
      <c r="CF49" s="179" t="str">
        <f t="shared" si="38"/>
        <v/>
      </c>
      <c r="CG49" s="179" t="str">
        <f t="shared" si="39"/>
        <v/>
      </c>
      <c r="CH49" s="166"/>
      <c r="CI49" s="166"/>
      <c r="CJ49" s="166"/>
      <c r="CK49" s="166"/>
      <c r="CL49" s="166"/>
    </row>
    <row r="50" spans="1:90" ht="14.25" customHeight="1" thickBot="1" x14ac:dyDescent="0.3">
      <c r="A50" s="213">
        <v>40</v>
      </c>
      <c r="B50" s="219"/>
      <c r="C50" s="200"/>
      <c r="D50" s="145"/>
      <c r="E50" s="320" t="s">
        <v>93</v>
      </c>
      <c r="F50" s="209"/>
      <c r="G50" s="313"/>
      <c r="H50" s="313"/>
      <c r="I50" s="313"/>
      <c r="J50" s="313"/>
      <c r="K50" s="313"/>
      <c r="L50" s="313"/>
      <c r="M50" s="339"/>
      <c r="N50" s="233">
        <f t="shared" si="66"/>
        <v>0</v>
      </c>
      <c r="O50" s="306"/>
      <c r="P50" s="342"/>
      <c r="Q50" s="307"/>
      <c r="R50" s="323" t="s">
        <v>67</v>
      </c>
      <c r="S50" s="209"/>
      <c r="T50" s="313"/>
      <c r="U50" s="313"/>
      <c r="V50" s="313"/>
      <c r="W50" s="313"/>
      <c r="X50" s="313"/>
      <c r="Y50" s="125"/>
      <c r="Z50" s="339"/>
      <c r="AA50" s="233">
        <f t="shared" si="67"/>
        <v>0</v>
      </c>
      <c r="AB50" s="314">
        <f t="shared" si="68"/>
        <v>0</v>
      </c>
      <c r="AC50" s="314"/>
      <c r="AD50" s="314">
        <f t="shared" si="21"/>
        <v>0</v>
      </c>
      <c r="AE50" s="323" t="s">
        <v>87</v>
      </c>
      <c r="AF50" s="81"/>
      <c r="AG50" s="335"/>
      <c r="AH50" s="335"/>
      <c r="AI50" s="335"/>
      <c r="AJ50" s="335"/>
      <c r="AK50" s="335"/>
      <c r="AL50" s="336"/>
      <c r="AM50" s="353"/>
      <c r="AN50" s="22">
        <f t="shared" si="41"/>
        <v>0</v>
      </c>
      <c r="AO50" s="209">
        <f t="shared" si="23"/>
        <v>0</v>
      </c>
      <c r="AP50" s="339"/>
      <c r="AQ50" s="125">
        <f t="shared" si="24"/>
        <v>0</v>
      </c>
      <c r="AR50" s="104"/>
      <c r="AS50" s="217"/>
      <c r="AT50" s="216"/>
      <c r="AU50" s="230"/>
      <c r="AV50" s="220"/>
      <c r="AW50" s="230"/>
      <c r="AX50" s="220"/>
      <c r="AY50" s="230"/>
      <c r="AZ50" s="220"/>
      <c r="BA50" s="17">
        <f t="shared" si="10"/>
        <v>4.9999999999999996E-6</v>
      </c>
      <c r="BB50" s="17">
        <f t="shared" si="11"/>
        <v>0</v>
      </c>
      <c r="BC50" s="17"/>
      <c r="BD50" s="218">
        <v>41</v>
      </c>
      <c r="BE50" s="87">
        <f t="shared" si="12"/>
        <v>3.8699999999999999E-5</v>
      </c>
      <c r="BF50" s="215">
        <f t="shared" si="13"/>
        <v>0</v>
      </c>
      <c r="BG50" s="245">
        <f t="shared" si="14"/>
        <v>4.9999999999999996E-6</v>
      </c>
      <c r="BH50" s="17">
        <f t="shared" si="25"/>
        <v>0</v>
      </c>
      <c r="BI50" s="218">
        <v>41</v>
      </c>
      <c r="BJ50" s="87">
        <f t="shared" si="15"/>
        <v>3.6999999999999998E-5</v>
      </c>
      <c r="BK50" s="215">
        <f t="shared" si="16"/>
        <v>0</v>
      </c>
      <c r="BL50" s="245">
        <f t="shared" si="26"/>
        <v>4.9999999999999996E-6</v>
      </c>
      <c r="BM50" s="17">
        <f t="shared" si="27"/>
        <v>0</v>
      </c>
      <c r="BN50" s="218">
        <v>41</v>
      </c>
      <c r="BO50" s="87">
        <f t="shared" si="17"/>
        <v>3.6999999999999998E-5</v>
      </c>
      <c r="BP50" s="215">
        <f t="shared" si="18"/>
        <v>0</v>
      </c>
      <c r="BR50" s="126"/>
      <c r="BS50" s="126"/>
      <c r="BU50" s="178"/>
      <c r="BV50" s="179" t="str">
        <f t="shared" si="28"/>
        <v/>
      </c>
      <c r="BW50" s="179" t="str">
        <f t="shared" si="29"/>
        <v/>
      </c>
      <c r="BX50" s="179" t="str">
        <f t="shared" si="30"/>
        <v/>
      </c>
      <c r="BY50" s="179" t="str">
        <f t="shared" si="31"/>
        <v/>
      </c>
      <c r="BZ50" s="179" t="str">
        <f t="shared" si="32"/>
        <v/>
      </c>
      <c r="CA50" s="179" t="str">
        <f t="shared" si="33"/>
        <v/>
      </c>
      <c r="CB50" s="179" t="str">
        <f t="shared" si="34"/>
        <v/>
      </c>
      <c r="CC50" s="179" t="str">
        <f t="shared" si="35"/>
        <v/>
      </c>
      <c r="CD50" s="179" t="str">
        <f t="shared" si="36"/>
        <v/>
      </c>
      <c r="CE50" s="179" t="str">
        <f t="shared" si="37"/>
        <v/>
      </c>
      <c r="CF50" s="179" t="str">
        <f t="shared" si="38"/>
        <v/>
      </c>
      <c r="CG50" s="179" t="str">
        <f t="shared" si="39"/>
        <v/>
      </c>
      <c r="CH50" s="166"/>
      <c r="CI50" s="166"/>
      <c r="CJ50" s="166"/>
      <c r="CK50" s="166"/>
      <c r="CL50" s="166"/>
    </row>
    <row r="51" spans="1:90" ht="14.25" customHeight="1" thickBot="1" x14ac:dyDescent="0.3">
      <c r="A51" s="211">
        <v>41</v>
      </c>
      <c r="B51" s="88"/>
      <c r="C51" s="201"/>
      <c r="D51" s="94"/>
      <c r="E51" s="321" t="s">
        <v>93</v>
      </c>
      <c r="F51" s="96"/>
      <c r="G51" s="100"/>
      <c r="H51" s="100"/>
      <c r="I51" s="100"/>
      <c r="J51" s="100"/>
      <c r="K51" s="100"/>
      <c r="L51" s="100"/>
      <c r="M51" s="210"/>
      <c r="N51" s="234">
        <f t="shared" si="66"/>
        <v>0</v>
      </c>
      <c r="O51" s="308"/>
      <c r="P51" s="343"/>
      <c r="Q51" s="309"/>
      <c r="R51" s="324" t="s">
        <v>67</v>
      </c>
      <c r="S51" s="96"/>
      <c r="T51" s="100"/>
      <c r="U51" s="100"/>
      <c r="V51" s="100"/>
      <c r="W51" s="100"/>
      <c r="X51" s="100"/>
      <c r="Y51" s="97"/>
      <c r="Z51" s="210"/>
      <c r="AA51" s="234">
        <f t="shared" si="67"/>
        <v>0</v>
      </c>
      <c r="AB51" s="314">
        <f t="shared" si="68"/>
        <v>0</v>
      </c>
      <c r="AC51" s="314"/>
      <c r="AD51" s="314">
        <f t="shared" si="21"/>
        <v>0</v>
      </c>
      <c r="AE51" s="324" t="s">
        <v>87</v>
      </c>
      <c r="AF51" s="82"/>
      <c r="AG51" s="337"/>
      <c r="AH51" s="337"/>
      <c r="AI51" s="337"/>
      <c r="AJ51" s="337"/>
      <c r="AK51" s="337"/>
      <c r="AL51" s="338"/>
      <c r="AM51" s="354"/>
      <c r="AN51" s="91">
        <f t="shared" si="41"/>
        <v>0</v>
      </c>
      <c r="AO51" s="96">
        <f t="shared" si="23"/>
        <v>0</v>
      </c>
      <c r="AP51" s="210"/>
      <c r="AQ51" s="97">
        <f t="shared" si="24"/>
        <v>0</v>
      </c>
      <c r="AR51" s="105"/>
      <c r="AS51" s="102"/>
      <c r="AT51" s="237"/>
      <c r="AU51" s="231"/>
      <c r="AV51" s="93"/>
      <c r="AW51" s="231"/>
      <c r="AX51" s="93"/>
      <c r="AY51" s="231"/>
      <c r="AZ51" s="93"/>
      <c r="BA51" s="17">
        <f t="shared" si="10"/>
        <v>5.0999999999999995E-6</v>
      </c>
      <c r="BB51" s="17">
        <f t="shared" si="11"/>
        <v>0</v>
      </c>
      <c r="BC51" s="17"/>
      <c r="BD51" s="218">
        <v>42</v>
      </c>
      <c r="BE51" s="87">
        <f t="shared" si="12"/>
        <v>3.8599999999999996E-5</v>
      </c>
      <c r="BF51" s="215">
        <f t="shared" si="13"/>
        <v>0</v>
      </c>
      <c r="BG51" s="245">
        <f t="shared" si="14"/>
        <v>5.0999999999999995E-6</v>
      </c>
      <c r="BH51" s="17">
        <f t="shared" si="25"/>
        <v>0</v>
      </c>
      <c r="BI51" s="218">
        <v>42</v>
      </c>
      <c r="BJ51" s="87">
        <f t="shared" si="15"/>
        <v>3.6899999999999996E-5</v>
      </c>
      <c r="BK51" s="215">
        <f t="shared" si="16"/>
        <v>0</v>
      </c>
      <c r="BL51" s="245">
        <f t="shared" si="26"/>
        <v>5.0999999999999995E-6</v>
      </c>
      <c r="BM51" s="17">
        <f t="shared" si="27"/>
        <v>0</v>
      </c>
      <c r="BN51" s="218">
        <v>42</v>
      </c>
      <c r="BO51" s="87">
        <f t="shared" si="17"/>
        <v>3.6899999999999996E-5</v>
      </c>
      <c r="BP51" s="215">
        <f t="shared" si="18"/>
        <v>0</v>
      </c>
      <c r="BR51" s="126"/>
      <c r="BS51" s="126"/>
      <c r="BU51" s="178"/>
      <c r="BV51" s="179" t="str">
        <f t="shared" si="28"/>
        <v/>
      </c>
      <c r="BW51" s="179" t="str">
        <f t="shared" si="29"/>
        <v/>
      </c>
      <c r="BX51" s="179" t="str">
        <f t="shared" si="30"/>
        <v/>
      </c>
      <c r="BY51" s="179" t="str">
        <f t="shared" si="31"/>
        <v/>
      </c>
      <c r="BZ51" s="179" t="str">
        <f t="shared" si="32"/>
        <v/>
      </c>
      <c r="CA51" s="179" t="str">
        <f t="shared" si="33"/>
        <v/>
      </c>
      <c r="CB51" s="179" t="str">
        <f t="shared" si="34"/>
        <v/>
      </c>
      <c r="CC51" s="179" t="str">
        <f t="shared" si="35"/>
        <v/>
      </c>
      <c r="CD51" s="179" t="str">
        <f t="shared" si="36"/>
        <v/>
      </c>
      <c r="CE51" s="179" t="str">
        <f t="shared" si="37"/>
        <v/>
      </c>
      <c r="CF51" s="179" t="str">
        <f t="shared" si="38"/>
        <v/>
      </c>
      <c r="CG51" s="179" t="str">
        <f t="shared" si="39"/>
        <v/>
      </c>
      <c r="CH51" s="166"/>
      <c r="CI51" s="166"/>
      <c r="CJ51" s="166"/>
      <c r="CK51" s="166"/>
      <c r="CL51" s="166"/>
    </row>
    <row r="52" spans="1:90" ht="14.25" customHeight="1" thickBot="1" x14ac:dyDescent="0.3">
      <c r="A52" s="213">
        <v>42</v>
      </c>
      <c r="B52" s="89"/>
      <c r="C52" s="199"/>
      <c r="D52" s="146"/>
      <c r="E52" s="319" t="s">
        <v>93</v>
      </c>
      <c r="F52" s="221"/>
      <c r="G52" s="222"/>
      <c r="H52" s="222"/>
      <c r="I52" s="222"/>
      <c r="J52" s="222"/>
      <c r="K52" s="222"/>
      <c r="L52" s="222"/>
      <c r="M52" s="331"/>
      <c r="N52" s="303">
        <f t="shared" si="66"/>
        <v>0</v>
      </c>
      <c r="O52" s="304"/>
      <c r="P52" s="341"/>
      <c r="Q52" s="305"/>
      <c r="R52" s="322" t="s">
        <v>67</v>
      </c>
      <c r="S52" s="326"/>
      <c r="T52" s="327"/>
      <c r="U52" s="327"/>
      <c r="V52" s="327"/>
      <c r="W52" s="327"/>
      <c r="X52" s="327"/>
      <c r="Y52" s="95"/>
      <c r="Z52" s="331"/>
      <c r="AA52" s="303">
        <f t="shared" si="67"/>
        <v>0</v>
      </c>
      <c r="AB52" s="314">
        <f t="shared" si="68"/>
        <v>0</v>
      </c>
      <c r="AC52" s="314"/>
      <c r="AD52" s="314">
        <f t="shared" si="21"/>
        <v>0</v>
      </c>
      <c r="AE52" s="325" t="s">
        <v>148</v>
      </c>
      <c r="AF52" s="15"/>
      <c r="AG52" s="232"/>
      <c r="AH52" s="232"/>
      <c r="AI52" s="232"/>
      <c r="AJ52" s="232"/>
      <c r="AK52" s="232"/>
      <c r="AL52" s="7"/>
      <c r="AM52" s="352"/>
      <c r="AN52" s="22">
        <f t="shared" si="41"/>
        <v>0</v>
      </c>
      <c r="AO52" s="15">
        <f t="shared" si="23"/>
        <v>0</v>
      </c>
      <c r="AP52" s="345"/>
      <c r="AQ52" s="7">
        <f t="shared" si="24"/>
        <v>0</v>
      </c>
      <c r="AR52" s="103"/>
      <c r="AS52" s="101"/>
      <c r="AT52" s="236"/>
      <c r="AU52" s="235"/>
      <c r="AV52" s="92"/>
      <c r="AW52" s="235"/>
      <c r="AX52" s="92"/>
      <c r="AY52" s="235"/>
      <c r="AZ52" s="92"/>
      <c r="BA52" s="17">
        <f t="shared" si="10"/>
        <v>5.1999999999999993E-6</v>
      </c>
      <c r="BB52" s="17">
        <f t="shared" si="11"/>
        <v>0</v>
      </c>
      <c r="BC52" s="17"/>
      <c r="BD52" s="218">
        <v>43</v>
      </c>
      <c r="BE52" s="87">
        <f t="shared" si="12"/>
        <v>3.8500000000000001E-5</v>
      </c>
      <c r="BF52" s="215">
        <f t="shared" si="13"/>
        <v>0</v>
      </c>
      <c r="BG52" s="245">
        <f t="shared" si="14"/>
        <v>5.1999999999999993E-6</v>
      </c>
      <c r="BH52" s="17">
        <f t="shared" si="25"/>
        <v>0</v>
      </c>
      <c r="BI52" s="218">
        <v>43</v>
      </c>
      <c r="BJ52" s="87">
        <f t="shared" si="15"/>
        <v>3.68E-5</v>
      </c>
      <c r="BK52" s="215">
        <f t="shared" si="16"/>
        <v>0</v>
      </c>
      <c r="BL52" s="245">
        <f t="shared" si="26"/>
        <v>5.1999999999999993E-6</v>
      </c>
      <c r="BM52" s="17">
        <f t="shared" si="27"/>
        <v>0</v>
      </c>
      <c r="BN52" s="218">
        <v>43</v>
      </c>
      <c r="BO52" s="87">
        <f t="shared" si="17"/>
        <v>3.68E-5</v>
      </c>
      <c r="BP52" s="215">
        <f t="shared" si="18"/>
        <v>0</v>
      </c>
      <c r="BR52" s="126"/>
      <c r="BS52" s="126"/>
      <c r="BU52" s="178"/>
      <c r="BV52" s="179" t="str">
        <f t="shared" si="28"/>
        <v/>
      </c>
      <c r="BW52" s="179" t="str">
        <f t="shared" si="29"/>
        <v/>
      </c>
      <c r="BX52" s="179" t="str">
        <f t="shared" si="30"/>
        <v/>
      </c>
      <c r="BY52" s="179" t="str">
        <f t="shared" si="31"/>
        <v/>
      </c>
      <c r="BZ52" s="179" t="str">
        <f t="shared" si="32"/>
        <v/>
      </c>
      <c r="CA52" s="179" t="str">
        <f t="shared" si="33"/>
        <v/>
      </c>
      <c r="CB52" s="179" t="str">
        <f t="shared" si="34"/>
        <v/>
      </c>
      <c r="CC52" s="179" t="str">
        <f t="shared" si="35"/>
        <v/>
      </c>
      <c r="CD52" s="179" t="str">
        <f t="shared" si="36"/>
        <v/>
      </c>
      <c r="CE52" s="179" t="str">
        <f t="shared" si="37"/>
        <v/>
      </c>
      <c r="CF52" s="179" t="str">
        <f t="shared" si="38"/>
        <v/>
      </c>
      <c r="CG52" s="179" t="str">
        <f t="shared" si="39"/>
        <v/>
      </c>
      <c r="CH52" s="166"/>
      <c r="CI52" s="166"/>
      <c r="CJ52" s="166"/>
      <c r="CK52" s="166"/>
      <c r="CL52" s="166"/>
    </row>
    <row r="53" spans="1:90" ht="14.25" customHeight="1" x14ac:dyDescent="0.25">
      <c r="A53" s="211">
        <v>43</v>
      </c>
      <c r="B53" s="219"/>
      <c r="C53" s="200"/>
      <c r="D53" s="145"/>
      <c r="E53" s="320" t="s">
        <v>93</v>
      </c>
      <c r="F53" s="209"/>
      <c r="G53" s="313"/>
      <c r="H53" s="313"/>
      <c r="I53" s="313"/>
      <c r="J53" s="313"/>
      <c r="K53" s="313"/>
      <c r="L53" s="313"/>
      <c r="M53" s="339"/>
      <c r="N53" s="233">
        <f t="shared" si="66"/>
        <v>0</v>
      </c>
      <c r="O53" s="306"/>
      <c r="P53" s="342"/>
      <c r="Q53" s="307"/>
      <c r="R53" s="323" t="s">
        <v>67</v>
      </c>
      <c r="S53" s="209"/>
      <c r="T53" s="313"/>
      <c r="U53" s="313"/>
      <c r="V53" s="313"/>
      <c r="W53" s="313"/>
      <c r="X53" s="313"/>
      <c r="Y53" s="125"/>
      <c r="Z53" s="339"/>
      <c r="AA53" s="233">
        <f t="shared" si="67"/>
        <v>0</v>
      </c>
      <c r="AB53" s="314">
        <f t="shared" si="68"/>
        <v>0</v>
      </c>
      <c r="AC53" s="314"/>
      <c r="AD53" s="314">
        <f t="shared" si="21"/>
        <v>0</v>
      </c>
      <c r="AE53" s="323" t="s">
        <v>87</v>
      </c>
      <c r="AF53" s="81"/>
      <c r="AG53" s="335"/>
      <c r="AH53" s="335"/>
      <c r="AI53" s="335"/>
      <c r="AJ53" s="335"/>
      <c r="AK53" s="335"/>
      <c r="AL53" s="336"/>
      <c r="AM53" s="353"/>
      <c r="AN53" s="22">
        <f t="shared" si="41"/>
        <v>0</v>
      </c>
      <c r="AO53" s="209">
        <f t="shared" si="23"/>
        <v>0</v>
      </c>
      <c r="AP53" s="339"/>
      <c r="AQ53" s="125">
        <f t="shared" si="24"/>
        <v>0</v>
      </c>
      <c r="AR53" s="104"/>
      <c r="AS53" s="217"/>
      <c r="AT53" s="216"/>
      <c r="AU53" s="230"/>
      <c r="AV53" s="220"/>
      <c r="AW53" s="230"/>
      <c r="AX53" s="220"/>
      <c r="AY53" s="230"/>
      <c r="AZ53" s="220"/>
      <c r="BA53" s="17">
        <f t="shared" si="10"/>
        <v>5.3000000000000001E-6</v>
      </c>
      <c r="BB53" s="17">
        <f t="shared" si="11"/>
        <v>0</v>
      </c>
      <c r="BC53" s="17"/>
      <c r="BD53" s="218">
        <v>44</v>
      </c>
      <c r="BE53" s="87">
        <f t="shared" si="12"/>
        <v>3.8399999999999998E-5</v>
      </c>
      <c r="BF53" s="215">
        <f t="shared" si="13"/>
        <v>0</v>
      </c>
      <c r="BG53" s="245">
        <f t="shared" si="14"/>
        <v>5.3000000000000001E-6</v>
      </c>
      <c r="BH53" s="17">
        <f t="shared" si="25"/>
        <v>0</v>
      </c>
      <c r="BI53" s="218">
        <v>44</v>
      </c>
      <c r="BJ53" s="87">
        <f t="shared" si="15"/>
        <v>3.6699999999999998E-5</v>
      </c>
      <c r="BK53" s="215">
        <f t="shared" si="16"/>
        <v>0</v>
      </c>
      <c r="BL53" s="245">
        <f t="shared" si="26"/>
        <v>5.3000000000000001E-6</v>
      </c>
      <c r="BM53" s="17">
        <f t="shared" si="27"/>
        <v>0</v>
      </c>
      <c r="BN53" s="218">
        <v>44</v>
      </c>
      <c r="BO53" s="87">
        <f t="shared" si="17"/>
        <v>3.6699999999999998E-5</v>
      </c>
      <c r="BP53" s="215">
        <f t="shared" si="18"/>
        <v>0</v>
      </c>
      <c r="BR53" s="126"/>
      <c r="BS53" s="126"/>
      <c r="BU53" s="178"/>
      <c r="BV53" s="179" t="str">
        <f t="shared" si="28"/>
        <v/>
      </c>
      <c r="BW53" s="179" t="str">
        <f t="shared" si="29"/>
        <v/>
      </c>
      <c r="BX53" s="179" t="str">
        <f t="shared" si="30"/>
        <v/>
      </c>
      <c r="BY53" s="179" t="str">
        <f t="shared" si="31"/>
        <v/>
      </c>
      <c r="BZ53" s="179" t="str">
        <f t="shared" si="32"/>
        <v/>
      </c>
      <c r="CA53" s="179" t="str">
        <f t="shared" si="33"/>
        <v/>
      </c>
      <c r="CB53" s="179" t="str">
        <f t="shared" si="34"/>
        <v/>
      </c>
      <c r="CC53" s="179" t="str">
        <f t="shared" si="35"/>
        <v/>
      </c>
      <c r="CD53" s="179" t="str">
        <f t="shared" si="36"/>
        <v/>
      </c>
      <c r="CE53" s="179" t="str">
        <f t="shared" si="37"/>
        <v/>
      </c>
      <c r="CF53" s="179" t="str">
        <f t="shared" si="38"/>
        <v/>
      </c>
      <c r="CG53" s="179" t="str">
        <f t="shared" si="39"/>
        <v/>
      </c>
      <c r="CH53" s="166"/>
      <c r="CI53" s="166"/>
      <c r="CJ53" s="166"/>
      <c r="CK53" s="166"/>
      <c r="CL53" s="166"/>
    </row>
    <row r="54" spans="1:90" ht="14.25" customHeight="1" thickBot="1" x14ac:dyDescent="0.3">
      <c r="A54" s="213">
        <v>44</v>
      </c>
      <c r="B54" s="88"/>
      <c r="C54" s="201"/>
      <c r="D54" s="94"/>
      <c r="E54" s="321" t="s">
        <v>93</v>
      </c>
      <c r="F54" s="96"/>
      <c r="G54" s="100"/>
      <c r="H54" s="100"/>
      <c r="I54" s="100"/>
      <c r="J54" s="100"/>
      <c r="K54" s="100"/>
      <c r="L54" s="100"/>
      <c r="M54" s="210"/>
      <c r="N54" s="234">
        <f t="shared" si="66"/>
        <v>0</v>
      </c>
      <c r="O54" s="308"/>
      <c r="P54" s="343"/>
      <c r="Q54" s="309"/>
      <c r="R54" s="324" t="s">
        <v>67</v>
      </c>
      <c r="S54" s="96"/>
      <c r="T54" s="100"/>
      <c r="U54" s="100"/>
      <c r="V54" s="100"/>
      <c r="W54" s="100"/>
      <c r="X54" s="100"/>
      <c r="Y54" s="97"/>
      <c r="Z54" s="210"/>
      <c r="AA54" s="234">
        <f t="shared" si="67"/>
        <v>0</v>
      </c>
      <c r="AB54" s="314">
        <f t="shared" si="68"/>
        <v>0</v>
      </c>
      <c r="AC54" s="314"/>
      <c r="AD54" s="314">
        <f t="shared" si="21"/>
        <v>0</v>
      </c>
      <c r="AE54" s="324" t="s">
        <v>87</v>
      </c>
      <c r="AF54" s="82"/>
      <c r="AG54" s="337"/>
      <c r="AH54" s="337"/>
      <c r="AI54" s="337"/>
      <c r="AJ54" s="337"/>
      <c r="AK54" s="337"/>
      <c r="AL54" s="338"/>
      <c r="AM54" s="354"/>
      <c r="AN54" s="91">
        <f t="shared" si="41"/>
        <v>0</v>
      </c>
      <c r="AO54" s="96">
        <f t="shared" si="23"/>
        <v>0</v>
      </c>
      <c r="AP54" s="210"/>
      <c r="AQ54" s="97">
        <f t="shared" si="24"/>
        <v>0</v>
      </c>
      <c r="AR54" s="105"/>
      <c r="AS54" s="102"/>
      <c r="AT54" s="237"/>
      <c r="AU54" s="231"/>
      <c r="AV54" s="93"/>
      <c r="AW54" s="231"/>
      <c r="AX54" s="93"/>
      <c r="AY54" s="231"/>
      <c r="AZ54" s="93"/>
      <c r="BA54" s="17">
        <f t="shared" si="10"/>
        <v>5.4E-6</v>
      </c>
      <c r="BB54" s="17">
        <f t="shared" si="11"/>
        <v>0</v>
      </c>
      <c r="BC54" s="17"/>
      <c r="BD54" s="218">
        <v>45</v>
      </c>
      <c r="BE54" s="87">
        <f t="shared" si="12"/>
        <v>3.8299999999999996E-5</v>
      </c>
      <c r="BF54" s="215">
        <f t="shared" si="13"/>
        <v>0</v>
      </c>
      <c r="BG54" s="245">
        <f t="shared" si="14"/>
        <v>5.4E-6</v>
      </c>
      <c r="BH54" s="17">
        <f t="shared" si="25"/>
        <v>0</v>
      </c>
      <c r="BI54" s="218">
        <v>45</v>
      </c>
      <c r="BJ54" s="87">
        <f t="shared" si="15"/>
        <v>3.6599999999999995E-5</v>
      </c>
      <c r="BK54" s="215">
        <f t="shared" si="16"/>
        <v>0</v>
      </c>
      <c r="BL54" s="245">
        <f t="shared" si="26"/>
        <v>5.4E-6</v>
      </c>
      <c r="BM54" s="17">
        <f t="shared" si="27"/>
        <v>0</v>
      </c>
      <c r="BN54" s="218">
        <v>45</v>
      </c>
      <c r="BO54" s="87">
        <f t="shared" si="17"/>
        <v>3.6599999999999995E-5</v>
      </c>
      <c r="BP54" s="215">
        <f t="shared" si="18"/>
        <v>0</v>
      </c>
      <c r="BR54" s="126"/>
      <c r="BS54" s="126"/>
      <c r="BU54" s="178"/>
      <c r="BV54" s="179" t="str">
        <f t="shared" si="28"/>
        <v/>
      </c>
      <c r="BW54" s="179" t="str">
        <f t="shared" si="29"/>
        <v/>
      </c>
      <c r="BX54" s="179" t="str">
        <f t="shared" si="30"/>
        <v/>
      </c>
      <c r="BY54" s="179" t="str">
        <f t="shared" si="31"/>
        <v/>
      </c>
      <c r="BZ54" s="179" t="str">
        <f t="shared" si="32"/>
        <v/>
      </c>
      <c r="CA54" s="179" t="str">
        <f t="shared" si="33"/>
        <v/>
      </c>
      <c r="CB54" s="179" t="str">
        <f t="shared" si="34"/>
        <v/>
      </c>
      <c r="CC54" s="179" t="str">
        <f t="shared" si="35"/>
        <v/>
      </c>
      <c r="CD54" s="179" t="str">
        <f t="shared" si="36"/>
        <v/>
      </c>
      <c r="CE54" s="179" t="str">
        <f t="shared" si="37"/>
        <v/>
      </c>
      <c r="CF54" s="179" t="str">
        <f t="shared" si="38"/>
        <v/>
      </c>
      <c r="CG54" s="179" t="str">
        <f t="shared" si="39"/>
        <v/>
      </c>
      <c r="CH54" s="166"/>
      <c r="CI54" s="166"/>
      <c r="CJ54" s="166"/>
      <c r="CK54" s="166"/>
      <c r="CL54" s="166"/>
    </row>
    <row r="55" spans="1:90" ht="14.25" customHeight="1" x14ac:dyDescent="0.25">
      <c r="A55" s="211">
        <v>45</v>
      </c>
      <c r="B55" s="89"/>
      <c r="C55" s="199"/>
      <c r="D55" s="146"/>
      <c r="E55" s="319" t="s">
        <v>93</v>
      </c>
      <c r="F55" s="221"/>
      <c r="G55" s="222"/>
      <c r="H55" s="222"/>
      <c r="I55" s="222"/>
      <c r="J55" s="222"/>
      <c r="K55" s="222"/>
      <c r="L55" s="222"/>
      <c r="M55" s="331"/>
      <c r="N55" s="303">
        <f t="shared" si="66"/>
        <v>0</v>
      </c>
      <c r="O55" s="304"/>
      <c r="P55" s="341"/>
      <c r="Q55" s="305"/>
      <c r="R55" s="322" t="s">
        <v>67</v>
      </c>
      <c r="S55" s="326"/>
      <c r="T55" s="327"/>
      <c r="U55" s="327"/>
      <c r="V55" s="327"/>
      <c r="W55" s="327"/>
      <c r="X55" s="327"/>
      <c r="Y55" s="95"/>
      <c r="Z55" s="331"/>
      <c r="AA55" s="303">
        <f t="shared" si="67"/>
        <v>0</v>
      </c>
      <c r="AB55" s="314">
        <f t="shared" si="68"/>
        <v>0</v>
      </c>
      <c r="AC55" s="314"/>
      <c r="AD55" s="314">
        <f t="shared" si="21"/>
        <v>0</v>
      </c>
      <c r="AE55" s="325" t="s">
        <v>148</v>
      </c>
      <c r="AF55" s="15"/>
      <c r="AG55" s="232"/>
      <c r="AH55" s="232"/>
      <c r="AI55" s="232"/>
      <c r="AJ55" s="232"/>
      <c r="AK55" s="232"/>
      <c r="AL55" s="7"/>
      <c r="AM55" s="352"/>
      <c r="AN55" s="22">
        <f t="shared" si="41"/>
        <v>0</v>
      </c>
      <c r="AO55" s="15">
        <f t="shared" si="23"/>
        <v>0</v>
      </c>
      <c r="AP55" s="345"/>
      <c r="AQ55" s="7">
        <f t="shared" si="24"/>
        <v>0</v>
      </c>
      <c r="AR55" s="103"/>
      <c r="AS55" s="101"/>
      <c r="AT55" s="236"/>
      <c r="AU55" s="235"/>
      <c r="AV55" s="92"/>
      <c r="AW55" s="235"/>
      <c r="AX55" s="92"/>
      <c r="AY55" s="235"/>
      <c r="AZ55" s="92"/>
      <c r="BA55" s="17">
        <f t="shared" si="10"/>
        <v>5.4999999999999999E-6</v>
      </c>
      <c r="BB55" s="17">
        <f t="shared" si="11"/>
        <v>0</v>
      </c>
      <c r="BC55" s="17"/>
      <c r="BD55" s="218">
        <v>46</v>
      </c>
      <c r="BE55" s="87">
        <f t="shared" si="12"/>
        <v>3.82E-5</v>
      </c>
      <c r="BF55" s="215">
        <f t="shared" si="13"/>
        <v>0</v>
      </c>
      <c r="BG55" s="245">
        <f t="shared" si="14"/>
        <v>5.4999999999999999E-6</v>
      </c>
      <c r="BH55" s="17">
        <f t="shared" si="25"/>
        <v>0</v>
      </c>
      <c r="BI55" s="218">
        <v>46</v>
      </c>
      <c r="BJ55" s="87">
        <f t="shared" si="15"/>
        <v>3.65E-5</v>
      </c>
      <c r="BK55" s="215">
        <f t="shared" si="16"/>
        <v>0</v>
      </c>
      <c r="BL55" s="245">
        <f t="shared" si="26"/>
        <v>5.4999999999999999E-6</v>
      </c>
      <c r="BM55" s="17">
        <f t="shared" si="27"/>
        <v>0</v>
      </c>
      <c r="BN55" s="218">
        <v>46</v>
      </c>
      <c r="BO55" s="87">
        <f t="shared" si="17"/>
        <v>3.65E-5</v>
      </c>
      <c r="BP55" s="215">
        <f t="shared" si="18"/>
        <v>0</v>
      </c>
      <c r="BR55" s="126"/>
      <c r="BS55" s="126"/>
      <c r="BU55" s="178"/>
      <c r="BV55" s="179" t="str">
        <f t="shared" si="28"/>
        <v/>
      </c>
      <c r="BW55" s="179" t="str">
        <f t="shared" si="29"/>
        <v/>
      </c>
      <c r="BX55" s="179" t="str">
        <f t="shared" si="30"/>
        <v/>
      </c>
      <c r="BY55" s="179" t="str">
        <f t="shared" si="31"/>
        <v/>
      </c>
      <c r="BZ55" s="179" t="str">
        <f t="shared" si="32"/>
        <v/>
      </c>
      <c r="CA55" s="179" t="str">
        <f t="shared" si="33"/>
        <v/>
      </c>
      <c r="CB55" s="179" t="str">
        <f t="shared" si="34"/>
        <v/>
      </c>
      <c r="CC55" s="179" t="str">
        <f t="shared" si="35"/>
        <v/>
      </c>
      <c r="CD55" s="179" t="str">
        <f t="shared" si="36"/>
        <v/>
      </c>
      <c r="CE55" s="179" t="str">
        <f t="shared" si="37"/>
        <v/>
      </c>
      <c r="CF55" s="179" t="str">
        <f t="shared" si="38"/>
        <v/>
      </c>
      <c r="CG55" s="179" t="str">
        <f t="shared" si="39"/>
        <v/>
      </c>
      <c r="CH55" s="166"/>
      <c r="CI55" s="166"/>
      <c r="CJ55" s="166"/>
      <c r="CK55" s="166"/>
      <c r="CL55" s="166"/>
    </row>
    <row r="56" spans="1:90" ht="14.25" customHeight="1" thickBot="1" x14ac:dyDescent="0.3">
      <c r="A56" s="213">
        <v>46</v>
      </c>
      <c r="B56" s="219"/>
      <c r="C56" s="200"/>
      <c r="D56" s="145"/>
      <c r="E56" s="320" t="s">
        <v>93</v>
      </c>
      <c r="F56" s="209"/>
      <c r="G56" s="313"/>
      <c r="H56" s="313"/>
      <c r="I56" s="313"/>
      <c r="J56" s="313"/>
      <c r="K56" s="313"/>
      <c r="L56" s="313"/>
      <c r="M56" s="339"/>
      <c r="N56" s="233">
        <f t="shared" si="66"/>
        <v>0</v>
      </c>
      <c r="O56" s="306"/>
      <c r="P56" s="342"/>
      <c r="Q56" s="307"/>
      <c r="R56" s="323" t="s">
        <v>67</v>
      </c>
      <c r="S56" s="209"/>
      <c r="T56" s="313"/>
      <c r="U56" s="313"/>
      <c r="V56" s="313"/>
      <c r="W56" s="313"/>
      <c r="X56" s="313"/>
      <c r="Y56" s="125"/>
      <c r="Z56" s="339"/>
      <c r="AA56" s="233">
        <f t="shared" si="67"/>
        <v>0</v>
      </c>
      <c r="AB56" s="314">
        <f t="shared" si="68"/>
        <v>0</v>
      </c>
      <c r="AC56" s="314"/>
      <c r="AD56" s="314">
        <f t="shared" si="21"/>
        <v>0</v>
      </c>
      <c r="AE56" s="323" t="s">
        <v>87</v>
      </c>
      <c r="AF56" s="81"/>
      <c r="AG56" s="335"/>
      <c r="AH56" s="335"/>
      <c r="AI56" s="335"/>
      <c r="AJ56" s="335"/>
      <c r="AK56" s="335"/>
      <c r="AL56" s="336"/>
      <c r="AM56" s="353"/>
      <c r="AN56" s="22">
        <f t="shared" si="41"/>
        <v>0</v>
      </c>
      <c r="AO56" s="209">
        <f t="shared" si="23"/>
        <v>0</v>
      </c>
      <c r="AP56" s="339"/>
      <c r="AQ56" s="125">
        <f t="shared" si="24"/>
        <v>0</v>
      </c>
      <c r="AR56" s="104"/>
      <c r="AS56" s="217"/>
      <c r="AT56" s="216"/>
      <c r="AU56" s="230"/>
      <c r="AV56" s="220"/>
      <c r="AW56" s="230"/>
      <c r="AX56" s="220"/>
      <c r="AY56" s="230"/>
      <c r="AZ56" s="220"/>
      <c r="BA56" s="17">
        <f t="shared" si="10"/>
        <v>5.5999999999999997E-6</v>
      </c>
      <c r="BB56" s="17">
        <f t="shared" si="11"/>
        <v>0</v>
      </c>
      <c r="BC56" s="17"/>
      <c r="BD56" s="218">
        <v>47</v>
      </c>
      <c r="BE56" s="87">
        <f t="shared" si="12"/>
        <v>3.8099999999999998E-5</v>
      </c>
      <c r="BF56" s="215">
        <f t="shared" si="13"/>
        <v>0</v>
      </c>
      <c r="BG56" s="245">
        <f t="shared" si="14"/>
        <v>5.5999999999999997E-6</v>
      </c>
      <c r="BH56" s="17">
        <f t="shared" si="25"/>
        <v>0</v>
      </c>
      <c r="BI56" s="218">
        <v>47</v>
      </c>
      <c r="BJ56" s="87">
        <f t="shared" si="15"/>
        <v>3.6399999999999997E-5</v>
      </c>
      <c r="BK56" s="215">
        <f t="shared" si="16"/>
        <v>0</v>
      </c>
      <c r="BL56" s="245">
        <f t="shared" si="26"/>
        <v>5.5999999999999997E-6</v>
      </c>
      <c r="BM56" s="17">
        <f t="shared" si="27"/>
        <v>0</v>
      </c>
      <c r="BN56" s="218">
        <v>47</v>
      </c>
      <c r="BO56" s="87">
        <f t="shared" si="17"/>
        <v>3.6399999999999997E-5</v>
      </c>
      <c r="BP56" s="215">
        <f t="shared" si="18"/>
        <v>0</v>
      </c>
      <c r="BR56" s="126"/>
      <c r="BS56" s="126"/>
      <c r="BU56" s="178"/>
      <c r="BV56" s="179" t="str">
        <f t="shared" si="28"/>
        <v/>
      </c>
      <c r="BW56" s="179" t="str">
        <f t="shared" si="29"/>
        <v/>
      </c>
      <c r="BX56" s="179" t="str">
        <f t="shared" si="30"/>
        <v/>
      </c>
      <c r="BY56" s="179" t="str">
        <f t="shared" si="31"/>
        <v/>
      </c>
      <c r="BZ56" s="179" t="str">
        <f t="shared" si="32"/>
        <v/>
      </c>
      <c r="CA56" s="179" t="str">
        <f t="shared" si="33"/>
        <v/>
      </c>
      <c r="CB56" s="179" t="str">
        <f t="shared" si="34"/>
        <v/>
      </c>
      <c r="CC56" s="179" t="str">
        <f t="shared" si="35"/>
        <v/>
      </c>
      <c r="CD56" s="179" t="str">
        <f t="shared" si="36"/>
        <v/>
      </c>
      <c r="CE56" s="179" t="str">
        <f t="shared" si="37"/>
        <v/>
      </c>
      <c r="CF56" s="179" t="str">
        <f t="shared" si="38"/>
        <v/>
      </c>
      <c r="CG56" s="179" t="str">
        <f t="shared" si="39"/>
        <v/>
      </c>
      <c r="CH56" s="166"/>
      <c r="CI56" s="166"/>
      <c r="CJ56" s="166"/>
      <c r="CK56" s="166"/>
      <c r="CL56" s="166"/>
    </row>
    <row r="57" spans="1:90" ht="14.25" customHeight="1" thickBot="1" x14ac:dyDescent="0.3">
      <c r="A57" s="211">
        <v>47</v>
      </c>
      <c r="B57" s="88"/>
      <c r="C57" s="201"/>
      <c r="D57" s="94"/>
      <c r="E57" s="321" t="s">
        <v>93</v>
      </c>
      <c r="F57" s="96"/>
      <c r="G57" s="100"/>
      <c r="H57" s="100"/>
      <c r="I57" s="100"/>
      <c r="J57" s="100"/>
      <c r="K57" s="100"/>
      <c r="L57" s="100"/>
      <c r="M57" s="210"/>
      <c r="N57" s="234">
        <f t="shared" si="66"/>
        <v>0</v>
      </c>
      <c r="O57" s="308"/>
      <c r="P57" s="343"/>
      <c r="Q57" s="309"/>
      <c r="R57" s="324" t="s">
        <v>67</v>
      </c>
      <c r="S57" s="96"/>
      <c r="T57" s="100"/>
      <c r="U57" s="100"/>
      <c r="V57" s="100"/>
      <c r="W57" s="100"/>
      <c r="X57" s="100"/>
      <c r="Y57" s="97"/>
      <c r="Z57" s="210"/>
      <c r="AA57" s="234">
        <f t="shared" si="67"/>
        <v>0</v>
      </c>
      <c r="AB57" s="314">
        <f t="shared" si="68"/>
        <v>0</v>
      </c>
      <c r="AC57" s="314"/>
      <c r="AD57" s="314">
        <f t="shared" si="21"/>
        <v>0</v>
      </c>
      <c r="AE57" s="324" t="s">
        <v>87</v>
      </c>
      <c r="AF57" s="82"/>
      <c r="AG57" s="337"/>
      <c r="AH57" s="337"/>
      <c r="AI57" s="337"/>
      <c r="AJ57" s="337"/>
      <c r="AK57" s="337"/>
      <c r="AL57" s="338"/>
      <c r="AM57" s="354"/>
      <c r="AN57" s="91">
        <f t="shared" si="41"/>
        <v>0</v>
      </c>
      <c r="AO57" s="96">
        <f t="shared" si="23"/>
        <v>0</v>
      </c>
      <c r="AP57" s="210"/>
      <c r="AQ57" s="97">
        <f t="shared" si="24"/>
        <v>0</v>
      </c>
      <c r="AR57" s="105"/>
      <c r="AS57" s="102"/>
      <c r="AT57" s="237"/>
      <c r="AU57" s="231"/>
      <c r="AV57" s="93"/>
      <c r="AW57" s="231"/>
      <c r="AX57" s="93"/>
      <c r="AY57" s="231"/>
      <c r="AZ57" s="93"/>
      <c r="BA57" s="17">
        <f t="shared" si="10"/>
        <v>5.6999999999999996E-6</v>
      </c>
      <c r="BB57" s="17">
        <f t="shared" si="11"/>
        <v>0</v>
      </c>
      <c r="BC57" s="17"/>
      <c r="BD57" s="218">
        <v>48</v>
      </c>
      <c r="BE57" s="87">
        <f t="shared" si="12"/>
        <v>3.7999999999999995E-5</v>
      </c>
      <c r="BF57" s="215">
        <f t="shared" si="13"/>
        <v>0</v>
      </c>
      <c r="BG57" s="245">
        <f t="shared" si="14"/>
        <v>5.6999999999999996E-6</v>
      </c>
      <c r="BH57" s="17">
        <f t="shared" si="25"/>
        <v>0</v>
      </c>
      <c r="BI57" s="218">
        <v>48</v>
      </c>
      <c r="BJ57" s="87">
        <f t="shared" si="15"/>
        <v>3.6300000000000001E-5</v>
      </c>
      <c r="BK57" s="215">
        <f t="shared" si="16"/>
        <v>0</v>
      </c>
      <c r="BL57" s="245">
        <f t="shared" si="26"/>
        <v>5.6999999999999996E-6</v>
      </c>
      <c r="BM57" s="17">
        <f t="shared" si="27"/>
        <v>0</v>
      </c>
      <c r="BN57" s="218">
        <v>48</v>
      </c>
      <c r="BO57" s="87">
        <f t="shared" si="17"/>
        <v>3.6300000000000001E-5</v>
      </c>
      <c r="BP57" s="215">
        <f t="shared" si="18"/>
        <v>0</v>
      </c>
      <c r="BR57" s="126"/>
      <c r="BS57" s="126"/>
      <c r="BU57" s="178"/>
      <c r="BV57" s="179" t="str">
        <f t="shared" si="28"/>
        <v/>
      </c>
      <c r="BW57" s="179" t="str">
        <f t="shared" si="29"/>
        <v/>
      </c>
      <c r="BX57" s="179" t="str">
        <f t="shared" si="30"/>
        <v/>
      </c>
      <c r="BY57" s="179" t="str">
        <f t="shared" si="31"/>
        <v/>
      </c>
      <c r="BZ57" s="179" t="str">
        <f t="shared" si="32"/>
        <v/>
      </c>
      <c r="CA57" s="179" t="str">
        <f t="shared" si="33"/>
        <v/>
      </c>
      <c r="CB57" s="179" t="str">
        <f t="shared" si="34"/>
        <v/>
      </c>
      <c r="CC57" s="179" t="str">
        <f t="shared" si="35"/>
        <v/>
      </c>
      <c r="CD57" s="179" t="str">
        <f t="shared" si="36"/>
        <v/>
      </c>
      <c r="CE57" s="179" t="str">
        <f t="shared" si="37"/>
        <v/>
      </c>
      <c r="CF57" s="179" t="str">
        <f t="shared" si="38"/>
        <v/>
      </c>
      <c r="CG57" s="179" t="str">
        <f t="shared" si="39"/>
        <v/>
      </c>
      <c r="CH57" s="166"/>
      <c r="CI57" s="166"/>
      <c r="CJ57" s="166"/>
      <c r="CK57" s="166"/>
      <c r="CL57" s="166"/>
    </row>
    <row r="58" spans="1:90" ht="14.25" customHeight="1" thickBot="1" x14ac:dyDescent="0.3">
      <c r="A58" s="213">
        <v>48</v>
      </c>
      <c r="B58" s="89"/>
      <c r="C58" s="199"/>
      <c r="D58" s="146"/>
      <c r="E58" s="319" t="s">
        <v>93</v>
      </c>
      <c r="F58" s="221"/>
      <c r="G58" s="222"/>
      <c r="H58" s="222"/>
      <c r="I58" s="222"/>
      <c r="J58" s="222"/>
      <c r="K58" s="222"/>
      <c r="L58" s="222"/>
      <c r="M58" s="331"/>
      <c r="N58" s="303">
        <f t="shared" si="66"/>
        <v>0</v>
      </c>
      <c r="O58" s="304"/>
      <c r="P58" s="341"/>
      <c r="Q58" s="305"/>
      <c r="R58" s="322" t="s">
        <v>67</v>
      </c>
      <c r="S58" s="326"/>
      <c r="T58" s="327"/>
      <c r="U58" s="327"/>
      <c r="V58" s="327"/>
      <c r="W58" s="327"/>
      <c r="X58" s="327"/>
      <c r="Y58" s="95"/>
      <c r="Z58" s="331"/>
      <c r="AA58" s="303">
        <f t="shared" si="67"/>
        <v>0</v>
      </c>
      <c r="AB58" s="314">
        <f t="shared" si="68"/>
        <v>0</v>
      </c>
      <c r="AC58" s="314"/>
      <c r="AD58" s="314">
        <f t="shared" si="21"/>
        <v>0</v>
      </c>
      <c r="AE58" s="325" t="s">
        <v>148</v>
      </c>
      <c r="AF58" s="15"/>
      <c r="AG58" s="232"/>
      <c r="AH58" s="232"/>
      <c r="AI58" s="232"/>
      <c r="AJ58" s="232"/>
      <c r="AK58" s="232"/>
      <c r="AL58" s="7"/>
      <c r="AM58" s="352"/>
      <c r="AN58" s="22">
        <f t="shared" si="41"/>
        <v>0</v>
      </c>
      <c r="AO58" s="15">
        <f t="shared" si="23"/>
        <v>0</v>
      </c>
      <c r="AP58" s="345"/>
      <c r="AQ58" s="7">
        <f t="shared" si="24"/>
        <v>0</v>
      </c>
      <c r="AR58" s="103"/>
      <c r="AS58" s="101"/>
      <c r="AT58" s="236"/>
      <c r="AU58" s="235"/>
      <c r="AV58" s="92"/>
      <c r="AW58" s="235"/>
      <c r="AX58" s="92"/>
      <c r="AY58" s="235"/>
      <c r="AZ58" s="92"/>
      <c r="BA58" s="17">
        <f t="shared" si="10"/>
        <v>5.7999999999999995E-6</v>
      </c>
      <c r="BB58" s="17">
        <f t="shared" si="11"/>
        <v>0</v>
      </c>
      <c r="BC58" s="17"/>
      <c r="BD58" s="218">
        <v>49</v>
      </c>
      <c r="BE58" s="87">
        <f t="shared" si="12"/>
        <v>3.79E-5</v>
      </c>
      <c r="BF58" s="215">
        <f t="shared" si="13"/>
        <v>0</v>
      </c>
      <c r="BG58" s="245">
        <f t="shared" si="14"/>
        <v>5.7999999999999995E-6</v>
      </c>
      <c r="BH58" s="17">
        <f t="shared" si="25"/>
        <v>0</v>
      </c>
      <c r="BI58" s="218">
        <v>49</v>
      </c>
      <c r="BJ58" s="87">
        <f t="shared" si="15"/>
        <v>3.6199999999999999E-5</v>
      </c>
      <c r="BK58" s="215">
        <f t="shared" si="16"/>
        <v>0</v>
      </c>
      <c r="BL58" s="245">
        <f t="shared" si="26"/>
        <v>5.7999999999999995E-6</v>
      </c>
      <c r="BM58" s="17">
        <f t="shared" si="27"/>
        <v>0</v>
      </c>
      <c r="BN58" s="218">
        <v>49</v>
      </c>
      <c r="BO58" s="87">
        <f t="shared" si="17"/>
        <v>3.6199999999999999E-5</v>
      </c>
      <c r="BP58" s="215">
        <f t="shared" si="18"/>
        <v>0</v>
      </c>
      <c r="BR58" s="126"/>
      <c r="BS58" s="126"/>
      <c r="BU58" s="178"/>
      <c r="BV58" s="179" t="str">
        <f t="shared" si="28"/>
        <v/>
      </c>
      <c r="BW58" s="179" t="str">
        <f t="shared" si="29"/>
        <v/>
      </c>
      <c r="BX58" s="179" t="str">
        <f t="shared" si="30"/>
        <v/>
      </c>
      <c r="BY58" s="179" t="str">
        <f t="shared" si="31"/>
        <v/>
      </c>
      <c r="BZ58" s="179" t="str">
        <f t="shared" si="32"/>
        <v/>
      </c>
      <c r="CA58" s="179" t="str">
        <f t="shared" si="33"/>
        <v/>
      </c>
      <c r="CB58" s="179" t="str">
        <f t="shared" si="34"/>
        <v/>
      </c>
      <c r="CC58" s="179" t="str">
        <f t="shared" si="35"/>
        <v/>
      </c>
      <c r="CD58" s="179" t="str">
        <f t="shared" si="36"/>
        <v/>
      </c>
      <c r="CE58" s="179" t="str">
        <f t="shared" si="37"/>
        <v/>
      </c>
      <c r="CF58" s="179" t="str">
        <f t="shared" si="38"/>
        <v/>
      </c>
      <c r="CG58" s="179" t="str">
        <f t="shared" si="39"/>
        <v/>
      </c>
      <c r="CH58" s="166"/>
      <c r="CI58" s="166"/>
      <c r="CJ58" s="166"/>
      <c r="CK58" s="166"/>
      <c r="CL58" s="166"/>
    </row>
    <row r="59" spans="1:90" ht="14.25" customHeight="1" x14ac:dyDescent="0.25">
      <c r="A59" s="211">
        <v>49</v>
      </c>
      <c r="B59" s="219"/>
      <c r="C59" s="200"/>
      <c r="D59" s="145"/>
      <c r="E59" s="320" t="s">
        <v>93</v>
      </c>
      <c r="F59" s="209"/>
      <c r="G59" s="313"/>
      <c r="H59" s="313"/>
      <c r="I59" s="313"/>
      <c r="J59" s="313"/>
      <c r="K59" s="313"/>
      <c r="L59" s="313"/>
      <c r="M59" s="339"/>
      <c r="N59" s="233">
        <f t="shared" si="66"/>
        <v>0</v>
      </c>
      <c r="O59" s="306"/>
      <c r="P59" s="342"/>
      <c r="Q59" s="307"/>
      <c r="R59" s="323" t="s">
        <v>67</v>
      </c>
      <c r="S59" s="209"/>
      <c r="T59" s="313"/>
      <c r="U59" s="313"/>
      <c r="V59" s="313"/>
      <c r="W59" s="313"/>
      <c r="X59" s="313"/>
      <c r="Y59" s="125"/>
      <c r="Z59" s="339"/>
      <c r="AA59" s="233">
        <f t="shared" si="67"/>
        <v>0</v>
      </c>
      <c r="AB59" s="314">
        <f t="shared" si="68"/>
        <v>0</v>
      </c>
      <c r="AC59" s="314"/>
      <c r="AD59" s="314">
        <f t="shared" si="21"/>
        <v>0</v>
      </c>
      <c r="AE59" s="323" t="s">
        <v>87</v>
      </c>
      <c r="AF59" s="81"/>
      <c r="AG59" s="335"/>
      <c r="AH59" s="335"/>
      <c r="AI59" s="335"/>
      <c r="AJ59" s="335"/>
      <c r="AK59" s="335"/>
      <c r="AL59" s="336"/>
      <c r="AM59" s="353"/>
      <c r="AN59" s="22">
        <f t="shared" si="41"/>
        <v>0</v>
      </c>
      <c r="AO59" s="209">
        <f t="shared" si="23"/>
        <v>0</v>
      </c>
      <c r="AP59" s="339"/>
      <c r="AQ59" s="125">
        <f t="shared" si="24"/>
        <v>0</v>
      </c>
      <c r="AR59" s="104"/>
      <c r="AS59" s="217"/>
      <c r="AT59" s="216"/>
      <c r="AU59" s="230"/>
      <c r="AV59" s="220"/>
      <c r="AW59" s="230"/>
      <c r="AX59" s="220"/>
      <c r="AY59" s="230"/>
      <c r="AZ59" s="220"/>
      <c r="BA59" s="17">
        <f t="shared" si="10"/>
        <v>5.8999999999999994E-6</v>
      </c>
      <c r="BB59" s="17">
        <f t="shared" si="11"/>
        <v>0</v>
      </c>
      <c r="BC59" s="17"/>
      <c r="BD59" s="218">
        <v>50</v>
      </c>
      <c r="BE59" s="87">
        <f t="shared" si="12"/>
        <v>3.7799999999999997E-5</v>
      </c>
      <c r="BF59" s="215">
        <f t="shared" si="13"/>
        <v>0</v>
      </c>
      <c r="BG59" s="245">
        <f t="shared" si="14"/>
        <v>5.8999999999999994E-6</v>
      </c>
      <c r="BH59" s="17">
        <f t="shared" si="25"/>
        <v>0</v>
      </c>
      <c r="BI59" s="218">
        <v>50</v>
      </c>
      <c r="BJ59" s="87">
        <f t="shared" si="15"/>
        <v>3.6099999999999997E-5</v>
      </c>
      <c r="BK59" s="215">
        <f t="shared" si="16"/>
        <v>0</v>
      </c>
      <c r="BL59" s="245">
        <f t="shared" si="26"/>
        <v>5.8999999999999994E-6</v>
      </c>
      <c r="BM59" s="17">
        <f t="shared" si="27"/>
        <v>0</v>
      </c>
      <c r="BN59" s="218">
        <v>50</v>
      </c>
      <c r="BO59" s="87">
        <f t="shared" si="17"/>
        <v>3.6099999999999997E-5</v>
      </c>
      <c r="BP59" s="215">
        <f t="shared" si="18"/>
        <v>0</v>
      </c>
      <c r="BR59" s="126"/>
      <c r="BS59" s="126"/>
      <c r="BU59" s="178"/>
      <c r="BV59" s="179" t="str">
        <f t="shared" si="28"/>
        <v/>
      </c>
      <c r="BW59" s="179" t="str">
        <f t="shared" si="29"/>
        <v/>
      </c>
      <c r="BX59" s="179" t="str">
        <f t="shared" si="30"/>
        <v/>
      </c>
      <c r="BY59" s="179" t="str">
        <f t="shared" si="31"/>
        <v/>
      </c>
      <c r="BZ59" s="179" t="str">
        <f t="shared" si="32"/>
        <v/>
      </c>
      <c r="CA59" s="179" t="str">
        <f t="shared" si="33"/>
        <v/>
      </c>
      <c r="CB59" s="179" t="str">
        <f t="shared" si="34"/>
        <v/>
      </c>
      <c r="CC59" s="179" t="str">
        <f t="shared" si="35"/>
        <v/>
      </c>
      <c r="CD59" s="179" t="str">
        <f t="shared" si="36"/>
        <v/>
      </c>
      <c r="CE59" s="179" t="str">
        <f t="shared" si="37"/>
        <v/>
      </c>
      <c r="CF59" s="179" t="str">
        <f t="shared" si="38"/>
        <v/>
      </c>
      <c r="CG59" s="179" t="str">
        <f t="shared" si="39"/>
        <v/>
      </c>
      <c r="CH59" s="166"/>
      <c r="CI59" s="166"/>
      <c r="CJ59" s="166"/>
      <c r="CK59" s="166"/>
      <c r="CL59" s="166"/>
    </row>
    <row r="60" spans="1:90" ht="14.25" customHeight="1" thickBot="1" x14ac:dyDescent="0.3">
      <c r="A60" s="213">
        <v>50</v>
      </c>
      <c r="B60" s="88"/>
      <c r="C60" s="201"/>
      <c r="D60" s="94"/>
      <c r="E60" s="321" t="s">
        <v>93</v>
      </c>
      <c r="F60" s="96"/>
      <c r="G60" s="100"/>
      <c r="H60" s="100"/>
      <c r="I60" s="100"/>
      <c r="J60" s="100"/>
      <c r="K60" s="100"/>
      <c r="L60" s="100"/>
      <c r="M60" s="210"/>
      <c r="N60" s="234">
        <f t="shared" si="66"/>
        <v>0</v>
      </c>
      <c r="O60" s="308"/>
      <c r="P60" s="343"/>
      <c r="Q60" s="309"/>
      <c r="R60" s="324" t="s">
        <v>67</v>
      </c>
      <c r="S60" s="96"/>
      <c r="T60" s="100"/>
      <c r="U60" s="100"/>
      <c r="V60" s="100"/>
      <c r="W60" s="100"/>
      <c r="X60" s="100"/>
      <c r="Y60" s="97"/>
      <c r="Z60" s="210"/>
      <c r="AA60" s="234">
        <f t="shared" si="67"/>
        <v>0</v>
      </c>
      <c r="AB60" s="314">
        <f t="shared" si="68"/>
        <v>0</v>
      </c>
      <c r="AC60" s="314"/>
      <c r="AD60" s="314">
        <f t="shared" si="21"/>
        <v>0</v>
      </c>
      <c r="AE60" s="324" t="s">
        <v>87</v>
      </c>
      <c r="AF60" s="82"/>
      <c r="AG60" s="337"/>
      <c r="AH60" s="337"/>
      <c r="AI60" s="337"/>
      <c r="AJ60" s="337"/>
      <c r="AK60" s="337"/>
      <c r="AL60" s="338"/>
      <c r="AM60" s="354"/>
      <c r="AN60" s="91">
        <f t="shared" si="41"/>
        <v>0</v>
      </c>
      <c r="AO60" s="96">
        <f t="shared" si="23"/>
        <v>0</v>
      </c>
      <c r="AP60" s="210"/>
      <c r="AQ60" s="97">
        <f t="shared" si="24"/>
        <v>0</v>
      </c>
      <c r="AR60" s="105"/>
      <c r="AS60" s="102"/>
      <c r="AT60" s="237"/>
      <c r="AU60" s="231"/>
      <c r="AV60" s="93"/>
      <c r="AW60" s="231"/>
      <c r="AX60" s="93"/>
      <c r="AY60" s="231"/>
      <c r="AZ60" s="93"/>
      <c r="BA60" s="17">
        <f t="shared" si="10"/>
        <v>6.0000000000000002E-6</v>
      </c>
      <c r="BB60" s="17">
        <f t="shared" si="11"/>
        <v>0</v>
      </c>
      <c r="BC60" s="17"/>
      <c r="BD60" s="218">
        <v>51</v>
      </c>
      <c r="BE60" s="87">
        <f t="shared" si="12"/>
        <v>3.7700000000000002E-5</v>
      </c>
      <c r="BF60" s="215">
        <f t="shared" si="13"/>
        <v>0</v>
      </c>
      <c r="BG60" s="245">
        <f t="shared" si="14"/>
        <v>6.0000000000000002E-6</v>
      </c>
      <c r="BH60" s="17">
        <f t="shared" si="25"/>
        <v>0</v>
      </c>
      <c r="BI60" s="218">
        <v>51</v>
      </c>
      <c r="BJ60" s="87">
        <f t="shared" si="15"/>
        <v>3.6000000000000001E-5</v>
      </c>
      <c r="BK60" s="215">
        <f t="shared" si="16"/>
        <v>0</v>
      </c>
      <c r="BL60" s="245">
        <f t="shared" si="26"/>
        <v>6.0000000000000002E-6</v>
      </c>
      <c r="BM60" s="17">
        <f t="shared" si="27"/>
        <v>0</v>
      </c>
      <c r="BN60" s="218">
        <v>51</v>
      </c>
      <c r="BO60" s="87">
        <f t="shared" si="17"/>
        <v>3.6000000000000001E-5</v>
      </c>
      <c r="BP60" s="215">
        <f t="shared" si="18"/>
        <v>0</v>
      </c>
      <c r="BR60" s="126"/>
      <c r="BS60" s="126"/>
      <c r="BU60" s="178"/>
      <c r="BV60" s="179" t="str">
        <f t="shared" si="28"/>
        <v/>
      </c>
      <c r="BW60" s="179" t="str">
        <f t="shared" si="29"/>
        <v/>
      </c>
      <c r="BX60" s="179" t="str">
        <f t="shared" si="30"/>
        <v/>
      </c>
      <c r="BY60" s="179" t="str">
        <f t="shared" si="31"/>
        <v/>
      </c>
      <c r="BZ60" s="179" t="str">
        <f t="shared" si="32"/>
        <v/>
      </c>
      <c r="CA60" s="179" t="str">
        <f t="shared" si="33"/>
        <v/>
      </c>
      <c r="CB60" s="179" t="str">
        <f t="shared" si="34"/>
        <v/>
      </c>
      <c r="CC60" s="179" t="str">
        <f t="shared" si="35"/>
        <v/>
      </c>
      <c r="CD60" s="179" t="str">
        <f t="shared" si="36"/>
        <v/>
      </c>
      <c r="CE60" s="179" t="str">
        <f t="shared" si="37"/>
        <v/>
      </c>
      <c r="CF60" s="179" t="str">
        <f t="shared" si="38"/>
        <v/>
      </c>
      <c r="CG60" s="179" t="str">
        <f t="shared" si="39"/>
        <v/>
      </c>
      <c r="CH60" s="166"/>
      <c r="CI60" s="166"/>
      <c r="CJ60" s="166"/>
      <c r="CK60" s="166"/>
      <c r="CL60" s="166"/>
    </row>
    <row r="61" spans="1:90" ht="14.25" customHeight="1" x14ac:dyDescent="0.25">
      <c r="A61" s="211">
        <v>51</v>
      </c>
      <c r="B61" s="89"/>
      <c r="C61" s="199"/>
      <c r="D61" s="146"/>
      <c r="E61" s="319" t="s">
        <v>93</v>
      </c>
      <c r="F61" s="221"/>
      <c r="G61" s="222"/>
      <c r="H61" s="222"/>
      <c r="I61" s="222"/>
      <c r="J61" s="222"/>
      <c r="K61" s="222"/>
      <c r="L61" s="222"/>
      <c r="M61" s="331"/>
      <c r="N61" s="303">
        <f t="shared" si="66"/>
        <v>0</v>
      </c>
      <c r="O61" s="304"/>
      <c r="P61" s="341"/>
      <c r="Q61" s="305"/>
      <c r="R61" s="322" t="s">
        <v>67</v>
      </c>
      <c r="S61" s="326"/>
      <c r="T61" s="327"/>
      <c r="U61" s="327"/>
      <c r="V61" s="327"/>
      <c r="W61" s="327"/>
      <c r="X61" s="327"/>
      <c r="Y61" s="95"/>
      <c r="Z61" s="331"/>
      <c r="AA61" s="303">
        <f t="shared" si="67"/>
        <v>0</v>
      </c>
      <c r="AB61" s="314">
        <f t="shared" si="68"/>
        <v>0</v>
      </c>
      <c r="AC61" s="314"/>
      <c r="AD61" s="314">
        <f t="shared" si="21"/>
        <v>0</v>
      </c>
      <c r="AE61" s="325" t="s">
        <v>148</v>
      </c>
      <c r="AF61" s="15"/>
      <c r="AG61" s="232"/>
      <c r="AH61" s="232"/>
      <c r="AI61" s="232"/>
      <c r="AJ61" s="232"/>
      <c r="AK61" s="232"/>
      <c r="AL61" s="7"/>
      <c r="AM61" s="352"/>
      <c r="AN61" s="22">
        <f t="shared" si="41"/>
        <v>0</v>
      </c>
      <c r="AO61" s="15">
        <f t="shared" si="23"/>
        <v>0</v>
      </c>
      <c r="AP61" s="345"/>
      <c r="AQ61" s="7">
        <f t="shared" si="24"/>
        <v>0</v>
      </c>
      <c r="AR61" s="103"/>
      <c r="AS61" s="101"/>
      <c r="AT61" s="236"/>
      <c r="AU61" s="235"/>
      <c r="AV61" s="92"/>
      <c r="AW61" s="235"/>
      <c r="AX61" s="92"/>
      <c r="AY61" s="235"/>
      <c r="AZ61" s="92"/>
      <c r="BA61" s="17">
        <f t="shared" si="10"/>
        <v>6.1E-6</v>
      </c>
      <c r="BB61" s="17">
        <f t="shared" si="11"/>
        <v>0</v>
      </c>
      <c r="BC61" s="17"/>
      <c r="BD61" s="218">
        <v>52</v>
      </c>
      <c r="BE61" s="87">
        <f t="shared" si="12"/>
        <v>3.7599999999999999E-5</v>
      </c>
      <c r="BF61" s="215">
        <f t="shared" si="13"/>
        <v>0</v>
      </c>
      <c r="BG61" s="245">
        <f t="shared" si="14"/>
        <v>6.1E-6</v>
      </c>
      <c r="BH61" s="17">
        <f t="shared" si="25"/>
        <v>0</v>
      </c>
      <c r="BI61" s="218">
        <v>52</v>
      </c>
      <c r="BJ61" s="87">
        <f t="shared" si="15"/>
        <v>3.5899999999999998E-5</v>
      </c>
      <c r="BK61" s="215">
        <f t="shared" si="16"/>
        <v>0</v>
      </c>
      <c r="BL61" s="245">
        <f t="shared" si="26"/>
        <v>6.1E-6</v>
      </c>
      <c r="BM61" s="17">
        <f t="shared" si="27"/>
        <v>0</v>
      </c>
      <c r="BN61" s="218">
        <v>52</v>
      </c>
      <c r="BO61" s="87">
        <f t="shared" si="17"/>
        <v>3.5899999999999998E-5</v>
      </c>
      <c r="BP61" s="215">
        <f t="shared" si="18"/>
        <v>0</v>
      </c>
      <c r="BR61" s="126"/>
      <c r="BS61" s="126"/>
      <c r="BU61" s="178"/>
      <c r="BV61" s="179" t="str">
        <f t="shared" si="28"/>
        <v/>
      </c>
      <c r="BW61" s="179" t="str">
        <f t="shared" si="29"/>
        <v/>
      </c>
      <c r="BX61" s="179" t="str">
        <f t="shared" si="30"/>
        <v/>
      </c>
      <c r="BY61" s="179" t="str">
        <f t="shared" si="31"/>
        <v/>
      </c>
      <c r="BZ61" s="179" t="str">
        <f t="shared" si="32"/>
        <v/>
      </c>
      <c r="CA61" s="179" t="str">
        <f t="shared" si="33"/>
        <v/>
      </c>
      <c r="CB61" s="179" t="str">
        <f t="shared" si="34"/>
        <v/>
      </c>
      <c r="CC61" s="179" t="str">
        <f t="shared" si="35"/>
        <v/>
      </c>
      <c r="CD61" s="179" t="str">
        <f t="shared" si="36"/>
        <v/>
      </c>
      <c r="CE61" s="179" t="str">
        <f t="shared" si="37"/>
        <v/>
      </c>
      <c r="CF61" s="179" t="str">
        <f t="shared" si="38"/>
        <v/>
      </c>
      <c r="CG61" s="179" t="str">
        <f t="shared" si="39"/>
        <v/>
      </c>
      <c r="CH61" s="166"/>
      <c r="CI61" s="166"/>
      <c r="CJ61" s="166"/>
      <c r="CK61" s="166"/>
      <c r="CL61" s="166"/>
    </row>
    <row r="62" spans="1:90" ht="14.25" customHeight="1" thickBot="1" x14ac:dyDescent="0.3">
      <c r="A62" s="213">
        <v>52</v>
      </c>
      <c r="B62" s="219"/>
      <c r="C62" s="200"/>
      <c r="D62" s="145"/>
      <c r="E62" s="320" t="s">
        <v>93</v>
      </c>
      <c r="F62" s="209"/>
      <c r="G62" s="313"/>
      <c r="H62" s="313"/>
      <c r="I62" s="313"/>
      <c r="J62" s="313"/>
      <c r="K62" s="313"/>
      <c r="L62" s="313"/>
      <c r="M62" s="339"/>
      <c r="N62" s="233">
        <f t="shared" si="66"/>
        <v>0</v>
      </c>
      <c r="O62" s="306"/>
      <c r="P62" s="342"/>
      <c r="Q62" s="307"/>
      <c r="R62" s="323" t="s">
        <v>67</v>
      </c>
      <c r="S62" s="209"/>
      <c r="T62" s="313"/>
      <c r="U62" s="313"/>
      <c r="V62" s="313"/>
      <c r="W62" s="313"/>
      <c r="X62" s="313"/>
      <c r="Y62" s="125"/>
      <c r="Z62" s="339"/>
      <c r="AA62" s="233">
        <f t="shared" si="67"/>
        <v>0</v>
      </c>
      <c r="AB62" s="314">
        <f t="shared" si="68"/>
        <v>0</v>
      </c>
      <c r="AC62" s="314"/>
      <c r="AD62" s="314">
        <f t="shared" si="21"/>
        <v>0</v>
      </c>
      <c r="AE62" s="323" t="s">
        <v>87</v>
      </c>
      <c r="AF62" s="81"/>
      <c r="AG62" s="335"/>
      <c r="AH62" s="335"/>
      <c r="AI62" s="335"/>
      <c r="AJ62" s="335"/>
      <c r="AK62" s="335"/>
      <c r="AL62" s="336"/>
      <c r="AM62" s="353"/>
      <c r="AN62" s="22">
        <f t="shared" si="41"/>
        <v>0</v>
      </c>
      <c r="AO62" s="209">
        <f t="shared" si="23"/>
        <v>0</v>
      </c>
      <c r="AP62" s="339"/>
      <c r="AQ62" s="125">
        <f t="shared" si="24"/>
        <v>0</v>
      </c>
      <c r="AR62" s="104"/>
      <c r="AS62" s="217"/>
      <c r="AT62" s="216"/>
      <c r="AU62" s="230"/>
      <c r="AV62" s="220"/>
      <c r="AW62" s="230"/>
      <c r="AX62" s="220"/>
      <c r="AY62" s="230"/>
      <c r="AZ62" s="220"/>
      <c r="BA62" s="17">
        <f t="shared" si="10"/>
        <v>6.1999999999999999E-6</v>
      </c>
      <c r="BB62" s="17">
        <f t="shared" si="11"/>
        <v>0</v>
      </c>
      <c r="BC62" s="17"/>
      <c r="BD62" s="218">
        <v>53</v>
      </c>
      <c r="BE62" s="87">
        <f t="shared" si="12"/>
        <v>3.7499999999999997E-5</v>
      </c>
      <c r="BF62" s="215">
        <f t="shared" si="13"/>
        <v>0</v>
      </c>
      <c r="BG62" s="245">
        <f t="shared" si="14"/>
        <v>6.1999999999999999E-6</v>
      </c>
      <c r="BH62" s="17">
        <f t="shared" si="25"/>
        <v>0</v>
      </c>
      <c r="BI62" s="218">
        <v>53</v>
      </c>
      <c r="BJ62" s="87">
        <f t="shared" si="15"/>
        <v>3.5799999999999996E-5</v>
      </c>
      <c r="BK62" s="215">
        <f t="shared" si="16"/>
        <v>0</v>
      </c>
      <c r="BL62" s="245">
        <f t="shared" si="26"/>
        <v>6.1999999999999999E-6</v>
      </c>
      <c r="BM62" s="17">
        <f t="shared" si="27"/>
        <v>0</v>
      </c>
      <c r="BN62" s="218">
        <v>53</v>
      </c>
      <c r="BO62" s="87">
        <f t="shared" si="17"/>
        <v>3.5799999999999996E-5</v>
      </c>
      <c r="BP62" s="215">
        <f t="shared" si="18"/>
        <v>0</v>
      </c>
      <c r="BR62" s="126"/>
      <c r="BS62" s="126"/>
      <c r="BU62" s="178"/>
      <c r="BV62" s="179" t="str">
        <f t="shared" si="28"/>
        <v/>
      </c>
      <c r="BW62" s="179" t="str">
        <f t="shared" si="29"/>
        <v/>
      </c>
      <c r="BX62" s="179" t="str">
        <f t="shared" si="30"/>
        <v/>
      </c>
      <c r="BY62" s="179" t="str">
        <f t="shared" si="31"/>
        <v/>
      </c>
      <c r="BZ62" s="179" t="str">
        <f t="shared" si="32"/>
        <v/>
      </c>
      <c r="CA62" s="179" t="str">
        <f t="shared" si="33"/>
        <v/>
      </c>
      <c r="CB62" s="179" t="str">
        <f t="shared" si="34"/>
        <v/>
      </c>
      <c r="CC62" s="179" t="str">
        <f t="shared" si="35"/>
        <v/>
      </c>
      <c r="CD62" s="179" t="str">
        <f t="shared" si="36"/>
        <v/>
      </c>
      <c r="CE62" s="179" t="str">
        <f t="shared" si="37"/>
        <v/>
      </c>
      <c r="CF62" s="179" t="str">
        <f t="shared" si="38"/>
        <v/>
      </c>
      <c r="CG62" s="179" t="str">
        <f t="shared" si="39"/>
        <v/>
      </c>
      <c r="CH62" s="166"/>
      <c r="CI62" s="166"/>
      <c r="CJ62" s="166"/>
      <c r="CK62" s="166"/>
      <c r="CL62" s="166"/>
    </row>
    <row r="63" spans="1:90" ht="14.25" customHeight="1" thickBot="1" x14ac:dyDescent="0.3">
      <c r="A63" s="211">
        <v>53</v>
      </c>
      <c r="B63" s="88"/>
      <c r="C63" s="201"/>
      <c r="D63" s="94"/>
      <c r="E63" s="321" t="s">
        <v>93</v>
      </c>
      <c r="F63" s="96"/>
      <c r="G63" s="100"/>
      <c r="H63" s="100"/>
      <c r="I63" s="100"/>
      <c r="J63" s="100"/>
      <c r="K63" s="100"/>
      <c r="L63" s="100"/>
      <c r="M63" s="210"/>
      <c r="N63" s="234">
        <f t="shared" si="66"/>
        <v>0</v>
      </c>
      <c r="O63" s="308"/>
      <c r="P63" s="343"/>
      <c r="Q63" s="309"/>
      <c r="R63" s="324" t="s">
        <v>67</v>
      </c>
      <c r="S63" s="96"/>
      <c r="T63" s="100"/>
      <c r="U63" s="100"/>
      <c r="V63" s="100"/>
      <c r="W63" s="100"/>
      <c r="X63" s="100"/>
      <c r="Y63" s="97"/>
      <c r="Z63" s="210"/>
      <c r="AA63" s="234">
        <f t="shared" si="67"/>
        <v>0</v>
      </c>
      <c r="AB63" s="314">
        <f t="shared" si="68"/>
        <v>0</v>
      </c>
      <c r="AC63" s="314"/>
      <c r="AD63" s="314">
        <f t="shared" si="21"/>
        <v>0</v>
      </c>
      <c r="AE63" s="324" t="s">
        <v>87</v>
      </c>
      <c r="AF63" s="82"/>
      <c r="AG63" s="337"/>
      <c r="AH63" s="337"/>
      <c r="AI63" s="337"/>
      <c r="AJ63" s="337"/>
      <c r="AK63" s="337"/>
      <c r="AL63" s="338"/>
      <c r="AM63" s="354"/>
      <c r="AN63" s="91">
        <f t="shared" si="41"/>
        <v>0</v>
      </c>
      <c r="AO63" s="96">
        <f t="shared" si="23"/>
        <v>0</v>
      </c>
      <c r="AP63" s="210"/>
      <c r="AQ63" s="97">
        <f t="shared" si="24"/>
        <v>0</v>
      </c>
      <c r="AR63" s="105"/>
      <c r="AS63" s="102"/>
      <c r="AT63" s="237"/>
      <c r="AU63" s="231"/>
      <c r="AV63" s="93"/>
      <c r="AW63" s="231"/>
      <c r="AX63" s="93"/>
      <c r="AY63" s="231"/>
      <c r="AZ63" s="93"/>
      <c r="BA63" s="17">
        <f t="shared" si="10"/>
        <v>6.2999999999999998E-6</v>
      </c>
      <c r="BB63" s="17">
        <f t="shared" si="11"/>
        <v>0</v>
      </c>
      <c r="BC63" s="17"/>
      <c r="BD63" s="218">
        <v>54</v>
      </c>
      <c r="BE63" s="87">
        <f t="shared" si="12"/>
        <v>3.7400000000000001E-5</v>
      </c>
      <c r="BF63" s="215">
        <f t="shared" si="13"/>
        <v>0</v>
      </c>
      <c r="BG63" s="245">
        <f t="shared" si="14"/>
        <v>6.2999999999999998E-6</v>
      </c>
      <c r="BH63" s="17">
        <f t="shared" si="25"/>
        <v>0</v>
      </c>
      <c r="BI63" s="218">
        <v>54</v>
      </c>
      <c r="BJ63" s="87">
        <f t="shared" si="15"/>
        <v>3.57E-5</v>
      </c>
      <c r="BK63" s="215">
        <f t="shared" si="16"/>
        <v>0</v>
      </c>
      <c r="BL63" s="245">
        <f t="shared" si="26"/>
        <v>6.2999999999999998E-6</v>
      </c>
      <c r="BM63" s="17">
        <f t="shared" si="27"/>
        <v>0</v>
      </c>
      <c r="BN63" s="218">
        <v>54</v>
      </c>
      <c r="BO63" s="87">
        <f t="shared" si="17"/>
        <v>3.57E-5</v>
      </c>
      <c r="BP63" s="215">
        <f t="shared" si="18"/>
        <v>0</v>
      </c>
      <c r="BR63" s="126"/>
      <c r="BS63" s="126"/>
      <c r="BU63" s="178"/>
      <c r="BV63" s="179" t="str">
        <f t="shared" si="28"/>
        <v/>
      </c>
      <c r="BW63" s="179" t="str">
        <f t="shared" si="29"/>
        <v/>
      </c>
      <c r="BX63" s="179" t="str">
        <f t="shared" si="30"/>
        <v/>
      </c>
      <c r="BY63" s="179" t="str">
        <f t="shared" si="31"/>
        <v/>
      </c>
      <c r="BZ63" s="179" t="str">
        <f t="shared" si="32"/>
        <v/>
      </c>
      <c r="CA63" s="179" t="str">
        <f t="shared" si="33"/>
        <v/>
      </c>
      <c r="CB63" s="179" t="str">
        <f t="shared" si="34"/>
        <v/>
      </c>
      <c r="CC63" s="179" t="str">
        <f t="shared" si="35"/>
        <v/>
      </c>
      <c r="CD63" s="179" t="str">
        <f t="shared" si="36"/>
        <v/>
      </c>
      <c r="CE63" s="179" t="str">
        <f t="shared" si="37"/>
        <v/>
      </c>
      <c r="CF63" s="179" t="str">
        <f t="shared" si="38"/>
        <v/>
      </c>
      <c r="CG63" s="179" t="str">
        <f t="shared" si="39"/>
        <v/>
      </c>
      <c r="CH63" s="166"/>
      <c r="CI63" s="166"/>
      <c r="CJ63" s="166"/>
      <c r="CK63" s="166"/>
      <c r="CL63" s="166"/>
    </row>
    <row r="64" spans="1:90" ht="14.25" customHeight="1" thickBot="1" x14ac:dyDescent="0.3">
      <c r="A64" s="213">
        <v>54</v>
      </c>
      <c r="B64" s="89"/>
      <c r="C64" s="199"/>
      <c r="D64" s="146"/>
      <c r="E64" s="319" t="s">
        <v>93</v>
      </c>
      <c r="F64" s="221"/>
      <c r="G64" s="222"/>
      <c r="H64" s="222"/>
      <c r="I64" s="222"/>
      <c r="J64" s="222"/>
      <c r="K64" s="222"/>
      <c r="L64" s="222"/>
      <c r="M64" s="331"/>
      <c r="N64" s="303">
        <f t="shared" si="66"/>
        <v>0</v>
      </c>
      <c r="O64" s="304"/>
      <c r="P64" s="341"/>
      <c r="Q64" s="305"/>
      <c r="R64" s="322" t="s">
        <v>67</v>
      </c>
      <c r="S64" s="326"/>
      <c r="T64" s="327"/>
      <c r="U64" s="327"/>
      <c r="V64" s="327"/>
      <c r="W64" s="327"/>
      <c r="X64" s="327"/>
      <c r="Y64" s="95"/>
      <c r="Z64" s="331"/>
      <c r="AA64" s="303">
        <f t="shared" si="67"/>
        <v>0</v>
      </c>
      <c r="AB64" s="314">
        <f t="shared" si="68"/>
        <v>0</v>
      </c>
      <c r="AC64" s="314"/>
      <c r="AD64" s="314">
        <f t="shared" si="21"/>
        <v>0</v>
      </c>
      <c r="AE64" s="325" t="s">
        <v>148</v>
      </c>
      <c r="AF64" s="15"/>
      <c r="AG64" s="232"/>
      <c r="AH64" s="232"/>
      <c r="AI64" s="232"/>
      <c r="AJ64" s="232"/>
      <c r="AK64" s="232"/>
      <c r="AL64" s="7"/>
      <c r="AM64" s="352"/>
      <c r="AN64" s="22">
        <f t="shared" si="41"/>
        <v>0</v>
      </c>
      <c r="AO64" s="15">
        <f t="shared" si="23"/>
        <v>0</v>
      </c>
      <c r="AP64" s="345"/>
      <c r="AQ64" s="7">
        <f t="shared" si="24"/>
        <v>0</v>
      </c>
      <c r="AR64" s="103"/>
      <c r="AS64" s="101"/>
      <c r="AT64" s="236"/>
      <c r="AU64" s="235"/>
      <c r="AV64" s="92"/>
      <c r="AW64" s="235"/>
      <c r="AX64" s="92"/>
      <c r="AY64" s="235"/>
      <c r="AZ64" s="92"/>
      <c r="BA64" s="17">
        <f t="shared" si="10"/>
        <v>6.3999999999999997E-6</v>
      </c>
      <c r="BB64" s="17">
        <f t="shared" si="11"/>
        <v>0</v>
      </c>
      <c r="BC64" s="17"/>
      <c r="BD64" s="218">
        <v>55</v>
      </c>
      <c r="BE64" s="87">
        <f t="shared" si="12"/>
        <v>3.7299999999999999E-5</v>
      </c>
      <c r="BF64" s="215">
        <f t="shared" si="13"/>
        <v>0</v>
      </c>
      <c r="BG64" s="245">
        <f t="shared" si="14"/>
        <v>6.3999999999999997E-6</v>
      </c>
      <c r="BH64" s="17">
        <f t="shared" si="25"/>
        <v>0</v>
      </c>
      <c r="BI64" s="218">
        <v>55</v>
      </c>
      <c r="BJ64" s="87">
        <f t="shared" si="15"/>
        <v>3.5599999999999998E-5</v>
      </c>
      <c r="BK64" s="215">
        <f t="shared" si="16"/>
        <v>0</v>
      </c>
      <c r="BL64" s="245">
        <f t="shared" si="26"/>
        <v>6.3999999999999997E-6</v>
      </c>
      <c r="BM64" s="17">
        <f t="shared" si="27"/>
        <v>0</v>
      </c>
      <c r="BN64" s="218">
        <v>55</v>
      </c>
      <c r="BO64" s="87">
        <f t="shared" si="17"/>
        <v>3.5599999999999998E-5</v>
      </c>
      <c r="BP64" s="215">
        <f t="shared" si="18"/>
        <v>0</v>
      </c>
      <c r="BR64" s="126"/>
      <c r="BS64" s="126"/>
      <c r="BU64" s="178"/>
      <c r="BV64" s="179" t="str">
        <f t="shared" si="28"/>
        <v/>
      </c>
      <c r="BW64" s="179" t="str">
        <f t="shared" si="29"/>
        <v/>
      </c>
      <c r="BX64" s="179" t="str">
        <f t="shared" si="30"/>
        <v/>
      </c>
      <c r="BY64" s="179" t="str">
        <f t="shared" si="31"/>
        <v/>
      </c>
      <c r="BZ64" s="179" t="str">
        <f t="shared" si="32"/>
        <v/>
      </c>
      <c r="CA64" s="179" t="str">
        <f t="shared" si="33"/>
        <v/>
      </c>
      <c r="CB64" s="179" t="str">
        <f t="shared" si="34"/>
        <v/>
      </c>
      <c r="CC64" s="179" t="str">
        <f t="shared" si="35"/>
        <v/>
      </c>
      <c r="CD64" s="179" t="str">
        <f t="shared" si="36"/>
        <v/>
      </c>
      <c r="CE64" s="179" t="str">
        <f t="shared" si="37"/>
        <v/>
      </c>
      <c r="CF64" s="179" t="str">
        <f t="shared" si="38"/>
        <v/>
      </c>
      <c r="CG64" s="179" t="str">
        <f t="shared" si="39"/>
        <v/>
      </c>
      <c r="CH64" s="166"/>
      <c r="CI64" s="166"/>
      <c r="CJ64" s="166"/>
      <c r="CK64" s="166"/>
      <c r="CL64" s="166"/>
    </row>
    <row r="65" spans="1:90" ht="14.25" customHeight="1" x14ac:dyDescent="0.25">
      <c r="A65" s="211">
        <v>55</v>
      </c>
      <c r="B65" s="219"/>
      <c r="C65" s="200"/>
      <c r="D65" s="145"/>
      <c r="E65" s="320" t="s">
        <v>93</v>
      </c>
      <c r="F65" s="209"/>
      <c r="G65" s="313"/>
      <c r="H65" s="313"/>
      <c r="I65" s="313"/>
      <c r="J65" s="313"/>
      <c r="K65" s="313"/>
      <c r="L65" s="313"/>
      <c r="M65" s="339"/>
      <c r="N65" s="233">
        <f t="shared" si="66"/>
        <v>0</v>
      </c>
      <c r="O65" s="306"/>
      <c r="P65" s="342"/>
      <c r="Q65" s="307"/>
      <c r="R65" s="323" t="s">
        <v>67</v>
      </c>
      <c r="S65" s="209"/>
      <c r="T65" s="313"/>
      <c r="U65" s="313"/>
      <c r="V65" s="313"/>
      <c r="W65" s="313"/>
      <c r="X65" s="313"/>
      <c r="Y65" s="125"/>
      <c r="Z65" s="339"/>
      <c r="AA65" s="233">
        <f t="shared" si="67"/>
        <v>0</v>
      </c>
      <c r="AB65" s="314">
        <f t="shared" si="68"/>
        <v>0</v>
      </c>
      <c r="AC65" s="314"/>
      <c r="AD65" s="314">
        <f t="shared" si="21"/>
        <v>0</v>
      </c>
      <c r="AE65" s="323" t="s">
        <v>87</v>
      </c>
      <c r="AF65" s="81"/>
      <c r="AG65" s="335"/>
      <c r="AH65" s="335"/>
      <c r="AI65" s="335"/>
      <c r="AJ65" s="335"/>
      <c r="AK65" s="335"/>
      <c r="AL65" s="336"/>
      <c r="AM65" s="353"/>
      <c r="AN65" s="22">
        <f t="shared" si="41"/>
        <v>0</v>
      </c>
      <c r="AO65" s="209">
        <f t="shared" si="23"/>
        <v>0</v>
      </c>
      <c r="AP65" s="339"/>
      <c r="AQ65" s="125">
        <f t="shared" si="24"/>
        <v>0</v>
      </c>
      <c r="AR65" s="104"/>
      <c r="AS65" s="217"/>
      <c r="AT65" s="216"/>
      <c r="AU65" s="230"/>
      <c r="AV65" s="220"/>
      <c r="AW65" s="230"/>
      <c r="AX65" s="220"/>
      <c r="AY65" s="230"/>
      <c r="AZ65" s="220"/>
      <c r="BA65" s="17">
        <f t="shared" si="10"/>
        <v>6.4999999999999996E-6</v>
      </c>
      <c r="BB65" s="17">
        <f t="shared" si="11"/>
        <v>0</v>
      </c>
      <c r="BC65" s="17"/>
      <c r="BD65" s="218">
        <v>56</v>
      </c>
      <c r="BE65" s="87">
        <f t="shared" si="12"/>
        <v>3.7199999999999996E-5</v>
      </c>
      <c r="BF65" s="215">
        <f t="shared" si="13"/>
        <v>0</v>
      </c>
      <c r="BG65" s="245">
        <f t="shared" si="14"/>
        <v>6.4999999999999996E-6</v>
      </c>
      <c r="BH65" s="17">
        <f t="shared" si="25"/>
        <v>0</v>
      </c>
      <c r="BI65" s="218">
        <v>56</v>
      </c>
      <c r="BJ65" s="87">
        <f t="shared" si="15"/>
        <v>3.5499999999999996E-5</v>
      </c>
      <c r="BK65" s="215">
        <f t="shared" si="16"/>
        <v>0</v>
      </c>
      <c r="BL65" s="245">
        <f t="shared" si="26"/>
        <v>6.4999999999999996E-6</v>
      </c>
      <c r="BM65" s="17">
        <f t="shared" si="27"/>
        <v>0</v>
      </c>
      <c r="BN65" s="218">
        <v>56</v>
      </c>
      <c r="BO65" s="87">
        <f t="shared" si="17"/>
        <v>3.5499999999999996E-5</v>
      </c>
      <c r="BP65" s="215">
        <f t="shared" si="18"/>
        <v>0</v>
      </c>
      <c r="BR65" s="126"/>
      <c r="BS65" s="126"/>
      <c r="BU65" s="178"/>
      <c r="BV65" s="179" t="str">
        <f t="shared" si="28"/>
        <v/>
      </c>
      <c r="BW65" s="179" t="str">
        <f t="shared" si="29"/>
        <v/>
      </c>
      <c r="BX65" s="179" t="str">
        <f t="shared" si="30"/>
        <v/>
      </c>
      <c r="BY65" s="179" t="str">
        <f t="shared" si="31"/>
        <v/>
      </c>
      <c r="BZ65" s="179" t="str">
        <f t="shared" si="32"/>
        <v/>
      </c>
      <c r="CA65" s="179" t="str">
        <f t="shared" si="33"/>
        <v/>
      </c>
      <c r="CB65" s="179" t="str">
        <f t="shared" si="34"/>
        <v/>
      </c>
      <c r="CC65" s="179" t="str">
        <f t="shared" si="35"/>
        <v/>
      </c>
      <c r="CD65" s="179" t="str">
        <f t="shared" si="36"/>
        <v/>
      </c>
      <c r="CE65" s="179" t="str">
        <f t="shared" si="37"/>
        <v/>
      </c>
      <c r="CF65" s="179" t="str">
        <f t="shared" si="38"/>
        <v/>
      </c>
      <c r="CG65" s="179" t="str">
        <f t="shared" si="39"/>
        <v/>
      </c>
      <c r="CH65" s="166"/>
      <c r="CI65" s="166"/>
      <c r="CJ65" s="166"/>
      <c r="CK65" s="166"/>
      <c r="CL65" s="166"/>
    </row>
    <row r="66" spans="1:90" ht="14.25" customHeight="1" thickBot="1" x14ac:dyDescent="0.3">
      <c r="A66" s="213">
        <v>56</v>
      </c>
      <c r="B66" s="88"/>
      <c r="C66" s="201"/>
      <c r="D66" s="94"/>
      <c r="E66" s="321" t="s">
        <v>93</v>
      </c>
      <c r="F66" s="96"/>
      <c r="G66" s="100"/>
      <c r="H66" s="100"/>
      <c r="I66" s="100"/>
      <c r="J66" s="100"/>
      <c r="K66" s="100"/>
      <c r="L66" s="100"/>
      <c r="M66" s="210"/>
      <c r="N66" s="234">
        <f t="shared" si="66"/>
        <v>0</v>
      </c>
      <c r="O66" s="308"/>
      <c r="P66" s="343"/>
      <c r="Q66" s="309"/>
      <c r="R66" s="324" t="s">
        <v>67</v>
      </c>
      <c r="S66" s="96"/>
      <c r="T66" s="100"/>
      <c r="U66" s="100"/>
      <c r="V66" s="100"/>
      <c r="W66" s="100"/>
      <c r="X66" s="100"/>
      <c r="Y66" s="97"/>
      <c r="Z66" s="210"/>
      <c r="AA66" s="234">
        <f t="shared" si="67"/>
        <v>0</v>
      </c>
      <c r="AB66" s="314">
        <f t="shared" si="68"/>
        <v>0</v>
      </c>
      <c r="AC66" s="314"/>
      <c r="AD66" s="314">
        <f t="shared" si="21"/>
        <v>0</v>
      </c>
      <c r="AE66" s="324" t="s">
        <v>87</v>
      </c>
      <c r="AF66" s="82"/>
      <c r="AG66" s="337"/>
      <c r="AH66" s="337"/>
      <c r="AI66" s="337"/>
      <c r="AJ66" s="337"/>
      <c r="AK66" s="337"/>
      <c r="AL66" s="338"/>
      <c r="AM66" s="354"/>
      <c r="AN66" s="91">
        <f t="shared" si="41"/>
        <v>0</v>
      </c>
      <c r="AO66" s="96">
        <f t="shared" si="23"/>
        <v>0</v>
      </c>
      <c r="AP66" s="210"/>
      <c r="AQ66" s="97">
        <f t="shared" si="24"/>
        <v>0</v>
      </c>
      <c r="AR66" s="105"/>
      <c r="AS66" s="102"/>
      <c r="AT66" s="237"/>
      <c r="AU66" s="231"/>
      <c r="AV66" s="93"/>
      <c r="AW66" s="231"/>
      <c r="AX66" s="93"/>
      <c r="AY66" s="231"/>
      <c r="AZ66" s="93"/>
      <c r="BA66" s="17">
        <f t="shared" si="10"/>
        <v>6.5999999999999995E-6</v>
      </c>
      <c r="BB66" s="17">
        <f t="shared" si="11"/>
        <v>0</v>
      </c>
      <c r="BC66" s="17"/>
      <c r="BD66" s="218">
        <v>57</v>
      </c>
      <c r="BE66" s="87">
        <f t="shared" si="12"/>
        <v>3.7100000000000001E-5</v>
      </c>
      <c r="BF66" s="215">
        <f t="shared" si="13"/>
        <v>0</v>
      </c>
      <c r="BG66" s="245">
        <f t="shared" si="14"/>
        <v>6.5999999999999995E-6</v>
      </c>
      <c r="BH66" s="17">
        <f t="shared" si="25"/>
        <v>0</v>
      </c>
      <c r="BI66" s="218">
        <v>57</v>
      </c>
      <c r="BJ66" s="87">
        <f t="shared" si="15"/>
        <v>3.54E-5</v>
      </c>
      <c r="BK66" s="215">
        <f t="shared" si="16"/>
        <v>0</v>
      </c>
      <c r="BL66" s="245">
        <f t="shared" si="26"/>
        <v>6.5999999999999995E-6</v>
      </c>
      <c r="BM66" s="17">
        <f t="shared" si="27"/>
        <v>0</v>
      </c>
      <c r="BN66" s="218">
        <v>57</v>
      </c>
      <c r="BO66" s="87">
        <f t="shared" si="17"/>
        <v>3.54E-5</v>
      </c>
      <c r="BP66" s="215">
        <f t="shared" si="18"/>
        <v>0</v>
      </c>
      <c r="BR66" s="126"/>
      <c r="BS66" s="126"/>
      <c r="BU66" s="178"/>
      <c r="BV66" s="179" t="str">
        <f t="shared" si="28"/>
        <v/>
      </c>
      <c r="BW66" s="179" t="str">
        <f t="shared" si="29"/>
        <v/>
      </c>
      <c r="BX66" s="179" t="str">
        <f t="shared" si="30"/>
        <v/>
      </c>
      <c r="BY66" s="179" t="str">
        <f t="shared" si="31"/>
        <v/>
      </c>
      <c r="BZ66" s="179" t="str">
        <f t="shared" si="32"/>
        <v/>
      </c>
      <c r="CA66" s="179" t="str">
        <f t="shared" si="33"/>
        <v/>
      </c>
      <c r="CB66" s="179" t="str">
        <f t="shared" si="34"/>
        <v/>
      </c>
      <c r="CC66" s="179" t="str">
        <f t="shared" si="35"/>
        <v/>
      </c>
      <c r="CD66" s="179" t="str">
        <f t="shared" si="36"/>
        <v/>
      </c>
      <c r="CE66" s="179" t="str">
        <f t="shared" si="37"/>
        <v/>
      </c>
      <c r="CF66" s="179" t="str">
        <f t="shared" si="38"/>
        <v/>
      </c>
      <c r="CG66" s="179" t="str">
        <f t="shared" si="39"/>
        <v/>
      </c>
      <c r="CH66" s="166"/>
      <c r="CI66" s="166"/>
      <c r="CJ66" s="166"/>
      <c r="CK66" s="166"/>
      <c r="CL66" s="166"/>
    </row>
    <row r="67" spans="1:90" ht="14.25" customHeight="1" x14ac:dyDescent="0.25">
      <c r="A67" s="211">
        <v>57</v>
      </c>
      <c r="B67" s="89"/>
      <c r="C67" s="199"/>
      <c r="D67" s="146"/>
      <c r="E67" s="319" t="s">
        <v>93</v>
      </c>
      <c r="F67" s="221"/>
      <c r="G67" s="222"/>
      <c r="H67" s="222"/>
      <c r="I67" s="222"/>
      <c r="J67" s="222"/>
      <c r="K67" s="222"/>
      <c r="L67" s="222"/>
      <c r="M67" s="331"/>
      <c r="N67" s="303">
        <f t="shared" si="66"/>
        <v>0</v>
      </c>
      <c r="O67" s="304"/>
      <c r="P67" s="341"/>
      <c r="Q67" s="305"/>
      <c r="R67" s="322" t="s">
        <v>67</v>
      </c>
      <c r="S67" s="326"/>
      <c r="T67" s="327"/>
      <c r="U67" s="327"/>
      <c r="V67" s="327"/>
      <c r="W67" s="327"/>
      <c r="X67" s="327"/>
      <c r="Y67" s="95"/>
      <c r="Z67" s="331"/>
      <c r="AA67" s="303">
        <f t="shared" si="67"/>
        <v>0</v>
      </c>
      <c r="AB67" s="314">
        <f t="shared" si="68"/>
        <v>0</v>
      </c>
      <c r="AC67" s="314"/>
      <c r="AD67" s="314">
        <f t="shared" si="21"/>
        <v>0</v>
      </c>
      <c r="AE67" s="325" t="s">
        <v>148</v>
      </c>
      <c r="AF67" s="15"/>
      <c r="AG67" s="232"/>
      <c r="AH67" s="232"/>
      <c r="AI67" s="232"/>
      <c r="AJ67" s="232"/>
      <c r="AK67" s="232"/>
      <c r="AL67" s="7"/>
      <c r="AM67" s="352"/>
      <c r="AN67" s="22">
        <f t="shared" si="41"/>
        <v>0</v>
      </c>
      <c r="AO67" s="15">
        <f t="shared" si="23"/>
        <v>0</v>
      </c>
      <c r="AP67" s="345"/>
      <c r="AQ67" s="7">
        <f t="shared" si="24"/>
        <v>0</v>
      </c>
      <c r="AR67" s="103"/>
      <c r="AS67" s="101"/>
      <c r="AT67" s="236"/>
      <c r="AU67" s="235"/>
      <c r="AV67" s="92"/>
      <c r="AW67" s="235"/>
      <c r="AX67" s="92"/>
      <c r="AY67" s="235"/>
      <c r="AZ67" s="92"/>
      <c r="BA67" s="17">
        <f t="shared" si="10"/>
        <v>6.6999999999999994E-6</v>
      </c>
      <c r="BB67" s="17">
        <f t="shared" si="11"/>
        <v>0</v>
      </c>
      <c r="BC67" s="17"/>
      <c r="BD67" s="218">
        <v>58</v>
      </c>
      <c r="BE67" s="87">
        <f t="shared" si="12"/>
        <v>3.6999999999999998E-5</v>
      </c>
      <c r="BF67" s="215">
        <f t="shared" si="13"/>
        <v>0</v>
      </c>
      <c r="BG67" s="245">
        <f t="shared" si="14"/>
        <v>6.6999999999999994E-6</v>
      </c>
      <c r="BH67" s="17">
        <f t="shared" si="25"/>
        <v>0</v>
      </c>
      <c r="BI67" s="218">
        <v>58</v>
      </c>
      <c r="BJ67" s="87">
        <f t="shared" si="15"/>
        <v>3.5299999999999997E-5</v>
      </c>
      <c r="BK67" s="215">
        <f t="shared" si="16"/>
        <v>0</v>
      </c>
      <c r="BL67" s="245">
        <f t="shared" si="26"/>
        <v>6.6999999999999994E-6</v>
      </c>
      <c r="BM67" s="17">
        <f t="shared" si="27"/>
        <v>0</v>
      </c>
      <c r="BN67" s="218">
        <v>58</v>
      </c>
      <c r="BO67" s="87">
        <f t="shared" si="17"/>
        <v>3.5299999999999997E-5</v>
      </c>
      <c r="BP67" s="215">
        <f t="shared" si="18"/>
        <v>0</v>
      </c>
      <c r="BR67" s="126"/>
      <c r="BS67" s="126"/>
      <c r="BU67" s="178"/>
      <c r="BV67" s="179" t="str">
        <f t="shared" si="28"/>
        <v/>
      </c>
      <c r="BW67" s="179" t="str">
        <f t="shared" si="29"/>
        <v/>
      </c>
      <c r="BX67" s="179" t="str">
        <f t="shared" si="30"/>
        <v/>
      </c>
      <c r="BY67" s="179" t="str">
        <f t="shared" si="31"/>
        <v/>
      </c>
      <c r="BZ67" s="179" t="str">
        <f t="shared" si="32"/>
        <v/>
      </c>
      <c r="CA67" s="179" t="str">
        <f t="shared" si="33"/>
        <v/>
      </c>
      <c r="CB67" s="179" t="str">
        <f t="shared" si="34"/>
        <v/>
      </c>
      <c r="CC67" s="179" t="str">
        <f t="shared" si="35"/>
        <v/>
      </c>
      <c r="CD67" s="179" t="str">
        <f t="shared" si="36"/>
        <v/>
      </c>
      <c r="CE67" s="179" t="str">
        <f t="shared" si="37"/>
        <v/>
      </c>
      <c r="CF67" s="179" t="str">
        <f t="shared" si="38"/>
        <v/>
      </c>
      <c r="CG67" s="179" t="str">
        <f t="shared" si="39"/>
        <v/>
      </c>
      <c r="CH67" s="166"/>
      <c r="CI67" s="166"/>
      <c r="CJ67" s="166"/>
      <c r="CK67" s="166"/>
      <c r="CL67" s="166"/>
    </row>
    <row r="68" spans="1:90" ht="14.25" customHeight="1" thickBot="1" x14ac:dyDescent="0.3">
      <c r="A68" s="213">
        <v>58</v>
      </c>
      <c r="B68" s="219"/>
      <c r="C68" s="200"/>
      <c r="D68" s="145"/>
      <c r="E68" s="320" t="s">
        <v>93</v>
      </c>
      <c r="F68" s="209"/>
      <c r="G68" s="313"/>
      <c r="H68" s="313"/>
      <c r="I68" s="313"/>
      <c r="J68" s="313"/>
      <c r="K68" s="313"/>
      <c r="L68" s="313"/>
      <c r="M68" s="339"/>
      <c r="N68" s="233">
        <f t="shared" si="66"/>
        <v>0</v>
      </c>
      <c r="O68" s="306"/>
      <c r="P68" s="342"/>
      <c r="Q68" s="307"/>
      <c r="R68" s="323" t="s">
        <v>67</v>
      </c>
      <c r="S68" s="209"/>
      <c r="T68" s="313"/>
      <c r="U68" s="313"/>
      <c r="V68" s="313"/>
      <c r="W68" s="313"/>
      <c r="X68" s="313"/>
      <c r="Y68" s="125"/>
      <c r="Z68" s="339"/>
      <c r="AA68" s="233">
        <f t="shared" si="67"/>
        <v>0</v>
      </c>
      <c r="AB68" s="314">
        <f t="shared" si="68"/>
        <v>0</v>
      </c>
      <c r="AC68" s="314"/>
      <c r="AD68" s="314">
        <f t="shared" si="21"/>
        <v>0</v>
      </c>
      <c r="AE68" s="323" t="s">
        <v>87</v>
      </c>
      <c r="AF68" s="81"/>
      <c r="AG68" s="335"/>
      <c r="AH68" s="335"/>
      <c r="AI68" s="335"/>
      <c r="AJ68" s="335"/>
      <c r="AK68" s="335"/>
      <c r="AL68" s="336"/>
      <c r="AM68" s="353"/>
      <c r="AN68" s="22">
        <f t="shared" si="41"/>
        <v>0</v>
      </c>
      <c r="AO68" s="209">
        <f t="shared" si="23"/>
        <v>0</v>
      </c>
      <c r="AP68" s="339"/>
      <c r="AQ68" s="125">
        <f t="shared" si="24"/>
        <v>0</v>
      </c>
      <c r="AR68" s="104"/>
      <c r="AS68" s="217"/>
      <c r="AT68" s="216"/>
      <c r="AU68" s="230"/>
      <c r="AV68" s="220"/>
      <c r="AW68" s="230"/>
      <c r="AX68" s="220"/>
      <c r="AY68" s="230"/>
      <c r="AZ68" s="220"/>
      <c r="BA68" s="17">
        <f t="shared" si="10"/>
        <v>6.7999999999999993E-6</v>
      </c>
      <c r="BB68" s="17">
        <f t="shared" si="11"/>
        <v>0</v>
      </c>
      <c r="BC68" s="17"/>
      <c r="BD68" s="218">
        <v>59</v>
      </c>
      <c r="BE68" s="87">
        <f t="shared" si="12"/>
        <v>3.6899999999999996E-5</v>
      </c>
      <c r="BF68" s="215">
        <f t="shared" si="13"/>
        <v>0</v>
      </c>
      <c r="BG68" s="245">
        <f t="shared" si="14"/>
        <v>6.7999999999999993E-6</v>
      </c>
      <c r="BH68" s="17">
        <f t="shared" si="25"/>
        <v>0</v>
      </c>
      <c r="BI68" s="218">
        <v>59</v>
      </c>
      <c r="BJ68" s="87">
        <f t="shared" si="15"/>
        <v>3.5200000000000002E-5</v>
      </c>
      <c r="BK68" s="215">
        <f t="shared" si="16"/>
        <v>0</v>
      </c>
      <c r="BL68" s="245">
        <f t="shared" si="26"/>
        <v>6.7999999999999993E-6</v>
      </c>
      <c r="BM68" s="17">
        <f t="shared" si="27"/>
        <v>0</v>
      </c>
      <c r="BN68" s="218">
        <v>59</v>
      </c>
      <c r="BO68" s="87">
        <f t="shared" si="17"/>
        <v>3.5200000000000002E-5</v>
      </c>
      <c r="BP68" s="215">
        <f t="shared" si="18"/>
        <v>0</v>
      </c>
      <c r="BR68" s="126"/>
      <c r="BS68" s="126"/>
      <c r="BU68" s="178"/>
      <c r="BV68" s="179" t="str">
        <f t="shared" si="28"/>
        <v/>
      </c>
      <c r="BW68" s="179" t="str">
        <f t="shared" si="29"/>
        <v/>
      </c>
      <c r="BX68" s="179" t="str">
        <f t="shared" si="30"/>
        <v/>
      </c>
      <c r="BY68" s="179" t="str">
        <f t="shared" si="31"/>
        <v/>
      </c>
      <c r="BZ68" s="179" t="str">
        <f t="shared" si="32"/>
        <v/>
      </c>
      <c r="CA68" s="179" t="str">
        <f t="shared" si="33"/>
        <v/>
      </c>
      <c r="CB68" s="179" t="str">
        <f t="shared" si="34"/>
        <v/>
      </c>
      <c r="CC68" s="179" t="str">
        <f t="shared" si="35"/>
        <v/>
      </c>
      <c r="CD68" s="179" t="str">
        <f t="shared" si="36"/>
        <v/>
      </c>
      <c r="CE68" s="179" t="str">
        <f t="shared" si="37"/>
        <v/>
      </c>
      <c r="CF68" s="179" t="str">
        <f t="shared" si="38"/>
        <v/>
      </c>
      <c r="CG68" s="179" t="str">
        <f t="shared" si="39"/>
        <v/>
      </c>
      <c r="CH68" s="166"/>
      <c r="CI68" s="166"/>
      <c r="CJ68" s="166"/>
      <c r="CK68" s="166"/>
      <c r="CL68" s="166"/>
    </row>
    <row r="69" spans="1:90" ht="14.25" customHeight="1" thickBot="1" x14ac:dyDescent="0.3">
      <c r="A69" s="211">
        <v>59</v>
      </c>
      <c r="B69" s="88"/>
      <c r="C69" s="201"/>
      <c r="D69" s="94"/>
      <c r="E69" s="321" t="s">
        <v>93</v>
      </c>
      <c r="F69" s="96"/>
      <c r="G69" s="100"/>
      <c r="H69" s="100"/>
      <c r="I69" s="100"/>
      <c r="J69" s="100"/>
      <c r="K69" s="100"/>
      <c r="L69" s="100"/>
      <c r="M69" s="210"/>
      <c r="N69" s="234">
        <f t="shared" si="66"/>
        <v>0</v>
      </c>
      <c r="O69" s="308"/>
      <c r="P69" s="343"/>
      <c r="Q69" s="309"/>
      <c r="R69" s="324" t="s">
        <v>67</v>
      </c>
      <c r="S69" s="96"/>
      <c r="T69" s="100"/>
      <c r="U69" s="100"/>
      <c r="V69" s="100"/>
      <c r="W69" s="100"/>
      <c r="X69" s="100"/>
      <c r="Y69" s="97"/>
      <c r="Z69" s="210"/>
      <c r="AA69" s="234">
        <f t="shared" si="67"/>
        <v>0</v>
      </c>
      <c r="AB69" s="314">
        <f t="shared" si="68"/>
        <v>0</v>
      </c>
      <c r="AC69" s="314"/>
      <c r="AD69" s="314">
        <f t="shared" si="21"/>
        <v>0</v>
      </c>
      <c r="AE69" s="324" t="s">
        <v>87</v>
      </c>
      <c r="AF69" s="82"/>
      <c r="AG69" s="337"/>
      <c r="AH69" s="337"/>
      <c r="AI69" s="337"/>
      <c r="AJ69" s="337"/>
      <c r="AK69" s="337"/>
      <c r="AL69" s="338"/>
      <c r="AM69" s="354"/>
      <c r="AN69" s="91">
        <f t="shared" si="41"/>
        <v>0</v>
      </c>
      <c r="AO69" s="96">
        <f t="shared" si="23"/>
        <v>0</v>
      </c>
      <c r="AP69" s="210"/>
      <c r="AQ69" s="97">
        <f t="shared" si="24"/>
        <v>0</v>
      </c>
      <c r="AR69" s="105"/>
      <c r="AS69" s="102"/>
      <c r="AT69" s="237"/>
      <c r="AU69" s="231"/>
      <c r="AV69" s="93"/>
      <c r="AW69" s="231"/>
      <c r="AX69" s="93"/>
      <c r="AY69" s="231"/>
      <c r="AZ69" s="93"/>
      <c r="BA69" s="17">
        <f t="shared" si="10"/>
        <v>6.9E-6</v>
      </c>
      <c r="BB69" s="17">
        <f t="shared" si="11"/>
        <v>0</v>
      </c>
      <c r="BC69" s="17"/>
      <c r="BD69" s="218">
        <v>60</v>
      </c>
      <c r="BE69" s="87">
        <f t="shared" si="12"/>
        <v>3.68E-5</v>
      </c>
      <c r="BF69" s="215">
        <f t="shared" si="13"/>
        <v>0</v>
      </c>
      <c r="BG69" s="245">
        <f t="shared" si="14"/>
        <v>6.9E-6</v>
      </c>
      <c r="BH69" s="17">
        <f t="shared" si="25"/>
        <v>0</v>
      </c>
      <c r="BI69" s="218">
        <v>60</v>
      </c>
      <c r="BJ69" s="87">
        <f t="shared" si="15"/>
        <v>3.5099999999999999E-5</v>
      </c>
      <c r="BK69" s="215">
        <f t="shared" si="16"/>
        <v>0</v>
      </c>
      <c r="BL69" s="245">
        <f t="shared" si="26"/>
        <v>6.9E-6</v>
      </c>
      <c r="BM69" s="17">
        <f t="shared" si="27"/>
        <v>0</v>
      </c>
      <c r="BN69" s="218">
        <v>60</v>
      </c>
      <c r="BO69" s="87">
        <f t="shared" si="17"/>
        <v>3.5099999999999999E-5</v>
      </c>
      <c r="BP69" s="215">
        <f t="shared" si="18"/>
        <v>0</v>
      </c>
      <c r="BR69" s="126"/>
      <c r="BS69" s="126"/>
      <c r="BU69" s="178"/>
      <c r="BV69" s="179" t="str">
        <f t="shared" si="28"/>
        <v/>
      </c>
      <c r="BW69" s="179" t="str">
        <f t="shared" si="29"/>
        <v/>
      </c>
      <c r="BX69" s="179" t="str">
        <f t="shared" si="30"/>
        <v/>
      </c>
      <c r="BY69" s="179" t="str">
        <f t="shared" si="31"/>
        <v/>
      </c>
      <c r="BZ69" s="179" t="str">
        <f t="shared" si="32"/>
        <v/>
      </c>
      <c r="CA69" s="179" t="str">
        <f t="shared" si="33"/>
        <v/>
      </c>
      <c r="CB69" s="179" t="str">
        <f t="shared" si="34"/>
        <v/>
      </c>
      <c r="CC69" s="179" t="str">
        <f t="shared" si="35"/>
        <v/>
      </c>
      <c r="CD69" s="179" t="str">
        <f t="shared" si="36"/>
        <v/>
      </c>
      <c r="CE69" s="179" t="str">
        <f t="shared" si="37"/>
        <v/>
      </c>
      <c r="CF69" s="179" t="str">
        <f t="shared" si="38"/>
        <v/>
      </c>
      <c r="CG69" s="179" t="str">
        <f t="shared" si="39"/>
        <v/>
      </c>
      <c r="CH69" s="166"/>
      <c r="CI69" s="166"/>
      <c r="CJ69" s="166"/>
      <c r="CK69" s="166"/>
      <c r="CL69" s="166"/>
    </row>
    <row r="70" spans="1:90" ht="14.25" customHeight="1" thickBot="1" x14ac:dyDescent="0.3">
      <c r="A70" s="213">
        <v>60</v>
      </c>
      <c r="B70" s="89"/>
      <c r="C70" s="199"/>
      <c r="D70" s="146"/>
      <c r="E70" s="319" t="s">
        <v>93</v>
      </c>
      <c r="F70" s="221"/>
      <c r="G70" s="222"/>
      <c r="H70" s="222"/>
      <c r="I70" s="222"/>
      <c r="J70" s="222"/>
      <c r="K70" s="222"/>
      <c r="L70" s="222"/>
      <c r="M70" s="331"/>
      <c r="N70" s="303">
        <f t="shared" si="66"/>
        <v>0</v>
      </c>
      <c r="O70" s="304"/>
      <c r="P70" s="341"/>
      <c r="Q70" s="305"/>
      <c r="R70" s="322" t="s">
        <v>67</v>
      </c>
      <c r="S70" s="326"/>
      <c r="T70" s="327"/>
      <c r="U70" s="327"/>
      <c r="V70" s="327"/>
      <c r="W70" s="327"/>
      <c r="X70" s="327"/>
      <c r="Y70" s="95"/>
      <c r="Z70" s="331"/>
      <c r="AA70" s="303">
        <f t="shared" si="67"/>
        <v>0</v>
      </c>
      <c r="AB70" s="314">
        <f t="shared" si="68"/>
        <v>0</v>
      </c>
      <c r="AC70" s="314"/>
      <c r="AD70" s="314">
        <f t="shared" si="21"/>
        <v>0</v>
      </c>
      <c r="AE70" s="325" t="s">
        <v>148</v>
      </c>
      <c r="AF70" s="15"/>
      <c r="AG70" s="232"/>
      <c r="AH70" s="232"/>
      <c r="AI70" s="232"/>
      <c r="AJ70" s="232"/>
      <c r="AK70" s="232"/>
      <c r="AL70" s="7"/>
      <c r="AM70" s="352"/>
      <c r="AN70" s="22">
        <f t="shared" si="41"/>
        <v>0</v>
      </c>
      <c r="AO70" s="15">
        <f t="shared" si="23"/>
        <v>0</v>
      </c>
      <c r="AP70" s="345"/>
      <c r="AQ70" s="7">
        <f t="shared" si="24"/>
        <v>0</v>
      </c>
      <c r="AR70" s="103"/>
      <c r="AS70" s="101"/>
      <c r="AT70" s="236"/>
      <c r="AU70" s="235"/>
      <c r="AV70" s="92"/>
      <c r="AW70" s="235"/>
      <c r="AX70" s="92"/>
      <c r="AY70" s="235"/>
      <c r="AZ70" s="92"/>
      <c r="BA70" s="17">
        <f t="shared" si="10"/>
        <v>6.9999999999999999E-6</v>
      </c>
      <c r="BB70" s="17">
        <f t="shared" si="11"/>
        <v>0</v>
      </c>
      <c r="BC70" s="17"/>
      <c r="BD70" s="218">
        <v>61</v>
      </c>
      <c r="BE70" s="87">
        <f t="shared" si="12"/>
        <v>3.6699999999999998E-5</v>
      </c>
      <c r="BF70" s="215">
        <f t="shared" si="13"/>
        <v>0</v>
      </c>
      <c r="BG70" s="245">
        <f t="shared" si="14"/>
        <v>6.9999999999999999E-6</v>
      </c>
      <c r="BH70" s="17">
        <f t="shared" si="25"/>
        <v>0</v>
      </c>
      <c r="BI70" s="218">
        <v>61</v>
      </c>
      <c r="BJ70" s="87">
        <f t="shared" si="15"/>
        <v>3.4999999999999997E-5</v>
      </c>
      <c r="BK70" s="215">
        <f t="shared" si="16"/>
        <v>0</v>
      </c>
      <c r="BL70" s="245">
        <f t="shared" si="26"/>
        <v>6.9999999999999999E-6</v>
      </c>
      <c r="BM70" s="17">
        <f t="shared" si="27"/>
        <v>0</v>
      </c>
      <c r="BN70" s="218">
        <v>61</v>
      </c>
      <c r="BO70" s="87">
        <f t="shared" si="17"/>
        <v>3.4999999999999997E-5</v>
      </c>
      <c r="BP70" s="215">
        <f t="shared" si="18"/>
        <v>0</v>
      </c>
      <c r="BR70" s="126"/>
      <c r="BS70" s="126"/>
      <c r="BU70" s="178"/>
      <c r="BV70" s="179" t="str">
        <f t="shared" si="28"/>
        <v/>
      </c>
      <c r="BW70" s="179" t="str">
        <f t="shared" si="29"/>
        <v/>
      </c>
      <c r="BX70" s="179" t="str">
        <f t="shared" si="30"/>
        <v/>
      </c>
      <c r="BY70" s="179" t="str">
        <f t="shared" si="31"/>
        <v/>
      </c>
      <c r="BZ70" s="179" t="str">
        <f t="shared" si="32"/>
        <v/>
      </c>
      <c r="CA70" s="179" t="str">
        <f t="shared" si="33"/>
        <v/>
      </c>
      <c r="CB70" s="179" t="str">
        <f t="shared" si="34"/>
        <v/>
      </c>
      <c r="CC70" s="179" t="str">
        <f t="shared" si="35"/>
        <v/>
      </c>
      <c r="CD70" s="179" t="str">
        <f t="shared" si="36"/>
        <v/>
      </c>
      <c r="CE70" s="179" t="str">
        <f t="shared" si="37"/>
        <v/>
      </c>
      <c r="CF70" s="179" t="str">
        <f t="shared" si="38"/>
        <v/>
      </c>
      <c r="CG70" s="179" t="str">
        <f t="shared" si="39"/>
        <v/>
      </c>
      <c r="CH70" s="166"/>
      <c r="CI70" s="166"/>
      <c r="CJ70" s="166"/>
      <c r="CK70" s="166"/>
      <c r="CL70" s="166"/>
    </row>
    <row r="71" spans="1:90" ht="14.25" customHeight="1" x14ac:dyDescent="0.25">
      <c r="A71" s="211">
        <v>61</v>
      </c>
      <c r="B71" s="219"/>
      <c r="C71" s="200"/>
      <c r="D71" s="145"/>
      <c r="E71" s="320" t="s">
        <v>93</v>
      </c>
      <c r="F71" s="209"/>
      <c r="G71" s="313"/>
      <c r="H71" s="313"/>
      <c r="I71" s="313"/>
      <c r="J71" s="313"/>
      <c r="K71" s="313"/>
      <c r="L71" s="313"/>
      <c r="M71" s="339"/>
      <c r="N71" s="233">
        <f t="shared" si="66"/>
        <v>0</v>
      </c>
      <c r="O71" s="306"/>
      <c r="P71" s="342"/>
      <c r="Q71" s="307"/>
      <c r="R71" s="323" t="s">
        <v>67</v>
      </c>
      <c r="S71" s="209"/>
      <c r="T71" s="313"/>
      <c r="U71" s="313"/>
      <c r="V71" s="313"/>
      <c r="W71" s="313"/>
      <c r="X71" s="313"/>
      <c r="Y71" s="125"/>
      <c r="Z71" s="339"/>
      <c r="AA71" s="233">
        <f t="shared" si="67"/>
        <v>0</v>
      </c>
      <c r="AB71" s="314">
        <f t="shared" si="68"/>
        <v>0</v>
      </c>
      <c r="AC71" s="314"/>
      <c r="AD71" s="314">
        <f t="shared" si="21"/>
        <v>0</v>
      </c>
      <c r="AE71" s="323" t="s">
        <v>87</v>
      </c>
      <c r="AF71" s="81"/>
      <c r="AG71" s="335"/>
      <c r="AH71" s="335"/>
      <c r="AI71" s="335"/>
      <c r="AJ71" s="335"/>
      <c r="AK71" s="335"/>
      <c r="AL71" s="336"/>
      <c r="AM71" s="353"/>
      <c r="AN71" s="22">
        <f t="shared" si="41"/>
        <v>0</v>
      </c>
      <c r="AO71" s="209">
        <f t="shared" si="23"/>
        <v>0</v>
      </c>
      <c r="AP71" s="339"/>
      <c r="AQ71" s="125">
        <f t="shared" si="24"/>
        <v>0</v>
      </c>
      <c r="AR71" s="104"/>
      <c r="AS71" s="217"/>
      <c r="AT71" s="216"/>
      <c r="AU71" s="230"/>
      <c r="AV71" s="220"/>
      <c r="AW71" s="230"/>
      <c r="AX71" s="220"/>
      <c r="AY71" s="230"/>
      <c r="AZ71" s="220"/>
      <c r="BA71" s="17">
        <f t="shared" si="10"/>
        <v>7.0999999999999998E-6</v>
      </c>
      <c r="BB71" s="17">
        <f t="shared" si="11"/>
        <v>0</v>
      </c>
      <c r="BC71" s="17"/>
      <c r="BD71" s="218">
        <v>62</v>
      </c>
      <c r="BE71" s="87">
        <f t="shared" si="12"/>
        <v>3.6599999999999995E-5</v>
      </c>
      <c r="BF71" s="215">
        <f t="shared" si="13"/>
        <v>0</v>
      </c>
      <c r="BG71" s="245">
        <f t="shared" si="14"/>
        <v>7.0999999999999998E-6</v>
      </c>
      <c r="BH71" s="17">
        <f t="shared" si="25"/>
        <v>0</v>
      </c>
      <c r="BI71" s="218">
        <v>62</v>
      </c>
      <c r="BJ71" s="87">
        <f t="shared" si="15"/>
        <v>3.4900000000000001E-5</v>
      </c>
      <c r="BK71" s="215">
        <f t="shared" si="16"/>
        <v>0</v>
      </c>
      <c r="BL71" s="245">
        <f t="shared" si="26"/>
        <v>7.0999999999999998E-6</v>
      </c>
      <c r="BM71" s="17">
        <f t="shared" si="27"/>
        <v>0</v>
      </c>
      <c r="BN71" s="218">
        <v>62</v>
      </c>
      <c r="BO71" s="87">
        <f t="shared" si="17"/>
        <v>3.4900000000000001E-5</v>
      </c>
      <c r="BP71" s="215">
        <f t="shared" si="18"/>
        <v>0</v>
      </c>
      <c r="BR71" s="126"/>
      <c r="BS71" s="126"/>
      <c r="BU71" s="178"/>
      <c r="BV71" s="179" t="str">
        <f t="shared" si="28"/>
        <v/>
      </c>
      <c r="BW71" s="179" t="str">
        <f t="shared" si="29"/>
        <v/>
      </c>
      <c r="BX71" s="179" t="str">
        <f t="shared" si="30"/>
        <v/>
      </c>
      <c r="BY71" s="179" t="str">
        <f t="shared" si="31"/>
        <v/>
      </c>
      <c r="BZ71" s="179" t="str">
        <f t="shared" si="32"/>
        <v/>
      </c>
      <c r="CA71" s="179" t="str">
        <f t="shared" si="33"/>
        <v/>
      </c>
      <c r="CB71" s="179" t="str">
        <f t="shared" si="34"/>
        <v/>
      </c>
      <c r="CC71" s="179" t="str">
        <f t="shared" si="35"/>
        <v/>
      </c>
      <c r="CD71" s="179" t="str">
        <f t="shared" si="36"/>
        <v/>
      </c>
      <c r="CE71" s="179" t="str">
        <f t="shared" si="37"/>
        <v/>
      </c>
      <c r="CF71" s="179" t="str">
        <f t="shared" si="38"/>
        <v/>
      </c>
      <c r="CG71" s="179" t="str">
        <f t="shared" si="39"/>
        <v/>
      </c>
      <c r="CH71" s="166"/>
      <c r="CI71" s="166"/>
      <c r="CJ71" s="166"/>
      <c r="CK71" s="166"/>
      <c r="CL71" s="166"/>
    </row>
    <row r="72" spans="1:90" ht="14.25" customHeight="1" thickBot="1" x14ac:dyDescent="0.3">
      <c r="A72" s="213">
        <v>62</v>
      </c>
      <c r="B72" s="88"/>
      <c r="C72" s="201"/>
      <c r="D72" s="94"/>
      <c r="E72" s="321" t="s">
        <v>93</v>
      </c>
      <c r="F72" s="96"/>
      <c r="G72" s="100"/>
      <c r="H72" s="100"/>
      <c r="I72" s="100"/>
      <c r="J72" s="100"/>
      <c r="K72" s="100"/>
      <c r="L72" s="100"/>
      <c r="M72" s="210"/>
      <c r="N72" s="234">
        <f t="shared" si="66"/>
        <v>0</v>
      </c>
      <c r="O72" s="308"/>
      <c r="P72" s="343"/>
      <c r="Q72" s="309"/>
      <c r="R72" s="324" t="s">
        <v>67</v>
      </c>
      <c r="S72" s="96"/>
      <c r="T72" s="100"/>
      <c r="U72" s="100"/>
      <c r="V72" s="100"/>
      <c r="W72" s="100"/>
      <c r="X72" s="100"/>
      <c r="Y72" s="97"/>
      <c r="Z72" s="210"/>
      <c r="AA72" s="234">
        <f t="shared" si="67"/>
        <v>0</v>
      </c>
      <c r="AB72" s="314">
        <f t="shared" si="68"/>
        <v>0</v>
      </c>
      <c r="AC72" s="314"/>
      <c r="AD72" s="314">
        <f t="shared" si="21"/>
        <v>0</v>
      </c>
      <c r="AE72" s="324" t="s">
        <v>87</v>
      </c>
      <c r="AF72" s="82"/>
      <c r="AG72" s="337"/>
      <c r="AH72" s="337"/>
      <c r="AI72" s="337"/>
      <c r="AJ72" s="337"/>
      <c r="AK72" s="337"/>
      <c r="AL72" s="338"/>
      <c r="AM72" s="354"/>
      <c r="AN72" s="91">
        <f t="shared" si="41"/>
        <v>0</v>
      </c>
      <c r="AO72" s="96">
        <f t="shared" si="23"/>
        <v>0</v>
      </c>
      <c r="AP72" s="210"/>
      <c r="AQ72" s="97">
        <f t="shared" si="24"/>
        <v>0</v>
      </c>
      <c r="AR72" s="105"/>
      <c r="AS72" s="102"/>
      <c r="AT72" s="237"/>
      <c r="AU72" s="231"/>
      <c r="AV72" s="93"/>
      <c r="AW72" s="231"/>
      <c r="AX72" s="93"/>
      <c r="AY72" s="231"/>
      <c r="AZ72" s="93"/>
      <c r="BA72" s="17">
        <f t="shared" si="10"/>
        <v>7.1999999999999997E-6</v>
      </c>
      <c r="BB72" s="17">
        <f t="shared" si="11"/>
        <v>0</v>
      </c>
      <c r="BC72" s="17"/>
      <c r="BD72" s="218">
        <v>63</v>
      </c>
      <c r="BE72" s="87">
        <f t="shared" si="12"/>
        <v>3.65E-5</v>
      </c>
      <c r="BF72" s="215">
        <f t="shared" si="13"/>
        <v>0</v>
      </c>
      <c r="BG72" s="245">
        <f t="shared" si="14"/>
        <v>7.1999999999999997E-6</v>
      </c>
      <c r="BH72" s="17">
        <f t="shared" si="25"/>
        <v>0</v>
      </c>
      <c r="BI72" s="218">
        <v>63</v>
      </c>
      <c r="BJ72" s="87">
        <f t="shared" si="15"/>
        <v>3.4799999999999999E-5</v>
      </c>
      <c r="BK72" s="215">
        <f t="shared" si="16"/>
        <v>0</v>
      </c>
      <c r="BL72" s="245">
        <f t="shared" si="26"/>
        <v>7.1999999999999997E-6</v>
      </c>
      <c r="BM72" s="17">
        <f t="shared" si="27"/>
        <v>0</v>
      </c>
      <c r="BN72" s="218">
        <v>63</v>
      </c>
      <c r="BO72" s="87">
        <f t="shared" si="17"/>
        <v>3.4799999999999999E-5</v>
      </c>
      <c r="BP72" s="215">
        <f t="shared" si="18"/>
        <v>0</v>
      </c>
      <c r="BR72" s="126"/>
      <c r="BS72" s="126"/>
      <c r="BU72" s="178"/>
      <c r="BV72" s="179" t="str">
        <f t="shared" si="28"/>
        <v/>
      </c>
      <c r="BW72" s="179" t="str">
        <f t="shared" si="29"/>
        <v/>
      </c>
      <c r="BX72" s="179" t="str">
        <f t="shared" si="30"/>
        <v/>
      </c>
      <c r="BY72" s="179" t="str">
        <f t="shared" si="31"/>
        <v/>
      </c>
      <c r="BZ72" s="179" t="str">
        <f t="shared" si="32"/>
        <v/>
      </c>
      <c r="CA72" s="179" t="str">
        <f t="shared" si="33"/>
        <v/>
      </c>
      <c r="CB72" s="179" t="str">
        <f t="shared" si="34"/>
        <v/>
      </c>
      <c r="CC72" s="179" t="str">
        <f t="shared" si="35"/>
        <v/>
      </c>
      <c r="CD72" s="179" t="str">
        <f t="shared" si="36"/>
        <v/>
      </c>
      <c r="CE72" s="179" t="str">
        <f t="shared" si="37"/>
        <v/>
      </c>
      <c r="CF72" s="179" t="str">
        <f t="shared" si="38"/>
        <v/>
      </c>
      <c r="CG72" s="179" t="str">
        <f t="shared" si="39"/>
        <v/>
      </c>
      <c r="CH72" s="166"/>
      <c r="CI72" s="166"/>
      <c r="CJ72" s="166"/>
      <c r="CK72" s="166"/>
      <c r="CL72" s="166"/>
    </row>
    <row r="73" spans="1:90" ht="14.25" customHeight="1" x14ac:dyDescent="0.25">
      <c r="A73" s="211">
        <v>63</v>
      </c>
      <c r="B73" s="89"/>
      <c r="C73" s="199"/>
      <c r="D73" s="146"/>
      <c r="E73" s="319" t="s">
        <v>93</v>
      </c>
      <c r="F73" s="221"/>
      <c r="G73" s="222"/>
      <c r="H73" s="222"/>
      <c r="I73" s="222"/>
      <c r="J73" s="222"/>
      <c r="K73" s="222"/>
      <c r="L73" s="222"/>
      <c r="M73" s="331"/>
      <c r="N73" s="303">
        <f t="shared" si="66"/>
        <v>0</v>
      </c>
      <c r="O73" s="304"/>
      <c r="P73" s="341"/>
      <c r="Q73" s="305"/>
      <c r="R73" s="322" t="s">
        <v>67</v>
      </c>
      <c r="S73" s="326"/>
      <c r="T73" s="327"/>
      <c r="U73" s="327"/>
      <c r="V73" s="327"/>
      <c r="W73" s="327"/>
      <c r="X73" s="327"/>
      <c r="Y73" s="95"/>
      <c r="Z73" s="331"/>
      <c r="AA73" s="303">
        <f t="shared" si="67"/>
        <v>0</v>
      </c>
      <c r="AB73" s="314">
        <f t="shared" si="68"/>
        <v>0</v>
      </c>
      <c r="AC73" s="314"/>
      <c r="AD73" s="314">
        <f t="shared" si="21"/>
        <v>0</v>
      </c>
      <c r="AE73" s="325" t="s">
        <v>148</v>
      </c>
      <c r="AF73" s="15"/>
      <c r="AG73" s="232"/>
      <c r="AH73" s="232"/>
      <c r="AI73" s="232"/>
      <c r="AJ73" s="232"/>
      <c r="AK73" s="232"/>
      <c r="AL73" s="7"/>
      <c r="AM73" s="352"/>
      <c r="AN73" s="22">
        <f t="shared" si="41"/>
        <v>0</v>
      </c>
      <c r="AO73" s="15">
        <f t="shared" si="23"/>
        <v>0</v>
      </c>
      <c r="AP73" s="345"/>
      <c r="AQ73" s="7">
        <f t="shared" si="24"/>
        <v>0</v>
      </c>
      <c r="AR73" s="103"/>
      <c r="AS73" s="101"/>
      <c r="AT73" s="236"/>
      <c r="AU73" s="235"/>
      <c r="AV73" s="92"/>
      <c r="AW73" s="235"/>
      <c r="AX73" s="92"/>
      <c r="AY73" s="235"/>
      <c r="AZ73" s="92"/>
      <c r="BA73" s="17">
        <f t="shared" si="10"/>
        <v>7.2999999999999996E-6</v>
      </c>
      <c r="BB73" s="17">
        <f t="shared" si="11"/>
        <v>0</v>
      </c>
      <c r="BC73" s="17"/>
      <c r="BD73" s="218">
        <v>64</v>
      </c>
      <c r="BE73" s="87">
        <f t="shared" si="12"/>
        <v>3.6399999999999997E-5</v>
      </c>
      <c r="BF73" s="215">
        <f t="shared" si="13"/>
        <v>0</v>
      </c>
      <c r="BG73" s="245">
        <f t="shared" si="14"/>
        <v>7.2999999999999996E-6</v>
      </c>
      <c r="BH73" s="17">
        <f t="shared" si="25"/>
        <v>0</v>
      </c>
      <c r="BI73" s="218">
        <v>64</v>
      </c>
      <c r="BJ73" s="87">
        <f t="shared" si="15"/>
        <v>3.4699999999999996E-5</v>
      </c>
      <c r="BK73" s="215">
        <f t="shared" si="16"/>
        <v>0</v>
      </c>
      <c r="BL73" s="245">
        <f t="shared" si="26"/>
        <v>7.2999999999999996E-6</v>
      </c>
      <c r="BM73" s="17">
        <f t="shared" si="27"/>
        <v>0</v>
      </c>
      <c r="BN73" s="218">
        <v>64</v>
      </c>
      <c r="BO73" s="87">
        <f t="shared" si="17"/>
        <v>3.4699999999999996E-5</v>
      </c>
      <c r="BP73" s="215">
        <f t="shared" si="18"/>
        <v>0</v>
      </c>
      <c r="BR73" s="126"/>
      <c r="BS73" s="126"/>
      <c r="BU73" s="178"/>
      <c r="BV73" s="179" t="str">
        <f t="shared" si="28"/>
        <v/>
      </c>
      <c r="BW73" s="179" t="str">
        <f t="shared" si="29"/>
        <v/>
      </c>
      <c r="BX73" s="179" t="str">
        <f t="shared" si="30"/>
        <v/>
      </c>
      <c r="BY73" s="179" t="str">
        <f t="shared" si="31"/>
        <v/>
      </c>
      <c r="BZ73" s="179" t="str">
        <f t="shared" si="32"/>
        <v/>
      </c>
      <c r="CA73" s="179" t="str">
        <f t="shared" si="33"/>
        <v/>
      </c>
      <c r="CB73" s="179" t="str">
        <f t="shared" si="34"/>
        <v/>
      </c>
      <c r="CC73" s="179" t="str">
        <f t="shared" si="35"/>
        <v/>
      </c>
      <c r="CD73" s="179" t="str">
        <f t="shared" si="36"/>
        <v/>
      </c>
      <c r="CE73" s="179" t="str">
        <f t="shared" si="37"/>
        <v/>
      </c>
      <c r="CF73" s="179" t="str">
        <f t="shared" si="38"/>
        <v/>
      </c>
      <c r="CG73" s="179" t="str">
        <f t="shared" si="39"/>
        <v/>
      </c>
      <c r="CH73" s="166"/>
      <c r="CI73" s="166"/>
      <c r="CJ73" s="166"/>
      <c r="CK73" s="166"/>
      <c r="CL73" s="166"/>
    </row>
    <row r="74" spans="1:90" ht="14.25" customHeight="1" thickBot="1" x14ac:dyDescent="0.3">
      <c r="A74" s="213">
        <v>64</v>
      </c>
      <c r="B74" s="219"/>
      <c r="C74" s="200"/>
      <c r="D74" s="145"/>
      <c r="E74" s="320" t="s">
        <v>93</v>
      </c>
      <c r="F74" s="209"/>
      <c r="G74" s="313"/>
      <c r="H74" s="313"/>
      <c r="I74" s="313"/>
      <c r="J74" s="313"/>
      <c r="K74" s="313"/>
      <c r="L74" s="313"/>
      <c r="M74" s="339"/>
      <c r="N74" s="233">
        <f t="shared" si="66"/>
        <v>0</v>
      </c>
      <c r="O74" s="306"/>
      <c r="P74" s="342"/>
      <c r="Q74" s="307"/>
      <c r="R74" s="323" t="s">
        <v>67</v>
      </c>
      <c r="S74" s="209"/>
      <c r="T74" s="313"/>
      <c r="U74" s="313"/>
      <c r="V74" s="313"/>
      <c r="W74" s="313"/>
      <c r="X74" s="313"/>
      <c r="Y74" s="125"/>
      <c r="Z74" s="339"/>
      <c r="AA74" s="233">
        <f t="shared" si="67"/>
        <v>0</v>
      </c>
      <c r="AB74" s="314">
        <f t="shared" si="68"/>
        <v>0</v>
      </c>
      <c r="AC74" s="314"/>
      <c r="AD74" s="314">
        <f t="shared" si="21"/>
        <v>0</v>
      </c>
      <c r="AE74" s="323" t="s">
        <v>87</v>
      </c>
      <c r="AF74" s="81"/>
      <c r="AG74" s="335"/>
      <c r="AH74" s="335"/>
      <c r="AI74" s="335"/>
      <c r="AJ74" s="335"/>
      <c r="AK74" s="335"/>
      <c r="AL74" s="336"/>
      <c r="AM74" s="353"/>
      <c r="AN74" s="22">
        <f t="shared" si="41"/>
        <v>0</v>
      </c>
      <c r="AO74" s="209">
        <f t="shared" si="23"/>
        <v>0</v>
      </c>
      <c r="AP74" s="339"/>
      <c r="AQ74" s="125">
        <f t="shared" si="24"/>
        <v>0</v>
      </c>
      <c r="AR74" s="104"/>
      <c r="AS74" s="217"/>
      <c r="AT74" s="216"/>
      <c r="AU74" s="230"/>
      <c r="AV74" s="220"/>
      <c r="AW74" s="230"/>
      <c r="AX74" s="220"/>
      <c r="AY74" s="230"/>
      <c r="AZ74" s="220"/>
      <c r="BA74" s="17">
        <f t="shared" ref="BA74:BA137" si="69">N74+ROW()*0.0000001</f>
        <v>7.3999999999999995E-6</v>
      </c>
      <c r="BB74" s="17">
        <f t="shared" ref="BB74:BB137" si="70">B74</f>
        <v>0</v>
      </c>
      <c r="BC74" s="17"/>
      <c r="BD74" s="218">
        <v>65</v>
      </c>
      <c r="BE74" s="87">
        <f t="shared" si="12"/>
        <v>3.6300000000000001E-5</v>
      </c>
      <c r="BF74" s="215">
        <f t="shared" ref="BF74:BF137" si="71">IFERROR(VLOOKUP(BE74,الترتيب1,2,0),"")</f>
        <v>0</v>
      </c>
      <c r="BG74" s="245">
        <f t="shared" ref="BG74:BG137" si="72">AA74+ROW()*0.0000001</f>
        <v>7.3999999999999995E-6</v>
      </c>
      <c r="BH74" s="17">
        <f t="shared" si="25"/>
        <v>0</v>
      </c>
      <c r="BI74" s="218">
        <v>65</v>
      </c>
      <c r="BJ74" s="87">
        <f t="shared" si="15"/>
        <v>3.4600000000000001E-5</v>
      </c>
      <c r="BK74" s="215">
        <f t="shared" ref="BK74:BK137" si="73">IFERROR(VLOOKUP(BJ74,الترتيب2,2,0),"")</f>
        <v>0</v>
      </c>
      <c r="BL74" s="245">
        <f t="shared" si="26"/>
        <v>7.3999999999999995E-6</v>
      </c>
      <c r="BM74" s="17">
        <f t="shared" si="27"/>
        <v>0</v>
      </c>
      <c r="BN74" s="218">
        <v>65</v>
      </c>
      <c r="BO74" s="87">
        <f t="shared" si="17"/>
        <v>3.4600000000000001E-5</v>
      </c>
      <c r="BP74" s="215">
        <f t="shared" ref="BP74:BP137" si="74">IFERROR(VLOOKUP(BO74,الترتيب3,2,0),"")</f>
        <v>0</v>
      </c>
      <c r="BR74" s="126"/>
      <c r="BS74" s="126"/>
      <c r="BU74" s="178"/>
      <c r="BV74" s="179" t="str">
        <f t="shared" si="28"/>
        <v/>
      </c>
      <c r="BW74" s="179" t="str">
        <f t="shared" si="29"/>
        <v/>
      </c>
      <c r="BX74" s="179" t="str">
        <f t="shared" si="30"/>
        <v/>
      </c>
      <c r="BY74" s="179" t="str">
        <f t="shared" si="31"/>
        <v/>
      </c>
      <c r="BZ74" s="179" t="str">
        <f t="shared" si="32"/>
        <v/>
      </c>
      <c r="CA74" s="179" t="str">
        <f t="shared" si="33"/>
        <v/>
      </c>
      <c r="CB74" s="179" t="str">
        <f t="shared" si="34"/>
        <v/>
      </c>
      <c r="CC74" s="179" t="str">
        <f t="shared" si="35"/>
        <v/>
      </c>
      <c r="CD74" s="179" t="str">
        <f t="shared" si="36"/>
        <v/>
      </c>
      <c r="CE74" s="179" t="str">
        <f t="shared" si="37"/>
        <v/>
      </c>
      <c r="CF74" s="179" t="str">
        <f t="shared" si="38"/>
        <v/>
      </c>
      <c r="CG74" s="179" t="str">
        <f t="shared" si="39"/>
        <v/>
      </c>
      <c r="CH74" s="166"/>
      <c r="CI74" s="166"/>
      <c r="CJ74" s="166"/>
      <c r="CK74" s="166"/>
      <c r="CL74" s="166"/>
    </row>
    <row r="75" spans="1:90" ht="14.25" customHeight="1" thickBot="1" x14ac:dyDescent="0.3">
      <c r="A75" s="211">
        <v>65</v>
      </c>
      <c r="B75" s="88"/>
      <c r="C75" s="201"/>
      <c r="D75" s="94"/>
      <c r="E75" s="321" t="s">
        <v>93</v>
      </c>
      <c r="F75" s="96"/>
      <c r="G75" s="100"/>
      <c r="H75" s="100"/>
      <c r="I75" s="100"/>
      <c r="J75" s="100"/>
      <c r="K75" s="100"/>
      <c r="L75" s="100"/>
      <c r="M75" s="210"/>
      <c r="N75" s="234">
        <f t="shared" si="66"/>
        <v>0</v>
      </c>
      <c r="O75" s="308"/>
      <c r="P75" s="343"/>
      <c r="Q75" s="309"/>
      <c r="R75" s="324" t="s">
        <v>67</v>
      </c>
      <c r="S75" s="96"/>
      <c r="T75" s="100"/>
      <c r="U75" s="100"/>
      <c r="V75" s="100"/>
      <c r="W75" s="100"/>
      <c r="X75" s="100"/>
      <c r="Y75" s="97"/>
      <c r="Z75" s="210"/>
      <c r="AA75" s="234">
        <f t="shared" si="67"/>
        <v>0</v>
      </c>
      <c r="AB75" s="314">
        <f t="shared" ref="AB75:AB138" si="75">O75</f>
        <v>0</v>
      </c>
      <c r="AC75" s="314"/>
      <c r="AD75" s="314">
        <f t="shared" ref="AD75:AD138" si="76">Q75</f>
        <v>0</v>
      </c>
      <c r="AE75" s="324" t="s">
        <v>87</v>
      </c>
      <c r="AF75" s="82"/>
      <c r="AG75" s="337"/>
      <c r="AH75" s="337"/>
      <c r="AI75" s="337"/>
      <c r="AJ75" s="337"/>
      <c r="AK75" s="337"/>
      <c r="AL75" s="338"/>
      <c r="AM75" s="354"/>
      <c r="AN75" s="91">
        <f t="shared" si="41"/>
        <v>0</v>
      </c>
      <c r="AO75" s="96">
        <f t="shared" ref="AO75:AO138" si="77">AB75</f>
        <v>0</v>
      </c>
      <c r="AP75" s="210"/>
      <c r="AQ75" s="97">
        <f t="shared" ref="AQ75:AQ138" si="78">AD75</f>
        <v>0</v>
      </c>
      <c r="AR75" s="105"/>
      <c r="AS75" s="102"/>
      <c r="AT75" s="237"/>
      <c r="AU75" s="231"/>
      <c r="AV75" s="93"/>
      <c r="AW75" s="231"/>
      <c r="AX75" s="93"/>
      <c r="AY75" s="231"/>
      <c r="AZ75" s="93"/>
      <c r="BA75" s="17">
        <f t="shared" si="69"/>
        <v>7.4999999999999993E-6</v>
      </c>
      <c r="BB75" s="17">
        <f t="shared" si="70"/>
        <v>0</v>
      </c>
      <c r="BC75" s="17"/>
      <c r="BD75" s="218">
        <v>66</v>
      </c>
      <c r="BE75" s="87">
        <f t="shared" ref="BE75:BE138" si="79">IFERROR(LARGE($BA$11:$BA$410,BD75),"")</f>
        <v>3.6199999999999999E-5</v>
      </c>
      <c r="BF75" s="215">
        <f t="shared" si="71"/>
        <v>0</v>
      </c>
      <c r="BG75" s="245">
        <f t="shared" si="72"/>
        <v>7.4999999999999993E-6</v>
      </c>
      <c r="BH75" s="17">
        <f t="shared" ref="BH75:BH138" si="80">BB75</f>
        <v>0</v>
      </c>
      <c r="BI75" s="218">
        <v>66</v>
      </c>
      <c r="BJ75" s="87">
        <f t="shared" ref="BJ75:BJ138" si="81">IFERROR(LARGE($BG$11:$BG$410,BI75),"")</f>
        <v>3.4499999999999998E-5</v>
      </c>
      <c r="BK75" s="215">
        <f t="shared" si="73"/>
        <v>0</v>
      </c>
      <c r="BL75" s="245">
        <f t="shared" ref="BL75:BL138" si="82">AN75+ROW()*0.0000001</f>
        <v>7.4999999999999993E-6</v>
      </c>
      <c r="BM75" s="17">
        <f t="shared" ref="BM75:BM138" si="83">BH75</f>
        <v>0</v>
      </c>
      <c r="BN75" s="218">
        <v>66</v>
      </c>
      <c r="BO75" s="87">
        <f t="shared" ref="BO75:BO138" si="84">IFERROR(LARGE($BL$11:$BL$410,BN75),"")</f>
        <v>3.4499999999999998E-5</v>
      </c>
      <c r="BP75" s="215">
        <f t="shared" si="74"/>
        <v>0</v>
      </c>
      <c r="BR75" s="126"/>
      <c r="BS75" s="126"/>
      <c r="BU75" s="178"/>
      <c r="BV75" s="179" t="str">
        <f t="shared" ref="BV75:BV138" si="85">MID($BT75,12,1)</f>
        <v/>
      </c>
      <c r="BW75" s="179" t="str">
        <f t="shared" ref="BW75:BW138" si="86">MID($BT75,11,1)</f>
        <v/>
      </c>
      <c r="BX75" s="179" t="str">
        <f t="shared" ref="BX75:BX138" si="87">MID($BT75,10,1)</f>
        <v/>
      </c>
      <c r="BY75" s="179" t="str">
        <f t="shared" ref="BY75:BY138" si="88">MID($BT75,9,1)</f>
        <v/>
      </c>
      <c r="BZ75" s="179" t="str">
        <f t="shared" ref="BZ75:BZ138" si="89">MID($BT75,8,1)</f>
        <v/>
      </c>
      <c r="CA75" s="179" t="str">
        <f t="shared" ref="CA75:CA138" si="90">MID($BT75,7,1)</f>
        <v/>
      </c>
      <c r="CB75" s="179" t="str">
        <f t="shared" ref="CB75:CB138" si="91">MID($BT75,6,1)</f>
        <v/>
      </c>
      <c r="CC75" s="179" t="str">
        <f t="shared" ref="CC75:CC138" si="92">MID($BT75,5,1)</f>
        <v/>
      </c>
      <c r="CD75" s="179" t="str">
        <f t="shared" ref="CD75:CD138" si="93">MID($BT75,4,1)</f>
        <v/>
      </c>
      <c r="CE75" s="179" t="str">
        <f t="shared" ref="CE75:CE138" si="94">MID($BT75,3,1)</f>
        <v/>
      </c>
      <c r="CF75" s="179" t="str">
        <f t="shared" ref="CF75:CF138" si="95">MID($BT75,2,1)</f>
        <v/>
      </c>
      <c r="CG75" s="179" t="str">
        <f t="shared" ref="CG75:CG138" si="96">MID($BT75,1,1)</f>
        <v/>
      </c>
      <c r="CH75" s="166"/>
      <c r="CI75" s="166"/>
      <c r="CJ75" s="166"/>
      <c r="CK75" s="166"/>
      <c r="CL75" s="166"/>
    </row>
    <row r="76" spans="1:90" ht="14.25" customHeight="1" thickBot="1" x14ac:dyDescent="0.3">
      <c r="A76" s="213">
        <v>66</v>
      </c>
      <c r="B76" s="89"/>
      <c r="C76" s="199"/>
      <c r="D76" s="146"/>
      <c r="E76" s="319" t="s">
        <v>93</v>
      </c>
      <c r="F76" s="221"/>
      <c r="G76" s="222"/>
      <c r="H76" s="222"/>
      <c r="I76" s="222"/>
      <c r="J76" s="222"/>
      <c r="K76" s="222"/>
      <c r="L76" s="222"/>
      <c r="M76" s="331"/>
      <c r="N76" s="303">
        <f t="shared" si="66"/>
        <v>0</v>
      </c>
      <c r="O76" s="304"/>
      <c r="P76" s="341"/>
      <c r="Q76" s="305"/>
      <c r="R76" s="322" t="s">
        <v>67</v>
      </c>
      <c r="S76" s="326"/>
      <c r="T76" s="327"/>
      <c r="U76" s="327"/>
      <c r="V76" s="327"/>
      <c r="W76" s="327"/>
      <c r="X76" s="327"/>
      <c r="Y76" s="95"/>
      <c r="Z76" s="331"/>
      <c r="AA76" s="303">
        <f t="shared" si="67"/>
        <v>0</v>
      </c>
      <c r="AB76" s="314">
        <f t="shared" si="75"/>
        <v>0</v>
      </c>
      <c r="AC76" s="314"/>
      <c r="AD76" s="314">
        <f t="shared" si="76"/>
        <v>0</v>
      </c>
      <c r="AE76" s="325" t="s">
        <v>148</v>
      </c>
      <c r="AF76" s="15"/>
      <c r="AG76" s="232"/>
      <c r="AH76" s="232"/>
      <c r="AI76" s="232"/>
      <c r="AJ76" s="232"/>
      <c r="AK76" s="232"/>
      <c r="AL76" s="7"/>
      <c r="AM76" s="352"/>
      <c r="AN76" s="22">
        <f t="shared" si="41"/>
        <v>0</v>
      </c>
      <c r="AO76" s="15">
        <f t="shared" si="77"/>
        <v>0</v>
      </c>
      <c r="AP76" s="345"/>
      <c r="AQ76" s="7">
        <f t="shared" si="78"/>
        <v>0</v>
      </c>
      <c r="AR76" s="103"/>
      <c r="AS76" s="101"/>
      <c r="AT76" s="236"/>
      <c r="AU76" s="235"/>
      <c r="AV76" s="92"/>
      <c r="AW76" s="235"/>
      <c r="AX76" s="92"/>
      <c r="AY76" s="235"/>
      <c r="AZ76" s="92"/>
      <c r="BA76" s="17">
        <f t="shared" si="69"/>
        <v>7.6000000000000001E-6</v>
      </c>
      <c r="BB76" s="17">
        <f t="shared" si="70"/>
        <v>0</v>
      </c>
      <c r="BC76" s="17"/>
      <c r="BD76" s="218">
        <v>67</v>
      </c>
      <c r="BE76" s="87">
        <f t="shared" si="79"/>
        <v>3.6099999999999997E-5</v>
      </c>
      <c r="BF76" s="215">
        <f t="shared" si="71"/>
        <v>0</v>
      </c>
      <c r="BG76" s="245">
        <f t="shared" si="72"/>
        <v>7.6000000000000001E-6</v>
      </c>
      <c r="BH76" s="17">
        <f t="shared" si="80"/>
        <v>0</v>
      </c>
      <c r="BI76" s="218">
        <v>67</v>
      </c>
      <c r="BJ76" s="87">
        <f t="shared" si="81"/>
        <v>3.4399999999999996E-5</v>
      </c>
      <c r="BK76" s="215">
        <f t="shared" si="73"/>
        <v>0</v>
      </c>
      <c r="BL76" s="245">
        <f t="shared" si="82"/>
        <v>7.6000000000000001E-6</v>
      </c>
      <c r="BM76" s="17">
        <f t="shared" si="83"/>
        <v>0</v>
      </c>
      <c r="BN76" s="218">
        <v>67</v>
      </c>
      <c r="BO76" s="87">
        <f t="shared" si="84"/>
        <v>3.4399999999999996E-5</v>
      </c>
      <c r="BP76" s="215">
        <f t="shared" si="74"/>
        <v>0</v>
      </c>
      <c r="BR76" s="126"/>
      <c r="BS76" s="126"/>
      <c r="BU76" s="178"/>
      <c r="BV76" s="179" t="str">
        <f t="shared" si="85"/>
        <v/>
      </c>
      <c r="BW76" s="179" t="str">
        <f t="shared" si="86"/>
        <v/>
      </c>
      <c r="BX76" s="179" t="str">
        <f t="shared" si="87"/>
        <v/>
      </c>
      <c r="BY76" s="179" t="str">
        <f t="shared" si="88"/>
        <v/>
      </c>
      <c r="BZ76" s="179" t="str">
        <f t="shared" si="89"/>
        <v/>
      </c>
      <c r="CA76" s="179" t="str">
        <f t="shared" si="90"/>
        <v/>
      </c>
      <c r="CB76" s="179" t="str">
        <f t="shared" si="91"/>
        <v/>
      </c>
      <c r="CC76" s="179" t="str">
        <f t="shared" si="92"/>
        <v/>
      </c>
      <c r="CD76" s="179" t="str">
        <f t="shared" si="93"/>
        <v/>
      </c>
      <c r="CE76" s="179" t="str">
        <f t="shared" si="94"/>
        <v/>
      </c>
      <c r="CF76" s="179" t="str">
        <f t="shared" si="95"/>
        <v/>
      </c>
      <c r="CG76" s="179" t="str">
        <f t="shared" si="96"/>
        <v/>
      </c>
      <c r="CH76" s="166"/>
      <c r="CI76" s="166"/>
      <c r="CJ76" s="166"/>
      <c r="CK76" s="166"/>
      <c r="CL76" s="166"/>
    </row>
    <row r="77" spans="1:90" ht="14.25" customHeight="1" x14ac:dyDescent="0.25">
      <c r="A77" s="211">
        <v>67</v>
      </c>
      <c r="B77" s="219"/>
      <c r="C77" s="200"/>
      <c r="D77" s="145"/>
      <c r="E77" s="320" t="s">
        <v>93</v>
      </c>
      <c r="F77" s="209"/>
      <c r="G77" s="313"/>
      <c r="H77" s="313"/>
      <c r="I77" s="313"/>
      <c r="J77" s="313"/>
      <c r="K77" s="313"/>
      <c r="L77" s="313"/>
      <c r="M77" s="339"/>
      <c r="N77" s="233">
        <f t="shared" ref="N77:N140" si="97">SUM(F77:L77)</f>
        <v>0</v>
      </c>
      <c r="O77" s="306"/>
      <c r="P77" s="342"/>
      <c r="Q77" s="307"/>
      <c r="R77" s="323" t="s">
        <v>67</v>
      </c>
      <c r="S77" s="209"/>
      <c r="T77" s="313"/>
      <c r="U77" s="313"/>
      <c r="V77" s="313"/>
      <c r="W77" s="313"/>
      <c r="X77" s="313"/>
      <c r="Y77" s="125"/>
      <c r="Z77" s="339"/>
      <c r="AA77" s="233">
        <f t="shared" ref="AA77:AA140" si="98">SUM(S77:Y77)</f>
        <v>0</v>
      </c>
      <c r="AB77" s="314">
        <f t="shared" si="75"/>
        <v>0</v>
      </c>
      <c r="AC77" s="314"/>
      <c r="AD77" s="314">
        <f t="shared" si="76"/>
        <v>0</v>
      </c>
      <c r="AE77" s="323" t="s">
        <v>87</v>
      </c>
      <c r="AF77" s="81"/>
      <c r="AG77" s="335"/>
      <c r="AH77" s="335"/>
      <c r="AI77" s="335"/>
      <c r="AJ77" s="335"/>
      <c r="AK77" s="335"/>
      <c r="AL77" s="336"/>
      <c r="AM77" s="353"/>
      <c r="AN77" s="22">
        <f t="shared" ref="AN77:AN140" si="99">SUM(AF77:AL77)</f>
        <v>0</v>
      </c>
      <c r="AO77" s="209">
        <f t="shared" si="77"/>
        <v>0</v>
      </c>
      <c r="AP77" s="339"/>
      <c r="AQ77" s="125">
        <f t="shared" si="78"/>
        <v>0</v>
      </c>
      <c r="AR77" s="104"/>
      <c r="AS77" s="217"/>
      <c r="AT77" s="216"/>
      <c r="AU77" s="230"/>
      <c r="AV77" s="220"/>
      <c r="AW77" s="230"/>
      <c r="AX77" s="220"/>
      <c r="AY77" s="230"/>
      <c r="AZ77" s="220"/>
      <c r="BA77" s="17">
        <f t="shared" si="69"/>
        <v>7.6999999999999991E-6</v>
      </c>
      <c r="BB77" s="17">
        <f t="shared" si="70"/>
        <v>0</v>
      </c>
      <c r="BC77" s="17"/>
      <c r="BD77" s="218">
        <v>68</v>
      </c>
      <c r="BE77" s="87">
        <f t="shared" si="79"/>
        <v>3.6000000000000001E-5</v>
      </c>
      <c r="BF77" s="215">
        <f t="shared" si="71"/>
        <v>0</v>
      </c>
      <c r="BG77" s="245">
        <f t="shared" si="72"/>
        <v>7.6999999999999991E-6</v>
      </c>
      <c r="BH77" s="17">
        <f t="shared" si="80"/>
        <v>0</v>
      </c>
      <c r="BI77" s="218">
        <v>68</v>
      </c>
      <c r="BJ77" s="87">
        <f t="shared" si="81"/>
        <v>3.43E-5</v>
      </c>
      <c r="BK77" s="215">
        <f t="shared" si="73"/>
        <v>0</v>
      </c>
      <c r="BL77" s="245">
        <f t="shared" si="82"/>
        <v>7.6999999999999991E-6</v>
      </c>
      <c r="BM77" s="17">
        <f t="shared" si="83"/>
        <v>0</v>
      </c>
      <c r="BN77" s="218">
        <v>68</v>
      </c>
      <c r="BO77" s="87">
        <f t="shared" si="84"/>
        <v>3.43E-5</v>
      </c>
      <c r="BP77" s="215">
        <f t="shared" si="74"/>
        <v>0</v>
      </c>
      <c r="BR77" s="126"/>
      <c r="BS77" s="126"/>
      <c r="BU77" s="178"/>
      <c r="BV77" s="179" t="str">
        <f t="shared" si="85"/>
        <v/>
      </c>
      <c r="BW77" s="179" t="str">
        <f t="shared" si="86"/>
        <v/>
      </c>
      <c r="BX77" s="179" t="str">
        <f t="shared" si="87"/>
        <v/>
      </c>
      <c r="BY77" s="179" t="str">
        <f t="shared" si="88"/>
        <v/>
      </c>
      <c r="BZ77" s="179" t="str">
        <f t="shared" si="89"/>
        <v/>
      </c>
      <c r="CA77" s="179" t="str">
        <f t="shared" si="90"/>
        <v/>
      </c>
      <c r="CB77" s="179" t="str">
        <f t="shared" si="91"/>
        <v/>
      </c>
      <c r="CC77" s="179" t="str">
        <f t="shared" si="92"/>
        <v/>
      </c>
      <c r="CD77" s="179" t="str">
        <f t="shared" si="93"/>
        <v/>
      </c>
      <c r="CE77" s="179" t="str">
        <f t="shared" si="94"/>
        <v/>
      </c>
      <c r="CF77" s="179" t="str">
        <f t="shared" si="95"/>
        <v/>
      </c>
      <c r="CG77" s="179" t="str">
        <f t="shared" si="96"/>
        <v/>
      </c>
      <c r="CH77" s="166"/>
      <c r="CI77" s="166"/>
      <c r="CJ77" s="166"/>
      <c r="CK77" s="166"/>
      <c r="CL77" s="166"/>
    </row>
    <row r="78" spans="1:90" ht="14.25" customHeight="1" thickBot="1" x14ac:dyDescent="0.3">
      <c r="A78" s="213">
        <v>68</v>
      </c>
      <c r="B78" s="88"/>
      <c r="C78" s="201"/>
      <c r="D78" s="94"/>
      <c r="E78" s="321" t="s">
        <v>93</v>
      </c>
      <c r="F78" s="96"/>
      <c r="G78" s="100"/>
      <c r="H78" s="100"/>
      <c r="I78" s="100"/>
      <c r="J78" s="100"/>
      <c r="K78" s="100"/>
      <c r="L78" s="100"/>
      <c r="M78" s="210"/>
      <c r="N78" s="234">
        <f t="shared" si="97"/>
        <v>0</v>
      </c>
      <c r="O78" s="308"/>
      <c r="P78" s="343"/>
      <c r="Q78" s="309"/>
      <c r="R78" s="324" t="s">
        <v>67</v>
      </c>
      <c r="S78" s="96"/>
      <c r="T78" s="100"/>
      <c r="U78" s="100"/>
      <c r="V78" s="100"/>
      <c r="W78" s="100"/>
      <c r="X78" s="100"/>
      <c r="Y78" s="97"/>
      <c r="Z78" s="210"/>
      <c r="AA78" s="234">
        <f t="shared" si="98"/>
        <v>0</v>
      </c>
      <c r="AB78" s="314">
        <f t="shared" si="75"/>
        <v>0</v>
      </c>
      <c r="AC78" s="314"/>
      <c r="AD78" s="314">
        <f t="shared" si="76"/>
        <v>0</v>
      </c>
      <c r="AE78" s="324" t="s">
        <v>87</v>
      </c>
      <c r="AF78" s="82"/>
      <c r="AG78" s="337"/>
      <c r="AH78" s="337"/>
      <c r="AI78" s="337"/>
      <c r="AJ78" s="337"/>
      <c r="AK78" s="337"/>
      <c r="AL78" s="338"/>
      <c r="AM78" s="354"/>
      <c r="AN78" s="91">
        <f t="shared" si="99"/>
        <v>0</v>
      </c>
      <c r="AO78" s="96">
        <f t="shared" si="77"/>
        <v>0</v>
      </c>
      <c r="AP78" s="210"/>
      <c r="AQ78" s="97">
        <f t="shared" si="78"/>
        <v>0</v>
      </c>
      <c r="AR78" s="105"/>
      <c r="AS78" s="102"/>
      <c r="AT78" s="237"/>
      <c r="AU78" s="231"/>
      <c r="AV78" s="93"/>
      <c r="AW78" s="231"/>
      <c r="AX78" s="93"/>
      <c r="AY78" s="231"/>
      <c r="AZ78" s="93"/>
      <c r="BA78" s="17">
        <f t="shared" si="69"/>
        <v>7.7999999999999999E-6</v>
      </c>
      <c r="BB78" s="17">
        <f t="shared" si="70"/>
        <v>0</v>
      </c>
      <c r="BC78" s="17"/>
      <c r="BD78" s="218">
        <v>69</v>
      </c>
      <c r="BE78" s="87">
        <f t="shared" si="79"/>
        <v>3.5899999999999998E-5</v>
      </c>
      <c r="BF78" s="215">
        <f t="shared" si="71"/>
        <v>0</v>
      </c>
      <c r="BG78" s="245">
        <f t="shared" si="72"/>
        <v>7.7999999999999999E-6</v>
      </c>
      <c r="BH78" s="17">
        <f t="shared" si="80"/>
        <v>0</v>
      </c>
      <c r="BI78" s="218">
        <v>69</v>
      </c>
      <c r="BJ78" s="87">
        <f t="shared" si="81"/>
        <v>3.4199999999999998E-5</v>
      </c>
      <c r="BK78" s="215">
        <f t="shared" si="73"/>
        <v>0</v>
      </c>
      <c r="BL78" s="245">
        <f t="shared" si="82"/>
        <v>7.7999999999999999E-6</v>
      </c>
      <c r="BM78" s="17">
        <f t="shared" si="83"/>
        <v>0</v>
      </c>
      <c r="BN78" s="218">
        <v>69</v>
      </c>
      <c r="BO78" s="87">
        <f t="shared" si="84"/>
        <v>3.4199999999999998E-5</v>
      </c>
      <c r="BP78" s="215">
        <f t="shared" si="74"/>
        <v>0</v>
      </c>
      <c r="BR78" s="126"/>
      <c r="BS78" s="126"/>
      <c r="BU78" s="178"/>
      <c r="BV78" s="179" t="str">
        <f t="shared" si="85"/>
        <v/>
      </c>
      <c r="BW78" s="179" t="str">
        <f t="shared" si="86"/>
        <v/>
      </c>
      <c r="BX78" s="179" t="str">
        <f t="shared" si="87"/>
        <v/>
      </c>
      <c r="BY78" s="179" t="str">
        <f t="shared" si="88"/>
        <v/>
      </c>
      <c r="BZ78" s="179" t="str">
        <f t="shared" si="89"/>
        <v/>
      </c>
      <c r="CA78" s="179" t="str">
        <f t="shared" si="90"/>
        <v/>
      </c>
      <c r="CB78" s="179" t="str">
        <f t="shared" si="91"/>
        <v/>
      </c>
      <c r="CC78" s="179" t="str">
        <f t="shared" si="92"/>
        <v/>
      </c>
      <c r="CD78" s="179" t="str">
        <f t="shared" si="93"/>
        <v/>
      </c>
      <c r="CE78" s="179" t="str">
        <f t="shared" si="94"/>
        <v/>
      </c>
      <c r="CF78" s="179" t="str">
        <f t="shared" si="95"/>
        <v/>
      </c>
      <c r="CG78" s="179" t="str">
        <f t="shared" si="96"/>
        <v/>
      </c>
      <c r="CH78" s="166"/>
      <c r="CI78" s="166"/>
      <c r="CJ78" s="166"/>
      <c r="CK78" s="166"/>
      <c r="CL78" s="166"/>
    </row>
    <row r="79" spans="1:90" ht="14.25" customHeight="1" x14ac:dyDescent="0.25">
      <c r="A79" s="211">
        <v>69</v>
      </c>
      <c r="B79" s="89"/>
      <c r="C79" s="199"/>
      <c r="D79" s="146"/>
      <c r="E79" s="319" t="s">
        <v>93</v>
      </c>
      <c r="F79" s="221"/>
      <c r="G79" s="222"/>
      <c r="H79" s="222"/>
      <c r="I79" s="222"/>
      <c r="J79" s="222"/>
      <c r="K79" s="222"/>
      <c r="L79" s="222"/>
      <c r="M79" s="331"/>
      <c r="N79" s="303">
        <f t="shared" si="97"/>
        <v>0</v>
      </c>
      <c r="O79" s="304"/>
      <c r="P79" s="341"/>
      <c r="Q79" s="305"/>
      <c r="R79" s="322" t="s">
        <v>67</v>
      </c>
      <c r="S79" s="326"/>
      <c r="T79" s="327"/>
      <c r="U79" s="327"/>
      <c r="V79" s="327"/>
      <c r="W79" s="327"/>
      <c r="X79" s="327"/>
      <c r="Y79" s="95"/>
      <c r="Z79" s="331"/>
      <c r="AA79" s="303">
        <f t="shared" si="98"/>
        <v>0</v>
      </c>
      <c r="AB79" s="314">
        <f t="shared" si="75"/>
        <v>0</v>
      </c>
      <c r="AC79" s="314"/>
      <c r="AD79" s="314">
        <f t="shared" si="76"/>
        <v>0</v>
      </c>
      <c r="AE79" s="325" t="s">
        <v>148</v>
      </c>
      <c r="AF79" s="15"/>
      <c r="AG79" s="232"/>
      <c r="AH79" s="232"/>
      <c r="AI79" s="232"/>
      <c r="AJ79" s="232"/>
      <c r="AK79" s="232"/>
      <c r="AL79" s="7"/>
      <c r="AM79" s="352"/>
      <c r="AN79" s="22">
        <f t="shared" si="99"/>
        <v>0</v>
      </c>
      <c r="AO79" s="15">
        <f t="shared" si="77"/>
        <v>0</v>
      </c>
      <c r="AP79" s="345"/>
      <c r="AQ79" s="7">
        <f t="shared" si="78"/>
        <v>0</v>
      </c>
      <c r="AR79" s="103"/>
      <c r="AS79" s="101"/>
      <c r="AT79" s="236"/>
      <c r="AU79" s="235"/>
      <c r="AV79" s="92"/>
      <c r="AW79" s="235"/>
      <c r="AX79" s="92"/>
      <c r="AY79" s="235"/>
      <c r="AZ79" s="92"/>
      <c r="BA79" s="17">
        <f t="shared" si="69"/>
        <v>7.8999999999999989E-6</v>
      </c>
      <c r="BB79" s="17">
        <f t="shared" si="70"/>
        <v>0</v>
      </c>
      <c r="BC79" s="17"/>
      <c r="BD79" s="218">
        <v>70</v>
      </c>
      <c r="BE79" s="87">
        <f t="shared" si="79"/>
        <v>3.5799999999999996E-5</v>
      </c>
      <c r="BF79" s="215">
        <f t="shared" si="71"/>
        <v>0</v>
      </c>
      <c r="BG79" s="245">
        <f t="shared" si="72"/>
        <v>7.8999999999999989E-6</v>
      </c>
      <c r="BH79" s="17">
        <f t="shared" si="80"/>
        <v>0</v>
      </c>
      <c r="BI79" s="218">
        <v>70</v>
      </c>
      <c r="BJ79" s="87">
        <f t="shared" si="81"/>
        <v>3.4099999999999995E-5</v>
      </c>
      <c r="BK79" s="215">
        <f t="shared" si="73"/>
        <v>0</v>
      </c>
      <c r="BL79" s="245">
        <f t="shared" si="82"/>
        <v>7.8999999999999989E-6</v>
      </c>
      <c r="BM79" s="17">
        <f t="shared" si="83"/>
        <v>0</v>
      </c>
      <c r="BN79" s="218">
        <v>70</v>
      </c>
      <c r="BO79" s="87">
        <f t="shared" si="84"/>
        <v>3.4099999999999995E-5</v>
      </c>
      <c r="BP79" s="215">
        <f t="shared" si="74"/>
        <v>0</v>
      </c>
      <c r="BR79" s="126"/>
      <c r="BS79" s="126"/>
      <c r="BU79" s="178"/>
      <c r="BV79" s="179" t="str">
        <f t="shared" si="85"/>
        <v/>
      </c>
      <c r="BW79" s="179" t="str">
        <f t="shared" si="86"/>
        <v/>
      </c>
      <c r="BX79" s="179" t="str">
        <f t="shared" si="87"/>
        <v/>
      </c>
      <c r="BY79" s="179" t="str">
        <f t="shared" si="88"/>
        <v/>
      </c>
      <c r="BZ79" s="179" t="str">
        <f t="shared" si="89"/>
        <v/>
      </c>
      <c r="CA79" s="179" t="str">
        <f t="shared" si="90"/>
        <v/>
      </c>
      <c r="CB79" s="179" t="str">
        <f t="shared" si="91"/>
        <v/>
      </c>
      <c r="CC79" s="179" t="str">
        <f t="shared" si="92"/>
        <v/>
      </c>
      <c r="CD79" s="179" t="str">
        <f t="shared" si="93"/>
        <v/>
      </c>
      <c r="CE79" s="179" t="str">
        <f t="shared" si="94"/>
        <v/>
      </c>
      <c r="CF79" s="179" t="str">
        <f t="shared" si="95"/>
        <v/>
      </c>
      <c r="CG79" s="179" t="str">
        <f t="shared" si="96"/>
        <v/>
      </c>
      <c r="CH79" s="166"/>
      <c r="CI79" s="166"/>
      <c r="CJ79" s="166"/>
      <c r="CK79" s="166"/>
      <c r="CL79" s="166"/>
    </row>
    <row r="80" spans="1:90" ht="14.25" customHeight="1" thickBot="1" x14ac:dyDescent="0.3">
      <c r="A80" s="213">
        <v>70</v>
      </c>
      <c r="B80" s="219"/>
      <c r="C80" s="200"/>
      <c r="D80" s="145"/>
      <c r="E80" s="320" t="s">
        <v>93</v>
      </c>
      <c r="F80" s="209"/>
      <c r="G80" s="313"/>
      <c r="H80" s="313"/>
      <c r="I80" s="313"/>
      <c r="J80" s="313"/>
      <c r="K80" s="313"/>
      <c r="L80" s="313"/>
      <c r="M80" s="339"/>
      <c r="N80" s="233">
        <f t="shared" si="97"/>
        <v>0</v>
      </c>
      <c r="O80" s="306"/>
      <c r="P80" s="342"/>
      <c r="Q80" s="307"/>
      <c r="R80" s="323" t="s">
        <v>67</v>
      </c>
      <c r="S80" s="209"/>
      <c r="T80" s="313"/>
      <c r="U80" s="313"/>
      <c r="V80" s="313"/>
      <c r="W80" s="313"/>
      <c r="X80" s="313"/>
      <c r="Y80" s="125"/>
      <c r="Z80" s="339"/>
      <c r="AA80" s="233">
        <f t="shared" si="98"/>
        <v>0</v>
      </c>
      <c r="AB80" s="314">
        <f t="shared" si="75"/>
        <v>0</v>
      </c>
      <c r="AC80" s="314"/>
      <c r="AD80" s="314">
        <f t="shared" si="76"/>
        <v>0</v>
      </c>
      <c r="AE80" s="323" t="s">
        <v>87</v>
      </c>
      <c r="AF80" s="81"/>
      <c r="AG80" s="335"/>
      <c r="AH80" s="335"/>
      <c r="AI80" s="335"/>
      <c r="AJ80" s="335"/>
      <c r="AK80" s="335"/>
      <c r="AL80" s="336"/>
      <c r="AM80" s="353"/>
      <c r="AN80" s="22">
        <f t="shared" si="99"/>
        <v>0</v>
      </c>
      <c r="AO80" s="209">
        <f t="shared" si="77"/>
        <v>0</v>
      </c>
      <c r="AP80" s="339"/>
      <c r="AQ80" s="125">
        <f t="shared" si="78"/>
        <v>0</v>
      </c>
      <c r="AR80" s="104"/>
      <c r="AS80" s="217"/>
      <c r="AT80" s="216"/>
      <c r="AU80" s="230"/>
      <c r="AV80" s="220"/>
      <c r="AW80" s="230"/>
      <c r="AX80" s="220"/>
      <c r="AY80" s="230"/>
      <c r="AZ80" s="220"/>
      <c r="BA80" s="17">
        <f t="shared" si="69"/>
        <v>7.9999999999999996E-6</v>
      </c>
      <c r="BB80" s="17">
        <f t="shared" si="70"/>
        <v>0</v>
      </c>
      <c r="BC80" s="17"/>
      <c r="BD80" s="218">
        <v>71</v>
      </c>
      <c r="BE80" s="87">
        <f t="shared" si="79"/>
        <v>3.57E-5</v>
      </c>
      <c r="BF80" s="215">
        <f t="shared" si="71"/>
        <v>0</v>
      </c>
      <c r="BG80" s="245">
        <f t="shared" si="72"/>
        <v>7.9999999999999996E-6</v>
      </c>
      <c r="BH80" s="17">
        <f t="shared" si="80"/>
        <v>0</v>
      </c>
      <c r="BI80" s="218">
        <v>71</v>
      </c>
      <c r="BJ80" s="87">
        <f t="shared" si="81"/>
        <v>3.4E-5</v>
      </c>
      <c r="BK80" s="215">
        <f t="shared" si="73"/>
        <v>0</v>
      </c>
      <c r="BL80" s="245">
        <f t="shared" si="82"/>
        <v>7.9999999999999996E-6</v>
      </c>
      <c r="BM80" s="17">
        <f t="shared" si="83"/>
        <v>0</v>
      </c>
      <c r="BN80" s="218">
        <v>71</v>
      </c>
      <c r="BO80" s="87">
        <f t="shared" si="84"/>
        <v>3.4E-5</v>
      </c>
      <c r="BP80" s="215">
        <f t="shared" si="74"/>
        <v>0</v>
      </c>
      <c r="BR80" s="126"/>
      <c r="BS80" s="126"/>
      <c r="BU80" s="178"/>
      <c r="BV80" s="179" t="str">
        <f t="shared" si="85"/>
        <v/>
      </c>
      <c r="BW80" s="179" t="str">
        <f t="shared" si="86"/>
        <v/>
      </c>
      <c r="BX80" s="179" t="str">
        <f t="shared" si="87"/>
        <v/>
      </c>
      <c r="BY80" s="179" t="str">
        <f t="shared" si="88"/>
        <v/>
      </c>
      <c r="BZ80" s="179" t="str">
        <f t="shared" si="89"/>
        <v/>
      </c>
      <c r="CA80" s="179" t="str">
        <f t="shared" si="90"/>
        <v/>
      </c>
      <c r="CB80" s="179" t="str">
        <f t="shared" si="91"/>
        <v/>
      </c>
      <c r="CC80" s="179" t="str">
        <f t="shared" si="92"/>
        <v/>
      </c>
      <c r="CD80" s="179" t="str">
        <f t="shared" si="93"/>
        <v/>
      </c>
      <c r="CE80" s="179" t="str">
        <f t="shared" si="94"/>
        <v/>
      </c>
      <c r="CF80" s="179" t="str">
        <f t="shared" si="95"/>
        <v/>
      </c>
      <c r="CG80" s="179" t="str">
        <f t="shared" si="96"/>
        <v/>
      </c>
      <c r="CH80" s="166"/>
      <c r="CI80" s="166"/>
      <c r="CJ80" s="166"/>
      <c r="CK80" s="166"/>
      <c r="CL80" s="166"/>
    </row>
    <row r="81" spans="1:90" ht="14.25" customHeight="1" thickBot="1" x14ac:dyDescent="0.3">
      <c r="A81" s="211">
        <v>71</v>
      </c>
      <c r="B81" s="88"/>
      <c r="C81" s="201"/>
      <c r="D81" s="94"/>
      <c r="E81" s="321" t="s">
        <v>93</v>
      </c>
      <c r="F81" s="96"/>
      <c r="G81" s="100"/>
      <c r="H81" s="100"/>
      <c r="I81" s="100"/>
      <c r="J81" s="100"/>
      <c r="K81" s="100"/>
      <c r="L81" s="100"/>
      <c r="M81" s="210"/>
      <c r="N81" s="234">
        <f t="shared" si="97"/>
        <v>0</v>
      </c>
      <c r="O81" s="308"/>
      <c r="P81" s="343"/>
      <c r="Q81" s="309"/>
      <c r="R81" s="324" t="s">
        <v>67</v>
      </c>
      <c r="S81" s="96"/>
      <c r="T81" s="100"/>
      <c r="U81" s="100"/>
      <c r="V81" s="100"/>
      <c r="W81" s="100"/>
      <c r="X81" s="100"/>
      <c r="Y81" s="97"/>
      <c r="Z81" s="210"/>
      <c r="AA81" s="234">
        <f t="shared" si="98"/>
        <v>0</v>
      </c>
      <c r="AB81" s="314">
        <f t="shared" si="75"/>
        <v>0</v>
      </c>
      <c r="AC81" s="314"/>
      <c r="AD81" s="314">
        <f t="shared" si="76"/>
        <v>0</v>
      </c>
      <c r="AE81" s="324" t="s">
        <v>87</v>
      </c>
      <c r="AF81" s="82"/>
      <c r="AG81" s="337"/>
      <c r="AH81" s="337"/>
      <c r="AI81" s="337"/>
      <c r="AJ81" s="337"/>
      <c r="AK81" s="337"/>
      <c r="AL81" s="338"/>
      <c r="AM81" s="354"/>
      <c r="AN81" s="91">
        <f t="shared" si="99"/>
        <v>0</v>
      </c>
      <c r="AO81" s="96">
        <f t="shared" si="77"/>
        <v>0</v>
      </c>
      <c r="AP81" s="210"/>
      <c r="AQ81" s="97">
        <f t="shared" si="78"/>
        <v>0</v>
      </c>
      <c r="AR81" s="105"/>
      <c r="AS81" s="102"/>
      <c r="AT81" s="237"/>
      <c r="AU81" s="231"/>
      <c r="AV81" s="93"/>
      <c r="AW81" s="231"/>
      <c r="AX81" s="93"/>
      <c r="AY81" s="231"/>
      <c r="AZ81" s="93"/>
      <c r="BA81" s="17">
        <f t="shared" si="69"/>
        <v>8.1000000000000004E-6</v>
      </c>
      <c r="BB81" s="17">
        <f t="shared" si="70"/>
        <v>0</v>
      </c>
      <c r="BC81" s="17"/>
      <c r="BD81" s="218">
        <v>72</v>
      </c>
      <c r="BE81" s="87">
        <f t="shared" si="79"/>
        <v>3.5599999999999998E-5</v>
      </c>
      <c r="BF81" s="215">
        <f t="shared" si="71"/>
        <v>0</v>
      </c>
      <c r="BG81" s="245">
        <f t="shared" si="72"/>
        <v>8.1000000000000004E-6</v>
      </c>
      <c r="BH81" s="17">
        <f t="shared" si="80"/>
        <v>0</v>
      </c>
      <c r="BI81" s="218">
        <v>72</v>
      </c>
      <c r="BJ81" s="87">
        <f t="shared" si="81"/>
        <v>3.3899999999999997E-5</v>
      </c>
      <c r="BK81" s="215">
        <f t="shared" si="73"/>
        <v>0</v>
      </c>
      <c r="BL81" s="245">
        <f t="shared" si="82"/>
        <v>8.1000000000000004E-6</v>
      </c>
      <c r="BM81" s="17">
        <f t="shared" si="83"/>
        <v>0</v>
      </c>
      <c r="BN81" s="218">
        <v>72</v>
      </c>
      <c r="BO81" s="87">
        <f t="shared" si="84"/>
        <v>3.3899999999999997E-5</v>
      </c>
      <c r="BP81" s="215">
        <f t="shared" si="74"/>
        <v>0</v>
      </c>
      <c r="BR81" s="126"/>
      <c r="BS81" s="126"/>
      <c r="BU81" s="178"/>
      <c r="BV81" s="179" t="str">
        <f t="shared" si="85"/>
        <v/>
      </c>
      <c r="BW81" s="179" t="str">
        <f t="shared" si="86"/>
        <v/>
      </c>
      <c r="BX81" s="179" t="str">
        <f t="shared" si="87"/>
        <v/>
      </c>
      <c r="BY81" s="179" t="str">
        <f t="shared" si="88"/>
        <v/>
      </c>
      <c r="BZ81" s="179" t="str">
        <f t="shared" si="89"/>
        <v/>
      </c>
      <c r="CA81" s="179" t="str">
        <f t="shared" si="90"/>
        <v/>
      </c>
      <c r="CB81" s="179" t="str">
        <f t="shared" si="91"/>
        <v/>
      </c>
      <c r="CC81" s="179" t="str">
        <f t="shared" si="92"/>
        <v/>
      </c>
      <c r="CD81" s="179" t="str">
        <f t="shared" si="93"/>
        <v/>
      </c>
      <c r="CE81" s="179" t="str">
        <f t="shared" si="94"/>
        <v/>
      </c>
      <c r="CF81" s="179" t="str">
        <f t="shared" si="95"/>
        <v/>
      </c>
      <c r="CG81" s="179" t="str">
        <f t="shared" si="96"/>
        <v/>
      </c>
      <c r="CH81" s="166"/>
      <c r="CI81" s="166"/>
      <c r="CJ81" s="166"/>
      <c r="CK81" s="166"/>
      <c r="CL81" s="166"/>
    </row>
    <row r="82" spans="1:90" ht="14.25" customHeight="1" thickBot="1" x14ac:dyDescent="0.3">
      <c r="A82" s="213">
        <v>72</v>
      </c>
      <c r="B82" s="89"/>
      <c r="C82" s="199"/>
      <c r="D82" s="146"/>
      <c r="E82" s="319" t="s">
        <v>93</v>
      </c>
      <c r="F82" s="221"/>
      <c r="G82" s="222"/>
      <c r="H82" s="222"/>
      <c r="I82" s="222"/>
      <c r="J82" s="222"/>
      <c r="K82" s="222"/>
      <c r="L82" s="222"/>
      <c r="M82" s="331"/>
      <c r="N82" s="303">
        <f t="shared" si="97"/>
        <v>0</v>
      </c>
      <c r="O82" s="304"/>
      <c r="P82" s="341"/>
      <c r="Q82" s="305"/>
      <c r="R82" s="322" t="s">
        <v>67</v>
      </c>
      <c r="S82" s="326"/>
      <c r="T82" s="327"/>
      <c r="U82" s="327"/>
      <c r="V82" s="327"/>
      <c r="W82" s="327"/>
      <c r="X82" s="327"/>
      <c r="Y82" s="95"/>
      <c r="Z82" s="331"/>
      <c r="AA82" s="303">
        <f t="shared" si="98"/>
        <v>0</v>
      </c>
      <c r="AB82" s="314">
        <f t="shared" si="75"/>
        <v>0</v>
      </c>
      <c r="AC82" s="314"/>
      <c r="AD82" s="314">
        <f t="shared" si="76"/>
        <v>0</v>
      </c>
      <c r="AE82" s="325" t="s">
        <v>148</v>
      </c>
      <c r="AF82" s="15"/>
      <c r="AG82" s="232"/>
      <c r="AH82" s="232"/>
      <c r="AI82" s="232"/>
      <c r="AJ82" s="232"/>
      <c r="AK82" s="232"/>
      <c r="AL82" s="7"/>
      <c r="AM82" s="352"/>
      <c r="AN82" s="22">
        <f t="shared" si="99"/>
        <v>0</v>
      </c>
      <c r="AO82" s="15">
        <f t="shared" si="77"/>
        <v>0</v>
      </c>
      <c r="AP82" s="345"/>
      <c r="AQ82" s="7">
        <f t="shared" si="78"/>
        <v>0</v>
      </c>
      <c r="AR82" s="103"/>
      <c r="AS82" s="101"/>
      <c r="AT82" s="236"/>
      <c r="AU82" s="235"/>
      <c r="AV82" s="92"/>
      <c r="AW82" s="235"/>
      <c r="AX82" s="92"/>
      <c r="AY82" s="235"/>
      <c r="AZ82" s="92"/>
      <c r="BA82" s="17">
        <f t="shared" si="69"/>
        <v>8.1999999999999994E-6</v>
      </c>
      <c r="BB82" s="17">
        <f t="shared" si="70"/>
        <v>0</v>
      </c>
      <c r="BC82" s="17"/>
      <c r="BD82" s="218">
        <v>73</v>
      </c>
      <c r="BE82" s="87">
        <f t="shared" si="79"/>
        <v>3.5499999999999996E-5</v>
      </c>
      <c r="BF82" s="215">
        <f t="shared" si="71"/>
        <v>0</v>
      </c>
      <c r="BG82" s="245">
        <f t="shared" si="72"/>
        <v>8.1999999999999994E-6</v>
      </c>
      <c r="BH82" s="17">
        <f t="shared" si="80"/>
        <v>0</v>
      </c>
      <c r="BI82" s="218">
        <v>73</v>
      </c>
      <c r="BJ82" s="87">
        <f t="shared" si="81"/>
        <v>3.3800000000000002E-5</v>
      </c>
      <c r="BK82" s="215">
        <f t="shared" si="73"/>
        <v>0</v>
      </c>
      <c r="BL82" s="245">
        <f t="shared" si="82"/>
        <v>8.1999999999999994E-6</v>
      </c>
      <c r="BM82" s="17">
        <f t="shared" si="83"/>
        <v>0</v>
      </c>
      <c r="BN82" s="218">
        <v>73</v>
      </c>
      <c r="BO82" s="87">
        <f t="shared" si="84"/>
        <v>3.3800000000000002E-5</v>
      </c>
      <c r="BP82" s="215">
        <f t="shared" si="74"/>
        <v>0</v>
      </c>
      <c r="BR82" s="126"/>
      <c r="BS82" s="126"/>
      <c r="BU82" s="178"/>
      <c r="BV82" s="179" t="str">
        <f t="shared" si="85"/>
        <v/>
      </c>
      <c r="BW82" s="179" t="str">
        <f t="shared" si="86"/>
        <v/>
      </c>
      <c r="BX82" s="179" t="str">
        <f t="shared" si="87"/>
        <v/>
      </c>
      <c r="BY82" s="179" t="str">
        <f t="shared" si="88"/>
        <v/>
      </c>
      <c r="BZ82" s="179" t="str">
        <f t="shared" si="89"/>
        <v/>
      </c>
      <c r="CA82" s="179" t="str">
        <f t="shared" si="90"/>
        <v/>
      </c>
      <c r="CB82" s="179" t="str">
        <f t="shared" si="91"/>
        <v/>
      </c>
      <c r="CC82" s="179" t="str">
        <f t="shared" si="92"/>
        <v/>
      </c>
      <c r="CD82" s="179" t="str">
        <f t="shared" si="93"/>
        <v/>
      </c>
      <c r="CE82" s="179" t="str">
        <f t="shared" si="94"/>
        <v/>
      </c>
      <c r="CF82" s="179" t="str">
        <f t="shared" si="95"/>
        <v/>
      </c>
      <c r="CG82" s="179" t="str">
        <f t="shared" si="96"/>
        <v/>
      </c>
      <c r="CH82" s="166"/>
      <c r="CI82" s="166"/>
      <c r="CJ82" s="166"/>
      <c r="CK82" s="166"/>
      <c r="CL82" s="166"/>
    </row>
    <row r="83" spans="1:90" ht="14.25" customHeight="1" x14ac:dyDescent="0.25">
      <c r="A83" s="211">
        <v>73</v>
      </c>
      <c r="B83" s="219"/>
      <c r="C83" s="200"/>
      <c r="D83" s="145"/>
      <c r="E83" s="320" t="s">
        <v>93</v>
      </c>
      <c r="F83" s="209"/>
      <c r="G83" s="313"/>
      <c r="H83" s="313"/>
      <c r="I83" s="313"/>
      <c r="J83" s="313"/>
      <c r="K83" s="313"/>
      <c r="L83" s="313"/>
      <c r="M83" s="339"/>
      <c r="N83" s="233">
        <f t="shared" si="97"/>
        <v>0</v>
      </c>
      <c r="O83" s="306"/>
      <c r="P83" s="342"/>
      <c r="Q83" s="307"/>
      <c r="R83" s="323" t="s">
        <v>67</v>
      </c>
      <c r="S83" s="209"/>
      <c r="T83" s="313"/>
      <c r="U83" s="313"/>
      <c r="V83" s="313"/>
      <c r="W83" s="313"/>
      <c r="X83" s="313"/>
      <c r="Y83" s="125"/>
      <c r="Z83" s="339"/>
      <c r="AA83" s="233">
        <f t="shared" si="98"/>
        <v>0</v>
      </c>
      <c r="AB83" s="314">
        <f t="shared" si="75"/>
        <v>0</v>
      </c>
      <c r="AC83" s="314"/>
      <c r="AD83" s="314">
        <f t="shared" si="76"/>
        <v>0</v>
      </c>
      <c r="AE83" s="323" t="s">
        <v>87</v>
      </c>
      <c r="AF83" s="81"/>
      <c r="AG83" s="335"/>
      <c r="AH83" s="335"/>
      <c r="AI83" s="335"/>
      <c r="AJ83" s="335"/>
      <c r="AK83" s="335"/>
      <c r="AL83" s="336"/>
      <c r="AM83" s="353"/>
      <c r="AN83" s="22">
        <f t="shared" si="99"/>
        <v>0</v>
      </c>
      <c r="AO83" s="209">
        <f t="shared" si="77"/>
        <v>0</v>
      </c>
      <c r="AP83" s="339"/>
      <c r="AQ83" s="125">
        <f t="shared" si="78"/>
        <v>0</v>
      </c>
      <c r="AR83" s="104"/>
      <c r="AS83" s="217"/>
      <c r="AT83" s="216"/>
      <c r="AU83" s="230"/>
      <c r="AV83" s="220"/>
      <c r="AW83" s="230"/>
      <c r="AX83" s="220"/>
      <c r="AY83" s="230"/>
      <c r="AZ83" s="220"/>
      <c r="BA83" s="17">
        <f t="shared" si="69"/>
        <v>8.3000000000000002E-6</v>
      </c>
      <c r="BB83" s="17">
        <f t="shared" si="70"/>
        <v>0</v>
      </c>
      <c r="BC83" s="17"/>
      <c r="BD83" s="218">
        <v>74</v>
      </c>
      <c r="BE83" s="87">
        <f t="shared" si="79"/>
        <v>3.54E-5</v>
      </c>
      <c r="BF83" s="215">
        <f t="shared" si="71"/>
        <v>0</v>
      </c>
      <c r="BG83" s="245">
        <f t="shared" si="72"/>
        <v>8.3000000000000002E-6</v>
      </c>
      <c r="BH83" s="17">
        <f t="shared" si="80"/>
        <v>0</v>
      </c>
      <c r="BI83" s="218">
        <v>74</v>
      </c>
      <c r="BJ83" s="87">
        <f t="shared" si="81"/>
        <v>3.3699999999999999E-5</v>
      </c>
      <c r="BK83" s="215">
        <f t="shared" si="73"/>
        <v>0</v>
      </c>
      <c r="BL83" s="245">
        <f t="shared" si="82"/>
        <v>8.3000000000000002E-6</v>
      </c>
      <c r="BM83" s="17">
        <f t="shared" si="83"/>
        <v>0</v>
      </c>
      <c r="BN83" s="218">
        <v>74</v>
      </c>
      <c r="BO83" s="87">
        <f t="shared" si="84"/>
        <v>3.3699999999999999E-5</v>
      </c>
      <c r="BP83" s="215">
        <f t="shared" si="74"/>
        <v>0</v>
      </c>
      <c r="BR83" s="126"/>
      <c r="BS83" s="126"/>
      <c r="BU83" s="178"/>
      <c r="BV83" s="179" t="str">
        <f t="shared" si="85"/>
        <v/>
      </c>
      <c r="BW83" s="179" t="str">
        <f t="shared" si="86"/>
        <v/>
      </c>
      <c r="BX83" s="179" t="str">
        <f t="shared" si="87"/>
        <v/>
      </c>
      <c r="BY83" s="179" t="str">
        <f t="shared" si="88"/>
        <v/>
      </c>
      <c r="BZ83" s="179" t="str">
        <f t="shared" si="89"/>
        <v/>
      </c>
      <c r="CA83" s="179" t="str">
        <f t="shared" si="90"/>
        <v/>
      </c>
      <c r="CB83" s="179" t="str">
        <f t="shared" si="91"/>
        <v/>
      </c>
      <c r="CC83" s="179" t="str">
        <f t="shared" si="92"/>
        <v/>
      </c>
      <c r="CD83" s="179" t="str">
        <f t="shared" si="93"/>
        <v/>
      </c>
      <c r="CE83" s="179" t="str">
        <f t="shared" si="94"/>
        <v/>
      </c>
      <c r="CF83" s="179" t="str">
        <f t="shared" si="95"/>
        <v/>
      </c>
      <c r="CG83" s="179" t="str">
        <f t="shared" si="96"/>
        <v/>
      </c>
      <c r="CH83" s="166"/>
      <c r="CI83" s="166"/>
      <c r="CJ83" s="166"/>
      <c r="CK83" s="166"/>
      <c r="CL83" s="166"/>
    </row>
    <row r="84" spans="1:90" ht="14.25" customHeight="1" thickBot="1" x14ac:dyDescent="0.3">
      <c r="A84" s="213">
        <v>74</v>
      </c>
      <c r="B84" s="88"/>
      <c r="C84" s="201"/>
      <c r="D84" s="94"/>
      <c r="E84" s="321" t="s">
        <v>93</v>
      </c>
      <c r="F84" s="96"/>
      <c r="G84" s="100"/>
      <c r="H84" s="100"/>
      <c r="I84" s="100"/>
      <c r="J84" s="100"/>
      <c r="K84" s="100"/>
      <c r="L84" s="100"/>
      <c r="M84" s="210"/>
      <c r="N84" s="234">
        <f t="shared" si="97"/>
        <v>0</v>
      </c>
      <c r="O84" s="308"/>
      <c r="P84" s="343"/>
      <c r="Q84" s="309"/>
      <c r="R84" s="324" t="s">
        <v>67</v>
      </c>
      <c r="S84" s="96"/>
      <c r="T84" s="100"/>
      <c r="U84" s="100"/>
      <c r="V84" s="100"/>
      <c r="W84" s="100"/>
      <c r="X84" s="100"/>
      <c r="Y84" s="97"/>
      <c r="Z84" s="210"/>
      <c r="AA84" s="234">
        <f t="shared" si="98"/>
        <v>0</v>
      </c>
      <c r="AB84" s="314">
        <f t="shared" si="75"/>
        <v>0</v>
      </c>
      <c r="AC84" s="314"/>
      <c r="AD84" s="314">
        <f t="shared" si="76"/>
        <v>0</v>
      </c>
      <c r="AE84" s="324" t="s">
        <v>87</v>
      </c>
      <c r="AF84" s="82"/>
      <c r="AG84" s="337"/>
      <c r="AH84" s="337"/>
      <c r="AI84" s="337"/>
      <c r="AJ84" s="337"/>
      <c r="AK84" s="337"/>
      <c r="AL84" s="338"/>
      <c r="AM84" s="354"/>
      <c r="AN84" s="91">
        <f t="shared" si="99"/>
        <v>0</v>
      </c>
      <c r="AO84" s="96">
        <f t="shared" si="77"/>
        <v>0</v>
      </c>
      <c r="AP84" s="210"/>
      <c r="AQ84" s="97">
        <f t="shared" si="78"/>
        <v>0</v>
      </c>
      <c r="AR84" s="105"/>
      <c r="AS84" s="102"/>
      <c r="AT84" s="237"/>
      <c r="AU84" s="231"/>
      <c r="AV84" s="93"/>
      <c r="AW84" s="231"/>
      <c r="AX84" s="93"/>
      <c r="AY84" s="231"/>
      <c r="AZ84" s="93"/>
      <c r="BA84" s="17">
        <f t="shared" si="69"/>
        <v>8.3999999999999992E-6</v>
      </c>
      <c r="BB84" s="17">
        <f t="shared" si="70"/>
        <v>0</v>
      </c>
      <c r="BC84" s="17"/>
      <c r="BD84" s="218">
        <v>75</v>
      </c>
      <c r="BE84" s="87">
        <f t="shared" si="79"/>
        <v>3.5299999999999997E-5</v>
      </c>
      <c r="BF84" s="215">
        <f t="shared" si="71"/>
        <v>0</v>
      </c>
      <c r="BG84" s="245">
        <f t="shared" si="72"/>
        <v>8.3999999999999992E-6</v>
      </c>
      <c r="BH84" s="17">
        <f t="shared" si="80"/>
        <v>0</v>
      </c>
      <c r="BI84" s="218">
        <v>75</v>
      </c>
      <c r="BJ84" s="87">
        <f t="shared" si="81"/>
        <v>3.3599999999999997E-5</v>
      </c>
      <c r="BK84" s="215">
        <f t="shared" si="73"/>
        <v>0</v>
      </c>
      <c r="BL84" s="245">
        <f t="shared" si="82"/>
        <v>8.3999999999999992E-6</v>
      </c>
      <c r="BM84" s="17">
        <f t="shared" si="83"/>
        <v>0</v>
      </c>
      <c r="BN84" s="218">
        <v>75</v>
      </c>
      <c r="BO84" s="87">
        <f t="shared" si="84"/>
        <v>3.3599999999999997E-5</v>
      </c>
      <c r="BP84" s="215">
        <f t="shared" si="74"/>
        <v>0</v>
      </c>
      <c r="BR84" s="126"/>
      <c r="BS84" s="126"/>
      <c r="BU84" s="178"/>
      <c r="BV84" s="179" t="str">
        <f t="shared" si="85"/>
        <v/>
      </c>
      <c r="BW84" s="179" t="str">
        <f t="shared" si="86"/>
        <v/>
      </c>
      <c r="BX84" s="179" t="str">
        <f t="shared" si="87"/>
        <v/>
      </c>
      <c r="BY84" s="179" t="str">
        <f t="shared" si="88"/>
        <v/>
      </c>
      <c r="BZ84" s="179" t="str">
        <f t="shared" si="89"/>
        <v/>
      </c>
      <c r="CA84" s="179" t="str">
        <f t="shared" si="90"/>
        <v/>
      </c>
      <c r="CB84" s="179" t="str">
        <f t="shared" si="91"/>
        <v/>
      </c>
      <c r="CC84" s="179" t="str">
        <f t="shared" si="92"/>
        <v/>
      </c>
      <c r="CD84" s="179" t="str">
        <f t="shared" si="93"/>
        <v/>
      </c>
      <c r="CE84" s="179" t="str">
        <f t="shared" si="94"/>
        <v/>
      </c>
      <c r="CF84" s="179" t="str">
        <f t="shared" si="95"/>
        <v/>
      </c>
      <c r="CG84" s="179" t="str">
        <f t="shared" si="96"/>
        <v/>
      </c>
      <c r="CH84" s="166"/>
      <c r="CI84" s="166"/>
      <c r="CJ84" s="166"/>
      <c r="CK84" s="166"/>
      <c r="CL84" s="166"/>
    </row>
    <row r="85" spans="1:90" ht="14.25" customHeight="1" x14ac:dyDescent="0.25">
      <c r="A85" s="211">
        <v>75</v>
      </c>
      <c r="B85" s="89"/>
      <c r="C85" s="199"/>
      <c r="D85" s="146"/>
      <c r="E85" s="319" t="s">
        <v>93</v>
      </c>
      <c r="F85" s="221"/>
      <c r="G85" s="222"/>
      <c r="H85" s="222"/>
      <c r="I85" s="222"/>
      <c r="J85" s="222"/>
      <c r="K85" s="222"/>
      <c r="L85" s="222"/>
      <c r="M85" s="331"/>
      <c r="N85" s="303">
        <f t="shared" si="97"/>
        <v>0</v>
      </c>
      <c r="O85" s="304"/>
      <c r="P85" s="341"/>
      <c r="Q85" s="305"/>
      <c r="R85" s="322" t="s">
        <v>67</v>
      </c>
      <c r="S85" s="326"/>
      <c r="T85" s="327"/>
      <c r="U85" s="327"/>
      <c r="V85" s="327"/>
      <c r="W85" s="327"/>
      <c r="X85" s="327"/>
      <c r="Y85" s="95"/>
      <c r="Z85" s="331"/>
      <c r="AA85" s="303">
        <f t="shared" si="98"/>
        <v>0</v>
      </c>
      <c r="AB85" s="314">
        <f t="shared" si="75"/>
        <v>0</v>
      </c>
      <c r="AC85" s="314"/>
      <c r="AD85" s="314">
        <f t="shared" si="76"/>
        <v>0</v>
      </c>
      <c r="AE85" s="325" t="s">
        <v>148</v>
      </c>
      <c r="AF85" s="15"/>
      <c r="AG85" s="232"/>
      <c r="AH85" s="232"/>
      <c r="AI85" s="232"/>
      <c r="AJ85" s="232"/>
      <c r="AK85" s="232"/>
      <c r="AL85" s="7"/>
      <c r="AM85" s="352"/>
      <c r="AN85" s="22">
        <f t="shared" si="99"/>
        <v>0</v>
      </c>
      <c r="AO85" s="15">
        <f t="shared" si="77"/>
        <v>0</v>
      </c>
      <c r="AP85" s="345"/>
      <c r="AQ85" s="7">
        <f t="shared" si="78"/>
        <v>0</v>
      </c>
      <c r="AR85" s="103"/>
      <c r="AS85" s="101"/>
      <c r="AT85" s="236"/>
      <c r="AU85" s="235"/>
      <c r="AV85" s="92"/>
      <c r="AW85" s="235"/>
      <c r="AX85" s="92"/>
      <c r="AY85" s="235"/>
      <c r="AZ85" s="92"/>
      <c r="BA85" s="17">
        <f t="shared" si="69"/>
        <v>8.4999999999999999E-6</v>
      </c>
      <c r="BB85" s="17">
        <f t="shared" si="70"/>
        <v>0</v>
      </c>
      <c r="BC85" s="17"/>
      <c r="BD85" s="218">
        <v>76</v>
      </c>
      <c r="BE85" s="87">
        <f t="shared" si="79"/>
        <v>3.5200000000000002E-5</v>
      </c>
      <c r="BF85" s="215">
        <f t="shared" si="71"/>
        <v>0</v>
      </c>
      <c r="BG85" s="245">
        <f t="shared" si="72"/>
        <v>8.4999999999999999E-6</v>
      </c>
      <c r="BH85" s="17">
        <f t="shared" si="80"/>
        <v>0</v>
      </c>
      <c r="BI85" s="218">
        <v>76</v>
      </c>
      <c r="BJ85" s="87">
        <f t="shared" si="81"/>
        <v>3.3500000000000001E-5</v>
      </c>
      <c r="BK85" s="215">
        <f t="shared" si="73"/>
        <v>0</v>
      </c>
      <c r="BL85" s="245">
        <f t="shared" si="82"/>
        <v>8.4999999999999999E-6</v>
      </c>
      <c r="BM85" s="17">
        <f t="shared" si="83"/>
        <v>0</v>
      </c>
      <c r="BN85" s="218">
        <v>76</v>
      </c>
      <c r="BO85" s="87">
        <f t="shared" si="84"/>
        <v>3.3500000000000001E-5</v>
      </c>
      <c r="BP85" s="215">
        <f t="shared" si="74"/>
        <v>0</v>
      </c>
      <c r="BR85" s="126"/>
      <c r="BS85" s="126"/>
      <c r="BU85" s="178"/>
      <c r="BV85" s="179" t="str">
        <f t="shared" si="85"/>
        <v/>
      </c>
      <c r="BW85" s="179" t="str">
        <f t="shared" si="86"/>
        <v/>
      </c>
      <c r="BX85" s="179" t="str">
        <f t="shared" si="87"/>
        <v/>
      </c>
      <c r="BY85" s="179" t="str">
        <f t="shared" si="88"/>
        <v/>
      </c>
      <c r="BZ85" s="179" t="str">
        <f t="shared" si="89"/>
        <v/>
      </c>
      <c r="CA85" s="179" t="str">
        <f t="shared" si="90"/>
        <v/>
      </c>
      <c r="CB85" s="179" t="str">
        <f t="shared" si="91"/>
        <v/>
      </c>
      <c r="CC85" s="179" t="str">
        <f t="shared" si="92"/>
        <v/>
      </c>
      <c r="CD85" s="179" t="str">
        <f t="shared" si="93"/>
        <v/>
      </c>
      <c r="CE85" s="179" t="str">
        <f t="shared" si="94"/>
        <v/>
      </c>
      <c r="CF85" s="179" t="str">
        <f t="shared" si="95"/>
        <v/>
      </c>
      <c r="CG85" s="179" t="str">
        <f t="shared" si="96"/>
        <v/>
      </c>
      <c r="CH85" s="166"/>
      <c r="CI85" s="166"/>
      <c r="CJ85" s="166"/>
      <c r="CK85" s="166"/>
      <c r="CL85" s="166"/>
    </row>
    <row r="86" spans="1:90" ht="14.25" customHeight="1" thickBot="1" x14ac:dyDescent="0.3">
      <c r="A86" s="213">
        <v>76</v>
      </c>
      <c r="B86" s="219"/>
      <c r="C86" s="200"/>
      <c r="D86" s="145"/>
      <c r="E86" s="320" t="s">
        <v>93</v>
      </c>
      <c r="F86" s="209"/>
      <c r="G86" s="313"/>
      <c r="H86" s="313"/>
      <c r="I86" s="313"/>
      <c r="J86" s="313"/>
      <c r="K86" s="313"/>
      <c r="L86" s="313"/>
      <c r="M86" s="339"/>
      <c r="N86" s="233">
        <f t="shared" si="97"/>
        <v>0</v>
      </c>
      <c r="O86" s="306"/>
      <c r="P86" s="342"/>
      <c r="Q86" s="307"/>
      <c r="R86" s="323" t="s">
        <v>67</v>
      </c>
      <c r="S86" s="209"/>
      <c r="T86" s="313"/>
      <c r="U86" s="313"/>
      <c r="V86" s="313"/>
      <c r="W86" s="313"/>
      <c r="X86" s="313"/>
      <c r="Y86" s="125"/>
      <c r="Z86" s="339"/>
      <c r="AA86" s="233">
        <f t="shared" si="98"/>
        <v>0</v>
      </c>
      <c r="AB86" s="314">
        <f t="shared" si="75"/>
        <v>0</v>
      </c>
      <c r="AC86" s="314"/>
      <c r="AD86" s="314">
        <f t="shared" si="76"/>
        <v>0</v>
      </c>
      <c r="AE86" s="323" t="s">
        <v>87</v>
      </c>
      <c r="AF86" s="81"/>
      <c r="AG86" s="335"/>
      <c r="AH86" s="335"/>
      <c r="AI86" s="335"/>
      <c r="AJ86" s="335"/>
      <c r="AK86" s="335"/>
      <c r="AL86" s="336"/>
      <c r="AM86" s="353"/>
      <c r="AN86" s="22">
        <f t="shared" si="99"/>
        <v>0</v>
      </c>
      <c r="AO86" s="209">
        <f t="shared" si="77"/>
        <v>0</v>
      </c>
      <c r="AP86" s="339"/>
      <c r="AQ86" s="125">
        <f t="shared" si="78"/>
        <v>0</v>
      </c>
      <c r="AR86" s="104"/>
      <c r="AS86" s="217"/>
      <c r="AT86" s="216"/>
      <c r="AU86" s="230"/>
      <c r="AV86" s="220"/>
      <c r="AW86" s="230"/>
      <c r="AX86" s="220"/>
      <c r="AY86" s="230"/>
      <c r="AZ86" s="220"/>
      <c r="BA86" s="17">
        <f t="shared" si="69"/>
        <v>8.599999999999999E-6</v>
      </c>
      <c r="BB86" s="17">
        <f t="shared" si="70"/>
        <v>0</v>
      </c>
      <c r="BC86" s="17"/>
      <c r="BD86" s="218">
        <v>77</v>
      </c>
      <c r="BE86" s="87">
        <f t="shared" si="79"/>
        <v>3.5099999999999999E-5</v>
      </c>
      <c r="BF86" s="215">
        <f t="shared" si="71"/>
        <v>0</v>
      </c>
      <c r="BG86" s="245">
        <f t="shared" si="72"/>
        <v>8.599999999999999E-6</v>
      </c>
      <c r="BH86" s="17">
        <f t="shared" si="80"/>
        <v>0</v>
      </c>
      <c r="BI86" s="218">
        <v>77</v>
      </c>
      <c r="BJ86" s="87">
        <f t="shared" si="81"/>
        <v>3.3399999999999999E-5</v>
      </c>
      <c r="BK86" s="215">
        <f t="shared" si="73"/>
        <v>0</v>
      </c>
      <c r="BL86" s="245">
        <f t="shared" si="82"/>
        <v>8.599999999999999E-6</v>
      </c>
      <c r="BM86" s="17">
        <f t="shared" si="83"/>
        <v>0</v>
      </c>
      <c r="BN86" s="218">
        <v>77</v>
      </c>
      <c r="BO86" s="87">
        <f t="shared" si="84"/>
        <v>3.3399999999999999E-5</v>
      </c>
      <c r="BP86" s="215">
        <f t="shared" si="74"/>
        <v>0</v>
      </c>
      <c r="BR86" s="126"/>
      <c r="BS86" s="126"/>
      <c r="BU86" s="178"/>
      <c r="BV86" s="179" t="str">
        <f t="shared" si="85"/>
        <v/>
      </c>
      <c r="BW86" s="179" t="str">
        <f t="shared" si="86"/>
        <v/>
      </c>
      <c r="BX86" s="179" t="str">
        <f t="shared" si="87"/>
        <v/>
      </c>
      <c r="BY86" s="179" t="str">
        <f t="shared" si="88"/>
        <v/>
      </c>
      <c r="BZ86" s="179" t="str">
        <f t="shared" si="89"/>
        <v/>
      </c>
      <c r="CA86" s="179" t="str">
        <f t="shared" si="90"/>
        <v/>
      </c>
      <c r="CB86" s="179" t="str">
        <f t="shared" si="91"/>
        <v/>
      </c>
      <c r="CC86" s="179" t="str">
        <f t="shared" si="92"/>
        <v/>
      </c>
      <c r="CD86" s="179" t="str">
        <f t="shared" si="93"/>
        <v/>
      </c>
      <c r="CE86" s="179" t="str">
        <f t="shared" si="94"/>
        <v/>
      </c>
      <c r="CF86" s="179" t="str">
        <f t="shared" si="95"/>
        <v/>
      </c>
      <c r="CG86" s="179" t="str">
        <f t="shared" si="96"/>
        <v/>
      </c>
      <c r="CH86" s="166"/>
      <c r="CI86" s="166"/>
      <c r="CJ86" s="166"/>
      <c r="CK86" s="166" t="s">
        <v>150</v>
      </c>
      <c r="CL86" s="166"/>
    </row>
    <row r="87" spans="1:90" ht="14.25" customHeight="1" thickBot="1" x14ac:dyDescent="0.3">
      <c r="A87" s="211">
        <v>77</v>
      </c>
      <c r="B87" s="88"/>
      <c r="C87" s="201"/>
      <c r="D87" s="94"/>
      <c r="E87" s="321" t="s">
        <v>93</v>
      </c>
      <c r="F87" s="96"/>
      <c r="G87" s="100"/>
      <c r="H87" s="100"/>
      <c r="I87" s="100"/>
      <c r="J87" s="100"/>
      <c r="K87" s="100"/>
      <c r="L87" s="100"/>
      <c r="M87" s="210"/>
      <c r="N87" s="234">
        <f t="shared" si="97"/>
        <v>0</v>
      </c>
      <c r="O87" s="308"/>
      <c r="P87" s="343"/>
      <c r="Q87" s="309"/>
      <c r="R87" s="324" t="s">
        <v>67</v>
      </c>
      <c r="S87" s="96"/>
      <c r="T87" s="100"/>
      <c r="U87" s="100"/>
      <c r="V87" s="100"/>
      <c r="W87" s="100"/>
      <c r="X87" s="100"/>
      <c r="Y87" s="97"/>
      <c r="Z87" s="210"/>
      <c r="AA87" s="234">
        <f t="shared" si="98"/>
        <v>0</v>
      </c>
      <c r="AB87" s="314">
        <f t="shared" si="75"/>
        <v>0</v>
      </c>
      <c r="AC87" s="314"/>
      <c r="AD87" s="314">
        <f t="shared" si="76"/>
        <v>0</v>
      </c>
      <c r="AE87" s="324" t="s">
        <v>87</v>
      </c>
      <c r="AF87" s="82"/>
      <c r="AG87" s="337"/>
      <c r="AH87" s="337"/>
      <c r="AI87" s="337"/>
      <c r="AJ87" s="337"/>
      <c r="AK87" s="337"/>
      <c r="AL87" s="338"/>
      <c r="AM87" s="354"/>
      <c r="AN87" s="91">
        <f t="shared" si="99"/>
        <v>0</v>
      </c>
      <c r="AO87" s="96">
        <f t="shared" si="77"/>
        <v>0</v>
      </c>
      <c r="AP87" s="210"/>
      <c r="AQ87" s="97">
        <f t="shared" si="78"/>
        <v>0</v>
      </c>
      <c r="AR87" s="105"/>
      <c r="AS87" s="102"/>
      <c r="AT87" s="237"/>
      <c r="AU87" s="231"/>
      <c r="AV87" s="93"/>
      <c r="AW87" s="231"/>
      <c r="AX87" s="93"/>
      <c r="AY87" s="231"/>
      <c r="AZ87" s="93"/>
      <c r="BA87" s="17">
        <f t="shared" si="69"/>
        <v>8.6999999999999997E-6</v>
      </c>
      <c r="BB87" s="17">
        <f t="shared" si="70"/>
        <v>0</v>
      </c>
      <c r="BC87" s="17"/>
      <c r="BD87" s="218">
        <v>78</v>
      </c>
      <c r="BE87" s="87">
        <f t="shared" si="79"/>
        <v>3.4999999999999997E-5</v>
      </c>
      <c r="BF87" s="215">
        <f t="shared" si="71"/>
        <v>0</v>
      </c>
      <c r="BG87" s="245">
        <f t="shared" si="72"/>
        <v>8.6999999999999997E-6</v>
      </c>
      <c r="BH87" s="17">
        <f t="shared" si="80"/>
        <v>0</v>
      </c>
      <c r="BI87" s="218">
        <v>78</v>
      </c>
      <c r="BJ87" s="87">
        <f t="shared" si="81"/>
        <v>3.3299999999999996E-5</v>
      </c>
      <c r="BK87" s="215">
        <f t="shared" si="73"/>
        <v>0</v>
      </c>
      <c r="BL87" s="245">
        <f t="shared" si="82"/>
        <v>8.6999999999999997E-6</v>
      </c>
      <c r="BM87" s="17">
        <f t="shared" si="83"/>
        <v>0</v>
      </c>
      <c r="BN87" s="218">
        <v>78</v>
      </c>
      <c r="BO87" s="87">
        <f t="shared" si="84"/>
        <v>3.3299999999999996E-5</v>
      </c>
      <c r="BP87" s="215">
        <f t="shared" si="74"/>
        <v>0</v>
      </c>
      <c r="BR87" s="126"/>
      <c r="BS87" s="126"/>
      <c r="BU87" s="178"/>
      <c r="BV87" s="179" t="str">
        <f t="shared" si="85"/>
        <v/>
      </c>
      <c r="BW87" s="179" t="str">
        <f t="shared" si="86"/>
        <v/>
      </c>
      <c r="BX87" s="179" t="str">
        <f t="shared" si="87"/>
        <v/>
      </c>
      <c r="BY87" s="179" t="str">
        <f t="shared" si="88"/>
        <v/>
      </c>
      <c r="BZ87" s="179" t="str">
        <f t="shared" si="89"/>
        <v/>
      </c>
      <c r="CA87" s="179" t="str">
        <f t="shared" si="90"/>
        <v/>
      </c>
      <c r="CB87" s="179" t="str">
        <f t="shared" si="91"/>
        <v/>
      </c>
      <c r="CC87" s="179" t="str">
        <f t="shared" si="92"/>
        <v/>
      </c>
      <c r="CD87" s="179" t="str">
        <f t="shared" si="93"/>
        <v/>
      </c>
      <c r="CE87" s="179" t="str">
        <f t="shared" si="94"/>
        <v/>
      </c>
      <c r="CF87" s="179" t="str">
        <f t="shared" si="95"/>
        <v/>
      </c>
      <c r="CG87" s="179" t="str">
        <f t="shared" si="96"/>
        <v/>
      </c>
      <c r="CH87" s="166"/>
      <c r="CI87" s="166"/>
      <c r="CJ87" s="166"/>
      <c r="CK87" s="166" t="s">
        <v>150</v>
      </c>
      <c r="CL87" s="166"/>
    </row>
    <row r="88" spans="1:90" ht="14.25" customHeight="1" thickBot="1" x14ac:dyDescent="0.3">
      <c r="A88" s="213">
        <v>78</v>
      </c>
      <c r="B88" s="89"/>
      <c r="C88" s="199"/>
      <c r="D88" s="146"/>
      <c r="E88" s="319" t="s">
        <v>93</v>
      </c>
      <c r="F88" s="221"/>
      <c r="G88" s="222"/>
      <c r="H88" s="222"/>
      <c r="I88" s="222"/>
      <c r="J88" s="222"/>
      <c r="K88" s="222"/>
      <c r="L88" s="222"/>
      <c r="M88" s="331"/>
      <c r="N88" s="303">
        <f t="shared" si="97"/>
        <v>0</v>
      </c>
      <c r="O88" s="304"/>
      <c r="P88" s="341"/>
      <c r="Q88" s="305"/>
      <c r="R88" s="322" t="s">
        <v>67</v>
      </c>
      <c r="S88" s="326"/>
      <c r="T88" s="327"/>
      <c r="U88" s="327"/>
      <c r="V88" s="327"/>
      <c r="W88" s="327"/>
      <c r="X88" s="327"/>
      <c r="Y88" s="95"/>
      <c r="Z88" s="331"/>
      <c r="AA88" s="303">
        <f t="shared" si="98"/>
        <v>0</v>
      </c>
      <c r="AB88" s="314">
        <f t="shared" si="75"/>
        <v>0</v>
      </c>
      <c r="AC88" s="314"/>
      <c r="AD88" s="314">
        <f t="shared" si="76"/>
        <v>0</v>
      </c>
      <c r="AE88" s="325" t="s">
        <v>148</v>
      </c>
      <c r="AF88" s="15"/>
      <c r="AG88" s="232"/>
      <c r="AH88" s="232"/>
      <c r="AI88" s="232"/>
      <c r="AJ88" s="232"/>
      <c r="AK88" s="232"/>
      <c r="AL88" s="7"/>
      <c r="AM88" s="352"/>
      <c r="AN88" s="22">
        <f t="shared" si="99"/>
        <v>0</v>
      </c>
      <c r="AO88" s="15">
        <f t="shared" si="77"/>
        <v>0</v>
      </c>
      <c r="AP88" s="345"/>
      <c r="AQ88" s="7">
        <f t="shared" si="78"/>
        <v>0</v>
      </c>
      <c r="AR88" s="103"/>
      <c r="AS88" s="101"/>
      <c r="AT88" s="236"/>
      <c r="AU88" s="235"/>
      <c r="AV88" s="92"/>
      <c r="AW88" s="235"/>
      <c r="AX88" s="92"/>
      <c r="AY88" s="235"/>
      <c r="AZ88" s="92"/>
      <c r="BA88" s="17">
        <f t="shared" si="69"/>
        <v>8.8000000000000004E-6</v>
      </c>
      <c r="BB88" s="17">
        <f t="shared" si="70"/>
        <v>0</v>
      </c>
      <c r="BC88" s="17"/>
      <c r="BD88" s="218">
        <v>79</v>
      </c>
      <c r="BE88" s="87">
        <f t="shared" si="79"/>
        <v>3.4900000000000001E-5</v>
      </c>
      <c r="BF88" s="215">
        <f t="shared" si="71"/>
        <v>0</v>
      </c>
      <c r="BG88" s="245">
        <f t="shared" si="72"/>
        <v>8.8000000000000004E-6</v>
      </c>
      <c r="BH88" s="17">
        <f t="shared" si="80"/>
        <v>0</v>
      </c>
      <c r="BI88" s="218">
        <v>79</v>
      </c>
      <c r="BJ88" s="87">
        <f t="shared" si="81"/>
        <v>3.3200000000000001E-5</v>
      </c>
      <c r="BK88" s="215">
        <f t="shared" si="73"/>
        <v>0</v>
      </c>
      <c r="BL88" s="245">
        <f t="shared" si="82"/>
        <v>8.8000000000000004E-6</v>
      </c>
      <c r="BM88" s="17">
        <f t="shared" si="83"/>
        <v>0</v>
      </c>
      <c r="BN88" s="218">
        <v>79</v>
      </c>
      <c r="BO88" s="87">
        <f t="shared" si="84"/>
        <v>3.3200000000000001E-5</v>
      </c>
      <c r="BP88" s="215">
        <f t="shared" si="74"/>
        <v>0</v>
      </c>
      <c r="BR88" s="126"/>
      <c r="BS88" s="126"/>
      <c r="BU88" s="178"/>
      <c r="BV88" s="179" t="str">
        <f t="shared" si="85"/>
        <v/>
      </c>
      <c r="BW88" s="179" t="str">
        <f t="shared" si="86"/>
        <v/>
      </c>
      <c r="BX88" s="179" t="str">
        <f t="shared" si="87"/>
        <v/>
      </c>
      <c r="BY88" s="179" t="str">
        <f t="shared" si="88"/>
        <v/>
      </c>
      <c r="BZ88" s="179" t="str">
        <f t="shared" si="89"/>
        <v/>
      </c>
      <c r="CA88" s="179" t="str">
        <f t="shared" si="90"/>
        <v/>
      </c>
      <c r="CB88" s="179" t="str">
        <f t="shared" si="91"/>
        <v/>
      </c>
      <c r="CC88" s="179" t="str">
        <f t="shared" si="92"/>
        <v/>
      </c>
      <c r="CD88" s="179" t="str">
        <f t="shared" si="93"/>
        <v/>
      </c>
      <c r="CE88" s="179" t="str">
        <f t="shared" si="94"/>
        <v/>
      </c>
      <c r="CF88" s="179" t="str">
        <f t="shared" si="95"/>
        <v/>
      </c>
      <c r="CG88" s="179" t="str">
        <f t="shared" si="96"/>
        <v/>
      </c>
      <c r="CH88" s="166"/>
      <c r="CI88" s="166"/>
      <c r="CJ88" s="166"/>
      <c r="CK88" s="166" t="s">
        <v>150</v>
      </c>
      <c r="CL88" s="166"/>
    </row>
    <row r="89" spans="1:90" ht="14.25" customHeight="1" x14ac:dyDescent="0.25">
      <c r="A89" s="211">
        <v>79</v>
      </c>
      <c r="B89" s="219"/>
      <c r="C89" s="200"/>
      <c r="D89" s="145"/>
      <c r="E89" s="320" t="s">
        <v>93</v>
      </c>
      <c r="F89" s="209"/>
      <c r="G89" s="313"/>
      <c r="H89" s="313"/>
      <c r="I89" s="313"/>
      <c r="J89" s="313"/>
      <c r="K89" s="313"/>
      <c r="L89" s="313"/>
      <c r="M89" s="339"/>
      <c r="N89" s="233">
        <f t="shared" si="97"/>
        <v>0</v>
      </c>
      <c r="O89" s="306"/>
      <c r="P89" s="342"/>
      <c r="Q89" s="307"/>
      <c r="R89" s="323" t="s">
        <v>67</v>
      </c>
      <c r="S89" s="209"/>
      <c r="T89" s="313"/>
      <c r="U89" s="313"/>
      <c r="V89" s="313"/>
      <c r="W89" s="313"/>
      <c r="X89" s="313"/>
      <c r="Y89" s="125"/>
      <c r="Z89" s="339"/>
      <c r="AA89" s="233">
        <f t="shared" si="98"/>
        <v>0</v>
      </c>
      <c r="AB89" s="314">
        <f t="shared" si="75"/>
        <v>0</v>
      </c>
      <c r="AC89" s="314"/>
      <c r="AD89" s="314">
        <f t="shared" si="76"/>
        <v>0</v>
      </c>
      <c r="AE89" s="323" t="s">
        <v>87</v>
      </c>
      <c r="AF89" s="81"/>
      <c r="AG89" s="335"/>
      <c r="AH89" s="335"/>
      <c r="AI89" s="335"/>
      <c r="AJ89" s="335"/>
      <c r="AK89" s="335"/>
      <c r="AL89" s="336"/>
      <c r="AM89" s="353"/>
      <c r="AN89" s="22">
        <f t="shared" si="99"/>
        <v>0</v>
      </c>
      <c r="AO89" s="209">
        <f t="shared" si="77"/>
        <v>0</v>
      </c>
      <c r="AP89" s="339"/>
      <c r="AQ89" s="125">
        <f t="shared" si="78"/>
        <v>0</v>
      </c>
      <c r="AR89" s="104"/>
      <c r="AS89" s="217"/>
      <c r="AT89" s="216"/>
      <c r="AU89" s="230"/>
      <c r="AV89" s="220"/>
      <c r="AW89" s="230"/>
      <c r="AX89" s="220"/>
      <c r="AY89" s="230"/>
      <c r="AZ89" s="220"/>
      <c r="BA89" s="17">
        <f t="shared" si="69"/>
        <v>8.8999999999999995E-6</v>
      </c>
      <c r="BB89" s="17">
        <f t="shared" si="70"/>
        <v>0</v>
      </c>
      <c r="BC89" s="17"/>
      <c r="BD89" s="218">
        <v>80</v>
      </c>
      <c r="BE89" s="87">
        <f t="shared" si="79"/>
        <v>3.4799999999999999E-5</v>
      </c>
      <c r="BF89" s="215">
        <f t="shared" si="71"/>
        <v>0</v>
      </c>
      <c r="BG89" s="245">
        <f t="shared" si="72"/>
        <v>8.8999999999999995E-6</v>
      </c>
      <c r="BH89" s="17">
        <f t="shared" si="80"/>
        <v>0</v>
      </c>
      <c r="BI89" s="218">
        <v>80</v>
      </c>
      <c r="BJ89" s="87">
        <f t="shared" si="81"/>
        <v>3.3099999999999998E-5</v>
      </c>
      <c r="BK89" s="215">
        <f t="shared" si="73"/>
        <v>0</v>
      </c>
      <c r="BL89" s="245">
        <f t="shared" si="82"/>
        <v>8.8999999999999995E-6</v>
      </c>
      <c r="BM89" s="17">
        <f t="shared" si="83"/>
        <v>0</v>
      </c>
      <c r="BN89" s="218">
        <v>80</v>
      </c>
      <c r="BO89" s="87">
        <f t="shared" si="84"/>
        <v>3.3099999999999998E-5</v>
      </c>
      <c r="BP89" s="215">
        <f t="shared" si="74"/>
        <v>0</v>
      </c>
      <c r="BR89" s="126"/>
      <c r="BS89" s="126"/>
      <c r="BU89" s="178"/>
      <c r="BV89" s="179" t="str">
        <f t="shared" si="85"/>
        <v/>
      </c>
      <c r="BW89" s="179" t="str">
        <f t="shared" si="86"/>
        <v/>
      </c>
      <c r="BX89" s="179" t="str">
        <f t="shared" si="87"/>
        <v/>
      </c>
      <c r="BY89" s="179" t="str">
        <f t="shared" si="88"/>
        <v/>
      </c>
      <c r="BZ89" s="179" t="str">
        <f t="shared" si="89"/>
        <v/>
      </c>
      <c r="CA89" s="179" t="str">
        <f t="shared" si="90"/>
        <v/>
      </c>
      <c r="CB89" s="179" t="str">
        <f t="shared" si="91"/>
        <v/>
      </c>
      <c r="CC89" s="179" t="str">
        <f t="shared" si="92"/>
        <v/>
      </c>
      <c r="CD89" s="179" t="str">
        <f t="shared" si="93"/>
        <v/>
      </c>
      <c r="CE89" s="179" t="str">
        <f t="shared" si="94"/>
        <v/>
      </c>
      <c r="CF89" s="179" t="str">
        <f t="shared" si="95"/>
        <v/>
      </c>
      <c r="CG89" s="179" t="str">
        <f t="shared" si="96"/>
        <v/>
      </c>
      <c r="CH89" s="166"/>
      <c r="CI89" s="166"/>
      <c r="CJ89" s="166"/>
      <c r="CK89" s="166" t="s">
        <v>150</v>
      </c>
      <c r="CL89" s="166"/>
    </row>
    <row r="90" spans="1:90" ht="14.25" customHeight="1" thickBot="1" x14ac:dyDescent="0.3">
      <c r="A90" s="213">
        <v>80</v>
      </c>
      <c r="B90" s="88"/>
      <c r="C90" s="201"/>
      <c r="D90" s="94"/>
      <c r="E90" s="321" t="s">
        <v>93</v>
      </c>
      <c r="F90" s="96"/>
      <c r="G90" s="100"/>
      <c r="H90" s="100"/>
      <c r="I90" s="100"/>
      <c r="J90" s="100"/>
      <c r="K90" s="100"/>
      <c r="L90" s="100"/>
      <c r="M90" s="210"/>
      <c r="N90" s="234">
        <f t="shared" si="97"/>
        <v>0</v>
      </c>
      <c r="O90" s="308"/>
      <c r="P90" s="343"/>
      <c r="Q90" s="309"/>
      <c r="R90" s="324" t="s">
        <v>67</v>
      </c>
      <c r="S90" s="96"/>
      <c r="T90" s="100"/>
      <c r="U90" s="100"/>
      <c r="V90" s="100"/>
      <c r="W90" s="100"/>
      <c r="X90" s="100"/>
      <c r="Y90" s="97"/>
      <c r="Z90" s="210"/>
      <c r="AA90" s="234">
        <f t="shared" si="98"/>
        <v>0</v>
      </c>
      <c r="AB90" s="314">
        <f t="shared" si="75"/>
        <v>0</v>
      </c>
      <c r="AC90" s="314"/>
      <c r="AD90" s="314">
        <f t="shared" si="76"/>
        <v>0</v>
      </c>
      <c r="AE90" s="324" t="s">
        <v>87</v>
      </c>
      <c r="AF90" s="82"/>
      <c r="AG90" s="337"/>
      <c r="AH90" s="337"/>
      <c r="AI90" s="337"/>
      <c r="AJ90" s="337"/>
      <c r="AK90" s="337"/>
      <c r="AL90" s="338"/>
      <c r="AM90" s="354"/>
      <c r="AN90" s="91">
        <f t="shared" si="99"/>
        <v>0</v>
      </c>
      <c r="AO90" s="96">
        <f t="shared" si="77"/>
        <v>0</v>
      </c>
      <c r="AP90" s="210"/>
      <c r="AQ90" s="97">
        <f t="shared" si="78"/>
        <v>0</v>
      </c>
      <c r="AR90" s="105"/>
      <c r="AS90" s="102"/>
      <c r="AT90" s="237"/>
      <c r="AU90" s="231"/>
      <c r="AV90" s="93"/>
      <c r="AW90" s="231"/>
      <c r="AX90" s="93"/>
      <c r="AY90" s="231"/>
      <c r="AZ90" s="93"/>
      <c r="BA90" s="17">
        <f t="shared" si="69"/>
        <v>9.0000000000000002E-6</v>
      </c>
      <c r="BB90" s="17">
        <f t="shared" si="70"/>
        <v>0</v>
      </c>
      <c r="BC90" s="17"/>
      <c r="BD90" s="218">
        <v>81</v>
      </c>
      <c r="BE90" s="87">
        <f t="shared" si="79"/>
        <v>3.4699999999999996E-5</v>
      </c>
      <c r="BF90" s="215">
        <f t="shared" si="71"/>
        <v>0</v>
      </c>
      <c r="BG90" s="245">
        <f t="shared" si="72"/>
        <v>9.0000000000000002E-6</v>
      </c>
      <c r="BH90" s="17">
        <f t="shared" si="80"/>
        <v>0</v>
      </c>
      <c r="BI90" s="218">
        <v>81</v>
      </c>
      <c r="BJ90" s="87">
        <f t="shared" si="81"/>
        <v>3.2999999999999996E-5</v>
      </c>
      <c r="BK90" s="215">
        <f t="shared" si="73"/>
        <v>0</v>
      </c>
      <c r="BL90" s="245">
        <f t="shared" si="82"/>
        <v>9.0000000000000002E-6</v>
      </c>
      <c r="BM90" s="17">
        <f t="shared" si="83"/>
        <v>0</v>
      </c>
      <c r="BN90" s="218">
        <v>81</v>
      </c>
      <c r="BO90" s="87">
        <f t="shared" si="84"/>
        <v>3.2999999999999996E-5</v>
      </c>
      <c r="BP90" s="215">
        <f t="shared" si="74"/>
        <v>0</v>
      </c>
      <c r="BR90" s="126"/>
      <c r="BS90" s="126"/>
      <c r="BU90" s="178"/>
      <c r="BV90" s="179" t="str">
        <f t="shared" si="85"/>
        <v/>
      </c>
      <c r="BW90" s="179" t="str">
        <f t="shared" si="86"/>
        <v/>
      </c>
      <c r="BX90" s="179" t="str">
        <f t="shared" si="87"/>
        <v/>
      </c>
      <c r="BY90" s="179" t="str">
        <f t="shared" si="88"/>
        <v/>
      </c>
      <c r="BZ90" s="179" t="str">
        <f t="shared" si="89"/>
        <v/>
      </c>
      <c r="CA90" s="179" t="str">
        <f t="shared" si="90"/>
        <v/>
      </c>
      <c r="CB90" s="179" t="str">
        <f t="shared" si="91"/>
        <v/>
      </c>
      <c r="CC90" s="179" t="str">
        <f t="shared" si="92"/>
        <v/>
      </c>
      <c r="CD90" s="179" t="str">
        <f t="shared" si="93"/>
        <v/>
      </c>
      <c r="CE90" s="179" t="str">
        <f t="shared" si="94"/>
        <v/>
      </c>
      <c r="CF90" s="179" t="str">
        <f t="shared" si="95"/>
        <v/>
      </c>
      <c r="CG90" s="179" t="str">
        <f t="shared" si="96"/>
        <v/>
      </c>
      <c r="CH90" s="166"/>
      <c r="CI90" s="166"/>
      <c r="CJ90" s="166"/>
      <c r="CK90" s="166" t="s">
        <v>150</v>
      </c>
      <c r="CL90" s="166"/>
    </row>
    <row r="91" spans="1:90" ht="14.25" customHeight="1" x14ac:dyDescent="0.25">
      <c r="A91" s="211">
        <v>81</v>
      </c>
      <c r="B91" s="89"/>
      <c r="C91" s="199"/>
      <c r="D91" s="146"/>
      <c r="E91" s="319" t="s">
        <v>93</v>
      </c>
      <c r="F91" s="221"/>
      <c r="G91" s="222"/>
      <c r="H91" s="222"/>
      <c r="I91" s="222"/>
      <c r="J91" s="222"/>
      <c r="K91" s="222"/>
      <c r="L91" s="222"/>
      <c r="M91" s="331"/>
      <c r="N91" s="303">
        <f t="shared" si="97"/>
        <v>0</v>
      </c>
      <c r="O91" s="304"/>
      <c r="P91" s="341"/>
      <c r="Q91" s="305"/>
      <c r="R91" s="322" t="s">
        <v>67</v>
      </c>
      <c r="S91" s="326"/>
      <c r="T91" s="327"/>
      <c r="U91" s="327"/>
      <c r="V91" s="327"/>
      <c r="W91" s="327"/>
      <c r="X91" s="327"/>
      <c r="Y91" s="95"/>
      <c r="Z91" s="331"/>
      <c r="AA91" s="303">
        <f t="shared" si="98"/>
        <v>0</v>
      </c>
      <c r="AB91" s="314">
        <f t="shared" si="75"/>
        <v>0</v>
      </c>
      <c r="AC91" s="314"/>
      <c r="AD91" s="314">
        <f t="shared" si="76"/>
        <v>0</v>
      </c>
      <c r="AE91" s="325" t="s">
        <v>148</v>
      </c>
      <c r="AF91" s="15"/>
      <c r="AG91" s="232"/>
      <c r="AH91" s="232"/>
      <c r="AI91" s="232"/>
      <c r="AJ91" s="232"/>
      <c r="AK91" s="232"/>
      <c r="AL91" s="7"/>
      <c r="AM91" s="352"/>
      <c r="AN91" s="22">
        <f t="shared" si="99"/>
        <v>0</v>
      </c>
      <c r="AO91" s="15">
        <f t="shared" si="77"/>
        <v>0</v>
      </c>
      <c r="AP91" s="345"/>
      <c r="AQ91" s="7">
        <f t="shared" si="78"/>
        <v>0</v>
      </c>
      <c r="AR91" s="103"/>
      <c r="AS91" s="101"/>
      <c r="AT91" s="236"/>
      <c r="AU91" s="235"/>
      <c r="AV91" s="92"/>
      <c r="AW91" s="235"/>
      <c r="AX91" s="92"/>
      <c r="AY91" s="235"/>
      <c r="AZ91" s="92"/>
      <c r="BA91" s="17">
        <f t="shared" si="69"/>
        <v>9.0999999999999993E-6</v>
      </c>
      <c r="BB91" s="17">
        <f t="shared" si="70"/>
        <v>0</v>
      </c>
      <c r="BC91" s="17"/>
      <c r="BD91" s="218">
        <v>82</v>
      </c>
      <c r="BE91" s="87">
        <f t="shared" si="79"/>
        <v>3.4600000000000001E-5</v>
      </c>
      <c r="BF91" s="215">
        <f t="shared" si="71"/>
        <v>0</v>
      </c>
      <c r="BG91" s="245">
        <f t="shared" si="72"/>
        <v>9.0999999999999993E-6</v>
      </c>
      <c r="BH91" s="17">
        <f t="shared" si="80"/>
        <v>0</v>
      </c>
      <c r="BI91" s="218">
        <v>82</v>
      </c>
      <c r="BJ91" s="87">
        <f t="shared" si="81"/>
        <v>3.29E-5</v>
      </c>
      <c r="BK91" s="215">
        <f t="shared" si="73"/>
        <v>0</v>
      </c>
      <c r="BL91" s="245">
        <f t="shared" si="82"/>
        <v>9.0999999999999993E-6</v>
      </c>
      <c r="BM91" s="17">
        <f t="shared" si="83"/>
        <v>0</v>
      </c>
      <c r="BN91" s="218">
        <v>82</v>
      </c>
      <c r="BO91" s="87">
        <f t="shared" si="84"/>
        <v>3.29E-5</v>
      </c>
      <c r="BP91" s="215">
        <f t="shared" si="74"/>
        <v>0</v>
      </c>
      <c r="BR91" s="126"/>
      <c r="BS91" s="126"/>
      <c r="BU91" s="178"/>
      <c r="BV91" s="179" t="str">
        <f t="shared" si="85"/>
        <v/>
      </c>
      <c r="BW91" s="179" t="str">
        <f t="shared" si="86"/>
        <v/>
      </c>
      <c r="BX91" s="179" t="str">
        <f t="shared" si="87"/>
        <v/>
      </c>
      <c r="BY91" s="179" t="str">
        <f t="shared" si="88"/>
        <v/>
      </c>
      <c r="BZ91" s="179" t="str">
        <f t="shared" si="89"/>
        <v/>
      </c>
      <c r="CA91" s="179" t="str">
        <f t="shared" si="90"/>
        <v/>
      </c>
      <c r="CB91" s="179" t="str">
        <f t="shared" si="91"/>
        <v/>
      </c>
      <c r="CC91" s="179" t="str">
        <f t="shared" si="92"/>
        <v/>
      </c>
      <c r="CD91" s="179" t="str">
        <f t="shared" si="93"/>
        <v/>
      </c>
      <c r="CE91" s="179" t="str">
        <f t="shared" si="94"/>
        <v/>
      </c>
      <c r="CF91" s="179" t="str">
        <f t="shared" si="95"/>
        <v/>
      </c>
      <c r="CG91" s="179" t="str">
        <f t="shared" si="96"/>
        <v/>
      </c>
      <c r="CH91" s="166"/>
      <c r="CI91" s="166"/>
      <c r="CJ91" s="166"/>
      <c r="CK91" s="166" t="s">
        <v>150</v>
      </c>
      <c r="CL91" s="166"/>
    </row>
    <row r="92" spans="1:90" ht="14.25" customHeight="1" thickBot="1" x14ac:dyDescent="0.3">
      <c r="A92" s="213">
        <v>82</v>
      </c>
      <c r="B92" s="219"/>
      <c r="C92" s="200"/>
      <c r="D92" s="145"/>
      <c r="E92" s="320" t="s">
        <v>93</v>
      </c>
      <c r="F92" s="209"/>
      <c r="G92" s="313"/>
      <c r="H92" s="313"/>
      <c r="I92" s="313"/>
      <c r="J92" s="313"/>
      <c r="K92" s="313"/>
      <c r="L92" s="313"/>
      <c r="M92" s="339"/>
      <c r="N92" s="233">
        <f t="shared" si="97"/>
        <v>0</v>
      </c>
      <c r="O92" s="306"/>
      <c r="P92" s="342"/>
      <c r="Q92" s="307"/>
      <c r="R92" s="323" t="s">
        <v>67</v>
      </c>
      <c r="S92" s="209"/>
      <c r="T92" s="313"/>
      <c r="U92" s="313"/>
      <c r="V92" s="313"/>
      <c r="W92" s="313"/>
      <c r="X92" s="313"/>
      <c r="Y92" s="125"/>
      <c r="Z92" s="339"/>
      <c r="AA92" s="233">
        <f t="shared" si="98"/>
        <v>0</v>
      </c>
      <c r="AB92" s="314">
        <f t="shared" si="75"/>
        <v>0</v>
      </c>
      <c r="AC92" s="314"/>
      <c r="AD92" s="314">
        <f t="shared" si="76"/>
        <v>0</v>
      </c>
      <c r="AE92" s="323" t="s">
        <v>87</v>
      </c>
      <c r="AF92" s="81"/>
      <c r="AG92" s="335"/>
      <c r="AH92" s="335"/>
      <c r="AI92" s="335"/>
      <c r="AJ92" s="335"/>
      <c r="AK92" s="335"/>
      <c r="AL92" s="336"/>
      <c r="AM92" s="353"/>
      <c r="AN92" s="22">
        <f t="shared" si="99"/>
        <v>0</v>
      </c>
      <c r="AO92" s="209">
        <f t="shared" si="77"/>
        <v>0</v>
      </c>
      <c r="AP92" s="339"/>
      <c r="AQ92" s="125">
        <f t="shared" si="78"/>
        <v>0</v>
      </c>
      <c r="AR92" s="104"/>
      <c r="AS92" s="217"/>
      <c r="AT92" s="216"/>
      <c r="AU92" s="230"/>
      <c r="AV92" s="220"/>
      <c r="AW92" s="230"/>
      <c r="AX92" s="220"/>
      <c r="AY92" s="230"/>
      <c r="AZ92" s="220"/>
      <c r="BA92" s="17">
        <f t="shared" si="69"/>
        <v>9.2E-6</v>
      </c>
      <c r="BB92" s="17">
        <f t="shared" si="70"/>
        <v>0</v>
      </c>
      <c r="BC92" s="17"/>
      <c r="BD92" s="218">
        <v>83</v>
      </c>
      <c r="BE92" s="87">
        <f t="shared" si="79"/>
        <v>3.4499999999999998E-5</v>
      </c>
      <c r="BF92" s="215">
        <f t="shared" si="71"/>
        <v>0</v>
      </c>
      <c r="BG92" s="245">
        <f t="shared" si="72"/>
        <v>9.2E-6</v>
      </c>
      <c r="BH92" s="17">
        <f t="shared" si="80"/>
        <v>0</v>
      </c>
      <c r="BI92" s="218">
        <v>83</v>
      </c>
      <c r="BJ92" s="87">
        <f t="shared" si="81"/>
        <v>3.2799999999999998E-5</v>
      </c>
      <c r="BK92" s="215">
        <f t="shared" si="73"/>
        <v>0</v>
      </c>
      <c r="BL92" s="245">
        <f t="shared" si="82"/>
        <v>9.2E-6</v>
      </c>
      <c r="BM92" s="17">
        <f t="shared" si="83"/>
        <v>0</v>
      </c>
      <c r="BN92" s="218">
        <v>83</v>
      </c>
      <c r="BO92" s="87">
        <f t="shared" si="84"/>
        <v>3.2799999999999998E-5</v>
      </c>
      <c r="BP92" s="215">
        <f t="shared" si="74"/>
        <v>0</v>
      </c>
      <c r="BR92" s="126"/>
      <c r="BS92" s="126"/>
      <c r="BU92" s="178"/>
      <c r="BV92" s="179" t="str">
        <f t="shared" si="85"/>
        <v/>
      </c>
      <c r="BW92" s="179" t="str">
        <f t="shared" si="86"/>
        <v/>
      </c>
      <c r="BX92" s="179" t="str">
        <f t="shared" si="87"/>
        <v/>
      </c>
      <c r="BY92" s="179" t="str">
        <f t="shared" si="88"/>
        <v/>
      </c>
      <c r="BZ92" s="179" t="str">
        <f t="shared" si="89"/>
        <v/>
      </c>
      <c r="CA92" s="179" t="str">
        <f t="shared" si="90"/>
        <v/>
      </c>
      <c r="CB92" s="179" t="str">
        <f t="shared" si="91"/>
        <v/>
      </c>
      <c r="CC92" s="179" t="str">
        <f t="shared" si="92"/>
        <v/>
      </c>
      <c r="CD92" s="179" t="str">
        <f t="shared" si="93"/>
        <v/>
      </c>
      <c r="CE92" s="179" t="str">
        <f t="shared" si="94"/>
        <v/>
      </c>
      <c r="CF92" s="179" t="str">
        <f t="shared" si="95"/>
        <v/>
      </c>
      <c r="CG92" s="179" t="str">
        <f t="shared" si="96"/>
        <v/>
      </c>
      <c r="CH92" s="166"/>
      <c r="CI92" s="166"/>
      <c r="CJ92" s="166"/>
      <c r="CK92" s="166" t="s">
        <v>150</v>
      </c>
      <c r="CL92" s="166"/>
    </row>
    <row r="93" spans="1:90" ht="14.25" customHeight="1" thickBot="1" x14ac:dyDescent="0.3">
      <c r="A93" s="211">
        <v>83</v>
      </c>
      <c r="B93" s="88"/>
      <c r="C93" s="201"/>
      <c r="D93" s="94"/>
      <c r="E93" s="321" t="s">
        <v>93</v>
      </c>
      <c r="F93" s="96"/>
      <c r="G93" s="100"/>
      <c r="H93" s="100"/>
      <c r="I93" s="100"/>
      <c r="J93" s="100"/>
      <c r="K93" s="100"/>
      <c r="L93" s="100"/>
      <c r="M93" s="210"/>
      <c r="N93" s="234">
        <f t="shared" si="97"/>
        <v>0</v>
      </c>
      <c r="O93" s="308"/>
      <c r="P93" s="343"/>
      <c r="Q93" s="309"/>
      <c r="R93" s="324" t="s">
        <v>67</v>
      </c>
      <c r="S93" s="96"/>
      <c r="T93" s="100"/>
      <c r="U93" s="100"/>
      <c r="V93" s="100"/>
      <c r="W93" s="100"/>
      <c r="X93" s="100"/>
      <c r="Y93" s="97"/>
      <c r="Z93" s="210"/>
      <c r="AA93" s="234">
        <f t="shared" si="98"/>
        <v>0</v>
      </c>
      <c r="AB93" s="314">
        <f t="shared" si="75"/>
        <v>0</v>
      </c>
      <c r="AC93" s="314"/>
      <c r="AD93" s="314">
        <f t="shared" si="76"/>
        <v>0</v>
      </c>
      <c r="AE93" s="324" t="s">
        <v>87</v>
      </c>
      <c r="AF93" s="82"/>
      <c r="AG93" s="337"/>
      <c r="AH93" s="337"/>
      <c r="AI93" s="337"/>
      <c r="AJ93" s="337"/>
      <c r="AK93" s="337"/>
      <c r="AL93" s="338"/>
      <c r="AM93" s="354"/>
      <c r="AN93" s="91">
        <f t="shared" si="99"/>
        <v>0</v>
      </c>
      <c r="AO93" s="96">
        <f t="shared" si="77"/>
        <v>0</v>
      </c>
      <c r="AP93" s="210"/>
      <c r="AQ93" s="97">
        <f t="shared" si="78"/>
        <v>0</v>
      </c>
      <c r="AR93" s="105"/>
      <c r="AS93" s="102"/>
      <c r="AT93" s="237"/>
      <c r="AU93" s="231"/>
      <c r="AV93" s="93"/>
      <c r="AW93" s="231"/>
      <c r="AX93" s="93"/>
      <c r="AY93" s="231"/>
      <c r="AZ93" s="93"/>
      <c r="BA93" s="17">
        <f t="shared" si="69"/>
        <v>9.299999999999999E-6</v>
      </c>
      <c r="BB93" s="17">
        <f t="shared" si="70"/>
        <v>0</v>
      </c>
      <c r="BC93" s="17"/>
      <c r="BD93" s="218">
        <v>84</v>
      </c>
      <c r="BE93" s="87">
        <f t="shared" si="79"/>
        <v>3.4399999999999996E-5</v>
      </c>
      <c r="BF93" s="215">
        <f t="shared" si="71"/>
        <v>0</v>
      </c>
      <c r="BG93" s="245">
        <f t="shared" si="72"/>
        <v>9.299999999999999E-6</v>
      </c>
      <c r="BH93" s="17">
        <f t="shared" si="80"/>
        <v>0</v>
      </c>
      <c r="BI93" s="218">
        <v>84</v>
      </c>
      <c r="BJ93" s="87">
        <f t="shared" si="81"/>
        <v>3.2699999999999995E-5</v>
      </c>
      <c r="BK93" s="215">
        <f t="shared" si="73"/>
        <v>0</v>
      </c>
      <c r="BL93" s="245">
        <f t="shared" si="82"/>
        <v>9.299999999999999E-6</v>
      </c>
      <c r="BM93" s="17">
        <f t="shared" si="83"/>
        <v>0</v>
      </c>
      <c r="BN93" s="218">
        <v>84</v>
      </c>
      <c r="BO93" s="87">
        <f t="shared" si="84"/>
        <v>3.2699999999999995E-5</v>
      </c>
      <c r="BP93" s="215">
        <f t="shared" si="74"/>
        <v>0</v>
      </c>
      <c r="BR93" s="126"/>
      <c r="BS93" s="126"/>
      <c r="BU93" s="178"/>
      <c r="BV93" s="179" t="str">
        <f t="shared" si="85"/>
        <v/>
      </c>
      <c r="BW93" s="179" t="str">
        <f t="shared" si="86"/>
        <v/>
      </c>
      <c r="BX93" s="179" t="str">
        <f t="shared" si="87"/>
        <v/>
      </c>
      <c r="BY93" s="179" t="str">
        <f t="shared" si="88"/>
        <v/>
      </c>
      <c r="BZ93" s="179" t="str">
        <f t="shared" si="89"/>
        <v/>
      </c>
      <c r="CA93" s="179" t="str">
        <f t="shared" si="90"/>
        <v/>
      </c>
      <c r="CB93" s="179" t="str">
        <f t="shared" si="91"/>
        <v/>
      </c>
      <c r="CC93" s="179" t="str">
        <f t="shared" si="92"/>
        <v/>
      </c>
      <c r="CD93" s="179" t="str">
        <f t="shared" si="93"/>
        <v/>
      </c>
      <c r="CE93" s="179" t="str">
        <f t="shared" si="94"/>
        <v/>
      </c>
      <c r="CF93" s="179" t="str">
        <f t="shared" si="95"/>
        <v/>
      </c>
      <c r="CG93" s="179" t="str">
        <f t="shared" si="96"/>
        <v/>
      </c>
      <c r="CH93" s="166"/>
      <c r="CI93" s="166"/>
      <c r="CJ93" s="166"/>
      <c r="CK93" s="166" t="s">
        <v>150</v>
      </c>
      <c r="CL93" s="166"/>
    </row>
    <row r="94" spans="1:90" ht="14.25" customHeight="1" thickBot="1" x14ac:dyDescent="0.3">
      <c r="A94" s="213">
        <v>84</v>
      </c>
      <c r="B94" s="89"/>
      <c r="C94" s="199"/>
      <c r="D94" s="146"/>
      <c r="E94" s="319" t="s">
        <v>93</v>
      </c>
      <c r="F94" s="221"/>
      <c r="G94" s="222"/>
      <c r="H94" s="222"/>
      <c r="I94" s="222"/>
      <c r="J94" s="222"/>
      <c r="K94" s="222"/>
      <c r="L94" s="222"/>
      <c r="M94" s="331"/>
      <c r="N94" s="303">
        <f t="shared" si="97"/>
        <v>0</v>
      </c>
      <c r="O94" s="304"/>
      <c r="P94" s="341"/>
      <c r="Q94" s="305"/>
      <c r="R94" s="322" t="s">
        <v>67</v>
      </c>
      <c r="S94" s="326"/>
      <c r="T94" s="327"/>
      <c r="U94" s="327"/>
      <c r="V94" s="327"/>
      <c r="W94" s="327"/>
      <c r="X94" s="327"/>
      <c r="Y94" s="95"/>
      <c r="Z94" s="331"/>
      <c r="AA94" s="303">
        <f t="shared" si="98"/>
        <v>0</v>
      </c>
      <c r="AB94" s="314">
        <f t="shared" si="75"/>
        <v>0</v>
      </c>
      <c r="AC94" s="314"/>
      <c r="AD94" s="314">
        <f t="shared" si="76"/>
        <v>0</v>
      </c>
      <c r="AE94" s="325" t="s">
        <v>148</v>
      </c>
      <c r="AF94" s="15"/>
      <c r="AG94" s="232"/>
      <c r="AH94" s="232"/>
      <c r="AI94" s="232"/>
      <c r="AJ94" s="232"/>
      <c r="AK94" s="232"/>
      <c r="AL94" s="7"/>
      <c r="AM94" s="352"/>
      <c r="AN94" s="22">
        <f t="shared" si="99"/>
        <v>0</v>
      </c>
      <c r="AO94" s="15">
        <f t="shared" si="77"/>
        <v>0</v>
      </c>
      <c r="AP94" s="345"/>
      <c r="AQ94" s="7">
        <f t="shared" si="78"/>
        <v>0</v>
      </c>
      <c r="AR94" s="103"/>
      <c r="AS94" s="101"/>
      <c r="AT94" s="236"/>
      <c r="AU94" s="235"/>
      <c r="AV94" s="92"/>
      <c r="AW94" s="235"/>
      <c r="AX94" s="92"/>
      <c r="AY94" s="235"/>
      <c r="AZ94" s="92"/>
      <c r="BA94" s="17">
        <f t="shared" si="69"/>
        <v>9.3999999999999998E-6</v>
      </c>
      <c r="BB94" s="17">
        <f t="shared" si="70"/>
        <v>0</v>
      </c>
      <c r="BC94" s="17"/>
      <c r="BD94" s="218">
        <v>85</v>
      </c>
      <c r="BE94" s="87">
        <f t="shared" si="79"/>
        <v>3.43E-5</v>
      </c>
      <c r="BF94" s="215">
        <f t="shared" si="71"/>
        <v>0</v>
      </c>
      <c r="BG94" s="245">
        <f t="shared" si="72"/>
        <v>9.3999999999999998E-6</v>
      </c>
      <c r="BH94" s="17">
        <f t="shared" si="80"/>
        <v>0</v>
      </c>
      <c r="BI94" s="218">
        <v>85</v>
      </c>
      <c r="BJ94" s="87">
        <f t="shared" si="81"/>
        <v>3.26E-5</v>
      </c>
      <c r="BK94" s="215">
        <f t="shared" si="73"/>
        <v>0</v>
      </c>
      <c r="BL94" s="245">
        <f t="shared" si="82"/>
        <v>9.3999999999999998E-6</v>
      </c>
      <c r="BM94" s="17">
        <f t="shared" si="83"/>
        <v>0</v>
      </c>
      <c r="BN94" s="218">
        <v>85</v>
      </c>
      <c r="BO94" s="87">
        <f t="shared" si="84"/>
        <v>3.26E-5</v>
      </c>
      <c r="BP94" s="215">
        <f t="shared" si="74"/>
        <v>0</v>
      </c>
      <c r="BR94" s="126"/>
      <c r="BS94" s="126"/>
      <c r="BU94" s="178"/>
      <c r="BV94" s="179" t="str">
        <f t="shared" si="85"/>
        <v/>
      </c>
      <c r="BW94" s="179" t="str">
        <f t="shared" si="86"/>
        <v/>
      </c>
      <c r="BX94" s="179" t="str">
        <f t="shared" si="87"/>
        <v/>
      </c>
      <c r="BY94" s="179" t="str">
        <f t="shared" si="88"/>
        <v/>
      </c>
      <c r="BZ94" s="179" t="str">
        <f t="shared" si="89"/>
        <v/>
      </c>
      <c r="CA94" s="179" t="str">
        <f t="shared" si="90"/>
        <v/>
      </c>
      <c r="CB94" s="179" t="str">
        <f t="shared" si="91"/>
        <v/>
      </c>
      <c r="CC94" s="179" t="str">
        <f t="shared" si="92"/>
        <v/>
      </c>
      <c r="CD94" s="179" t="str">
        <f t="shared" si="93"/>
        <v/>
      </c>
      <c r="CE94" s="179" t="str">
        <f t="shared" si="94"/>
        <v/>
      </c>
      <c r="CF94" s="179" t="str">
        <f t="shared" si="95"/>
        <v/>
      </c>
      <c r="CG94" s="179" t="str">
        <f t="shared" si="96"/>
        <v/>
      </c>
      <c r="CH94" s="166"/>
      <c r="CI94" s="166"/>
      <c r="CJ94" s="166"/>
      <c r="CK94" s="166" t="s">
        <v>150</v>
      </c>
      <c r="CL94" s="166"/>
    </row>
    <row r="95" spans="1:90" ht="14.25" customHeight="1" x14ac:dyDescent="0.25">
      <c r="A95" s="211">
        <v>85</v>
      </c>
      <c r="B95" s="219"/>
      <c r="C95" s="200"/>
      <c r="D95" s="145"/>
      <c r="E95" s="320" t="s">
        <v>93</v>
      </c>
      <c r="F95" s="209"/>
      <c r="G95" s="313"/>
      <c r="H95" s="313"/>
      <c r="I95" s="313"/>
      <c r="J95" s="313"/>
      <c r="K95" s="313"/>
      <c r="L95" s="313"/>
      <c r="M95" s="339"/>
      <c r="N95" s="233">
        <f t="shared" si="97"/>
        <v>0</v>
      </c>
      <c r="O95" s="306"/>
      <c r="P95" s="342"/>
      <c r="Q95" s="307"/>
      <c r="R95" s="323" t="s">
        <v>67</v>
      </c>
      <c r="S95" s="209"/>
      <c r="T95" s="313"/>
      <c r="U95" s="313"/>
      <c r="V95" s="313"/>
      <c r="W95" s="313"/>
      <c r="X95" s="313"/>
      <c r="Y95" s="125"/>
      <c r="Z95" s="339"/>
      <c r="AA95" s="233">
        <f t="shared" si="98"/>
        <v>0</v>
      </c>
      <c r="AB95" s="314">
        <f t="shared" si="75"/>
        <v>0</v>
      </c>
      <c r="AC95" s="314"/>
      <c r="AD95" s="314">
        <f t="shared" si="76"/>
        <v>0</v>
      </c>
      <c r="AE95" s="323" t="s">
        <v>87</v>
      </c>
      <c r="AF95" s="81"/>
      <c r="AG95" s="335"/>
      <c r="AH95" s="335"/>
      <c r="AI95" s="335"/>
      <c r="AJ95" s="335"/>
      <c r="AK95" s="335"/>
      <c r="AL95" s="336"/>
      <c r="AM95" s="353"/>
      <c r="AN95" s="22">
        <f t="shared" si="99"/>
        <v>0</v>
      </c>
      <c r="AO95" s="209">
        <f t="shared" si="77"/>
        <v>0</v>
      </c>
      <c r="AP95" s="339"/>
      <c r="AQ95" s="125">
        <f t="shared" si="78"/>
        <v>0</v>
      </c>
      <c r="AR95" s="104"/>
      <c r="AS95" s="217"/>
      <c r="AT95" s="216"/>
      <c r="AU95" s="230"/>
      <c r="AV95" s="220"/>
      <c r="AW95" s="230"/>
      <c r="AX95" s="220"/>
      <c r="AY95" s="230"/>
      <c r="AZ95" s="220"/>
      <c r="BA95" s="17">
        <f t="shared" si="69"/>
        <v>9.4999999999999988E-6</v>
      </c>
      <c r="BB95" s="17">
        <f t="shared" si="70"/>
        <v>0</v>
      </c>
      <c r="BC95" s="17"/>
      <c r="BD95" s="218">
        <v>86</v>
      </c>
      <c r="BE95" s="87">
        <f t="shared" si="79"/>
        <v>3.4199999999999998E-5</v>
      </c>
      <c r="BF95" s="215">
        <f t="shared" si="71"/>
        <v>0</v>
      </c>
      <c r="BG95" s="245">
        <f t="shared" si="72"/>
        <v>9.4999999999999988E-6</v>
      </c>
      <c r="BH95" s="17">
        <f t="shared" si="80"/>
        <v>0</v>
      </c>
      <c r="BI95" s="218">
        <v>86</v>
      </c>
      <c r="BJ95" s="87">
        <f t="shared" si="81"/>
        <v>3.2499999999999997E-5</v>
      </c>
      <c r="BK95" s="215">
        <f t="shared" si="73"/>
        <v>0</v>
      </c>
      <c r="BL95" s="245">
        <f t="shared" si="82"/>
        <v>9.4999999999999988E-6</v>
      </c>
      <c r="BM95" s="17">
        <f t="shared" si="83"/>
        <v>0</v>
      </c>
      <c r="BN95" s="218">
        <v>86</v>
      </c>
      <c r="BO95" s="87">
        <f t="shared" si="84"/>
        <v>3.2499999999999997E-5</v>
      </c>
      <c r="BP95" s="215">
        <f t="shared" si="74"/>
        <v>0</v>
      </c>
      <c r="BR95" s="126"/>
      <c r="BS95" s="126"/>
      <c r="BU95" s="178"/>
      <c r="BV95" s="179" t="str">
        <f t="shared" si="85"/>
        <v/>
      </c>
      <c r="BW95" s="179" t="str">
        <f t="shared" si="86"/>
        <v/>
      </c>
      <c r="BX95" s="179" t="str">
        <f t="shared" si="87"/>
        <v/>
      </c>
      <c r="BY95" s="179" t="str">
        <f t="shared" si="88"/>
        <v/>
      </c>
      <c r="BZ95" s="179" t="str">
        <f t="shared" si="89"/>
        <v/>
      </c>
      <c r="CA95" s="179" t="str">
        <f t="shared" si="90"/>
        <v/>
      </c>
      <c r="CB95" s="179" t="str">
        <f t="shared" si="91"/>
        <v/>
      </c>
      <c r="CC95" s="179" t="str">
        <f t="shared" si="92"/>
        <v/>
      </c>
      <c r="CD95" s="179" t="str">
        <f t="shared" si="93"/>
        <v/>
      </c>
      <c r="CE95" s="179" t="str">
        <f t="shared" si="94"/>
        <v/>
      </c>
      <c r="CF95" s="179" t="str">
        <f t="shared" si="95"/>
        <v/>
      </c>
      <c r="CG95" s="179" t="str">
        <f t="shared" si="96"/>
        <v/>
      </c>
      <c r="CH95" s="166"/>
      <c r="CI95" s="166"/>
      <c r="CJ95" s="166"/>
      <c r="CK95" s="166" t="s">
        <v>150</v>
      </c>
      <c r="CL95" s="166"/>
    </row>
    <row r="96" spans="1:90" ht="14.25" customHeight="1" thickBot="1" x14ac:dyDescent="0.3">
      <c r="A96" s="213">
        <v>86</v>
      </c>
      <c r="B96" s="88"/>
      <c r="C96" s="201"/>
      <c r="D96" s="94"/>
      <c r="E96" s="321" t="s">
        <v>93</v>
      </c>
      <c r="F96" s="96"/>
      <c r="G96" s="100"/>
      <c r="H96" s="100"/>
      <c r="I96" s="100"/>
      <c r="J96" s="100"/>
      <c r="K96" s="100"/>
      <c r="L96" s="100"/>
      <c r="M96" s="210"/>
      <c r="N96" s="234">
        <f t="shared" si="97"/>
        <v>0</v>
      </c>
      <c r="O96" s="308"/>
      <c r="P96" s="343"/>
      <c r="Q96" s="309"/>
      <c r="R96" s="324" t="s">
        <v>67</v>
      </c>
      <c r="S96" s="96"/>
      <c r="T96" s="100"/>
      <c r="U96" s="100"/>
      <c r="V96" s="100"/>
      <c r="W96" s="100"/>
      <c r="X96" s="100"/>
      <c r="Y96" s="97"/>
      <c r="Z96" s="210"/>
      <c r="AA96" s="234">
        <f t="shared" si="98"/>
        <v>0</v>
      </c>
      <c r="AB96" s="314">
        <f t="shared" si="75"/>
        <v>0</v>
      </c>
      <c r="AC96" s="314"/>
      <c r="AD96" s="314">
        <f t="shared" si="76"/>
        <v>0</v>
      </c>
      <c r="AE96" s="324" t="s">
        <v>87</v>
      </c>
      <c r="AF96" s="82"/>
      <c r="AG96" s="337"/>
      <c r="AH96" s="337"/>
      <c r="AI96" s="337"/>
      <c r="AJ96" s="337"/>
      <c r="AK96" s="337"/>
      <c r="AL96" s="338"/>
      <c r="AM96" s="354"/>
      <c r="AN96" s="91">
        <f t="shared" si="99"/>
        <v>0</v>
      </c>
      <c r="AO96" s="96">
        <f t="shared" si="77"/>
        <v>0</v>
      </c>
      <c r="AP96" s="210"/>
      <c r="AQ96" s="97">
        <f t="shared" si="78"/>
        <v>0</v>
      </c>
      <c r="AR96" s="105"/>
      <c r="AS96" s="102"/>
      <c r="AT96" s="237"/>
      <c r="AU96" s="231"/>
      <c r="AV96" s="93"/>
      <c r="AW96" s="231"/>
      <c r="AX96" s="93"/>
      <c r="AY96" s="231"/>
      <c r="AZ96" s="93"/>
      <c r="BA96" s="17">
        <f t="shared" si="69"/>
        <v>9.5999999999999996E-6</v>
      </c>
      <c r="BB96" s="17">
        <f t="shared" si="70"/>
        <v>0</v>
      </c>
      <c r="BC96" s="17"/>
      <c r="BD96" s="218">
        <v>87</v>
      </c>
      <c r="BE96" s="87">
        <f t="shared" si="79"/>
        <v>3.4099999999999995E-5</v>
      </c>
      <c r="BF96" s="215">
        <f t="shared" si="71"/>
        <v>0</v>
      </c>
      <c r="BG96" s="245">
        <f t="shared" si="72"/>
        <v>9.5999999999999996E-6</v>
      </c>
      <c r="BH96" s="17">
        <f t="shared" si="80"/>
        <v>0</v>
      </c>
      <c r="BI96" s="218">
        <v>87</v>
      </c>
      <c r="BJ96" s="87">
        <f t="shared" si="81"/>
        <v>3.2400000000000001E-5</v>
      </c>
      <c r="BK96" s="215">
        <f t="shared" si="73"/>
        <v>0</v>
      </c>
      <c r="BL96" s="245">
        <f t="shared" si="82"/>
        <v>9.5999999999999996E-6</v>
      </c>
      <c r="BM96" s="17">
        <f t="shared" si="83"/>
        <v>0</v>
      </c>
      <c r="BN96" s="218">
        <v>87</v>
      </c>
      <c r="BO96" s="87">
        <f t="shared" si="84"/>
        <v>3.2400000000000001E-5</v>
      </c>
      <c r="BP96" s="215">
        <f t="shared" si="74"/>
        <v>0</v>
      </c>
      <c r="BR96" s="126"/>
      <c r="BS96" s="126"/>
      <c r="BU96" s="178"/>
      <c r="BV96" s="179" t="str">
        <f t="shared" si="85"/>
        <v/>
      </c>
      <c r="BW96" s="179" t="str">
        <f t="shared" si="86"/>
        <v/>
      </c>
      <c r="BX96" s="179" t="str">
        <f t="shared" si="87"/>
        <v/>
      </c>
      <c r="BY96" s="179" t="str">
        <f t="shared" si="88"/>
        <v/>
      </c>
      <c r="BZ96" s="179" t="str">
        <f t="shared" si="89"/>
        <v/>
      </c>
      <c r="CA96" s="179" t="str">
        <f t="shared" si="90"/>
        <v/>
      </c>
      <c r="CB96" s="179" t="str">
        <f t="shared" si="91"/>
        <v/>
      </c>
      <c r="CC96" s="179" t="str">
        <f t="shared" si="92"/>
        <v/>
      </c>
      <c r="CD96" s="179" t="str">
        <f t="shared" si="93"/>
        <v/>
      </c>
      <c r="CE96" s="179" t="str">
        <f t="shared" si="94"/>
        <v/>
      </c>
      <c r="CF96" s="179" t="str">
        <f t="shared" si="95"/>
        <v/>
      </c>
      <c r="CG96" s="179" t="str">
        <f t="shared" si="96"/>
        <v/>
      </c>
      <c r="CH96" s="166"/>
      <c r="CI96" s="166"/>
      <c r="CJ96" s="166"/>
      <c r="CK96" s="166" t="s">
        <v>150</v>
      </c>
      <c r="CL96" s="166"/>
    </row>
    <row r="97" spans="1:90" ht="14.25" customHeight="1" x14ac:dyDescent="0.25">
      <c r="A97" s="211">
        <v>87</v>
      </c>
      <c r="B97" s="89"/>
      <c r="C97" s="199"/>
      <c r="D97" s="146"/>
      <c r="E97" s="319" t="s">
        <v>93</v>
      </c>
      <c r="F97" s="221"/>
      <c r="G97" s="222"/>
      <c r="H97" s="222"/>
      <c r="I97" s="222"/>
      <c r="J97" s="222"/>
      <c r="K97" s="222"/>
      <c r="L97" s="222"/>
      <c r="M97" s="331"/>
      <c r="N97" s="303">
        <f t="shared" si="97"/>
        <v>0</v>
      </c>
      <c r="O97" s="304"/>
      <c r="P97" s="341"/>
      <c r="Q97" s="305"/>
      <c r="R97" s="322" t="s">
        <v>67</v>
      </c>
      <c r="S97" s="326"/>
      <c r="T97" s="327"/>
      <c r="U97" s="327"/>
      <c r="V97" s="327"/>
      <c r="W97" s="327"/>
      <c r="X97" s="327"/>
      <c r="Y97" s="95"/>
      <c r="Z97" s="331"/>
      <c r="AA97" s="303">
        <f t="shared" si="98"/>
        <v>0</v>
      </c>
      <c r="AB97" s="314">
        <f t="shared" si="75"/>
        <v>0</v>
      </c>
      <c r="AC97" s="314"/>
      <c r="AD97" s="314">
        <f t="shared" si="76"/>
        <v>0</v>
      </c>
      <c r="AE97" s="325" t="s">
        <v>148</v>
      </c>
      <c r="AF97" s="15"/>
      <c r="AG97" s="232"/>
      <c r="AH97" s="232"/>
      <c r="AI97" s="232"/>
      <c r="AJ97" s="232"/>
      <c r="AK97" s="232"/>
      <c r="AL97" s="7"/>
      <c r="AM97" s="352"/>
      <c r="AN97" s="22">
        <f t="shared" si="99"/>
        <v>0</v>
      </c>
      <c r="AO97" s="15">
        <f t="shared" si="77"/>
        <v>0</v>
      </c>
      <c r="AP97" s="345"/>
      <c r="AQ97" s="7">
        <f t="shared" si="78"/>
        <v>0</v>
      </c>
      <c r="AR97" s="103"/>
      <c r="AS97" s="101"/>
      <c r="AT97" s="236"/>
      <c r="AU97" s="235"/>
      <c r="AV97" s="92"/>
      <c r="AW97" s="235"/>
      <c r="AX97" s="92"/>
      <c r="AY97" s="235"/>
      <c r="AZ97" s="92"/>
      <c r="BA97" s="17">
        <f t="shared" si="69"/>
        <v>9.7000000000000003E-6</v>
      </c>
      <c r="BB97" s="17">
        <f t="shared" si="70"/>
        <v>0</v>
      </c>
      <c r="BC97" s="17"/>
      <c r="BD97" s="218">
        <v>88</v>
      </c>
      <c r="BE97" s="87">
        <f t="shared" si="79"/>
        <v>3.4E-5</v>
      </c>
      <c r="BF97" s="215">
        <f t="shared" si="71"/>
        <v>0</v>
      </c>
      <c r="BG97" s="245">
        <f t="shared" si="72"/>
        <v>9.7000000000000003E-6</v>
      </c>
      <c r="BH97" s="17">
        <f t="shared" si="80"/>
        <v>0</v>
      </c>
      <c r="BI97" s="218">
        <v>88</v>
      </c>
      <c r="BJ97" s="87">
        <f t="shared" si="81"/>
        <v>3.2299999999999999E-5</v>
      </c>
      <c r="BK97" s="215">
        <f t="shared" si="73"/>
        <v>0</v>
      </c>
      <c r="BL97" s="245">
        <f t="shared" si="82"/>
        <v>9.7000000000000003E-6</v>
      </c>
      <c r="BM97" s="17">
        <f t="shared" si="83"/>
        <v>0</v>
      </c>
      <c r="BN97" s="218">
        <v>88</v>
      </c>
      <c r="BO97" s="87">
        <f t="shared" si="84"/>
        <v>3.2299999999999999E-5</v>
      </c>
      <c r="BP97" s="215">
        <f t="shared" si="74"/>
        <v>0</v>
      </c>
      <c r="BR97" s="126"/>
      <c r="BS97" s="126"/>
      <c r="BU97" s="178"/>
      <c r="BV97" s="179" t="str">
        <f t="shared" si="85"/>
        <v/>
      </c>
      <c r="BW97" s="179" t="str">
        <f t="shared" si="86"/>
        <v/>
      </c>
      <c r="BX97" s="179" t="str">
        <f t="shared" si="87"/>
        <v/>
      </c>
      <c r="BY97" s="179" t="str">
        <f t="shared" si="88"/>
        <v/>
      </c>
      <c r="BZ97" s="179" t="str">
        <f t="shared" si="89"/>
        <v/>
      </c>
      <c r="CA97" s="179" t="str">
        <f t="shared" si="90"/>
        <v/>
      </c>
      <c r="CB97" s="179" t="str">
        <f t="shared" si="91"/>
        <v/>
      </c>
      <c r="CC97" s="179" t="str">
        <f t="shared" si="92"/>
        <v/>
      </c>
      <c r="CD97" s="179" t="str">
        <f t="shared" si="93"/>
        <v/>
      </c>
      <c r="CE97" s="179" t="str">
        <f t="shared" si="94"/>
        <v/>
      </c>
      <c r="CF97" s="179" t="str">
        <f t="shared" si="95"/>
        <v/>
      </c>
      <c r="CG97" s="179" t="str">
        <f t="shared" si="96"/>
        <v/>
      </c>
      <c r="CH97" s="166"/>
      <c r="CI97" s="166"/>
      <c r="CJ97" s="166"/>
      <c r="CK97" s="166" t="s">
        <v>150</v>
      </c>
      <c r="CL97" s="166"/>
    </row>
    <row r="98" spans="1:90" ht="14.25" customHeight="1" thickBot="1" x14ac:dyDescent="0.3">
      <c r="A98" s="213">
        <v>88</v>
      </c>
      <c r="B98" s="219"/>
      <c r="C98" s="200"/>
      <c r="D98" s="145"/>
      <c r="E98" s="320" t="s">
        <v>93</v>
      </c>
      <c r="F98" s="209"/>
      <c r="G98" s="313"/>
      <c r="H98" s="313"/>
      <c r="I98" s="313"/>
      <c r="J98" s="313"/>
      <c r="K98" s="313"/>
      <c r="L98" s="313"/>
      <c r="M98" s="339"/>
      <c r="N98" s="233">
        <f t="shared" si="97"/>
        <v>0</v>
      </c>
      <c r="O98" s="306"/>
      <c r="P98" s="342"/>
      <c r="Q98" s="307"/>
      <c r="R98" s="323" t="s">
        <v>67</v>
      </c>
      <c r="S98" s="209"/>
      <c r="T98" s="313"/>
      <c r="U98" s="313"/>
      <c r="V98" s="313"/>
      <c r="W98" s="313"/>
      <c r="X98" s="313"/>
      <c r="Y98" s="125"/>
      <c r="Z98" s="339"/>
      <c r="AA98" s="233">
        <f t="shared" si="98"/>
        <v>0</v>
      </c>
      <c r="AB98" s="314">
        <f t="shared" si="75"/>
        <v>0</v>
      </c>
      <c r="AC98" s="314"/>
      <c r="AD98" s="314">
        <f t="shared" si="76"/>
        <v>0</v>
      </c>
      <c r="AE98" s="323" t="s">
        <v>87</v>
      </c>
      <c r="AF98" s="81"/>
      <c r="AG98" s="335"/>
      <c r="AH98" s="335"/>
      <c r="AI98" s="335"/>
      <c r="AJ98" s="335"/>
      <c r="AK98" s="335"/>
      <c r="AL98" s="336"/>
      <c r="AM98" s="353"/>
      <c r="AN98" s="22">
        <f t="shared" si="99"/>
        <v>0</v>
      </c>
      <c r="AO98" s="209">
        <f t="shared" si="77"/>
        <v>0</v>
      </c>
      <c r="AP98" s="339"/>
      <c r="AQ98" s="125">
        <f t="shared" si="78"/>
        <v>0</v>
      </c>
      <c r="AR98" s="104"/>
      <c r="AS98" s="217"/>
      <c r="AT98" s="216"/>
      <c r="AU98" s="230"/>
      <c r="AV98" s="220"/>
      <c r="AW98" s="230"/>
      <c r="AX98" s="220"/>
      <c r="AY98" s="230"/>
      <c r="AZ98" s="220"/>
      <c r="BA98" s="17">
        <f t="shared" si="69"/>
        <v>9.7999999999999993E-6</v>
      </c>
      <c r="BB98" s="17">
        <f t="shared" si="70"/>
        <v>0</v>
      </c>
      <c r="BC98" s="17"/>
      <c r="BD98" s="218">
        <v>89</v>
      </c>
      <c r="BE98" s="87">
        <f t="shared" si="79"/>
        <v>3.3899999999999997E-5</v>
      </c>
      <c r="BF98" s="215">
        <f t="shared" si="71"/>
        <v>0</v>
      </c>
      <c r="BG98" s="245">
        <f t="shared" si="72"/>
        <v>9.7999999999999993E-6</v>
      </c>
      <c r="BH98" s="17">
        <f t="shared" si="80"/>
        <v>0</v>
      </c>
      <c r="BI98" s="218">
        <v>89</v>
      </c>
      <c r="BJ98" s="87">
        <f t="shared" si="81"/>
        <v>3.2199999999999997E-5</v>
      </c>
      <c r="BK98" s="215">
        <f t="shared" si="73"/>
        <v>0</v>
      </c>
      <c r="BL98" s="245">
        <f t="shared" si="82"/>
        <v>9.7999999999999993E-6</v>
      </c>
      <c r="BM98" s="17">
        <f t="shared" si="83"/>
        <v>0</v>
      </c>
      <c r="BN98" s="218">
        <v>89</v>
      </c>
      <c r="BO98" s="87">
        <f t="shared" si="84"/>
        <v>3.2199999999999997E-5</v>
      </c>
      <c r="BP98" s="215">
        <f t="shared" si="74"/>
        <v>0</v>
      </c>
      <c r="BR98" s="126"/>
      <c r="BS98" s="126"/>
      <c r="BU98" s="178"/>
      <c r="BV98" s="179" t="str">
        <f t="shared" si="85"/>
        <v/>
      </c>
      <c r="BW98" s="179" t="str">
        <f t="shared" si="86"/>
        <v/>
      </c>
      <c r="BX98" s="179" t="str">
        <f t="shared" si="87"/>
        <v/>
      </c>
      <c r="BY98" s="179" t="str">
        <f t="shared" si="88"/>
        <v/>
      </c>
      <c r="BZ98" s="179" t="str">
        <f t="shared" si="89"/>
        <v/>
      </c>
      <c r="CA98" s="179" t="str">
        <f t="shared" si="90"/>
        <v/>
      </c>
      <c r="CB98" s="179" t="str">
        <f t="shared" si="91"/>
        <v/>
      </c>
      <c r="CC98" s="179" t="str">
        <f t="shared" si="92"/>
        <v/>
      </c>
      <c r="CD98" s="179" t="str">
        <f t="shared" si="93"/>
        <v/>
      </c>
      <c r="CE98" s="179" t="str">
        <f t="shared" si="94"/>
        <v/>
      </c>
      <c r="CF98" s="179" t="str">
        <f t="shared" si="95"/>
        <v/>
      </c>
      <c r="CG98" s="179" t="str">
        <f t="shared" si="96"/>
        <v/>
      </c>
      <c r="CH98" s="166"/>
      <c r="CI98" s="166"/>
      <c r="CJ98" s="166"/>
      <c r="CK98" s="166" t="s">
        <v>150</v>
      </c>
      <c r="CL98" s="166"/>
    </row>
    <row r="99" spans="1:90" ht="14.25" customHeight="1" thickBot="1" x14ac:dyDescent="0.3">
      <c r="A99" s="211">
        <v>89</v>
      </c>
      <c r="B99" s="88"/>
      <c r="C99" s="201"/>
      <c r="D99" s="94"/>
      <c r="E99" s="321" t="s">
        <v>93</v>
      </c>
      <c r="F99" s="96"/>
      <c r="G99" s="100"/>
      <c r="H99" s="100"/>
      <c r="I99" s="100"/>
      <c r="J99" s="100"/>
      <c r="K99" s="100"/>
      <c r="L99" s="100"/>
      <c r="M99" s="210"/>
      <c r="N99" s="234">
        <f t="shared" si="97"/>
        <v>0</v>
      </c>
      <c r="O99" s="308"/>
      <c r="P99" s="343"/>
      <c r="Q99" s="309"/>
      <c r="R99" s="324" t="s">
        <v>67</v>
      </c>
      <c r="S99" s="96"/>
      <c r="T99" s="100"/>
      <c r="U99" s="100"/>
      <c r="V99" s="100"/>
      <c r="W99" s="100"/>
      <c r="X99" s="100"/>
      <c r="Y99" s="97"/>
      <c r="Z99" s="210"/>
      <c r="AA99" s="234">
        <f t="shared" si="98"/>
        <v>0</v>
      </c>
      <c r="AB99" s="314">
        <f t="shared" si="75"/>
        <v>0</v>
      </c>
      <c r="AC99" s="314"/>
      <c r="AD99" s="314">
        <f t="shared" si="76"/>
        <v>0</v>
      </c>
      <c r="AE99" s="324" t="s">
        <v>87</v>
      </c>
      <c r="AF99" s="82"/>
      <c r="AG99" s="337"/>
      <c r="AH99" s="337"/>
      <c r="AI99" s="337"/>
      <c r="AJ99" s="337"/>
      <c r="AK99" s="337"/>
      <c r="AL99" s="338"/>
      <c r="AM99" s="354"/>
      <c r="AN99" s="91">
        <f t="shared" si="99"/>
        <v>0</v>
      </c>
      <c r="AO99" s="96">
        <f t="shared" si="77"/>
        <v>0</v>
      </c>
      <c r="AP99" s="210"/>
      <c r="AQ99" s="97">
        <f t="shared" si="78"/>
        <v>0</v>
      </c>
      <c r="AR99" s="105"/>
      <c r="AS99" s="102"/>
      <c r="AT99" s="237"/>
      <c r="AU99" s="231"/>
      <c r="AV99" s="93"/>
      <c r="AW99" s="231"/>
      <c r="AX99" s="93"/>
      <c r="AY99" s="231"/>
      <c r="AZ99" s="93"/>
      <c r="BA99" s="17">
        <f t="shared" si="69"/>
        <v>9.9000000000000001E-6</v>
      </c>
      <c r="BB99" s="17">
        <f t="shared" si="70"/>
        <v>0</v>
      </c>
      <c r="BC99" s="17"/>
      <c r="BD99" s="218">
        <v>90</v>
      </c>
      <c r="BE99" s="87">
        <f t="shared" si="79"/>
        <v>3.3800000000000002E-5</v>
      </c>
      <c r="BF99" s="215">
        <f t="shared" si="71"/>
        <v>0</v>
      </c>
      <c r="BG99" s="245">
        <f t="shared" si="72"/>
        <v>9.9000000000000001E-6</v>
      </c>
      <c r="BH99" s="17">
        <f t="shared" si="80"/>
        <v>0</v>
      </c>
      <c r="BI99" s="218">
        <v>90</v>
      </c>
      <c r="BJ99" s="87">
        <f t="shared" si="81"/>
        <v>3.2100000000000001E-5</v>
      </c>
      <c r="BK99" s="215">
        <f t="shared" si="73"/>
        <v>0</v>
      </c>
      <c r="BL99" s="245">
        <f t="shared" si="82"/>
        <v>9.9000000000000001E-6</v>
      </c>
      <c r="BM99" s="17">
        <f t="shared" si="83"/>
        <v>0</v>
      </c>
      <c r="BN99" s="218">
        <v>90</v>
      </c>
      <c r="BO99" s="87">
        <f t="shared" si="84"/>
        <v>3.2100000000000001E-5</v>
      </c>
      <c r="BP99" s="215">
        <f t="shared" si="74"/>
        <v>0</v>
      </c>
      <c r="BR99" s="126"/>
      <c r="BS99" s="126"/>
      <c r="BU99" s="178"/>
      <c r="BV99" s="179" t="str">
        <f t="shared" si="85"/>
        <v/>
      </c>
      <c r="BW99" s="179" t="str">
        <f t="shared" si="86"/>
        <v/>
      </c>
      <c r="BX99" s="179" t="str">
        <f t="shared" si="87"/>
        <v/>
      </c>
      <c r="BY99" s="179" t="str">
        <f t="shared" si="88"/>
        <v/>
      </c>
      <c r="BZ99" s="179" t="str">
        <f t="shared" si="89"/>
        <v/>
      </c>
      <c r="CA99" s="179" t="str">
        <f t="shared" si="90"/>
        <v/>
      </c>
      <c r="CB99" s="179" t="str">
        <f t="shared" si="91"/>
        <v/>
      </c>
      <c r="CC99" s="179" t="str">
        <f t="shared" si="92"/>
        <v/>
      </c>
      <c r="CD99" s="179" t="str">
        <f t="shared" si="93"/>
        <v/>
      </c>
      <c r="CE99" s="179" t="str">
        <f t="shared" si="94"/>
        <v/>
      </c>
      <c r="CF99" s="179" t="str">
        <f t="shared" si="95"/>
        <v/>
      </c>
      <c r="CG99" s="179" t="str">
        <f t="shared" si="96"/>
        <v/>
      </c>
      <c r="CH99" s="166"/>
      <c r="CI99" s="166"/>
      <c r="CJ99" s="166"/>
      <c r="CK99" s="166" t="s">
        <v>150</v>
      </c>
      <c r="CL99" s="166"/>
    </row>
    <row r="100" spans="1:90" ht="14.25" customHeight="1" thickBot="1" x14ac:dyDescent="0.3">
      <c r="A100" s="213">
        <v>90</v>
      </c>
      <c r="B100" s="89"/>
      <c r="C100" s="199"/>
      <c r="D100" s="146"/>
      <c r="E100" s="319" t="s">
        <v>93</v>
      </c>
      <c r="F100" s="221"/>
      <c r="G100" s="222"/>
      <c r="H100" s="222"/>
      <c r="I100" s="222"/>
      <c r="J100" s="222"/>
      <c r="K100" s="222"/>
      <c r="L100" s="222"/>
      <c r="M100" s="331"/>
      <c r="N100" s="303">
        <f t="shared" si="97"/>
        <v>0</v>
      </c>
      <c r="O100" s="304"/>
      <c r="P100" s="341"/>
      <c r="Q100" s="305"/>
      <c r="R100" s="322" t="s">
        <v>67</v>
      </c>
      <c r="S100" s="326"/>
      <c r="T100" s="327"/>
      <c r="U100" s="327"/>
      <c r="V100" s="327"/>
      <c r="W100" s="327"/>
      <c r="X100" s="327"/>
      <c r="Y100" s="95"/>
      <c r="Z100" s="331"/>
      <c r="AA100" s="303">
        <f t="shared" si="98"/>
        <v>0</v>
      </c>
      <c r="AB100" s="314">
        <f t="shared" si="75"/>
        <v>0</v>
      </c>
      <c r="AC100" s="314"/>
      <c r="AD100" s="314">
        <f t="shared" si="76"/>
        <v>0</v>
      </c>
      <c r="AE100" s="325" t="s">
        <v>148</v>
      </c>
      <c r="AF100" s="15"/>
      <c r="AG100" s="232"/>
      <c r="AH100" s="232"/>
      <c r="AI100" s="232"/>
      <c r="AJ100" s="232"/>
      <c r="AK100" s="232"/>
      <c r="AL100" s="7"/>
      <c r="AM100" s="352"/>
      <c r="AN100" s="22">
        <f t="shared" si="99"/>
        <v>0</v>
      </c>
      <c r="AO100" s="15">
        <f t="shared" si="77"/>
        <v>0</v>
      </c>
      <c r="AP100" s="345"/>
      <c r="AQ100" s="7">
        <f t="shared" si="78"/>
        <v>0</v>
      </c>
      <c r="AR100" s="103"/>
      <c r="AS100" s="101"/>
      <c r="AT100" s="236"/>
      <c r="AU100" s="235"/>
      <c r="AV100" s="92"/>
      <c r="AW100" s="235"/>
      <c r="AX100" s="92"/>
      <c r="AY100" s="235"/>
      <c r="AZ100" s="92"/>
      <c r="BA100" s="17">
        <f t="shared" si="69"/>
        <v>9.9999999999999991E-6</v>
      </c>
      <c r="BB100" s="17">
        <f t="shared" si="70"/>
        <v>0</v>
      </c>
      <c r="BC100" s="17"/>
      <c r="BD100" s="218">
        <v>91</v>
      </c>
      <c r="BE100" s="87">
        <f t="shared" si="79"/>
        <v>3.3699999999999999E-5</v>
      </c>
      <c r="BF100" s="215">
        <f t="shared" si="71"/>
        <v>0</v>
      </c>
      <c r="BG100" s="245">
        <f t="shared" si="72"/>
        <v>9.9999999999999991E-6</v>
      </c>
      <c r="BH100" s="17">
        <f t="shared" si="80"/>
        <v>0</v>
      </c>
      <c r="BI100" s="218">
        <v>91</v>
      </c>
      <c r="BJ100" s="87">
        <f t="shared" si="81"/>
        <v>3.1999999999999999E-5</v>
      </c>
      <c r="BK100" s="215">
        <f t="shared" si="73"/>
        <v>0</v>
      </c>
      <c r="BL100" s="245">
        <f t="shared" si="82"/>
        <v>9.9999999999999991E-6</v>
      </c>
      <c r="BM100" s="17">
        <f t="shared" si="83"/>
        <v>0</v>
      </c>
      <c r="BN100" s="218">
        <v>91</v>
      </c>
      <c r="BO100" s="87">
        <f t="shared" si="84"/>
        <v>3.1999999999999999E-5</v>
      </c>
      <c r="BP100" s="215">
        <f t="shared" si="74"/>
        <v>0</v>
      </c>
      <c r="BR100" s="126"/>
      <c r="BS100" s="126"/>
      <c r="BU100" s="178"/>
      <c r="BV100" s="179" t="str">
        <f t="shared" si="85"/>
        <v/>
      </c>
      <c r="BW100" s="179" t="str">
        <f t="shared" si="86"/>
        <v/>
      </c>
      <c r="BX100" s="179" t="str">
        <f t="shared" si="87"/>
        <v/>
      </c>
      <c r="BY100" s="179" t="str">
        <f t="shared" si="88"/>
        <v/>
      </c>
      <c r="BZ100" s="179" t="str">
        <f t="shared" si="89"/>
        <v/>
      </c>
      <c r="CA100" s="179" t="str">
        <f t="shared" si="90"/>
        <v/>
      </c>
      <c r="CB100" s="179" t="str">
        <f t="shared" si="91"/>
        <v/>
      </c>
      <c r="CC100" s="179" t="str">
        <f t="shared" si="92"/>
        <v/>
      </c>
      <c r="CD100" s="179" t="str">
        <f t="shared" si="93"/>
        <v/>
      </c>
      <c r="CE100" s="179" t="str">
        <f t="shared" si="94"/>
        <v/>
      </c>
      <c r="CF100" s="179" t="str">
        <f t="shared" si="95"/>
        <v/>
      </c>
      <c r="CG100" s="179" t="str">
        <f t="shared" si="96"/>
        <v/>
      </c>
      <c r="CH100" s="166"/>
      <c r="CI100" s="166"/>
      <c r="CJ100" s="166"/>
      <c r="CK100" s="166" t="s">
        <v>150</v>
      </c>
      <c r="CL100" s="166"/>
    </row>
    <row r="101" spans="1:90" ht="14.25" customHeight="1" x14ac:dyDescent="0.25">
      <c r="A101" s="211">
        <v>91</v>
      </c>
      <c r="B101" s="219"/>
      <c r="C101" s="200"/>
      <c r="D101" s="145"/>
      <c r="E101" s="320" t="s">
        <v>93</v>
      </c>
      <c r="F101" s="209"/>
      <c r="G101" s="313"/>
      <c r="H101" s="313"/>
      <c r="I101" s="313"/>
      <c r="J101" s="313"/>
      <c r="K101" s="313"/>
      <c r="L101" s="313"/>
      <c r="M101" s="339"/>
      <c r="N101" s="233">
        <f t="shared" si="97"/>
        <v>0</v>
      </c>
      <c r="O101" s="306"/>
      <c r="P101" s="342"/>
      <c r="Q101" s="307"/>
      <c r="R101" s="323" t="s">
        <v>67</v>
      </c>
      <c r="S101" s="209"/>
      <c r="T101" s="313"/>
      <c r="U101" s="313"/>
      <c r="V101" s="313"/>
      <c r="W101" s="313"/>
      <c r="X101" s="313"/>
      <c r="Y101" s="125"/>
      <c r="Z101" s="339"/>
      <c r="AA101" s="233">
        <f t="shared" si="98"/>
        <v>0</v>
      </c>
      <c r="AB101" s="314">
        <f t="shared" si="75"/>
        <v>0</v>
      </c>
      <c r="AC101" s="314"/>
      <c r="AD101" s="314">
        <f t="shared" si="76"/>
        <v>0</v>
      </c>
      <c r="AE101" s="323" t="s">
        <v>87</v>
      </c>
      <c r="AF101" s="81"/>
      <c r="AG101" s="335"/>
      <c r="AH101" s="335"/>
      <c r="AI101" s="335"/>
      <c r="AJ101" s="335"/>
      <c r="AK101" s="335"/>
      <c r="AL101" s="336"/>
      <c r="AM101" s="353"/>
      <c r="AN101" s="22">
        <f t="shared" si="99"/>
        <v>0</v>
      </c>
      <c r="AO101" s="209">
        <f t="shared" si="77"/>
        <v>0</v>
      </c>
      <c r="AP101" s="339"/>
      <c r="AQ101" s="125">
        <f t="shared" si="78"/>
        <v>0</v>
      </c>
      <c r="AR101" s="104"/>
      <c r="AS101" s="217"/>
      <c r="AT101" s="216"/>
      <c r="AU101" s="230"/>
      <c r="AV101" s="220"/>
      <c r="AW101" s="230"/>
      <c r="AX101" s="220"/>
      <c r="AY101" s="230"/>
      <c r="AZ101" s="220"/>
      <c r="BA101" s="17">
        <f t="shared" si="69"/>
        <v>1.01E-5</v>
      </c>
      <c r="BB101" s="17">
        <f t="shared" si="70"/>
        <v>0</v>
      </c>
      <c r="BC101" s="17"/>
      <c r="BD101" s="218">
        <v>92</v>
      </c>
      <c r="BE101" s="87">
        <f t="shared" si="79"/>
        <v>3.3599999999999997E-5</v>
      </c>
      <c r="BF101" s="215">
        <f t="shared" si="71"/>
        <v>0</v>
      </c>
      <c r="BG101" s="245">
        <f t="shared" si="72"/>
        <v>1.01E-5</v>
      </c>
      <c r="BH101" s="17">
        <f t="shared" si="80"/>
        <v>0</v>
      </c>
      <c r="BI101" s="218">
        <v>92</v>
      </c>
      <c r="BJ101" s="87">
        <f t="shared" si="81"/>
        <v>3.1899999999999996E-5</v>
      </c>
      <c r="BK101" s="215">
        <f t="shared" si="73"/>
        <v>0</v>
      </c>
      <c r="BL101" s="245">
        <f t="shared" si="82"/>
        <v>1.01E-5</v>
      </c>
      <c r="BM101" s="17">
        <f t="shared" si="83"/>
        <v>0</v>
      </c>
      <c r="BN101" s="218">
        <v>92</v>
      </c>
      <c r="BO101" s="87">
        <f t="shared" si="84"/>
        <v>3.1899999999999996E-5</v>
      </c>
      <c r="BP101" s="215">
        <f t="shared" si="74"/>
        <v>0</v>
      </c>
      <c r="BR101" s="126"/>
      <c r="BS101" s="126"/>
      <c r="BU101" s="178"/>
      <c r="BV101" s="179" t="str">
        <f t="shared" si="85"/>
        <v/>
      </c>
      <c r="BW101" s="179" t="str">
        <f t="shared" si="86"/>
        <v/>
      </c>
      <c r="BX101" s="179" t="str">
        <f t="shared" si="87"/>
        <v/>
      </c>
      <c r="BY101" s="179" t="str">
        <f t="shared" si="88"/>
        <v/>
      </c>
      <c r="BZ101" s="179" t="str">
        <f t="shared" si="89"/>
        <v/>
      </c>
      <c r="CA101" s="179" t="str">
        <f t="shared" si="90"/>
        <v/>
      </c>
      <c r="CB101" s="179" t="str">
        <f t="shared" si="91"/>
        <v/>
      </c>
      <c r="CC101" s="179" t="str">
        <f t="shared" si="92"/>
        <v/>
      </c>
      <c r="CD101" s="179" t="str">
        <f t="shared" si="93"/>
        <v/>
      </c>
      <c r="CE101" s="179" t="str">
        <f t="shared" si="94"/>
        <v/>
      </c>
      <c r="CF101" s="179" t="str">
        <f t="shared" si="95"/>
        <v/>
      </c>
      <c r="CG101" s="179" t="str">
        <f t="shared" si="96"/>
        <v/>
      </c>
      <c r="CH101" s="166"/>
      <c r="CI101" s="166"/>
      <c r="CJ101" s="166"/>
      <c r="CK101" s="166" t="s">
        <v>150</v>
      </c>
      <c r="CL101" s="166"/>
    </row>
    <row r="102" spans="1:90" ht="14.25" customHeight="1" thickBot="1" x14ac:dyDescent="0.3">
      <c r="A102" s="213">
        <v>92</v>
      </c>
      <c r="B102" s="88"/>
      <c r="C102" s="201"/>
      <c r="D102" s="94"/>
      <c r="E102" s="321" t="s">
        <v>93</v>
      </c>
      <c r="F102" s="96"/>
      <c r="G102" s="100"/>
      <c r="H102" s="100"/>
      <c r="I102" s="100"/>
      <c r="J102" s="100"/>
      <c r="K102" s="100"/>
      <c r="L102" s="100"/>
      <c r="M102" s="210"/>
      <c r="N102" s="234">
        <f t="shared" si="97"/>
        <v>0</v>
      </c>
      <c r="O102" s="308"/>
      <c r="P102" s="343"/>
      <c r="Q102" s="309"/>
      <c r="R102" s="324" t="s">
        <v>67</v>
      </c>
      <c r="S102" s="96"/>
      <c r="T102" s="100"/>
      <c r="U102" s="100"/>
      <c r="V102" s="100"/>
      <c r="W102" s="100"/>
      <c r="X102" s="100"/>
      <c r="Y102" s="97"/>
      <c r="Z102" s="210"/>
      <c r="AA102" s="234">
        <f t="shared" si="98"/>
        <v>0</v>
      </c>
      <c r="AB102" s="314">
        <f t="shared" si="75"/>
        <v>0</v>
      </c>
      <c r="AC102" s="314"/>
      <c r="AD102" s="314">
        <f t="shared" si="76"/>
        <v>0</v>
      </c>
      <c r="AE102" s="324" t="s">
        <v>87</v>
      </c>
      <c r="AF102" s="82"/>
      <c r="AG102" s="337"/>
      <c r="AH102" s="337"/>
      <c r="AI102" s="337"/>
      <c r="AJ102" s="337"/>
      <c r="AK102" s="337"/>
      <c r="AL102" s="338"/>
      <c r="AM102" s="354"/>
      <c r="AN102" s="91">
        <f t="shared" si="99"/>
        <v>0</v>
      </c>
      <c r="AO102" s="96">
        <f t="shared" si="77"/>
        <v>0</v>
      </c>
      <c r="AP102" s="210"/>
      <c r="AQ102" s="97">
        <f t="shared" si="78"/>
        <v>0</v>
      </c>
      <c r="AR102" s="105"/>
      <c r="AS102" s="102"/>
      <c r="AT102" s="237"/>
      <c r="AU102" s="231"/>
      <c r="AV102" s="93"/>
      <c r="AW102" s="231"/>
      <c r="AX102" s="93"/>
      <c r="AY102" s="231"/>
      <c r="AZ102" s="93"/>
      <c r="BA102" s="17">
        <f t="shared" si="69"/>
        <v>1.0199999999999999E-5</v>
      </c>
      <c r="BB102" s="17">
        <f t="shared" si="70"/>
        <v>0</v>
      </c>
      <c r="BC102" s="17"/>
      <c r="BD102" s="218">
        <v>93</v>
      </c>
      <c r="BE102" s="87">
        <f t="shared" si="79"/>
        <v>3.3500000000000001E-5</v>
      </c>
      <c r="BF102" s="215">
        <f t="shared" si="71"/>
        <v>0</v>
      </c>
      <c r="BG102" s="245">
        <f t="shared" si="72"/>
        <v>1.0199999999999999E-5</v>
      </c>
      <c r="BH102" s="17">
        <f t="shared" si="80"/>
        <v>0</v>
      </c>
      <c r="BI102" s="218">
        <v>93</v>
      </c>
      <c r="BJ102" s="87">
        <f t="shared" si="81"/>
        <v>3.18E-5</v>
      </c>
      <c r="BK102" s="215">
        <f t="shared" si="73"/>
        <v>0</v>
      </c>
      <c r="BL102" s="245">
        <f t="shared" si="82"/>
        <v>1.0199999999999999E-5</v>
      </c>
      <c r="BM102" s="17">
        <f t="shared" si="83"/>
        <v>0</v>
      </c>
      <c r="BN102" s="218">
        <v>93</v>
      </c>
      <c r="BO102" s="87">
        <f t="shared" si="84"/>
        <v>3.18E-5</v>
      </c>
      <c r="BP102" s="215">
        <f t="shared" si="74"/>
        <v>0</v>
      </c>
      <c r="BR102" s="126"/>
      <c r="BS102" s="126"/>
      <c r="BU102" s="178"/>
      <c r="BV102" s="179" t="str">
        <f t="shared" si="85"/>
        <v/>
      </c>
      <c r="BW102" s="179" t="str">
        <f t="shared" si="86"/>
        <v/>
      </c>
      <c r="BX102" s="179" t="str">
        <f t="shared" si="87"/>
        <v/>
      </c>
      <c r="BY102" s="179" t="str">
        <f t="shared" si="88"/>
        <v/>
      </c>
      <c r="BZ102" s="179" t="str">
        <f t="shared" si="89"/>
        <v/>
      </c>
      <c r="CA102" s="179" t="str">
        <f t="shared" si="90"/>
        <v/>
      </c>
      <c r="CB102" s="179" t="str">
        <f t="shared" si="91"/>
        <v/>
      </c>
      <c r="CC102" s="179" t="str">
        <f t="shared" si="92"/>
        <v/>
      </c>
      <c r="CD102" s="179" t="str">
        <f t="shared" si="93"/>
        <v/>
      </c>
      <c r="CE102" s="179" t="str">
        <f t="shared" si="94"/>
        <v/>
      </c>
      <c r="CF102" s="179" t="str">
        <f t="shared" si="95"/>
        <v/>
      </c>
      <c r="CG102" s="179" t="str">
        <f t="shared" si="96"/>
        <v/>
      </c>
      <c r="CH102" s="166"/>
      <c r="CI102" s="166"/>
      <c r="CJ102" s="166"/>
      <c r="CK102" s="166" t="s">
        <v>150</v>
      </c>
      <c r="CL102" s="166"/>
    </row>
    <row r="103" spans="1:90" ht="14.25" customHeight="1" x14ac:dyDescent="0.25">
      <c r="A103" s="211">
        <v>93</v>
      </c>
      <c r="B103" s="89"/>
      <c r="C103" s="199"/>
      <c r="D103" s="146"/>
      <c r="E103" s="319" t="s">
        <v>93</v>
      </c>
      <c r="F103" s="221"/>
      <c r="G103" s="222"/>
      <c r="H103" s="222"/>
      <c r="I103" s="222"/>
      <c r="J103" s="222"/>
      <c r="K103" s="222"/>
      <c r="L103" s="222"/>
      <c r="M103" s="331"/>
      <c r="N103" s="303">
        <f t="shared" si="97"/>
        <v>0</v>
      </c>
      <c r="O103" s="304"/>
      <c r="P103" s="341"/>
      <c r="Q103" s="305"/>
      <c r="R103" s="322" t="s">
        <v>67</v>
      </c>
      <c r="S103" s="326"/>
      <c r="T103" s="327"/>
      <c r="U103" s="327"/>
      <c r="V103" s="327"/>
      <c r="W103" s="327"/>
      <c r="X103" s="327"/>
      <c r="Y103" s="95"/>
      <c r="Z103" s="331"/>
      <c r="AA103" s="303">
        <f t="shared" si="98"/>
        <v>0</v>
      </c>
      <c r="AB103" s="314">
        <f t="shared" si="75"/>
        <v>0</v>
      </c>
      <c r="AC103" s="314"/>
      <c r="AD103" s="314">
        <f t="shared" si="76"/>
        <v>0</v>
      </c>
      <c r="AE103" s="325" t="s">
        <v>148</v>
      </c>
      <c r="AF103" s="15"/>
      <c r="AG103" s="232"/>
      <c r="AH103" s="232"/>
      <c r="AI103" s="232"/>
      <c r="AJ103" s="232"/>
      <c r="AK103" s="232"/>
      <c r="AL103" s="7"/>
      <c r="AM103" s="352"/>
      <c r="AN103" s="22">
        <f t="shared" si="99"/>
        <v>0</v>
      </c>
      <c r="AO103" s="15">
        <f t="shared" si="77"/>
        <v>0</v>
      </c>
      <c r="AP103" s="345"/>
      <c r="AQ103" s="7">
        <f t="shared" si="78"/>
        <v>0</v>
      </c>
      <c r="AR103" s="103"/>
      <c r="AS103" s="101"/>
      <c r="AT103" s="236"/>
      <c r="AU103" s="235"/>
      <c r="AV103" s="92"/>
      <c r="AW103" s="235"/>
      <c r="AX103" s="92"/>
      <c r="AY103" s="235"/>
      <c r="AZ103" s="92"/>
      <c r="BA103" s="17">
        <f t="shared" si="69"/>
        <v>1.03E-5</v>
      </c>
      <c r="BB103" s="17">
        <f t="shared" si="70"/>
        <v>0</v>
      </c>
      <c r="BC103" s="17"/>
      <c r="BD103" s="218">
        <v>94</v>
      </c>
      <c r="BE103" s="87">
        <f t="shared" si="79"/>
        <v>3.3399999999999999E-5</v>
      </c>
      <c r="BF103" s="215">
        <f t="shared" si="71"/>
        <v>0</v>
      </c>
      <c r="BG103" s="245">
        <f t="shared" si="72"/>
        <v>1.03E-5</v>
      </c>
      <c r="BH103" s="17">
        <f t="shared" si="80"/>
        <v>0</v>
      </c>
      <c r="BI103" s="218">
        <v>94</v>
      </c>
      <c r="BJ103" s="87">
        <f t="shared" si="81"/>
        <v>3.1699999999999998E-5</v>
      </c>
      <c r="BK103" s="215">
        <f t="shared" si="73"/>
        <v>0</v>
      </c>
      <c r="BL103" s="245">
        <f t="shared" si="82"/>
        <v>1.03E-5</v>
      </c>
      <c r="BM103" s="17">
        <f t="shared" si="83"/>
        <v>0</v>
      </c>
      <c r="BN103" s="218">
        <v>94</v>
      </c>
      <c r="BO103" s="87">
        <f t="shared" si="84"/>
        <v>3.1699999999999998E-5</v>
      </c>
      <c r="BP103" s="215">
        <f t="shared" si="74"/>
        <v>0</v>
      </c>
      <c r="BR103" s="126"/>
      <c r="BS103" s="126"/>
      <c r="BU103" s="178"/>
      <c r="BV103" s="179" t="str">
        <f t="shared" si="85"/>
        <v/>
      </c>
      <c r="BW103" s="179" t="str">
        <f t="shared" si="86"/>
        <v/>
      </c>
      <c r="BX103" s="179" t="str">
        <f t="shared" si="87"/>
        <v/>
      </c>
      <c r="BY103" s="179" t="str">
        <f t="shared" si="88"/>
        <v/>
      </c>
      <c r="BZ103" s="179" t="str">
        <f t="shared" si="89"/>
        <v/>
      </c>
      <c r="CA103" s="179" t="str">
        <f t="shared" si="90"/>
        <v/>
      </c>
      <c r="CB103" s="179" t="str">
        <f t="shared" si="91"/>
        <v/>
      </c>
      <c r="CC103" s="179" t="str">
        <f t="shared" si="92"/>
        <v/>
      </c>
      <c r="CD103" s="179" t="str">
        <f t="shared" si="93"/>
        <v/>
      </c>
      <c r="CE103" s="179" t="str">
        <f t="shared" si="94"/>
        <v/>
      </c>
      <c r="CF103" s="179" t="str">
        <f t="shared" si="95"/>
        <v/>
      </c>
      <c r="CG103" s="179" t="str">
        <f t="shared" si="96"/>
        <v/>
      </c>
      <c r="CH103" s="166"/>
      <c r="CI103" s="166"/>
      <c r="CJ103" s="166"/>
      <c r="CK103" s="166" t="s">
        <v>150</v>
      </c>
      <c r="CL103" s="166"/>
    </row>
    <row r="104" spans="1:90" ht="14.25" customHeight="1" thickBot="1" x14ac:dyDescent="0.3">
      <c r="A104" s="213">
        <v>94</v>
      </c>
      <c r="B104" s="219"/>
      <c r="C104" s="200"/>
      <c r="D104" s="145"/>
      <c r="E104" s="320" t="s">
        <v>93</v>
      </c>
      <c r="F104" s="209"/>
      <c r="G104" s="313"/>
      <c r="H104" s="313"/>
      <c r="I104" s="313"/>
      <c r="J104" s="313"/>
      <c r="K104" s="313"/>
      <c r="L104" s="313"/>
      <c r="M104" s="339"/>
      <c r="N104" s="233">
        <f t="shared" si="97"/>
        <v>0</v>
      </c>
      <c r="O104" s="306"/>
      <c r="P104" s="342"/>
      <c r="Q104" s="307"/>
      <c r="R104" s="323" t="s">
        <v>67</v>
      </c>
      <c r="S104" s="209"/>
      <c r="T104" s="313"/>
      <c r="U104" s="313"/>
      <c r="V104" s="313"/>
      <c r="W104" s="313"/>
      <c r="X104" s="313"/>
      <c r="Y104" s="125"/>
      <c r="Z104" s="339"/>
      <c r="AA104" s="233">
        <f t="shared" si="98"/>
        <v>0</v>
      </c>
      <c r="AB104" s="314">
        <f t="shared" si="75"/>
        <v>0</v>
      </c>
      <c r="AC104" s="314"/>
      <c r="AD104" s="314">
        <f t="shared" si="76"/>
        <v>0</v>
      </c>
      <c r="AE104" s="323" t="s">
        <v>87</v>
      </c>
      <c r="AF104" s="81"/>
      <c r="AG104" s="335"/>
      <c r="AH104" s="335"/>
      <c r="AI104" s="335"/>
      <c r="AJ104" s="335"/>
      <c r="AK104" s="335"/>
      <c r="AL104" s="336"/>
      <c r="AM104" s="353"/>
      <c r="AN104" s="22">
        <f t="shared" si="99"/>
        <v>0</v>
      </c>
      <c r="AO104" s="209">
        <f t="shared" si="77"/>
        <v>0</v>
      </c>
      <c r="AP104" s="339"/>
      <c r="AQ104" s="125">
        <f t="shared" si="78"/>
        <v>0</v>
      </c>
      <c r="AR104" s="104"/>
      <c r="AS104" s="217"/>
      <c r="AT104" s="216"/>
      <c r="AU104" s="230"/>
      <c r="AV104" s="220"/>
      <c r="AW104" s="230"/>
      <c r="AX104" s="220"/>
      <c r="AY104" s="230"/>
      <c r="AZ104" s="220"/>
      <c r="BA104" s="17">
        <f t="shared" si="69"/>
        <v>1.0399999999999999E-5</v>
      </c>
      <c r="BB104" s="17">
        <f t="shared" si="70"/>
        <v>0</v>
      </c>
      <c r="BC104" s="17"/>
      <c r="BD104" s="178">
        <v>95</v>
      </c>
      <c r="BE104" s="214">
        <f t="shared" si="79"/>
        <v>3.3299999999999996E-5</v>
      </c>
      <c r="BF104" s="178">
        <f t="shared" si="71"/>
        <v>0</v>
      </c>
      <c r="BG104" s="245">
        <f t="shared" si="72"/>
        <v>1.0399999999999999E-5</v>
      </c>
      <c r="BH104" s="17">
        <f t="shared" si="80"/>
        <v>0</v>
      </c>
      <c r="BI104" s="178">
        <v>95</v>
      </c>
      <c r="BJ104" s="87">
        <f t="shared" si="81"/>
        <v>3.1599999999999996E-5</v>
      </c>
      <c r="BK104" s="215">
        <f t="shared" si="73"/>
        <v>0</v>
      </c>
      <c r="BL104" s="245">
        <f t="shared" si="82"/>
        <v>1.0399999999999999E-5</v>
      </c>
      <c r="BM104" s="17">
        <f t="shared" si="83"/>
        <v>0</v>
      </c>
      <c r="BN104" s="178">
        <v>95</v>
      </c>
      <c r="BO104" s="87">
        <f t="shared" si="84"/>
        <v>3.1599999999999996E-5</v>
      </c>
      <c r="BP104" s="215">
        <f t="shared" si="74"/>
        <v>0</v>
      </c>
      <c r="BR104" s="126"/>
      <c r="BS104" s="126"/>
      <c r="BU104" s="178"/>
      <c r="BV104" s="179" t="str">
        <f t="shared" si="85"/>
        <v/>
      </c>
      <c r="BW104" s="179" t="str">
        <f t="shared" si="86"/>
        <v/>
      </c>
      <c r="BX104" s="179" t="str">
        <f t="shared" si="87"/>
        <v/>
      </c>
      <c r="BY104" s="179" t="str">
        <f t="shared" si="88"/>
        <v/>
      </c>
      <c r="BZ104" s="179" t="str">
        <f t="shared" si="89"/>
        <v/>
      </c>
      <c r="CA104" s="179" t="str">
        <f t="shared" si="90"/>
        <v/>
      </c>
      <c r="CB104" s="179" t="str">
        <f t="shared" si="91"/>
        <v/>
      </c>
      <c r="CC104" s="179" t="str">
        <f t="shared" si="92"/>
        <v/>
      </c>
      <c r="CD104" s="179" t="str">
        <f t="shared" si="93"/>
        <v/>
      </c>
      <c r="CE104" s="179" t="str">
        <f t="shared" si="94"/>
        <v/>
      </c>
      <c r="CF104" s="179" t="str">
        <f t="shared" si="95"/>
        <v/>
      </c>
      <c r="CG104" s="179" t="str">
        <f t="shared" si="96"/>
        <v/>
      </c>
      <c r="CH104" s="166"/>
      <c r="CI104" s="166"/>
      <c r="CJ104" s="166"/>
      <c r="CK104" s="166" t="s">
        <v>150</v>
      </c>
      <c r="CL104" s="166"/>
    </row>
    <row r="105" spans="1:90" ht="14.25" customHeight="1" thickBot="1" x14ac:dyDescent="0.3">
      <c r="A105" s="211">
        <v>95</v>
      </c>
      <c r="B105" s="88"/>
      <c r="C105" s="201"/>
      <c r="D105" s="94"/>
      <c r="E105" s="321" t="s">
        <v>93</v>
      </c>
      <c r="F105" s="96"/>
      <c r="G105" s="100"/>
      <c r="H105" s="100"/>
      <c r="I105" s="100"/>
      <c r="J105" s="100"/>
      <c r="K105" s="100"/>
      <c r="L105" s="100"/>
      <c r="M105" s="210"/>
      <c r="N105" s="234">
        <f t="shared" si="97"/>
        <v>0</v>
      </c>
      <c r="O105" s="308"/>
      <c r="P105" s="343"/>
      <c r="Q105" s="309"/>
      <c r="R105" s="324" t="s">
        <v>67</v>
      </c>
      <c r="S105" s="96"/>
      <c r="T105" s="100"/>
      <c r="U105" s="100"/>
      <c r="V105" s="100"/>
      <c r="W105" s="100"/>
      <c r="X105" s="100"/>
      <c r="Y105" s="97"/>
      <c r="Z105" s="210"/>
      <c r="AA105" s="234">
        <f t="shared" si="98"/>
        <v>0</v>
      </c>
      <c r="AB105" s="314">
        <f t="shared" si="75"/>
        <v>0</v>
      </c>
      <c r="AC105" s="314"/>
      <c r="AD105" s="314">
        <f t="shared" si="76"/>
        <v>0</v>
      </c>
      <c r="AE105" s="324" t="s">
        <v>87</v>
      </c>
      <c r="AF105" s="82"/>
      <c r="AG105" s="337"/>
      <c r="AH105" s="337"/>
      <c r="AI105" s="337"/>
      <c r="AJ105" s="337"/>
      <c r="AK105" s="337"/>
      <c r="AL105" s="338"/>
      <c r="AM105" s="354"/>
      <c r="AN105" s="91">
        <f t="shared" si="99"/>
        <v>0</v>
      </c>
      <c r="AO105" s="96">
        <f t="shared" si="77"/>
        <v>0</v>
      </c>
      <c r="AP105" s="210"/>
      <c r="AQ105" s="97">
        <f t="shared" si="78"/>
        <v>0</v>
      </c>
      <c r="AR105" s="105"/>
      <c r="AS105" s="102"/>
      <c r="AT105" s="237"/>
      <c r="AU105" s="231"/>
      <c r="AV105" s="93"/>
      <c r="AW105" s="231"/>
      <c r="AX105" s="93"/>
      <c r="AY105" s="231"/>
      <c r="AZ105" s="93"/>
      <c r="BA105" s="17">
        <f t="shared" si="69"/>
        <v>1.0499999999999999E-5</v>
      </c>
      <c r="BB105" s="17">
        <f t="shared" si="70"/>
        <v>0</v>
      </c>
      <c r="BC105" s="17"/>
      <c r="BD105" s="178">
        <v>96</v>
      </c>
      <c r="BE105" s="214">
        <f t="shared" si="79"/>
        <v>3.3200000000000001E-5</v>
      </c>
      <c r="BF105" s="178">
        <f t="shared" si="71"/>
        <v>0</v>
      </c>
      <c r="BG105" s="245">
        <f t="shared" si="72"/>
        <v>1.0499999999999999E-5</v>
      </c>
      <c r="BH105" s="17">
        <f t="shared" si="80"/>
        <v>0</v>
      </c>
      <c r="BI105" s="178">
        <v>96</v>
      </c>
      <c r="BJ105" s="87">
        <f t="shared" si="81"/>
        <v>3.15E-5</v>
      </c>
      <c r="BK105" s="215">
        <f t="shared" si="73"/>
        <v>0</v>
      </c>
      <c r="BL105" s="245">
        <f t="shared" si="82"/>
        <v>1.0499999999999999E-5</v>
      </c>
      <c r="BM105" s="17">
        <f t="shared" si="83"/>
        <v>0</v>
      </c>
      <c r="BN105" s="178">
        <v>96</v>
      </c>
      <c r="BO105" s="87">
        <f t="shared" si="84"/>
        <v>3.15E-5</v>
      </c>
      <c r="BP105" s="215">
        <f t="shared" si="74"/>
        <v>0</v>
      </c>
      <c r="BR105" s="126"/>
      <c r="BS105" s="126"/>
      <c r="BU105" s="178"/>
      <c r="BV105" s="179" t="str">
        <f t="shared" si="85"/>
        <v/>
      </c>
      <c r="BW105" s="179" t="str">
        <f t="shared" si="86"/>
        <v/>
      </c>
      <c r="BX105" s="179" t="str">
        <f t="shared" si="87"/>
        <v/>
      </c>
      <c r="BY105" s="179" t="str">
        <f t="shared" si="88"/>
        <v/>
      </c>
      <c r="BZ105" s="179" t="str">
        <f t="shared" si="89"/>
        <v/>
      </c>
      <c r="CA105" s="179" t="str">
        <f t="shared" si="90"/>
        <v/>
      </c>
      <c r="CB105" s="179" t="str">
        <f t="shared" si="91"/>
        <v/>
      </c>
      <c r="CC105" s="179" t="str">
        <f t="shared" si="92"/>
        <v/>
      </c>
      <c r="CD105" s="179" t="str">
        <f t="shared" si="93"/>
        <v/>
      </c>
      <c r="CE105" s="179" t="str">
        <f t="shared" si="94"/>
        <v/>
      </c>
      <c r="CF105" s="179" t="str">
        <f t="shared" si="95"/>
        <v/>
      </c>
      <c r="CG105" s="179" t="str">
        <f t="shared" si="96"/>
        <v/>
      </c>
      <c r="CH105" s="166"/>
      <c r="CI105" s="166"/>
      <c r="CJ105" s="166"/>
      <c r="CK105" s="166" t="s">
        <v>150</v>
      </c>
      <c r="CL105" s="166"/>
    </row>
    <row r="106" spans="1:90" ht="14.25" customHeight="1" thickBot="1" x14ac:dyDescent="0.3">
      <c r="A106" s="213">
        <v>96</v>
      </c>
      <c r="B106" s="89"/>
      <c r="C106" s="199"/>
      <c r="D106" s="146"/>
      <c r="E106" s="319" t="s">
        <v>93</v>
      </c>
      <c r="F106" s="221"/>
      <c r="G106" s="222"/>
      <c r="H106" s="222"/>
      <c r="I106" s="222"/>
      <c r="J106" s="222"/>
      <c r="K106" s="222"/>
      <c r="L106" s="222"/>
      <c r="M106" s="331"/>
      <c r="N106" s="303">
        <f t="shared" si="97"/>
        <v>0</v>
      </c>
      <c r="O106" s="304"/>
      <c r="P106" s="341"/>
      <c r="Q106" s="305"/>
      <c r="R106" s="322" t="s">
        <v>67</v>
      </c>
      <c r="S106" s="326"/>
      <c r="T106" s="327"/>
      <c r="U106" s="327"/>
      <c r="V106" s="327"/>
      <c r="W106" s="327"/>
      <c r="X106" s="327"/>
      <c r="Y106" s="95"/>
      <c r="Z106" s="331"/>
      <c r="AA106" s="303">
        <f t="shared" si="98"/>
        <v>0</v>
      </c>
      <c r="AB106" s="314">
        <f t="shared" si="75"/>
        <v>0</v>
      </c>
      <c r="AC106" s="314"/>
      <c r="AD106" s="314">
        <f t="shared" si="76"/>
        <v>0</v>
      </c>
      <c r="AE106" s="325" t="s">
        <v>148</v>
      </c>
      <c r="AF106" s="15"/>
      <c r="AG106" s="232"/>
      <c r="AH106" s="232"/>
      <c r="AI106" s="232"/>
      <c r="AJ106" s="232"/>
      <c r="AK106" s="232"/>
      <c r="AL106" s="7"/>
      <c r="AM106" s="352"/>
      <c r="AN106" s="22">
        <f t="shared" si="99"/>
        <v>0</v>
      </c>
      <c r="AO106" s="15">
        <f t="shared" si="77"/>
        <v>0</v>
      </c>
      <c r="AP106" s="345"/>
      <c r="AQ106" s="7">
        <f t="shared" si="78"/>
        <v>0</v>
      </c>
      <c r="AR106" s="103"/>
      <c r="AS106" s="101"/>
      <c r="AT106" s="236"/>
      <c r="AU106" s="235"/>
      <c r="AV106" s="92"/>
      <c r="AW106" s="235"/>
      <c r="AX106" s="92"/>
      <c r="AY106" s="235"/>
      <c r="AZ106" s="92"/>
      <c r="BA106" s="17">
        <f t="shared" si="69"/>
        <v>1.06E-5</v>
      </c>
      <c r="BB106" s="17">
        <f t="shared" si="70"/>
        <v>0</v>
      </c>
      <c r="BC106" s="17"/>
      <c r="BD106" s="178">
        <v>97</v>
      </c>
      <c r="BE106" s="214">
        <f t="shared" si="79"/>
        <v>3.3099999999999998E-5</v>
      </c>
      <c r="BF106" s="178">
        <f t="shared" si="71"/>
        <v>0</v>
      </c>
      <c r="BG106" s="245">
        <f t="shared" si="72"/>
        <v>1.06E-5</v>
      </c>
      <c r="BH106" s="17">
        <f t="shared" si="80"/>
        <v>0</v>
      </c>
      <c r="BI106" s="178">
        <v>97</v>
      </c>
      <c r="BJ106" s="87">
        <f t="shared" si="81"/>
        <v>3.1399999999999998E-5</v>
      </c>
      <c r="BK106" s="215">
        <f t="shared" si="73"/>
        <v>0</v>
      </c>
      <c r="BL106" s="245">
        <f t="shared" si="82"/>
        <v>1.06E-5</v>
      </c>
      <c r="BM106" s="17">
        <f t="shared" si="83"/>
        <v>0</v>
      </c>
      <c r="BN106" s="178">
        <v>97</v>
      </c>
      <c r="BO106" s="87">
        <f t="shared" si="84"/>
        <v>3.1399999999999998E-5</v>
      </c>
      <c r="BP106" s="215">
        <f t="shared" si="74"/>
        <v>0</v>
      </c>
      <c r="BR106" s="126"/>
      <c r="BS106" s="126"/>
      <c r="BU106" s="178"/>
      <c r="BV106" s="179" t="str">
        <f t="shared" si="85"/>
        <v/>
      </c>
      <c r="BW106" s="179" t="str">
        <f t="shared" si="86"/>
        <v/>
      </c>
      <c r="BX106" s="179" t="str">
        <f t="shared" si="87"/>
        <v/>
      </c>
      <c r="BY106" s="179" t="str">
        <f t="shared" si="88"/>
        <v/>
      </c>
      <c r="BZ106" s="179" t="str">
        <f t="shared" si="89"/>
        <v/>
      </c>
      <c r="CA106" s="179" t="str">
        <f t="shared" si="90"/>
        <v/>
      </c>
      <c r="CB106" s="179" t="str">
        <f t="shared" si="91"/>
        <v/>
      </c>
      <c r="CC106" s="179" t="str">
        <f t="shared" si="92"/>
        <v/>
      </c>
      <c r="CD106" s="179" t="str">
        <f t="shared" si="93"/>
        <v/>
      </c>
      <c r="CE106" s="179" t="str">
        <f t="shared" si="94"/>
        <v/>
      </c>
      <c r="CF106" s="179" t="str">
        <f t="shared" si="95"/>
        <v/>
      </c>
      <c r="CG106" s="179" t="str">
        <f t="shared" si="96"/>
        <v/>
      </c>
      <c r="CH106" s="166"/>
      <c r="CI106" s="166"/>
      <c r="CJ106" s="166"/>
      <c r="CK106" s="166" t="s">
        <v>150</v>
      </c>
      <c r="CL106" s="166"/>
    </row>
    <row r="107" spans="1:90" ht="14.25" customHeight="1" x14ac:dyDescent="0.25">
      <c r="A107" s="211">
        <v>97</v>
      </c>
      <c r="B107" s="219"/>
      <c r="C107" s="200"/>
      <c r="D107" s="145"/>
      <c r="E107" s="320" t="s">
        <v>93</v>
      </c>
      <c r="F107" s="209"/>
      <c r="G107" s="313"/>
      <c r="H107" s="313"/>
      <c r="I107" s="313"/>
      <c r="J107" s="313"/>
      <c r="K107" s="313"/>
      <c r="L107" s="313"/>
      <c r="M107" s="339"/>
      <c r="N107" s="233">
        <f t="shared" si="97"/>
        <v>0</v>
      </c>
      <c r="O107" s="306"/>
      <c r="P107" s="342"/>
      <c r="Q107" s="307"/>
      <c r="R107" s="323" t="s">
        <v>67</v>
      </c>
      <c r="S107" s="209"/>
      <c r="T107" s="313"/>
      <c r="U107" s="313"/>
      <c r="V107" s="313"/>
      <c r="W107" s="313"/>
      <c r="X107" s="313"/>
      <c r="Y107" s="125"/>
      <c r="Z107" s="339"/>
      <c r="AA107" s="233">
        <f t="shared" si="98"/>
        <v>0</v>
      </c>
      <c r="AB107" s="314">
        <f t="shared" si="75"/>
        <v>0</v>
      </c>
      <c r="AC107" s="314"/>
      <c r="AD107" s="314">
        <f t="shared" si="76"/>
        <v>0</v>
      </c>
      <c r="AE107" s="323" t="s">
        <v>87</v>
      </c>
      <c r="AF107" s="81"/>
      <c r="AG107" s="335"/>
      <c r="AH107" s="335"/>
      <c r="AI107" s="335"/>
      <c r="AJ107" s="335"/>
      <c r="AK107" s="335"/>
      <c r="AL107" s="336"/>
      <c r="AM107" s="353"/>
      <c r="AN107" s="22">
        <f t="shared" si="99"/>
        <v>0</v>
      </c>
      <c r="AO107" s="209">
        <f t="shared" si="77"/>
        <v>0</v>
      </c>
      <c r="AP107" s="339"/>
      <c r="AQ107" s="125">
        <f t="shared" si="78"/>
        <v>0</v>
      </c>
      <c r="AR107" s="104"/>
      <c r="AS107" s="217"/>
      <c r="AT107" s="216"/>
      <c r="AU107" s="230"/>
      <c r="AV107" s="220"/>
      <c r="AW107" s="230"/>
      <c r="AX107" s="220"/>
      <c r="AY107" s="230"/>
      <c r="AZ107" s="220"/>
      <c r="BA107" s="17">
        <f t="shared" si="69"/>
        <v>1.0699999999999999E-5</v>
      </c>
      <c r="BB107" s="17">
        <f t="shared" si="70"/>
        <v>0</v>
      </c>
      <c r="BC107" s="17"/>
      <c r="BD107" s="178">
        <v>98</v>
      </c>
      <c r="BE107" s="214">
        <f t="shared" si="79"/>
        <v>3.2999999999999996E-5</v>
      </c>
      <c r="BF107" s="178">
        <f t="shared" si="71"/>
        <v>0</v>
      </c>
      <c r="BG107" s="245">
        <f t="shared" si="72"/>
        <v>1.0699999999999999E-5</v>
      </c>
      <c r="BH107" s="17">
        <f t="shared" si="80"/>
        <v>0</v>
      </c>
      <c r="BI107" s="178">
        <v>98</v>
      </c>
      <c r="BJ107" s="87">
        <f t="shared" si="81"/>
        <v>3.1300000000000002E-5</v>
      </c>
      <c r="BK107" s="215">
        <f t="shared" si="73"/>
        <v>0</v>
      </c>
      <c r="BL107" s="245">
        <f t="shared" si="82"/>
        <v>1.0699999999999999E-5</v>
      </c>
      <c r="BM107" s="17">
        <f t="shared" si="83"/>
        <v>0</v>
      </c>
      <c r="BN107" s="178">
        <v>98</v>
      </c>
      <c r="BO107" s="87">
        <f t="shared" si="84"/>
        <v>3.1300000000000002E-5</v>
      </c>
      <c r="BP107" s="215">
        <f t="shared" si="74"/>
        <v>0</v>
      </c>
      <c r="BR107" s="126"/>
      <c r="BS107" s="126"/>
      <c r="BU107" s="178"/>
      <c r="BV107" s="179" t="str">
        <f t="shared" si="85"/>
        <v/>
      </c>
      <c r="BW107" s="179" t="str">
        <f t="shared" si="86"/>
        <v/>
      </c>
      <c r="BX107" s="179" t="str">
        <f t="shared" si="87"/>
        <v/>
      </c>
      <c r="BY107" s="179" t="str">
        <f t="shared" si="88"/>
        <v/>
      </c>
      <c r="BZ107" s="179" t="str">
        <f t="shared" si="89"/>
        <v/>
      </c>
      <c r="CA107" s="179" t="str">
        <f t="shared" si="90"/>
        <v/>
      </c>
      <c r="CB107" s="179" t="str">
        <f t="shared" si="91"/>
        <v/>
      </c>
      <c r="CC107" s="179" t="str">
        <f t="shared" si="92"/>
        <v/>
      </c>
      <c r="CD107" s="179" t="str">
        <f t="shared" si="93"/>
        <v/>
      </c>
      <c r="CE107" s="179" t="str">
        <f t="shared" si="94"/>
        <v/>
      </c>
      <c r="CF107" s="179" t="str">
        <f t="shared" si="95"/>
        <v/>
      </c>
      <c r="CG107" s="179" t="str">
        <f t="shared" si="96"/>
        <v/>
      </c>
      <c r="CH107" s="166"/>
      <c r="CI107" s="166"/>
      <c r="CJ107" s="166"/>
      <c r="CK107" s="166" t="s">
        <v>150</v>
      </c>
      <c r="CL107" s="166"/>
    </row>
    <row r="108" spans="1:90" ht="14.25" customHeight="1" thickBot="1" x14ac:dyDescent="0.3">
      <c r="A108" s="213">
        <v>98</v>
      </c>
      <c r="B108" s="88"/>
      <c r="C108" s="201"/>
      <c r="D108" s="94"/>
      <c r="E108" s="321" t="s">
        <v>93</v>
      </c>
      <c r="F108" s="96"/>
      <c r="G108" s="100"/>
      <c r="H108" s="100"/>
      <c r="I108" s="100"/>
      <c r="J108" s="100"/>
      <c r="K108" s="100"/>
      <c r="L108" s="100"/>
      <c r="M108" s="210"/>
      <c r="N108" s="234">
        <f t="shared" si="97"/>
        <v>0</v>
      </c>
      <c r="O108" s="308"/>
      <c r="P108" s="343"/>
      <c r="Q108" s="309"/>
      <c r="R108" s="324" t="s">
        <v>67</v>
      </c>
      <c r="S108" s="96"/>
      <c r="T108" s="100"/>
      <c r="U108" s="100"/>
      <c r="V108" s="100"/>
      <c r="W108" s="100"/>
      <c r="X108" s="100"/>
      <c r="Y108" s="97"/>
      <c r="Z108" s="210"/>
      <c r="AA108" s="234">
        <f t="shared" si="98"/>
        <v>0</v>
      </c>
      <c r="AB108" s="314">
        <f t="shared" si="75"/>
        <v>0</v>
      </c>
      <c r="AC108" s="314"/>
      <c r="AD108" s="314">
        <f t="shared" si="76"/>
        <v>0</v>
      </c>
      <c r="AE108" s="324" t="s">
        <v>87</v>
      </c>
      <c r="AF108" s="82"/>
      <c r="AG108" s="337"/>
      <c r="AH108" s="337"/>
      <c r="AI108" s="337"/>
      <c r="AJ108" s="337"/>
      <c r="AK108" s="337"/>
      <c r="AL108" s="338"/>
      <c r="AM108" s="354"/>
      <c r="AN108" s="91">
        <f t="shared" si="99"/>
        <v>0</v>
      </c>
      <c r="AO108" s="96">
        <f t="shared" si="77"/>
        <v>0</v>
      </c>
      <c r="AP108" s="210"/>
      <c r="AQ108" s="97">
        <f t="shared" si="78"/>
        <v>0</v>
      </c>
      <c r="AR108" s="105"/>
      <c r="AS108" s="102"/>
      <c r="AT108" s="237"/>
      <c r="AU108" s="231"/>
      <c r="AV108" s="93"/>
      <c r="AW108" s="231"/>
      <c r="AX108" s="93"/>
      <c r="AY108" s="231"/>
      <c r="AZ108" s="93"/>
      <c r="BA108" s="17">
        <f t="shared" si="69"/>
        <v>1.08E-5</v>
      </c>
      <c r="BB108" s="17">
        <f t="shared" si="70"/>
        <v>0</v>
      </c>
      <c r="BC108" s="17"/>
      <c r="BD108" s="178">
        <v>99</v>
      </c>
      <c r="BE108" s="214">
        <f t="shared" si="79"/>
        <v>3.29E-5</v>
      </c>
      <c r="BF108" s="178">
        <f t="shared" si="71"/>
        <v>0</v>
      </c>
      <c r="BG108" s="245">
        <f t="shared" si="72"/>
        <v>1.08E-5</v>
      </c>
      <c r="BH108" s="17">
        <f t="shared" si="80"/>
        <v>0</v>
      </c>
      <c r="BI108" s="178">
        <v>99</v>
      </c>
      <c r="BJ108" s="87">
        <f t="shared" si="81"/>
        <v>3.1199999999999999E-5</v>
      </c>
      <c r="BK108" s="215">
        <f t="shared" si="73"/>
        <v>0</v>
      </c>
      <c r="BL108" s="245">
        <f t="shared" si="82"/>
        <v>1.08E-5</v>
      </c>
      <c r="BM108" s="17">
        <f t="shared" si="83"/>
        <v>0</v>
      </c>
      <c r="BN108" s="178">
        <v>99</v>
      </c>
      <c r="BO108" s="87">
        <f t="shared" si="84"/>
        <v>3.1199999999999999E-5</v>
      </c>
      <c r="BP108" s="215">
        <f t="shared" si="74"/>
        <v>0</v>
      </c>
      <c r="BR108" s="126"/>
      <c r="BS108" s="126"/>
      <c r="BU108" s="178"/>
      <c r="BV108" s="179" t="str">
        <f t="shared" si="85"/>
        <v/>
      </c>
      <c r="BW108" s="179" t="str">
        <f t="shared" si="86"/>
        <v/>
      </c>
      <c r="BX108" s="179" t="str">
        <f t="shared" si="87"/>
        <v/>
      </c>
      <c r="BY108" s="179" t="str">
        <f t="shared" si="88"/>
        <v/>
      </c>
      <c r="BZ108" s="179" t="str">
        <f t="shared" si="89"/>
        <v/>
      </c>
      <c r="CA108" s="179" t="str">
        <f t="shared" si="90"/>
        <v/>
      </c>
      <c r="CB108" s="179" t="str">
        <f t="shared" si="91"/>
        <v/>
      </c>
      <c r="CC108" s="179" t="str">
        <f t="shared" si="92"/>
        <v/>
      </c>
      <c r="CD108" s="179" t="str">
        <f t="shared" si="93"/>
        <v/>
      </c>
      <c r="CE108" s="179" t="str">
        <f t="shared" si="94"/>
        <v/>
      </c>
      <c r="CF108" s="179" t="str">
        <f t="shared" si="95"/>
        <v/>
      </c>
      <c r="CG108" s="179" t="str">
        <f t="shared" si="96"/>
        <v/>
      </c>
      <c r="CH108" s="166"/>
      <c r="CI108" s="166"/>
      <c r="CJ108" s="166"/>
      <c r="CK108" s="166" t="s">
        <v>150</v>
      </c>
      <c r="CL108" s="166"/>
    </row>
    <row r="109" spans="1:90" ht="14.25" customHeight="1" x14ac:dyDescent="0.25">
      <c r="A109" s="211">
        <v>99</v>
      </c>
      <c r="B109" s="89"/>
      <c r="C109" s="199"/>
      <c r="D109" s="146"/>
      <c r="E109" s="319" t="s">
        <v>93</v>
      </c>
      <c r="F109" s="221"/>
      <c r="G109" s="222"/>
      <c r="H109" s="222"/>
      <c r="I109" s="222"/>
      <c r="J109" s="222"/>
      <c r="K109" s="222"/>
      <c r="L109" s="222"/>
      <c r="M109" s="331"/>
      <c r="N109" s="303">
        <f t="shared" si="97"/>
        <v>0</v>
      </c>
      <c r="O109" s="304"/>
      <c r="P109" s="341"/>
      <c r="Q109" s="305"/>
      <c r="R109" s="322" t="s">
        <v>67</v>
      </c>
      <c r="S109" s="326"/>
      <c r="T109" s="327"/>
      <c r="U109" s="327"/>
      <c r="V109" s="327"/>
      <c r="W109" s="327"/>
      <c r="X109" s="327"/>
      <c r="Y109" s="95"/>
      <c r="Z109" s="331"/>
      <c r="AA109" s="303">
        <f t="shared" si="98"/>
        <v>0</v>
      </c>
      <c r="AB109" s="314">
        <f t="shared" si="75"/>
        <v>0</v>
      </c>
      <c r="AC109" s="314"/>
      <c r="AD109" s="314">
        <f t="shared" si="76"/>
        <v>0</v>
      </c>
      <c r="AE109" s="325" t="s">
        <v>148</v>
      </c>
      <c r="AF109" s="15"/>
      <c r="AG109" s="232"/>
      <c r="AH109" s="232"/>
      <c r="AI109" s="232"/>
      <c r="AJ109" s="232"/>
      <c r="AK109" s="232"/>
      <c r="AL109" s="7"/>
      <c r="AM109" s="352"/>
      <c r="AN109" s="22">
        <f t="shared" si="99"/>
        <v>0</v>
      </c>
      <c r="AO109" s="15">
        <f t="shared" si="77"/>
        <v>0</v>
      </c>
      <c r="AP109" s="345"/>
      <c r="AQ109" s="7">
        <f t="shared" si="78"/>
        <v>0</v>
      </c>
      <c r="AR109" s="103"/>
      <c r="AS109" s="101"/>
      <c r="AT109" s="236"/>
      <c r="AU109" s="235"/>
      <c r="AV109" s="92"/>
      <c r="AW109" s="235"/>
      <c r="AX109" s="92"/>
      <c r="AY109" s="235"/>
      <c r="AZ109" s="92"/>
      <c r="BA109" s="17">
        <f t="shared" si="69"/>
        <v>1.0899999999999999E-5</v>
      </c>
      <c r="BB109" s="17">
        <f t="shared" si="70"/>
        <v>0</v>
      </c>
      <c r="BC109" s="17"/>
      <c r="BD109" s="178">
        <v>100</v>
      </c>
      <c r="BE109" s="214">
        <f t="shared" si="79"/>
        <v>3.2799999999999998E-5</v>
      </c>
      <c r="BF109" s="178">
        <f t="shared" si="71"/>
        <v>0</v>
      </c>
      <c r="BG109" s="245">
        <f t="shared" si="72"/>
        <v>1.0899999999999999E-5</v>
      </c>
      <c r="BH109" s="17">
        <f t="shared" si="80"/>
        <v>0</v>
      </c>
      <c r="BI109" s="178">
        <v>100</v>
      </c>
      <c r="BJ109" s="87">
        <f t="shared" si="81"/>
        <v>3.1099999999999997E-5</v>
      </c>
      <c r="BK109" s="215">
        <f t="shared" si="73"/>
        <v>0</v>
      </c>
      <c r="BL109" s="245">
        <f t="shared" si="82"/>
        <v>1.0899999999999999E-5</v>
      </c>
      <c r="BM109" s="17">
        <f t="shared" si="83"/>
        <v>0</v>
      </c>
      <c r="BN109" s="178">
        <v>100</v>
      </c>
      <c r="BO109" s="87">
        <f t="shared" si="84"/>
        <v>3.1099999999999997E-5</v>
      </c>
      <c r="BP109" s="215">
        <f t="shared" si="74"/>
        <v>0</v>
      </c>
      <c r="BR109" s="126"/>
      <c r="BS109" s="126"/>
      <c r="BU109" s="178"/>
      <c r="BV109" s="179" t="str">
        <f t="shared" si="85"/>
        <v/>
      </c>
      <c r="BW109" s="179" t="str">
        <f t="shared" si="86"/>
        <v/>
      </c>
      <c r="BX109" s="179" t="str">
        <f t="shared" si="87"/>
        <v/>
      </c>
      <c r="BY109" s="179" t="str">
        <f t="shared" si="88"/>
        <v/>
      </c>
      <c r="BZ109" s="179" t="str">
        <f t="shared" si="89"/>
        <v/>
      </c>
      <c r="CA109" s="179" t="str">
        <f t="shared" si="90"/>
        <v/>
      </c>
      <c r="CB109" s="179" t="str">
        <f t="shared" si="91"/>
        <v/>
      </c>
      <c r="CC109" s="179" t="str">
        <f t="shared" si="92"/>
        <v/>
      </c>
      <c r="CD109" s="179" t="str">
        <f t="shared" si="93"/>
        <v/>
      </c>
      <c r="CE109" s="179" t="str">
        <f t="shared" si="94"/>
        <v/>
      </c>
      <c r="CF109" s="179" t="str">
        <f t="shared" si="95"/>
        <v/>
      </c>
      <c r="CG109" s="179" t="str">
        <f t="shared" si="96"/>
        <v/>
      </c>
      <c r="CH109" s="166"/>
      <c r="CI109" s="166"/>
      <c r="CJ109" s="166"/>
      <c r="CK109" s="166" t="s">
        <v>150</v>
      </c>
      <c r="CL109" s="166"/>
    </row>
    <row r="110" spans="1:90" ht="14.25" customHeight="1" thickBot="1" x14ac:dyDescent="0.3">
      <c r="A110" s="213">
        <v>100</v>
      </c>
      <c r="B110" s="219"/>
      <c r="C110" s="200"/>
      <c r="D110" s="145"/>
      <c r="E110" s="320" t="s">
        <v>93</v>
      </c>
      <c r="F110" s="209"/>
      <c r="G110" s="313"/>
      <c r="H110" s="313"/>
      <c r="I110" s="313"/>
      <c r="J110" s="313"/>
      <c r="K110" s="313"/>
      <c r="L110" s="313"/>
      <c r="M110" s="339"/>
      <c r="N110" s="233">
        <f t="shared" si="97"/>
        <v>0</v>
      </c>
      <c r="O110" s="306"/>
      <c r="P110" s="342"/>
      <c r="Q110" s="307"/>
      <c r="R110" s="323" t="s">
        <v>67</v>
      </c>
      <c r="S110" s="209"/>
      <c r="T110" s="313"/>
      <c r="U110" s="313"/>
      <c r="V110" s="313"/>
      <c r="W110" s="313"/>
      <c r="X110" s="313"/>
      <c r="Y110" s="125"/>
      <c r="Z110" s="339"/>
      <c r="AA110" s="233">
        <f t="shared" si="98"/>
        <v>0</v>
      </c>
      <c r="AB110" s="314">
        <f t="shared" si="75"/>
        <v>0</v>
      </c>
      <c r="AC110" s="314"/>
      <c r="AD110" s="314">
        <f t="shared" si="76"/>
        <v>0</v>
      </c>
      <c r="AE110" s="323" t="s">
        <v>87</v>
      </c>
      <c r="AF110" s="81"/>
      <c r="AG110" s="335"/>
      <c r="AH110" s="335"/>
      <c r="AI110" s="335"/>
      <c r="AJ110" s="335"/>
      <c r="AK110" s="335"/>
      <c r="AL110" s="336"/>
      <c r="AM110" s="353"/>
      <c r="AN110" s="22">
        <f t="shared" si="99"/>
        <v>0</v>
      </c>
      <c r="AO110" s="209">
        <f t="shared" si="77"/>
        <v>0</v>
      </c>
      <c r="AP110" s="339"/>
      <c r="AQ110" s="125">
        <f t="shared" si="78"/>
        <v>0</v>
      </c>
      <c r="AR110" s="104"/>
      <c r="AS110" s="217"/>
      <c r="AT110" s="216"/>
      <c r="AU110" s="230"/>
      <c r="AV110" s="220"/>
      <c r="AW110" s="230"/>
      <c r="AX110" s="220"/>
      <c r="AY110" s="230"/>
      <c r="AZ110" s="220"/>
      <c r="BA110" s="17">
        <f t="shared" si="69"/>
        <v>1.1E-5</v>
      </c>
      <c r="BB110" s="17">
        <f t="shared" si="70"/>
        <v>0</v>
      </c>
      <c r="BC110" s="17"/>
      <c r="BD110" s="178">
        <v>101</v>
      </c>
      <c r="BE110" s="214">
        <f t="shared" si="79"/>
        <v>3.2699999999999995E-5</v>
      </c>
      <c r="BF110" s="178">
        <f t="shared" si="71"/>
        <v>0</v>
      </c>
      <c r="BG110" s="245">
        <f t="shared" si="72"/>
        <v>1.1E-5</v>
      </c>
      <c r="BH110" s="17">
        <f t="shared" si="80"/>
        <v>0</v>
      </c>
      <c r="BI110" s="178">
        <v>101</v>
      </c>
      <c r="BJ110" s="87">
        <f t="shared" si="81"/>
        <v>3.1000000000000001E-5</v>
      </c>
      <c r="BK110" s="215">
        <f t="shared" si="73"/>
        <v>0</v>
      </c>
      <c r="BL110" s="245">
        <f t="shared" si="82"/>
        <v>1.1E-5</v>
      </c>
      <c r="BM110" s="17">
        <f t="shared" si="83"/>
        <v>0</v>
      </c>
      <c r="BN110" s="178">
        <v>101</v>
      </c>
      <c r="BO110" s="87">
        <f t="shared" si="84"/>
        <v>3.1000000000000001E-5</v>
      </c>
      <c r="BP110" s="215">
        <f t="shared" si="74"/>
        <v>0</v>
      </c>
      <c r="BR110" s="126"/>
      <c r="BS110" s="126"/>
      <c r="BU110" s="178"/>
      <c r="BV110" s="179" t="str">
        <f t="shared" si="85"/>
        <v/>
      </c>
      <c r="BW110" s="179" t="str">
        <f t="shared" si="86"/>
        <v/>
      </c>
      <c r="BX110" s="179" t="str">
        <f t="shared" si="87"/>
        <v/>
      </c>
      <c r="BY110" s="179" t="str">
        <f t="shared" si="88"/>
        <v/>
      </c>
      <c r="BZ110" s="179" t="str">
        <f t="shared" si="89"/>
        <v/>
      </c>
      <c r="CA110" s="179" t="str">
        <f t="shared" si="90"/>
        <v/>
      </c>
      <c r="CB110" s="179" t="str">
        <f t="shared" si="91"/>
        <v/>
      </c>
      <c r="CC110" s="179" t="str">
        <f t="shared" si="92"/>
        <v/>
      </c>
      <c r="CD110" s="179" t="str">
        <f t="shared" si="93"/>
        <v/>
      </c>
      <c r="CE110" s="179" t="str">
        <f t="shared" si="94"/>
        <v/>
      </c>
      <c r="CF110" s="179" t="str">
        <f t="shared" si="95"/>
        <v/>
      </c>
      <c r="CG110" s="179" t="str">
        <f t="shared" si="96"/>
        <v/>
      </c>
      <c r="CH110" s="166"/>
      <c r="CI110" s="166"/>
      <c r="CJ110" s="166"/>
      <c r="CK110" s="166" t="s">
        <v>150</v>
      </c>
      <c r="CL110" s="166"/>
    </row>
    <row r="111" spans="1:90" ht="14.25" customHeight="1" thickBot="1" x14ac:dyDescent="0.3">
      <c r="A111" s="211">
        <v>101</v>
      </c>
      <c r="B111" s="88"/>
      <c r="C111" s="201"/>
      <c r="D111" s="94"/>
      <c r="E111" s="321" t="s">
        <v>93</v>
      </c>
      <c r="F111" s="96"/>
      <c r="G111" s="100"/>
      <c r="H111" s="100"/>
      <c r="I111" s="100"/>
      <c r="J111" s="100"/>
      <c r="K111" s="100"/>
      <c r="L111" s="100"/>
      <c r="M111" s="210"/>
      <c r="N111" s="234">
        <f t="shared" si="97"/>
        <v>0</v>
      </c>
      <c r="O111" s="308"/>
      <c r="P111" s="343"/>
      <c r="Q111" s="309"/>
      <c r="R111" s="324" t="s">
        <v>67</v>
      </c>
      <c r="S111" s="96"/>
      <c r="T111" s="100"/>
      <c r="U111" s="100"/>
      <c r="V111" s="100"/>
      <c r="W111" s="100"/>
      <c r="X111" s="100"/>
      <c r="Y111" s="97"/>
      <c r="Z111" s="210"/>
      <c r="AA111" s="234">
        <f t="shared" si="98"/>
        <v>0</v>
      </c>
      <c r="AB111" s="314">
        <f t="shared" si="75"/>
        <v>0</v>
      </c>
      <c r="AC111" s="314"/>
      <c r="AD111" s="314">
        <f t="shared" si="76"/>
        <v>0</v>
      </c>
      <c r="AE111" s="324" t="s">
        <v>87</v>
      </c>
      <c r="AF111" s="82"/>
      <c r="AG111" s="337"/>
      <c r="AH111" s="337"/>
      <c r="AI111" s="337"/>
      <c r="AJ111" s="337"/>
      <c r="AK111" s="337"/>
      <c r="AL111" s="338"/>
      <c r="AM111" s="354"/>
      <c r="AN111" s="91">
        <f t="shared" si="99"/>
        <v>0</v>
      </c>
      <c r="AO111" s="96">
        <f t="shared" si="77"/>
        <v>0</v>
      </c>
      <c r="AP111" s="210"/>
      <c r="AQ111" s="97">
        <f t="shared" si="78"/>
        <v>0</v>
      </c>
      <c r="AR111" s="105"/>
      <c r="AS111" s="102"/>
      <c r="AT111" s="237"/>
      <c r="AU111" s="231"/>
      <c r="AV111" s="93"/>
      <c r="AW111" s="231"/>
      <c r="AX111" s="93"/>
      <c r="AY111" s="231"/>
      <c r="AZ111" s="93"/>
      <c r="BA111" s="17">
        <f t="shared" si="69"/>
        <v>1.1099999999999999E-5</v>
      </c>
      <c r="BB111" s="17">
        <f t="shared" si="70"/>
        <v>0</v>
      </c>
      <c r="BC111" s="17"/>
      <c r="BD111" s="178">
        <v>102</v>
      </c>
      <c r="BE111" s="214">
        <f t="shared" si="79"/>
        <v>3.26E-5</v>
      </c>
      <c r="BF111" s="178">
        <f t="shared" si="71"/>
        <v>0</v>
      </c>
      <c r="BG111" s="245">
        <f t="shared" si="72"/>
        <v>1.1099999999999999E-5</v>
      </c>
      <c r="BH111" s="17">
        <f t="shared" si="80"/>
        <v>0</v>
      </c>
      <c r="BI111" s="178">
        <v>102</v>
      </c>
      <c r="BJ111" s="87">
        <f t="shared" si="81"/>
        <v>3.0899999999999999E-5</v>
      </c>
      <c r="BK111" s="215">
        <f t="shared" si="73"/>
        <v>0</v>
      </c>
      <c r="BL111" s="245">
        <f t="shared" si="82"/>
        <v>1.1099999999999999E-5</v>
      </c>
      <c r="BM111" s="17">
        <f t="shared" si="83"/>
        <v>0</v>
      </c>
      <c r="BN111" s="178">
        <v>102</v>
      </c>
      <c r="BO111" s="87">
        <f t="shared" si="84"/>
        <v>3.0899999999999999E-5</v>
      </c>
      <c r="BP111" s="215">
        <f t="shared" si="74"/>
        <v>0</v>
      </c>
      <c r="BR111" s="126"/>
      <c r="BS111" s="126"/>
      <c r="BU111" s="178"/>
      <c r="BV111" s="179" t="str">
        <f t="shared" si="85"/>
        <v/>
      </c>
      <c r="BW111" s="179" t="str">
        <f t="shared" si="86"/>
        <v/>
      </c>
      <c r="BX111" s="179" t="str">
        <f t="shared" si="87"/>
        <v/>
      </c>
      <c r="BY111" s="179" t="str">
        <f t="shared" si="88"/>
        <v/>
      </c>
      <c r="BZ111" s="179" t="str">
        <f t="shared" si="89"/>
        <v/>
      </c>
      <c r="CA111" s="179" t="str">
        <f t="shared" si="90"/>
        <v/>
      </c>
      <c r="CB111" s="179" t="str">
        <f t="shared" si="91"/>
        <v/>
      </c>
      <c r="CC111" s="179" t="str">
        <f t="shared" si="92"/>
        <v/>
      </c>
      <c r="CD111" s="179" t="str">
        <f t="shared" si="93"/>
        <v/>
      </c>
      <c r="CE111" s="179" t="str">
        <f t="shared" si="94"/>
        <v/>
      </c>
      <c r="CF111" s="179" t="str">
        <f t="shared" si="95"/>
        <v/>
      </c>
      <c r="CG111" s="179" t="str">
        <f t="shared" si="96"/>
        <v/>
      </c>
      <c r="CH111" s="166"/>
      <c r="CI111" s="166"/>
      <c r="CJ111" s="166"/>
      <c r="CK111" s="166" t="s">
        <v>150</v>
      </c>
      <c r="CL111" s="166"/>
    </row>
    <row r="112" spans="1:90" ht="14.25" customHeight="1" thickBot="1" x14ac:dyDescent="0.3">
      <c r="A112" s="213">
        <v>102</v>
      </c>
      <c r="B112" s="89"/>
      <c r="C112" s="199"/>
      <c r="D112" s="146"/>
      <c r="E112" s="319" t="s">
        <v>93</v>
      </c>
      <c r="F112" s="221"/>
      <c r="G112" s="222"/>
      <c r="H112" s="222"/>
      <c r="I112" s="222"/>
      <c r="J112" s="222"/>
      <c r="K112" s="222"/>
      <c r="L112" s="222"/>
      <c r="M112" s="331"/>
      <c r="N112" s="303">
        <f t="shared" si="97"/>
        <v>0</v>
      </c>
      <c r="O112" s="304"/>
      <c r="P112" s="341"/>
      <c r="Q112" s="305"/>
      <c r="R112" s="322" t="s">
        <v>67</v>
      </c>
      <c r="S112" s="326"/>
      <c r="T112" s="327"/>
      <c r="U112" s="327"/>
      <c r="V112" s="327"/>
      <c r="W112" s="327"/>
      <c r="X112" s="327"/>
      <c r="Y112" s="95"/>
      <c r="Z112" s="331"/>
      <c r="AA112" s="303">
        <f t="shared" si="98"/>
        <v>0</v>
      </c>
      <c r="AB112" s="314">
        <f t="shared" si="75"/>
        <v>0</v>
      </c>
      <c r="AC112" s="314"/>
      <c r="AD112" s="314">
        <f t="shared" si="76"/>
        <v>0</v>
      </c>
      <c r="AE112" s="325" t="s">
        <v>148</v>
      </c>
      <c r="AF112" s="15"/>
      <c r="AG112" s="232"/>
      <c r="AH112" s="232"/>
      <c r="AI112" s="232"/>
      <c r="AJ112" s="232"/>
      <c r="AK112" s="232"/>
      <c r="AL112" s="7"/>
      <c r="AM112" s="352"/>
      <c r="AN112" s="22">
        <f t="shared" si="99"/>
        <v>0</v>
      </c>
      <c r="AO112" s="15">
        <f t="shared" si="77"/>
        <v>0</v>
      </c>
      <c r="AP112" s="345"/>
      <c r="AQ112" s="7">
        <f t="shared" si="78"/>
        <v>0</v>
      </c>
      <c r="AR112" s="103"/>
      <c r="AS112" s="101"/>
      <c r="AT112" s="236"/>
      <c r="AU112" s="235"/>
      <c r="AV112" s="92"/>
      <c r="AW112" s="235"/>
      <c r="AX112" s="92"/>
      <c r="AY112" s="235"/>
      <c r="AZ112" s="92"/>
      <c r="BA112" s="17">
        <f t="shared" si="69"/>
        <v>1.1199999999999999E-5</v>
      </c>
      <c r="BB112" s="17">
        <f t="shared" si="70"/>
        <v>0</v>
      </c>
      <c r="BC112" s="17"/>
      <c r="BD112" s="178">
        <v>103</v>
      </c>
      <c r="BE112" s="214">
        <f t="shared" si="79"/>
        <v>3.2499999999999997E-5</v>
      </c>
      <c r="BF112" s="178">
        <f t="shared" si="71"/>
        <v>0</v>
      </c>
      <c r="BG112" s="245">
        <f t="shared" si="72"/>
        <v>1.1199999999999999E-5</v>
      </c>
      <c r="BH112" s="17">
        <f t="shared" si="80"/>
        <v>0</v>
      </c>
      <c r="BI112" s="178">
        <v>103</v>
      </c>
      <c r="BJ112" s="87">
        <f t="shared" si="81"/>
        <v>3.0799999999999996E-5</v>
      </c>
      <c r="BK112" s="215">
        <f t="shared" si="73"/>
        <v>0</v>
      </c>
      <c r="BL112" s="245">
        <f t="shared" si="82"/>
        <v>1.1199999999999999E-5</v>
      </c>
      <c r="BM112" s="17">
        <f t="shared" si="83"/>
        <v>0</v>
      </c>
      <c r="BN112" s="178">
        <v>103</v>
      </c>
      <c r="BO112" s="87">
        <f t="shared" si="84"/>
        <v>3.0799999999999996E-5</v>
      </c>
      <c r="BP112" s="215">
        <f t="shared" si="74"/>
        <v>0</v>
      </c>
      <c r="BR112" s="126"/>
      <c r="BS112" s="126"/>
      <c r="BU112" s="178"/>
      <c r="BV112" s="179" t="str">
        <f t="shared" si="85"/>
        <v/>
      </c>
      <c r="BW112" s="179" t="str">
        <f t="shared" si="86"/>
        <v/>
      </c>
      <c r="BX112" s="179" t="str">
        <f t="shared" si="87"/>
        <v/>
      </c>
      <c r="BY112" s="179" t="str">
        <f t="shared" si="88"/>
        <v/>
      </c>
      <c r="BZ112" s="179" t="str">
        <f t="shared" si="89"/>
        <v/>
      </c>
      <c r="CA112" s="179" t="str">
        <f t="shared" si="90"/>
        <v/>
      </c>
      <c r="CB112" s="179" t="str">
        <f t="shared" si="91"/>
        <v/>
      </c>
      <c r="CC112" s="179" t="str">
        <f t="shared" si="92"/>
        <v/>
      </c>
      <c r="CD112" s="179" t="str">
        <f t="shared" si="93"/>
        <v/>
      </c>
      <c r="CE112" s="179" t="str">
        <f t="shared" si="94"/>
        <v/>
      </c>
      <c r="CF112" s="179" t="str">
        <f t="shared" si="95"/>
        <v/>
      </c>
      <c r="CG112" s="179" t="str">
        <f t="shared" si="96"/>
        <v/>
      </c>
      <c r="CH112" s="166"/>
      <c r="CI112" s="166"/>
      <c r="CJ112" s="166"/>
      <c r="CK112" s="166" t="s">
        <v>150</v>
      </c>
      <c r="CL112" s="166"/>
    </row>
    <row r="113" spans="1:90" ht="14.25" customHeight="1" x14ac:dyDescent="0.25">
      <c r="A113" s="211">
        <v>103</v>
      </c>
      <c r="B113" s="219"/>
      <c r="C113" s="200"/>
      <c r="D113" s="145"/>
      <c r="E113" s="320" t="s">
        <v>93</v>
      </c>
      <c r="F113" s="209"/>
      <c r="G113" s="313"/>
      <c r="H113" s="313"/>
      <c r="I113" s="313"/>
      <c r="J113" s="313"/>
      <c r="K113" s="313"/>
      <c r="L113" s="313"/>
      <c r="M113" s="339"/>
      <c r="N113" s="233">
        <f t="shared" si="97"/>
        <v>0</v>
      </c>
      <c r="O113" s="306"/>
      <c r="P113" s="342"/>
      <c r="Q113" s="307"/>
      <c r="R113" s="323" t="s">
        <v>67</v>
      </c>
      <c r="S113" s="209"/>
      <c r="T113" s="313"/>
      <c r="U113" s="313"/>
      <c r="V113" s="313"/>
      <c r="W113" s="313"/>
      <c r="X113" s="313"/>
      <c r="Y113" s="125"/>
      <c r="Z113" s="339"/>
      <c r="AA113" s="233">
        <f t="shared" si="98"/>
        <v>0</v>
      </c>
      <c r="AB113" s="314">
        <f t="shared" si="75"/>
        <v>0</v>
      </c>
      <c r="AC113" s="314"/>
      <c r="AD113" s="314">
        <f t="shared" si="76"/>
        <v>0</v>
      </c>
      <c r="AE113" s="323" t="s">
        <v>87</v>
      </c>
      <c r="AF113" s="81"/>
      <c r="AG113" s="335"/>
      <c r="AH113" s="335"/>
      <c r="AI113" s="335"/>
      <c r="AJ113" s="335"/>
      <c r="AK113" s="335"/>
      <c r="AL113" s="336"/>
      <c r="AM113" s="353"/>
      <c r="AN113" s="22">
        <f t="shared" si="99"/>
        <v>0</v>
      </c>
      <c r="AO113" s="209">
        <f t="shared" si="77"/>
        <v>0</v>
      </c>
      <c r="AP113" s="339"/>
      <c r="AQ113" s="125">
        <f t="shared" si="78"/>
        <v>0</v>
      </c>
      <c r="AR113" s="104"/>
      <c r="AS113" s="217"/>
      <c r="AT113" s="216"/>
      <c r="AU113" s="230"/>
      <c r="AV113" s="220"/>
      <c r="AW113" s="230"/>
      <c r="AX113" s="220"/>
      <c r="AY113" s="230"/>
      <c r="AZ113" s="220"/>
      <c r="BA113" s="17">
        <f t="shared" si="69"/>
        <v>1.13E-5</v>
      </c>
      <c r="BB113" s="17">
        <f t="shared" si="70"/>
        <v>0</v>
      </c>
      <c r="BC113" s="17"/>
      <c r="BD113" s="178">
        <v>104</v>
      </c>
      <c r="BE113" s="214">
        <f t="shared" si="79"/>
        <v>3.2400000000000001E-5</v>
      </c>
      <c r="BF113" s="178">
        <f t="shared" si="71"/>
        <v>0</v>
      </c>
      <c r="BG113" s="245">
        <f t="shared" si="72"/>
        <v>1.13E-5</v>
      </c>
      <c r="BH113" s="17">
        <f t="shared" si="80"/>
        <v>0</v>
      </c>
      <c r="BI113" s="178">
        <v>104</v>
      </c>
      <c r="BJ113" s="87">
        <f t="shared" si="81"/>
        <v>3.0700000000000001E-5</v>
      </c>
      <c r="BK113" s="215">
        <f t="shared" si="73"/>
        <v>0</v>
      </c>
      <c r="BL113" s="245">
        <f t="shared" si="82"/>
        <v>1.13E-5</v>
      </c>
      <c r="BM113" s="17">
        <f t="shared" si="83"/>
        <v>0</v>
      </c>
      <c r="BN113" s="178">
        <v>104</v>
      </c>
      <c r="BO113" s="87">
        <f t="shared" si="84"/>
        <v>3.0700000000000001E-5</v>
      </c>
      <c r="BP113" s="215">
        <f t="shared" si="74"/>
        <v>0</v>
      </c>
      <c r="BR113" s="126"/>
      <c r="BS113" s="126"/>
      <c r="BU113" s="178"/>
      <c r="BV113" s="179" t="str">
        <f t="shared" si="85"/>
        <v/>
      </c>
      <c r="BW113" s="179" t="str">
        <f t="shared" si="86"/>
        <v/>
      </c>
      <c r="BX113" s="179" t="str">
        <f t="shared" si="87"/>
        <v/>
      </c>
      <c r="BY113" s="179" t="str">
        <f t="shared" si="88"/>
        <v/>
      </c>
      <c r="BZ113" s="179" t="str">
        <f t="shared" si="89"/>
        <v/>
      </c>
      <c r="CA113" s="179" t="str">
        <f t="shared" si="90"/>
        <v/>
      </c>
      <c r="CB113" s="179" t="str">
        <f t="shared" si="91"/>
        <v/>
      </c>
      <c r="CC113" s="179" t="str">
        <f t="shared" si="92"/>
        <v/>
      </c>
      <c r="CD113" s="179" t="str">
        <f t="shared" si="93"/>
        <v/>
      </c>
      <c r="CE113" s="179" t="str">
        <f t="shared" si="94"/>
        <v/>
      </c>
      <c r="CF113" s="179" t="str">
        <f t="shared" si="95"/>
        <v/>
      </c>
      <c r="CG113" s="179" t="str">
        <f t="shared" si="96"/>
        <v/>
      </c>
      <c r="CH113" s="166"/>
      <c r="CI113" s="166"/>
      <c r="CJ113" s="166"/>
      <c r="CK113" s="166" t="s">
        <v>150</v>
      </c>
      <c r="CL113" s="166"/>
    </row>
    <row r="114" spans="1:90" ht="14.25" customHeight="1" thickBot="1" x14ac:dyDescent="0.3">
      <c r="A114" s="213">
        <v>104</v>
      </c>
      <c r="B114" s="88"/>
      <c r="C114" s="201"/>
      <c r="D114" s="94"/>
      <c r="E114" s="321" t="s">
        <v>93</v>
      </c>
      <c r="F114" s="96"/>
      <c r="G114" s="100"/>
      <c r="H114" s="100"/>
      <c r="I114" s="100"/>
      <c r="J114" s="100"/>
      <c r="K114" s="100"/>
      <c r="L114" s="100"/>
      <c r="M114" s="210"/>
      <c r="N114" s="234">
        <f t="shared" si="97"/>
        <v>0</v>
      </c>
      <c r="O114" s="308"/>
      <c r="P114" s="343"/>
      <c r="Q114" s="309"/>
      <c r="R114" s="324" t="s">
        <v>67</v>
      </c>
      <c r="S114" s="96"/>
      <c r="T114" s="100"/>
      <c r="U114" s="100"/>
      <c r="V114" s="100"/>
      <c r="W114" s="100"/>
      <c r="X114" s="100"/>
      <c r="Y114" s="97"/>
      <c r="Z114" s="210"/>
      <c r="AA114" s="234">
        <f t="shared" si="98"/>
        <v>0</v>
      </c>
      <c r="AB114" s="314">
        <f t="shared" si="75"/>
        <v>0</v>
      </c>
      <c r="AC114" s="314"/>
      <c r="AD114" s="314">
        <f t="shared" si="76"/>
        <v>0</v>
      </c>
      <c r="AE114" s="324" t="s">
        <v>87</v>
      </c>
      <c r="AF114" s="82"/>
      <c r="AG114" s="337"/>
      <c r="AH114" s="337"/>
      <c r="AI114" s="337"/>
      <c r="AJ114" s="337"/>
      <c r="AK114" s="337"/>
      <c r="AL114" s="338"/>
      <c r="AM114" s="354"/>
      <c r="AN114" s="91">
        <f t="shared" si="99"/>
        <v>0</v>
      </c>
      <c r="AO114" s="96">
        <f t="shared" si="77"/>
        <v>0</v>
      </c>
      <c r="AP114" s="210"/>
      <c r="AQ114" s="97">
        <f t="shared" si="78"/>
        <v>0</v>
      </c>
      <c r="AR114" s="105"/>
      <c r="AS114" s="102"/>
      <c r="AT114" s="237"/>
      <c r="AU114" s="231"/>
      <c r="AV114" s="93"/>
      <c r="AW114" s="231"/>
      <c r="AX114" s="93"/>
      <c r="AY114" s="231"/>
      <c r="AZ114" s="93"/>
      <c r="BA114" s="17">
        <f t="shared" si="69"/>
        <v>1.1399999999999999E-5</v>
      </c>
      <c r="BB114" s="17">
        <f t="shared" si="70"/>
        <v>0</v>
      </c>
      <c r="BC114" s="17"/>
      <c r="BD114" s="178">
        <v>105</v>
      </c>
      <c r="BE114" s="214">
        <f t="shared" si="79"/>
        <v>3.2299999999999999E-5</v>
      </c>
      <c r="BF114" s="178">
        <f t="shared" si="71"/>
        <v>0</v>
      </c>
      <c r="BG114" s="245">
        <f t="shared" si="72"/>
        <v>1.1399999999999999E-5</v>
      </c>
      <c r="BH114" s="17">
        <f t="shared" si="80"/>
        <v>0</v>
      </c>
      <c r="BI114" s="178">
        <v>105</v>
      </c>
      <c r="BJ114" s="87">
        <f t="shared" si="81"/>
        <v>3.0599999999999998E-5</v>
      </c>
      <c r="BK114" s="215">
        <f t="shared" si="73"/>
        <v>0</v>
      </c>
      <c r="BL114" s="245">
        <f t="shared" si="82"/>
        <v>1.1399999999999999E-5</v>
      </c>
      <c r="BM114" s="17">
        <f t="shared" si="83"/>
        <v>0</v>
      </c>
      <c r="BN114" s="178">
        <v>105</v>
      </c>
      <c r="BO114" s="87">
        <f t="shared" si="84"/>
        <v>3.0599999999999998E-5</v>
      </c>
      <c r="BP114" s="215">
        <f t="shared" si="74"/>
        <v>0</v>
      </c>
      <c r="BR114" s="126"/>
      <c r="BS114" s="126"/>
      <c r="BU114" s="178"/>
      <c r="BV114" s="179" t="str">
        <f t="shared" si="85"/>
        <v/>
      </c>
      <c r="BW114" s="179" t="str">
        <f t="shared" si="86"/>
        <v/>
      </c>
      <c r="BX114" s="179" t="str">
        <f t="shared" si="87"/>
        <v/>
      </c>
      <c r="BY114" s="179" t="str">
        <f t="shared" si="88"/>
        <v/>
      </c>
      <c r="BZ114" s="179" t="str">
        <f t="shared" si="89"/>
        <v/>
      </c>
      <c r="CA114" s="179" t="str">
        <f t="shared" si="90"/>
        <v/>
      </c>
      <c r="CB114" s="179" t="str">
        <f t="shared" si="91"/>
        <v/>
      </c>
      <c r="CC114" s="179" t="str">
        <f t="shared" si="92"/>
        <v/>
      </c>
      <c r="CD114" s="179" t="str">
        <f t="shared" si="93"/>
        <v/>
      </c>
      <c r="CE114" s="179" t="str">
        <f t="shared" si="94"/>
        <v/>
      </c>
      <c r="CF114" s="179" t="str">
        <f t="shared" si="95"/>
        <v/>
      </c>
      <c r="CG114" s="179" t="str">
        <f t="shared" si="96"/>
        <v/>
      </c>
      <c r="CH114" s="166"/>
      <c r="CI114" s="166"/>
      <c r="CJ114" s="166"/>
      <c r="CK114" s="166" t="s">
        <v>150</v>
      </c>
      <c r="CL114" s="166"/>
    </row>
    <row r="115" spans="1:90" ht="14.25" customHeight="1" x14ac:dyDescent="0.25">
      <c r="A115" s="211">
        <v>105</v>
      </c>
      <c r="B115" s="89"/>
      <c r="C115" s="199"/>
      <c r="D115" s="146"/>
      <c r="E115" s="319" t="s">
        <v>93</v>
      </c>
      <c r="F115" s="221"/>
      <c r="G115" s="222"/>
      <c r="H115" s="222"/>
      <c r="I115" s="222"/>
      <c r="J115" s="222"/>
      <c r="K115" s="222"/>
      <c r="L115" s="222"/>
      <c r="M115" s="331"/>
      <c r="N115" s="303">
        <f t="shared" si="97"/>
        <v>0</v>
      </c>
      <c r="O115" s="304"/>
      <c r="P115" s="341"/>
      <c r="Q115" s="305"/>
      <c r="R115" s="322" t="s">
        <v>67</v>
      </c>
      <c r="S115" s="326"/>
      <c r="T115" s="327"/>
      <c r="U115" s="327"/>
      <c r="V115" s="327"/>
      <c r="W115" s="327"/>
      <c r="X115" s="327"/>
      <c r="Y115" s="95"/>
      <c r="Z115" s="331"/>
      <c r="AA115" s="303">
        <f t="shared" si="98"/>
        <v>0</v>
      </c>
      <c r="AB115" s="314">
        <f t="shared" si="75"/>
        <v>0</v>
      </c>
      <c r="AC115" s="314"/>
      <c r="AD115" s="314">
        <f t="shared" si="76"/>
        <v>0</v>
      </c>
      <c r="AE115" s="325" t="s">
        <v>148</v>
      </c>
      <c r="AF115" s="15"/>
      <c r="AG115" s="232"/>
      <c r="AH115" s="232"/>
      <c r="AI115" s="232"/>
      <c r="AJ115" s="232"/>
      <c r="AK115" s="232"/>
      <c r="AL115" s="7"/>
      <c r="AM115" s="352"/>
      <c r="AN115" s="22">
        <f t="shared" si="99"/>
        <v>0</v>
      </c>
      <c r="AO115" s="15">
        <f t="shared" si="77"/>
        <v>0</v>
      </c>
      <c r="AP115" s="345"/>
      <c r="AQ115" s="7">
        <f t="shared" si="78"/>
        <v>0</v>
      </c>
      <c r="AR115" s="103"/>
      <c r="AS115" s="101"/>
      <c r="AT115" s="236"/>
      <c r="AU115" s="235"/>
      <c r="AV115" s="92"/>
      <c r="AW115" s="235"/>
      <c r="AX115" s="92"/>
      <c r="AY115" s="235"/>
      <c r="AZ115" s="92"/>
      <c r="BA115" s="17">
        <f t="shared" si="69"/>
        <v>1.15E-5</v>
      </c>
      <c r="BB115" s="17">
        <f t="shared" si="70"/>
        <v>0</v>
      </c>
      <c r="BC115" s="17"/>
      <c r="BD115" s="178">
        <v>106</v>
      </c>
      <c r="BE115" s="214">
        <f t="shared" si="79"/>
        <v>3.2199999999999997E-5</v>
      </c>
      <c r="BF115" s="178">
        <f t="shared" si="71"/>
        <v>0</v>
      </c>
      <c r="BG115" s="245">
        <f t="shared" si="72"/>
        <v>1.15E-5</v>
      </c>
      <c r="BH115" s="17">
        <f t="shared" si="80"/>
        <v>0</v>
      </c>
      <c r="BI115" s="178">
        <v>106</v>
      </c>
      <c r="BJ115" s="87">
        <f t="shared" si="81"/>
        <v>3.0499999999999999E-5</v>
      </c>
      <c r="BK115" s="215">
        <f t="shared" si="73"/>
        <v>0</v>
      </c>
      <c r="BL115" s="245">
        <f t="shared" si="82"/>
        <v>1.15E-5</v>
      </c>
      <c r="BM115" s="17">
        <f t="shared" si="83"/>
        <v>0</v>
      </c>
      <c r="BN115" s="178">
        <v>106</v>
      </c>
      <c r="BO115" s="87">
        <f t="shared" si="84"/>
        <v>3.0499999999999999E-5</v>
      </c>
      <c r="BP115" s="215">
        <f t="shared" si="74"/>
        <v>0</v>
      </c>
      <c r="BR115" s="126"/>
      <c r="BS115" s="126"/>
      <c r="BU115" s="178"/>
      <c r="BV115" s="179" t="str">
        <f t="shared" si="85"/>
        <v/>
      </c>
      <c r="BW115" s="179" t="str">
        <f t="shared" si="86"/>
        <v/>
      </c>
      <c r="BX115" s="179" t="str">
        <f t="shared" si="87"/>
        <v/>
      </c>
      <c r="BY115" s="179" t="str">
        <f t="shared" si="88"/>
        <v/>
      </c>
      <c r="BZ115" s="179" t="str">
        <f t="shared" si="89"/>
        <v/>
      </c>
      <c r="CA115" s="179" t="str">
        <f t="shared" si="90"/>
        <v/>
      </c>
      <c r="CB115" s="179" t="str">
        <f t="shared" si="91"/>
        <v/>
      </c>
      <c r="CC115" s="179" t="str">
        <f t="shared" si="92"/>
        <v/>
      </c>
      <c r="CD115" s="179" t="str">
        <f t="shared" si="93"/>
        <v/>
      </c>
      <c r="CE115" s="179" t="str">
        <f t="shared" si="94"/>
        <v/>
      </c>
      <c r="CF115" s="179" t="str">
        <f t="shared" si="95"/>
        <v/>
      </c>
      <c r="CG115" s="179" t="str">
        <f t="shared" si="96"/>
        <v/>
      </c>
      <c r="CH115" s="166"/>
      <c r="CI115" s="166"/>
      <c r="CJ115" s="166"/>
      <c r="CK115" s="166" t="s">
        <v>150</v>
      </c>
      <c r="CL115" s="166"/>
    </row>
    <row r="116" spans="1:90" ht="14.25" customHeight="1" thickBot="1" x14ac:dyDescent="0.3">
      <c r="A116" s="213">
        <v>106</v>
      </c>
      <c r="B116" s="219"/>
      <c r="C116" s="200"/>
      <c r="D116" s="145"/>
      <c r="E116" s="320" t="s">
        <v>93</v>
      </c>
      <c r="F116" s="209"/>
      <c r="G116" s="313"/>
      <c r="H116" s="313"/>
      <c r="I116" s="313"/>
      <c r="J116" s="313"/>
      <c r="K116" s="313"/>
      <c r="L116" s="313"/>
      <c r="M116" s="339"/>
      <c r="N116" s="233">
        <f t="shared" si="97"/>
        <v>0</v>
      </c>
      <c r="O116" s="306"/>
      <c r="P116" s="342"/>
      <c r="Q116" s="307"/>
      <c r="R116" s="323" t="s">
        <v>67</v>
      </c>
      <c r="S116" s="209"/>
      <c r="T116" s="313"/>
      <c r="U116" s="313"/>
      <c r="V116" s="313"/>
      <c r="W116" s="313"/>
      <c r="X116" s="313"/>
      <c r="Y116" s="125"/>
      <c r="Z116" s="339"/>
      <c r="AA116" s="233">
        <f t="shared" si="98"/>
        <v>0</v>
      </c>
      <c r="AB116" s="314">
        <f t="shared" si="75"/>
        <v>0</v>
      </c>
      <c r="AC116" s="314"/>
      <c r="AD116" s="314">
        <f t="shared" si="76"/>
        <v>0</v>
      </c>
      <c r="AE116" s="323" t="s">
        <v>87</v>
      </c>
      <c r="AF116" s="81"/>
      <c r="AG116" s="335"/>
      <c r="AH116" s="335"/>
      <c r="AI116" s="335"/>
      <c r="AJ116" s="335"/>
      <c r="AK116" s="335"/>
      <c r="AL116" s="336"/>
      <c r="AM116" s="353"/>
      <c r="AN116" s="22">
        <f t="shared" si="99"/>
        <v>0</v>
      </c>
      <c r="AO116" s="209">
        <f t="shared" si="77"/>
        <v>0</v>
      </c>
      <c r="AP116" s="339"/>
      <c r="AQ116" s="125">
        <f t="shared" si="78"/>
        <v>0</v>
      </c>
      <c r="AR116" s="104"/>
      <c r="AS116" s="217"/>
      <c r="AT116" s="216"/>
      <c r="AU116" s="230"/>
      <c r="AV116" s="220"/>
      <c r="AW116" s="230"/>
      <c r="AX116" s="220"/>
      <c r="AY116" s="230"/>
      <c r="AZ116" s="220"/>
      <c r="BA116" s="17">
        <f t="shared" si="69"/>
        <v>1.1599999999999999E-5</v>
      </c>
      <c r="BB116" s="17">
        <f t="shared" si="70"/>
        <v>0</v>
      </c>
      <c r="BC116" s="17"/>
      <c r="BD116" s="178">
        <v>107</v>
      </c>
      <c r="BE116" s="214">
        <f t="shared" si="79"/>
        <v>3.2100000000000001E-5</v>
      </c>
      <c r="BF116" s="178">
        <f t="shared" si="71"/>
        <v>0</v>
      </c>
      <c r="BG116" s="245">
        <f t="shared" si="72"/>
        <v>1.1599999999999999E-5</v>
      </c>
      <c r="BH116" s="17">
        <f t="shared" si="80"/>
        <v>0</v>
      </c>
      <c r="BI116" s="178">
        <v>107</v>
      </c>
      <c r="BJ116" s="87">
        <f t="shared" si="81"/>
        <v>3.04E-5</v>
      </c>
      <c r="BK116" s="215">
        <f t="shared" si="73"/>
        <v>0</v>
      </c>
      <c r="BL116" s="245">
        <f t="shared" si="82"/>
        <v>1.1599999999999999E-5</v>
      </c>
      <c r="BM116" s="17">
        <f t="shared" si="83"/>
        <v>0</v>
      </c>
      <c r="BN116" s="178">
        <v>107</v>
      </c>
      <c r="BO116" s="87">
        <f t="shared" si="84"/>
        <v>3.04E-5</v>
      </c>
      <c r="BP116" s="215">
        <f t="shared" si="74"/>
        <v>0</v>
      </c>
      <c r="BR116" s="126"/>
      <c r="BS116" s="126"/>
      <c r="BU116" s="178"/>
      <c r="BV116" s="179" t="str">
        <f t="shared" si="85"/>
        <v/>
      </c>
      <c r="BW116" s="179" t="str">
        <f t="shared" si="86"/>
        <v/>
      </c>
      <c r="BX116" s="179" t="str">
        <f t="shared" si="87"/>
        <v/>
      </c>
      <c r="BY116" s="179" t="str">
        <f t="shared" si="88"/>
        <v/>
      </c>
      <c r="BZ116" s="179" t="str">
        <f t="shared" si="89"/>
        <v/>
      </c>
      <c r="CA116" s="179" t="str">
        <f t="shared" si="90"/>
        <v/>
      </c>
      <c r="CB116" s="179" t="str">
        <f t="shared" si="91"/>
        <v/>
      </c>
      <c r="CC116" s="179" t="str">
        <f t="shared" si="92"/>
        <v/>
      </c>
      <c r="CD116" s="179" t="str">
        <f t="shared" si="93"/>
        <v/>
      </c>
      <c r="CE116" s="179" t="str">
        <f t="shared" si="94"/>
        <v/>
      </c>
      <c r="CF116" s="179" t="str">
        <f t="shared" si="95"/>
        <v/>
      </c>
      <c r="CG116" s="179" t="str">
        <f t="shared" si="96"/>
        <v/>
      </c>
      <c r="CH116" s="166"/>
      <c r="CI116" s="166"/>
      <c r="CJ116" s="166"/>
      <c r="CK116" s="166" t="s">
        <v>150</v>
      </c>
      <c r="CL116" s="166"/>
    </row>
    <row r="117" spans="1:90" ht="14.25" customHeight="1" thickBot="1" x14ac:dyDescent="0.3">
      <c r="A117" s="211">
        <v>107</v>
      </c>
      <c r="B117" s="88"/>
      <c r="C117" s="201"/>
      <c r="D117" s="94"/>
      <c r="E117" s="321" t="s">
        <v>93</v>
      </c>
      <c r="F117" s="96"/>
      <c r="G117" s="100"/>
      <c r="H117" s="100"/>
      <c r="I117" s="100"/>
      <c r="J117" s="100"/>
      <c r="K117" s="100"/>
      <c r="L117" s="100"/>
      <c r="M117" s="210"/>
      <c r="N117" s="234">
        <f t="shared" si="97"/>
        <v>0</v>
      </c>
      <c r="O117" s="308"/>
      <c r="P117" s="343"/>
      <c r="Q117" s="309"/>
      <c r="R117" s="324" t="s">
        <v>67</v>
      </c>
      <c r="S117" s="96"/>
      <c r="T117" s="100"/>
      <c r="U117" s="100"/>
      <c r="V117" s="100"/>
      <c r="W117" s="100"/>
      <c r="X117" s="100"/>
      <c r="Y117" s="97"/>
      <c r="Z117" s="210"/>
      <c r="AA117" s="234">
        <f t="shared" si="98"/>
        <v>0</v>
      </c>
      <c r="AB117" s="314">
        <f t="shared" si="75"/>
        <v>0</v>
      </c>
      <c r="AC117" s="314"/>
      <c r="AD117" s="314">
        <f t="shared" si="76"/>
        <v>0</v>
      </c>
      <c r="AE117" s="324" t="s">
        <v>87</v>
      </c>
      <c r="AF117" s="82"/>
      <c r="AG117" s="337"/>
      <c r="AH117" s="337"/>
      <c r="AI117" s="337"/>
      <c r="AJ117" s="337"/>
      <c r="AK117" s="337"/>
      <c r="AL117" s="338"/>
      <c r="AM117" s="354"/>
      <c r="AN117" s="91">
        <f t="shared" si="99"/>
        <v>0</v>
      </c>
      <c r="AO117" s="96">
        <f t="shared" si="77"/>
        <v>0</v>
      </c>
      <c r="AP117" s="210"/>
      <c r="AQ117" s="97">
        <f t="shared" si="78"/>
        <v>0</v>
      </c>
      <c r="AR117" s="105"/>
      <c r="AS117" s="102"/>
      <c r="AT117" s="237"/>
      <c r="AU117" s="231"/>
      <c r="AV117" s="93"/>
      <c r="AW117" s="231"/>
      <c r="AX117" s="93"/>
      <c r="AY117" s="231"/>
      <c r="AZ117" s="93"/>
      <c r="BA117" s="17">
        <f t="shared" si="69"/>
        <v>1.17E-5</v>
      </c>
      <c r="BB117" s="17">
        <f t="shared" si="70"/>
        <v>0</v>
      </c>
      <c r="BC117" s="17"/>
      <c r="BD117" s="178">
        <v>108</v>
      </c>
      <c r="BE117" s="214">
        <f t="shared" si="79"/>
        <v>3.1999999999999999E-5</v>
      </c>
      <c r="BF117" s="178">
        <f t="shared" si="71"/>
        <v>0</v>
      </c>
      <c r="BG117" s="245">
        <f t="shared" si="72"/>
        <v>1.17E-5</v>
      </c>
      <c r="BH117" s="17">
        <f t="shared" si="80"/>
        <v>0</v>
      </c>
      <c r="BI117" s="178">
        <v>108</v>
      </c>
      <c r="BJ117" s="87">
        <f t="shared" si="81"/>
        <v>3.0299999999999998E-5</v>
      </c>
      <c r="BK117" s="215">
        <f t="shared" si="73"/>
        <v>0</v>
      </c>
      <c r="BL117" s="245">
        <f t="shared" si="82"/>
        <v>1.17E-5</v>
      </c>
      <c r="BM117" s="17">
        <f t="shared" si="83"/>
        <v>0</v>
      </c>
      <c r="BN117" s="178">
        <v>108</v>
      </c>
      <c r="BO117" s="87">
        <f t="shared" si="84"/>
        <v>3.0299999999999998E-5</v>
      </c>
      <c r="BP117" s="215">
        <f t="shared" si="74"/>
        <v>0</v>
      </c>
      <c r="BR117" s="126"/>
      <c r="BS117" s="126"/>
      <c r="BU117" s="178"/>
      <c r="BV117" s="179" t="str">
        <f t="shared" si="85"/>
        <v/>
      </c>
      <c r="BW117" s="179" t="str">
        <f t="shared" si="86"/>
        <v/>
      </c>
      <c r="BX117" s="179" t="str">
        <f t="shared" si="87"/>
        <v/>
      </c>
      <c r="BY117" s="179" t="str">
        <f t="shared" si="88"/>
        <v/>
      </c>
      <c r="BZ117" s="179" t="str">
        <f t="shared" si="89"/>
        <v/>
      </c>
      <c r="CA117" s="179" t="str">
        <f t="shared" si="90"/>
        <v/>
      </c>
      <c r="CB117" s="179" t="str">
        <f t="shared" si="91"/>
        <v/>
      </c>
      <c r="CC117" s="179" t="str">
        <f t="shared" si="92"/>
        <v/>
      </c>
      <c r="CD117" s="179" t="str">
        <f t="shared" si="93"/>
        <v/>
      </c>
      <c r="CE117" s="179" t="str">
        <f t="shared" si="94"/>
        <v/>
      </c>
      <c r="CF117" s="179" t="str">
        <f t="shared" si="95"/>
        <v/>
      </c>
      <c r="CG117" s="179" t="str">
        <f t="shared" si="96"/>
        <v/>
      </c>
      <c r="CH117" s="166"/>
      <c r="CI117" s="166"/>
      <c r="CJ117" s="166"/>
      <c r="CK117" s="166" t="s">
        <v>150</v>
      </c>
      <c r="CL117" s="166"/>
    </row>
    <row r="118" spans="1:90" ht="14.25" customHeight="1" thickBot="1" x14ac:dyDescent="0.3">
      <c r="A118" s="213">
        <v>108</v>
      </c>
      <c r="B118" s="89"/>
      <c r="C118" s="199"/>
      <c r="D118" s="146"/>
      <c r="E118" s="319" t="s">
        <v>93</v>
      </c>
      <c r="F118" s="221"/>
      <c r="G118" s="222"/>
      <c r="H118" s="222"/>
      <c r="I118" s="222"/>
      <c r="J118" s="222"/>
      <c r="K118" s="222"/>
      <c r="L118" s="222"/>
      <c r="M118" s="331"/>
      <c r="N118" s="303">
        <f t="shared" si="97"/>
        <v>0</v>
      </c>
      <c r="O118" s="304"/>
      <c r="P118" s="341"/>
      <c r="Q118" s="305"/>
      <c r="R118" s="322" t="s">
        <v>67</v>
      </c>
      <c r="S118" s="326"/>
      <c r="T118" s="327"/>
      <c r="U118" s="327"/>
      <c r="V118" s="327"/>
      <c r="W118" s="327"/>
      <c r="X118" s="327"/>
      <c r="Y118" s="95"/>
      <c r="Z118" s="331"/>
      <c r="AA118" s="303">
        <f t="shared" si="98"/>
        <v>0</v>
      </c>
      <c r="AB118" s="314">
        <f t="shared" si="75"/>
        <v>0</v>
      </c>
      <c r="AC118" s="314"/>
      <c r="AD118" s="314">
        <f t="shared" si="76"/>
        <v>0</v>
      </c>
      <c r="AE118" s="325" t="s">
        <v>148</v>
      </c>
      <c r="AF118" s="15"/>
      <c r="AG118" s="232"/>
      <c r="AH118" s="232"/>
      <c r="AI118" s="232"/>
      <c r="AJ118" s="232"/>
      <c r="AK118" s="232"/>
      <c r="AL118" s="7"/>
      <c r="AM118" s="352"/>
      <c r="AN118" s="22">
        <f t="shared" si="99"/>
        <v>0</v>
      </c>
      <c r="AO118" s="15">
        <f t="shared" si="77"/>
        <v>0</v>
      </c>
      <c r="AP118" s="345"/>
      <c r="AQ118" s="7">
        <f t="shared" si="78"/>
        <v>0</v>
      </c>
      <c r="AR118" s="103"/>
      <c r="AS118" s="101"/>
      <c r="AT118" s="236"/>
      <c r="AU118" s="235"/>
      <c r="AV118" s="92"/>
      <c r="AW118" s="235"/>
      <c r="AX118" s="92"/>
      <c r="AY118" s="235"/>
      <c r="AZ118" s="92"/>
      <c r="BA118" s="17">
        <f t="shared" si="69"/>
        <v>1.1799999999999999E-5</v>
      </c>
      <c r="BB118" s="17">
        <f t="shared" si="70"/>
        <v>0</v>
      </c>
      <c r="BC118" s="17"/>
      <c r="BD118" s="178">
        <v>109</v>
      </c>
      <c r="BE118" s="214">
        <f t="shared" si="79"/>
        <v>3.1899999999999996E-5</v>
      </c>
      <c r="BF118" s="178">
        <f t="shared" si="71"/>
        <v>0</v>
      </c>
      <c r="BG118" s="245">
        <f t="shared" si="72"/>
        <v>1.1799999999999999E-5</v>
      </c>
      <c r="BH118" s="17">
        <f t="shared" si="80"/>
        <v>0</v>
      </c>
      <c r="BI118" s="178">
        <v>109</v>
      </c>
      <c r="BJ118" s="87">
        <f t="shared" si="81"/>
        <v>3.0199999999999999E-5</v>
      </c>
      <c r="BK118" s="215">
        <f t="shared" si="73"/>
        <v>0</v>
      </c>
      <c r="BL118" s="245">
        <f t="shared" si="82"/>
        <v>1.1799999999999999E-5</v>
      </c>
      <c r="BM118" s="17">
        <f t="shared" si="83"/>
        <v>0</v>
      </c>
      <c r="BN118" s="178">
        <v>109</v>
      </c>
      <c r="BO118" s="87">
        <f t="shared" si="84"/>
        <v>3.0199999999999999E-5</v>
      </c>
      <c r="BP118" s="215">
        <f t="shared" si="74"/>
        <v>0</v>
      </c>
      <c r="BR118" s="126"/>
      <c r="BS118" s="126"/>
      <c r="BU118" s="178"/>
      <c r="BV118" s="179" t="str">
        <f t="shared" si="85"/>
        <v/>
      </c>
      <c r="BW118" s="179" t="str">
        <f t="shared" si="86"/>
        <v/>
      </c>
      <c r="BX118" s="179" t="str">
        <f t="shared" si="87"/>
        <v/>
      </c>
      <c r="BY118" s="179" t="str">
        <f t="shared" si="88"/>
        <v/>
      </c>
      <c r="BZ118" s="179" t="str">
        <f t="shared" si="89"/>
        <v/>
      </c>
      <c r="CA118" s="179" t="str">
        <f t="shared" si="90"/>
        <v/>
      </c>
      <c r="CB118" s="179" t="str">
        <f t="shared" si="91"/>
        <v/>
      </c>
      <c r="CC118" s="179" t="str">
        <f t="shared" si="92"/>
        <v/>
      </c>
      <c r="CD118" s="179" t="str">
        <f t="shared" si="93"/>
        <v/>
      </c>
      <c r="CE118" s="179" t="str">
        <f t="shared" si="94"/>
        <v/>
      </c>
      <c r="CF118" s="179" t="str">
        <f t="shared" si="95"/>
        <v/>
      </c>
      <c r="CG118" s="179" t="str">
        <f t="shared" si="96"/>
        <v/>
      </c>
      <c r="CH118" s="166"/>
      <c r="CI118" s="166"/>
      <c r="CJ118" s="166"/>
      <c r="CK118" s="166" t="s">
        <v>150</v>
      </c>
      <c r="CL118" s="166"/>
    </row>
    <row r="119" spans="1:90" ht="14.25" customHeight="1" x14ac:dyDescent="0.25">
      <c r="A119" s="211">
        <v>109</v>
      </c>
      <c r="B119" s="219"/>
      <c r="C119" s="200"/>
      <c r="D119" s="145"/>
      <c r="E119" s="320" t="s">
        <v>93</v>
      </c>
      <c r="F119" s="209"/>
      <c r="G119" s="313"/>
      <c r="H119" s="313"/>
      <c r="I119" s="313"/>
      <c r="J119" s="313"/>
      <c r="K119" s="313"/>
      <c r="L119" s="313"/>
      <c r="M119" s="339"/>
      <c r="N119" s="233">
        <f t="shared" si="97"/>
        <v>0</v>
      </c>
      <c r="O119" s="306"/>
      <c r="P119" s="342"/>
      <c r="Q119" s="307"/>
      <c r="R119" s="323" t="s">
        <v>67</v>
      </c>
      <c r="S119" s="209"/>
      <c r="T119" s="313"/>
      <c r="U119" s="313"/>
      <c r="V119" s="313"/>
      <c r="W119" s="313"/>
      <c r="X119" s="313"/>
      <c r="Y119" s="125"/>
      <c r="Z119" s="339"/>
      <c r="AA119" s="233">
        <f t="shared" si="98"/>
        <v>0</v>
      </c>
      <c r="AB119" s="314">
        <f t="shared" si="75"/>
        <v>0</v>
      </c>
      <c r="AC119" s="314"/>
      <c r="AD119" s="314">
        <f t="shared" si="76"/>
        <v>0</v>
      </c>
      <c r="AE119" s="323" t="s">
        <v>87</v>
      </c>
      <c r="AF119" s="81"/>
      <c r="AG119" s="335"/>
      <c r="AH119" s="335"/>
      <c r="AI119" s="335"/>
      <c r="AJ119" s="335"/>
      <c r="AK119" s="335"/>
      <c r="AL119" s="336"/>
      <c r="AM119" s="353"/>
      <c r="AN119" s="22">
        <f t="shared" si="99"/>
        <v>0</v>
      </c>
      <c r="AO119" s="209">
        <f t="shared" si="77"/>
        <v>0</v>
      </c>
      <c r="AP119" s="339"/>
      <c r="AQ119" s="125">
        <f t="shared" si="78"/>
        <v>0</v>
      </c>
      <c r="AR119" s="104"/>
      <c r="AS119" s="217"/>
      <c r="AT119" s="216"/>
      <c r="AU119" s="230"/>
      <c r="AV119" s="220"/>
      <c r="AW119" s="230"/>
      <c r="AX119" s="220"/>
      <c r="AY119" s="230"/>
      <c r="AZ119" s="220"/>
      <c r="BA119" s="17">
        <f t="shared" si="69"/>
        <v>1.19E-5</v>
      </c>
      <c r="BB119" s="17">
        <f t="shared" si="70"/>
        <v>0</v>
      </c>
      <c r="BC119" s="17"/>
      <c r="BD119" s="178">
        <v>110</v>
      </c>
      <c r="BE119" s="214">
        <f t="shared" si="79"/>
        <v>3.18E-5</v>
      </c>
      <c r="BF119" s="178">
        <f t="shared" si="71"/>
        <v>0</v>
      </c>
      <c r="BG119" s="245">
        <f t="shared" si="72"/>
        <v>1.19E-5</v>
      </c>
      <c r="BH119" s="17">
        <f t="shared" si="80"/>
        <v>0</v>
      </c>
      <c r="BI119" s="178">
        <v>110</v>
      </c>
      <c r="BJ119" s="87">
        <f t="shared" si="81"/>
        <v>3.01E-5</v>
      </c>
      <c r="BK119" s="215">
        <f t="shared" si="73"/>
        <v>0</v>
      </c>
      <c r="BL119" s="245">
        <f t="shared" si="82"/>
        <v>1.19E-5</v>
      </c>
      <c r="BM119" s="17">
        <f t="shared" si="83"/>
        <v>0</v>
      </c>
      <c r="BN119" s="178">
        <v>110</v>
      </c>
      <c r="BO119" s="87">
        <f t="shared" si="84"/>
        <v>3.01E-5</v>
      </c>
      <c r="BP119" s="215">
        <f t="shared" si="74"/>
        <v>0</v>
      </c>
      <c r="BR119" s="126"/>
      <c r="BS119" s="126"/>
      <c r="BU119" s="178"/>
      <c r="BV119" s="179" t="str">
        <f t="shared" si="85"/>
        <v/>
      </c>
      <c r="BW119" s="179" t="str">
        <f t="shared" si="86"/>
        <v/>
      </c>
      <c r="BX119" s="179" t="str">
        <f t="shared" si="87"/>
        <v/>
      </c>
      <c r="BY119" s="179" t="str">
        <f t="shared" si="88"/>
        <v/>
      </c>
      <c r="BZ119" s="179" t="str">
        <f t="shared" si="89"/>
        <v/>
      </c>
      <c r="CA119" s="179" t="str">
        <f t="shared" si="90"/>
        <v/>
      </c>
      <c r="CB119" s="179" t="str">
        <f t="shared" si="91"/>
        <v/>
      </c>
      <c r="CC119" s="179" t="str">
        <f t="shared" si="92"/>
        <v/>
      </c>
      <c r="CD119" s="179" t="str">
        <f t="shared" si="93"/>
        <v/>
      </c>
      <c r="CE119" s="179" t="str">
        <f t="shared" si="94"/>
        <v/>
      </c>
      <c r="CF119" s="179" t="str">
        <f t="shared" si="95"/>
        <v/>
      </c>
      <c r="CG119" s="179" t="str">
        <f t="shared" si="96"/>
        <v/>
      </c>
      <c r="CH119" s="166"/>
      <c r="CI119" s="166"/>
      <c r="CJ119" s="166"/>
      <c r="CK119" s="166" t="s">
        <v>150</v>
      </c>
      <c r="CL119" s="166"/>
    </row>
    <row r="120" spans="1:90" ht="14.25" customHeight="1" thickBot="1" x14ac:dyDescent="0.3">
      <c r="A120" s="213">
        <v>110</v>
      </c>
      <c r="B120" s="88"/>
      <c r="C120" s="201"/>
      <c r="D120" s="94"/>
      <c r="E120" s="321" t="s">
        <v>93</v>
      </c>
      <c r="F120" s="96"/>
      <c r="G120" s="100"/>
      <c r="H120" s="100"/>
      <c r="I120" s="100"/>
      <c r="J120" s="100"/>
      <c r="K120" s="100"/>
      <c r="L120" s="100"/>
      <c r="M120" s="210"/>
      <c r="N120" s="234">
        <f t="shared" si="97"/>
        <v>0</v>
      </c>
      <c r="O120" s="308"/>
      <c r="P120" s="343"/>
      <c r="Q120" s="309"/>
      <c r="R120" s="324" t="s">
        <v>67</v>
      </c>
      <c r="S120" s="96"/>
      <c r="T120" s="100"/>
      <c r="U120" s="100"/>
      <c r="V120" s="100"/>
      <c r="W120" s="100"/>
      <c r="X120" s="100"/>
      <c r="Y120" s="97"/>
      <c r="Z120" s="210"/>
      <c r="AA120" s="234">
        <f t="shared" si="98"/>
        <v>0</v>
      </c>
      <c r="AB120" s="314">
        <f t="shared" si="75"/>
        <v>0</v>
      </c>
      <c r="AC120" s="314"/>
      <c r="AD120" s="314">
        <f t="shared" si="76"/>
        <v>0</v>
      </c>
      <c r="AE120" s="324" t="s">
        <v>87</v>
      </c>
      <c r="AF120" s="82"/>
      <c r="AG120" s="337"/>
      <c r="AH120" s="337"/>
      <c r="AI120" s="337"/>
      <c r="AJ120" s="337"/>
      <c r="AK120" s="337"/>
      <c r="AL120" s="338"/>
      <c r="AM120" s="354"/>
      <c r="AN120" s="91">
        <f t="shared" si="99"/>
        <v>0</v>
      </c>
      <c r="AO120" s="96">
        <f t="shared" si="77"/>
        <v>0</v>
      </c>
      <c r="AP120" s="210"/>
      <c r="AQ120" s="97">
        <f t="shared" si="78"/>
        <v>0</v>
      </c>
      <c r="AR120" s="105"/>
      <c r="AS120" s="102"/>
      <c r="AT120" s="237"/>
      <c r="AU120" s="231"/>
      <c r="AV120" s="93"/>
      <c r="AW120" s="231"/>
      <c r="AX120" s="93"/>
      <c r="AY120" s="231"/>
      <c r="AZ120" s="93"/>
      <c r="BA120" s="17">
        <f t="shared" si="69"/>
        <v>1.2E-5</v>
      </c>
      <c r="BB120" s="17">
        <f t="shared" si="70"/>
        <v>0</v>
      </c>
      <c r="BC120" s="17"/>
      <c r="BD120" s="178">
        <v>111</v>
      </c>
      <c r="BE120" s="214">
        <f t="shared" si="79"/>
        <v>3.1699999999999998E-5</v>
      </c>
      <c r="BF120" s="178">
        <f t="shared" si="71"/>
        <v>0</v>
      </c>
      <c r="BG120" s="245">
        <f t="shared" si="72"/>
        <v>1.2E-5</v>
      </c>
      <c r="BH120" s="17">
        <f t="shared" si="80"/>
        <v>0</v>
      </c>
      <c r="BI120" s="178">
        <v>111</v>
      </c>
      <c r="BJ120" s="87">
        <f t="shared" si="81"/>
        <v>2.9999999999999997E-5</v>
      </c>
      <c r="BK120" s="215">
        <f t="shared" si="73"/>
        <v>0</v>
      </c>
      <c r="BL120" s="245">
        <f t="shared" si="82"/>
        <v>1.2E-5</v>
      </c>
      <c r="BM120" s="17">
        <f t="shared" si="83"/>
        <v>0</v>
      </c>
      <c r="BN120" s="178">
        <v>111</v>
      </c>
      <c r="BO120" s="87">
        <f t="shared" si="84"/>
        <v>2.9999999999999997E-5</v>
      </c>
      <c r="BP120" s="215">
        <f t="shared" si="74"/>
        <v>0</v>
      </c>
      <c r="BR120" s="126"/>
      <c r="BS120" s="126"/>
      <c r="BU120" s="178"/>
      <c r="BV120" s="179" t="str">
        <f t="shared" si="85"/>
        <v/>
      </c>
      <c r="BW120" s="179" t="str">
        <f t="shared" si="86"/>
        <v/>
      </c>
      <c r="BX120" s="179" t="str">
        <f t="shared" si="87"/>
        <v/>
      </c>
      <c r="BY120" s="179" t="str">
        <f t="shared" si="88"/>
        <v/>
      </c>
      <c r="BZ120" s="179" t="str">
        <f t="shared" si="89"/>
        <v/>
      </c>
      <c r="CA120" s="179" t="str">
        <f t="shared" si="90"/>
        <v/>
      </c>
      <c r="CB120" s="179" t="str">
        <f t="shared" si="91"/>
        <v/>
      </c>
      <c r="CC120" s="179" t="str">
        <f t="shared" si="92"/>
        <v/>
      </c>
      <c r="CD120" s="179" t="str">
        <f t="shared" si="93"/>
        <v/>
      </c>
      <c r="CE120" s="179" t="str">
        <f t="shared" si="94"/>
        <v/>
      </c>
      <c r="CF120" s="179" t="str">
        <f t="shared" si="95"/>
        <v/>
      </c>
      <c r="CG120" s="179" t="str">
        <f t="shared" si="96"/>
        <v/>
      </c>
      <c r="CH120" s="166"/>
      <c r="CI120" s="166"/>
      <c r="CJ120" s="166"/>
      <c r="CK120" s="166" t="s">
        <v>150</v>
      </c>
      <c r="CL120" s="166"/>
    </row>
    <row r="121" spans="1:90" ht="14.25" customHeight="1" x14ac:dyDescent="0.25">
      <c r="A121" s="211">
        <v>111</v>
      </c>
      <c r="B121" s="89"/>
      <c r="C121" s="199"/>
      <c r="D121" s="146"/>
      <c r="E121" s="319" t="s">
        <v>93</v>
      </c>
      <c r="F121" s="221"/>
      <c r="G121" s="222"/>
      <c r="H121" s="222"/>
      <c r="I121" s="222"/>
      <c r="J121" s="222"/>
      <c r="K121" s="222"/>
      <c r="L121" s="222"/>
      <c r="M121" s="331"/>
      <c r="N121" s="303">
        <f t="shared" si="97"/>
        <v>0</v>
      </c>
      <c r="O121" s="304"/>
      <c r="P121" s="341"/>
      <c r="Q121" s="305"/>
      <c r="R121" s="322" t="s">
        <v>67</v>
      </c>
      <c r="S121" s="326"/>
      <c r="T121" s="327"/>
      <c r="U121" s="327"/>
      <c r="V121" s="327"/>
      <c r="W121" s="327"/>
      <c r="X121" s="327"/>
      <c r="Y121" s="95"/>
      <c r="Z121" s="331"/>
      <c r="AA121" s="303">
        <f t="shared" si="98"/>
        <v>0</v>
      </c>
      <c r="AB121" s="314">
        <f t="shared" si="75"/>
        <v>0</v>
      </c>
      <c r="AC121" s="314"/>
      <c r="AD121" s="314">
        <f t="shared" si="76"/>
        <v>0</v>
      </c>
      <c r="AE121" s="325" t="s">
        <v>148</v>
      </c>
      <c r="AF121" s="15"/>
      <c r="AG121" s="232"/>
      <c r="AH121" s="232"/>
      <c r="AI121" s="232"/>
      <c r="AJ121" s="232"/>
      <c r="AK121" s="232"/>
      <c r="AL121" s="7"/>
      <c r="AM121" s="352"/>
      <c r="AN121" s="22">
        <f t="shared" si="99"/>
        <v>0</v>
      </c>
      <c r="AO121" s="15">
        <f t="shared" si="77"/>
        <v>0</v>
      </c>
      <c r="AP121" s="345"/>
      <c r="AQ121" s="7">
        <f t="shared" si="78"/>
        <v>0</v>
      </c>
      <c r="AR121" s="103"/>
      <c r="AS121" s="101"/>
      <c r="AT121" s="236"/>
      <c r="AU121" s="235"/>
      <c r="AV121" s="92"/>
      <c r="AW121" s="235"/>
      <c r="AX121" s="92"/>
      <c r="AY121" s="235"/>
      <c r="AZ121" s="92"/>
      <c r="BA121" s="17">
        <f t="shared" si="69"/>
        <v>1.2099999999999999E-5</v>
      </c>
      <c r="BB121" s="17">
        <f t="shared" si="70"/>
        <v>0</v>
      </c>
      <c r="BC121" s="17"/>
      <c r="BD121" s="178">
        <v>112</v>
      </c>
      <c r="BE121" s="214">
        <f t="shared" si="79"/>
        <v>3.1599999999999996E-5</v>
      </c>
      <c r="BF121" s="178">
        <f t="shared" si="71"/>
        <v>0</v>
      </c>
      <c r="BG121" s="245">
        <f t="shared" si="72"/>
        <v>1.2099999999999999E-5</v>
      </c>
      <c r="BH121" s="17">
        <f t="shared" si="80"/>
        <v>0</v>
      </c>
      <c r="BI121" s="178">
        <v>112</v>
      </c>
      <c r="BJ121" s="87">
        <f t="shared" si="81"/>
        <v>2.9899999999999998E-5</v>
      </c>
      <c r="BK121" s="215">
        <f t="shared" si="73"/>
        <v>0</v>
      </c>
      <c r="BL121" s="245">
        <f t="shared" si="82"/>
        <v>1.2099999999999999E-5</v>
      </c>
      <c r="BM121" s="17">
        <f t="shared" si="83"/>
        <v>0</v>
      </c>
      <c r="BN121" s="178">
        <v>112</v>
      </c>
      <c r="BO121" s="87">
        <f t="shared" si="84"/>
        <v>2.9899999999999998E-5</v>
      </c>
      <c r="BP121" s="215">
        <f t="shared" si="74"/>
        <v>0</v>
      </c>
      <c r="BR121" s="126"/>
      <c r="BS121" s="126"/>
      <c r="BU121" s="178"/>
      <c r="BV121" s="179" t="str">
        <f t="shared" si="85"/>
        <v/>
      </c>
      <c r="BW121" s="179" t="str">
        <f t="shared" si="86"/>
        <v/>
      </c>
      <c r="BX121" s="179" t="str">
        <f t="shared" si="87"/>
        <v/>
      </c>
      <c r="BY121" s="179" t="str">
        <f t="shared" si="88"/>
        <v/>
      </c>
      <c r="BZ121" s="179" t="str">
        <f t="shared" si="89"/>
        <v/>
      </c>
      <c r="CA121" s="179" t="str">
        <f t="shared" si="90"/>
        <v/>
      </c>
      <c r="CB121" s="179" t="str">
        <f t="shared" si="91"/>
        <v/>
      </c>
      <c r="CC121" s="179" t="str">
        <f t="shared" si="92"/>
        <v/>
      </c>
      <c r="CD121" s="179" t="str">
        <f t="shared" si="93"/>
        <v/>
      </c>
      <c r="CE121" s="179" t="str">
        <f t="shared" si="94"/>
        <v/>
      </c>
      <c r="CF121" s="179" t="str">
        <f t="shared" si="95"/>
        <v/>
      </c>
      <c r="CG121" s="179" t="str">
        <f t="shared" si="96"/>
        <v/>
      </c>
      <c r="CH121" s="166"/>
      <c r="CI121" s="166"/>
      <c r="CJ121" s="166"/>
      <c r="CK121" s="166" t="s">
        <v>150</v>
      </c>
      <c r="CL121" s="166"/>
    </row>
    <row r="122" spans="1:90" ht="14.25" customHeight="1" thickBot="1" x14ac:dyDescent="0.3">
      <c r="A122" s="213">
        <v>112</v>
      </c>
      <c r="B122" s="219"/>
      <c r="C122" s="200"/>
      <c r="D122" s="145"/>
      <c r="E122" s="320" t="s">
        <v>93</v>
      </c>
      <c r="F122" s="209"/>
      <c r="G122" s="313"/>
      <c r="H122" s="313"/>
      <c r="I122" s="313"/>
      <c r="J122" s="313"/>
      <c r="K122" s="313"/>
      <c r="L122" s="313"/>
      <c r="M122" s="339"/>
      <c r="N122" s="233">
        <f t="shared" si="97"/>
        <v>0</v>
      </c>
      <c r="O122" s="306"/>
      <c r="P122" s="342"/>
      <c r="Q122" s="307"/>
      <c r="R122" s="323" t="s">
        <v>67</v>
      </c>
      <c r="S122" s="209"/>
      <c r="T122" s="313"/>
      <c r="U122" s="313"/>
      <c r="V122" s="313"/>
      <c r="W122" s="313"/>
      <c r="X122" s="313"/>
      <c r="Y122" s="125"/>
      <c r="Z122" s="339"/>
      <c r="AA122" s="233">
        <f t="shared" si="98"/>
        <v>0</v>
      </c>
      <c r="AB122" s="314">
        <f t="shared" si="75"/>
        <v>0</v>
      </c>
      <c r="AC122" s="314"/>
      <c r="AD122" s="314">
        <f t="shared" si="76"/>
        <v>0</v>
      </c>
      <c r="AE122" s="323" t="s">
        <v>87</v>
      </c>
      <c r="AF122" s="81"/>
      <c r="AG122" s="335"/>
      <c r="AH122" s="335"/>
      <c r="AI122" s="335"/>
      <c r="AJ122" s="335"/>
      <c r="AK122" s="335"/>
      <c r="AL122" s="336"/>
      <c r="AM122" s="353"/>
      <c r="AN122" s="22">
        <f t="shared" si="99"/>
        <v>0</v>
      </c>
      <c r="AO122" s="209">
        <f t="shared" si="77"/>
        <v>0</v>
      </c>
      <c r="AP122" s="339"/>
      <c r="AQ122" s="125">
        <f t="shared" si="78"/>
        <v>0</v>
      </c>
      <c r="AR122" s="104"/>
      <c r="AS122" s="217"/>
      <c r="AT122" s="216"/>
      <c r="AU122" s="230"/>
      <c r="AV122" s="220"/>
      <c r="AW122" s="230"/>
      <c r="AX122" s="220"/>
      <c r="AY122" s="230"/>
      <c r="AZ122" s="220"/>
      <c r="BA122" s="17">
        <f t="shared" si="69"/>
        <v>1.22E-5</v>
      </c>
      <c r="BB122" s="17">
        <f t="shared" si="70"/>
        <v>0</v>
      </c>
      <c r="BC122" s="17"/>
      <c r="BD122" s="178">
        <v>113</v>
      </c>
      <c r="BE122" s="214">
        <f t="shared" si="79"/>
        <v>3.15E-5</v>
      </c>
      <c r="BF122" s="178">
        <f t="shared" si="71"/>
        <v>0</v>
      </c>
      <c r="BG122" s="245">
        <f t="shared" si="72"/>
        <v>1.22E-5</v>
      </c>
      <c r="BH122" s="17">
        <f t="shared" si="80"/>
        <v>0</v>
      </c>
      <c r="BI122" s="178">
        <v>113</v>
      </c>
      <c r="BJ122" s="87">
        <f t="shared" si="81"/>
        <v>2.9799999999999999E-5</v>
      </c>
      <c r="BK122" s="215">
        <f t="shared" si="73"/>
        <v>0</v>
      </c>
      <c r="BL122" s="245">
        <f t="shared" si="82"/>
        <v>1.22E-5</v>
      </c>
      <c r="BM122" s="17">
        <f t="shared" si="83"/>
        <v>0</v>
      </c>
      <c r="BN122" s="178">
        <v>113</v>
      </c>
      <c r="BO122" s="87">
        <f t="shared" si="84"/>
        <v>2.9799999999999999E-5</v>
      </c>
      <c r="BP122" s="215">
        <f t="shared" si="74"/>
        <v>0</v>
      </c>
      <c r="BR122" s="126"/>
      <c r="BS122" s="126"/>
      <c r="BU122" s="178"/>
      <c r="BV122" s="179" t="str">
        <f t="shared" si="85"/>
        <v/>
      </c>
      <c r="BW122" s="179" t="str">
        <f t="shared" si="86"/>
        <v/>
      </c>
      <c r="BX122" s="179" t="str">
        <f t="shared" si="87"/>
        <v/>
      </c>
      <c r="BY122" s="179" t="str">
        <f t="shared" si="88"/>
        <v/>
      </c>
      <c r="BZ122" s="179" t="str">
        <f t="shared" si="89"/>
        <v/>
      </c>
      <c r="CA122" s="179" t="str">
        <f t="shared" si="90"/>
        <v/>
      </c>
      <c r="CB122" s="179" t="str">
        <f t="shared" si="91"/>
        <v/>
      </c>
      <c r="CC122" s="179" t="str">
        <f t="shared" si="92"/>
        <v/>
      </c>
      <c r="CD122" s="179" t="str">
        <f t="shared" si="93"/>
        <v/>
      </c>
      <c r="CE122" s="179" t="str">
        <f t="shared" si="94"/>
        <v/>
      </c>
      <c r="CF122" s="179" t="str">
        <f t="shared" si="95"/>
        <v/>
      </c>
      <c r="CG122" s="179" t="str">
        <f t="shared" si="96"/>
        <v/>
      </c>
      <c r="CH122" s="166"/>
      <c r="CI122" s="166"/>
      <c r="CJ122" s="166"/>
      <c r="CK122" s="166" t="s">
        <v>150</v>
      </c>
      <c r="CL122" s="166"/>
    </row>
    <row r="123" spans="1:90" ht="14.25" customHeight="1" thickBot="1" x14ac:dyDescent="0.3">
      <c r="A123" s="211">
        <v>113</v>
      </c>
      <c r="B123" s="88"/>
      <c r="C123" s="201"/>
      <c r="D123" s="94"/>
      <c r="E123" s="321" t="s">
        <v>93</v>
      </c>
      <c r="F123" s="96"/>
      <c r="G123" s="100"/>
      <c r="H123" s="100"/>
      <c r="I123" s="100"/>
      <c r="J123" s="100"/>
      <c r="K123" s="100"/>
      <c r="L123" s="100"/>
      <c r="M123" s="210"/>
      <c r="N123" s="234">
        <f t="shared" si="97"/>
        <v>0</v>
      </c>
      <c r="O123" s="308"/>
      <c r="P123" s="343"/>
      <c r="Q123" s="309"/>
      <c r="R123" s="324" t="s">
        <v>67</v>
      </c>
      <c r="S123" s="96"/>
      <c r="T123" s="100"/>
      <c r="U123" s="100"/>
      <c r="V123" s="100"/>
      <c r="W123" s="100"/>
      <c r="X123" s="100"/>
      <c r="Y123" s="97"/>
      <c r="Z123" s="210"/>
      <c r="AA123" s="234">
        <f t="shared" si="98"/>
        <v>0</v>
      </c>
      <c r="AB123" s="314">
        <f t="shared" si="75"/>
        <v>0</v>
      </c>
      <c r="AC123" s="314"/>
      <c r="AD123" s="314">
        <f t="shared" si="76"/>
        <v>0</v>
      </c>
      <c r="AE123" s="324" t="s">
        <v>87</v>
      </c>
      <c r="AF123" s="82"/>
      <c r="AG123" s="337"/>
      <c r="AH123" s="337"/>
      <c r="AI123" s="337"/>
      <c r="AJ123" s="337"/>
      <c r="AK123" s="337"/>
      <c r="AL123" s="338"/>
      <c r="AM123" s="354"/>
      <c r="AN123" s="91">
        <f t="shared" si="99"/>
        <v>0</v>
      </c>
      <c r="AO123" s="96">
        <f t="shared" si="77"/>
        <v>0</v>
      </c>
      <c r="AP123" s="210"/>
      <c r="AQ123" s="97">
        <f t="shared" si="78"/>
        <v>0</v>
      </c>
      <c r="AR123" s="105"/>
      <c r="AS123" s="102"/>
      <c r="AT123" s="237"/>
      <c r="AU123" s="231"/>
      <c r="AV123" s="93"/>
      <c r="AW123" s="231"/>
      <c r="AX123" s="93"/>
      <c r="AY123" s="231"/>
      <c r="AZ123" s="93"/>
      <c r="BA123" s="17">
        <f t="shared" si="69"/>
        <v>1.2299999999999999E-5</v>
      </c>
      <c r="BB123" s="17">
        <f t="shared" si="70"/>
        <v>0</v>
      </c>
      <c r="BC123" s="17"/>
      <c r="BD123" s="178">
        <v>114</v>
      </c>
      <c r="BE123" s="214">
        <f t="shared" si="79"/>
        <v>3.1399999999999998E-5</v>
      </c>
      <c r="BF123" s="178">
        <f t="shared" si="71"/>
        <v>0</v>
      </c>
      <c r="BG123" s="245">
        <f t="shared" si="72"/>
        <v>1.2299999999999999E-5</v>
      </c>
      <c r="BH123" s="17">
        <f t="shared" si="80"/>
        <v>0</v>
      </c>
      <c r="BI123" s="178">
        <v>114</v>
      </c>
      <c r="BJ123" s="87">
        <f t="shared" si="81"/>
        <v>2.97E-5</v>
      </c>
      <c r="BK123" s="215">
        <f t="shared" si="73"/>
        <v>0</v>
      </c>
      <c r="BL123" s="245">
        <f t="shared" si="82"/>
        <v>1.2299999999999999E-5</v>
      </c>
      <c r="BM123" s="17">
        <f t="shared" si="83"/>
        <v>0</v>
      </c>
      <c r="BN123" s="178">
        <v>114</v>
      </c>
      <c r="BO123" s="87">
        <f t="shared" si="84"/>
        <v>2.97E-5</v>
      </c>
      <c r="BP123" s="215">
        <f t="shared" si="74"/>
        <v>0</v>
      </c>
      <c r="BR123" s="126"/>
      <c r="BS123" s="126"/>
      <c r="BU123" s="178"/>
      <c r="BV123" s="179" t="str">
        <f t="shared" si="85"/>
        <v/>
      </c>
      <c r="BW123" s="179" t="str">
        <f t="shared" si="86"/>
        <v/>
      </c>
      <c r="BX123" s="179" t="str">
        <f t="shared" si="87"/>
        <v/>
      </c>
      <c r="BY123" s="179" t="str">
        <f t="shared" si="88"/>
        <v/>
      </c>
      <c r="BZ123" s="179" t="str">
        <f t="shared" si="89"/>
        <v/>
      </c>
      <c r="CA123" s="179" t="str">
        <f t="shared" si="90"/>
        <v/>
      </c>
      <c r="CB123" s="179" t="str">
        <f t="shared" si="91"/>
        <v/>
      </c>
      <c r="CC123" s="179" t="str">
        <f t="shared" si="92"/>
        <v/>
      </c>
      <c r="CD123" s="179" t="str">
        <f t="shared" si="93"/>
        <v/>
      </c>
      <c r="CE123" s="179" t="str">
        <f t="shared" si="94"/>
        <v/>
      </c>
      <c r="CF123" s="179" t="str">
        <f t="shared" si="95"/>
        <v/>
      </c>
      <c r="CG123" s="179" t="str">
        <f t="shared" si="96"/>
        <v/>
      </c>
      <c r="CH123" s="166"/>
      <c r="CI123" s="166"/>
      <c r="CJ123" s="166"/>
      <c r="CK123" s="166" t="s">
        <v>150</v>
      </c>
      <c r="CL123" s="166"/>
    </row>
    <row r="124" spans="1:90" ht="14.25" customHeight="1" thickBot="1" x14ac:dyDescent="0.3">
      <c r="A124" s="213">
        <v>114</v>
      </c>
      <c r="B124" s="89"/>
      <c r="C124" s="199"/>
      <c r="D124" s="146"/>
      <c r="E124" s="319" t="s">
        <v>93</v>
      </c>
      <c r="F124" s="221"/>
      <c r="G124" s="222"/>
      <c r="H124" s="222"/>
      <c r="I124" s="222"/>
      <c r="J124" s="222"/>
      <c r="K124" s="222"/>
      <c r="L124" s="222"/>
      <c r="M124" s="331"/>
      <c r="N124" s="303">
        <f t="shared" si="97"/>
        <v>0</v>
      </c>
      <c r="O124" s="304"/>
      <c r="P124" s="341"/>
      <c r="Q124" s="305"/>
      <c r="R124" s="322" t="s">
        <v>67</v>
      </c>
      <c r="S124" s="326"/>
      <c r="T124" s="327"/>
      <c r="U124" s="327"/>
      <c r="V124" s="327"/>
      <c r="W124" s="327"/>
      <c r="X124" s="327"/>
      <c r="Y124" s="95"/>
      <c r="Z124" s="331"/>
      <c r="AA124" s="303">
        <f t="shared" si="98"/>
        <v>0</v>
      </c>
      <c r="AB124" s="314">
        <f t="shared" si="75"/>
        <v>0</v>
      </c>
      <c r="AC124" s="314"/>
      <c r="AD124" s="314">
        <f t="shared" si="76"/>
        <v>0</v>
      </c>
      <c r="AE124" s="325" t="s">
        <v>148</v>
      </c>
      <c r="AF124" s="15"/>
      <c r="AG124" s="232"/>
      <c r="AH124" s="232"/>
      <c r="AI124" s="232"/>
      <c r="AJ124" s="232"/>
      <c r="AK124" s="232"/>
      <c r="AL124" s="7"/>
      <c r="AM124" s="352"/>
      <c r="AN124" s="22">
        <f t="shared" si="99"/>
        <v>0</v>
      </c>
      <c r="AO124" s="15">
        <f t="shared" si="77"/>
        <v>0</v>
      </c>
      <c r="AP124" s="345"/>
      <c r="AQ124" s="7">
        <f t="shared" si="78"/>
        <v>0</v>
      </c>
      <c r="AR124" s="103"/>
      <c r="AS124" s="101"/>
      <c r="AT124" s="236"/>
      <c r="AU124" s="235"/>
      <c r="AV124" s="92"/>
      <c r="AW124" s="235"/>
      <c r="AX124" s="92"/>
      <c r="AY124" s="235"/>
      <c r="AZ124" s="92"/>
      <c r="BA124" s="17">
        <f t="shared" si="69"/>
        <v>1.24E-5</v>
      </c>
      <c r="BB124" s="17">
        <f t="shared" si="70"/>
        <v>0</v>
      </c>
      <c r="BC124" s="17"/>
      <c r="BD124" s="178">
        <v>115</v>
      </c>
      <c r="BE124" s="214">
        <f t="shared" si="79"/>
        <v>3.1300000000000002E-5</v>
      </c>
      <c r="BF124" s="178">
        <f t="shared" si="71"/>
        <v>0</v>
      </c>
      <c r="BG124" s="245">
        <f t="shared" si="72"/>
        <v>1.24E-5</v>
      </c>
      <c r="BH124" s="17">
        <f t="shared" si="80"/>
        <v>0</v>
      </c>
      <c r="BI124" s="178">
        <v>115</v>
      </c>
      <c r="BJ124" s="87">
        <f t="shared" si="81"/>
        <v>2.9599999999999998E-5</v>
      </c>
      <c r="BK124" s="215">
        <f t="shared" si="73"/>
        <v>0</v>
      </c>
      <c r="BL124" s="245">
        <f t="shared" si="82"/>
        <v>1.24E-5</v>
      </c>
      <c r="BM124" s="17">
        <f t="shared" si="83"/>
        <v>0</v>
      </c>
      <c r="BN124" s="178">
        <v>115</v>
      </c>
      <c r="BO124" s="87">
        <f t="shared" si="84"/>
        <v>2.9599999999999998E-5</v>
      </c>
      <c r="BP124" s="215">
        <f t="shared" si="74"/>
        <v>0</v>
      </c>
      <c r="BR124" s="126"/>
      <c r="BS124" s="126"/>
      <c r="BU124" s="178"/>
      <c r="BV124" s="179" t="str">
        <f t="shared" si="85"/>
        <v/>
      </c>
      <c r="BW124" s="179" t="str">
        <f t="shared" si="86"/>
        <v/>
      </c>
      <c r="BX124" s="179" t="str">
        <f t="shared" si="87"/>
        <v/>
      </c>
      <c r="BY124" s="179" t="str">
        <f t="shared" si="88"/>
        <v/>
      </c>
      <c r="BZ124" s="179" t="str">
        <f t="shared" si="89"/>
        <v/>
      </c>
      <c r="CA124" s="179" t="str">
        <f t="shared" si="90"/>
        <v/>
      </c>
      <c r="CB124" s="179" t="str">
        <f t="shared" si="91"/>
        <v/>
      </c>
      <c r="CC124" s="179" t="str">
        <f t="shared" si="92"/>
        <v/>
      </c>
      <c r="CD124" s="179" t="str">
        <f t="shared" si="93"/>
        <v/>
      </c>
      <c r="CE124" s="179" t="str">
        <f t="shared" si="94"/>
        <v/>
      </c>
      <c r="CF124" s="179" t="str">
        <f t="shared" si="95"/>
        <v/>
      </c>
      <c r="CG124" s="179" t="str">
        <f t="shared" si="96"/>
        <v/>
      </c>
      <c r="CH124" s="166"/>
      <c r="CI124" s="166"/>
      <c r="CJ124" s="166"/>
      <c r="CK124" s="166" t="s">
        <v>150</v>
      </c>
      <c r="CL124" s="166"/>
    </row>
    <row r="125" spans="1:90" ht="14.25" customHeight="1" x14ac:dyDescent="0.25">
      <c r="A125" s="211">
        <v>115</v>
      </c>
      <c r="B125" s="219"/>
      <c r="C125" s="200"/>
      <c r="D125" s="145"/>
      <c r="E125" s="320" t="s">
        <v>93</v>
      </c>
      <c r="F125" s="209"/>
      <c r="G125" s="313"/>
      <c r="H125" s="313"/>
      <c r="I125" s="313"/>
      <c r="J125" s="313"/>
      <c r="K125" s="313"/>
      <c r="L125" s="313"/>
      <c r="M125" s="339"/>
      <c r="N125" s="233">
        <f t="shared" si="97"/>
        <v>0</v>
      </c>
      <c r="O125" s="306"/>
      <c r="P125" s="342"/>
      <c r="Q125" s="307"/>
      <c r="R125" s="323" t="s">
        <v>67</v>
      </c>
      <c r="S125" s="209"/>
      <c r="T125" s="313"/>
      <c r="U125" s="313"/>
      <c r="V125" s="313"/>
      <c r="W125" s="313"/>
      <c r="X125" s="313"/>
      <c r="Y125" s="125"/>
      <c r="Z125" s="339"/>
      <c r="AA125" s="233">
        <f t="shared" si="98"/>
        <v>0</v>
      </c>
      <c r="AB125" s="314">
        <f t="shared" si="75"/>
        <v>0</v>
      </c>
      <c r="AC125" s="314"/>
      <c r="AD125" s="314">
        <f t="shared" si="76"/>
        <v>0</v>
      </c>
      <c r="AE125" s="323" t="s">
        <v>87</v>
      </c>
      <c r="AF125" s="81"/>
      <c r="AG125" s="335"/>
      <c r="AH125" s="335"/>
      <c r="AI125" s="335"/>
      <c r="AJ125" s="335"/>
      <c r="AK125" s="335"/>
      <c r="AL125" s="336"/>
      <c r="AM125" s="353"/>
      <c r="AN125" s="22">
        <f t="shared" si="99"/>
        <v>0</v>
      </c>
      <c r="AO125" s="209">
        <f t="shared" si="77"/>
        <v>0</v>
      </c>
      <c r="AP125" s="339"/>
      <c r="AQ125" s="125">
        <f t="shared" si="78"/>
        <v>0</v>
      </c>
      <c r="AR125" s="104"/>
      <c r="AS125" s="217"/>
      <c r="AT125" s="216"/>
      <c r="AU125" s="230"/>
      <c r="AV125" s="220"/>
      <c r="AW125" s="230"/>
      <c r="AX125" s="220"/>
      <c r="AY125" s="230"/>
      <c r="AZ125" s="220"/>
      <c r="BA125" s="17">
        <f t="shared" si="69"/>
        <v>1.2499999999999999E-5</v>
      </c>
      <c r="BB125" s="17">
        <f t="shared" si="70"/>
        <v>0</v>
      </c>
      <c r="BC125" s="17"/>
      <c r="BD125" s="178">
        <v>116</v>
      </c>
      <c r="BE125" s="214">
        <f t="shared" si="79"/>
        <v>3.1199999999999999E-5</v>
      </c>
      <c r="BF125" s="178">
        <f t="shared" si="71"/>
        <v>0</v>
      </c>
      <c r="BG125" s="245">
        <f t="shared" si="72"/>
        <v>1.2499999999999999E-5</v>
      </c>
      <c r="BH125" s="17">
        <f t="shared" si="80"/>
        <v>0</v>
      </c>
      <c r="BI125" s="178">
        <v>116</v>
      </c>
      <c r="BJ125" s="87">
        <f t="shared" si="81"/>
        <v>2.9499999999999999E-5</v>
      </c>
      <c r="BK125" s="215">
        <f t="shared" si="73"/>
        <v>0</v>
      </c>
      <c r="BL125" s="245">
        <f t="shared" si="82"/>
        <v>1.2499999999999999E-5</v>
      </c>
      <c r="BM125" s="17">
        <f t="shared" si="83"/>
        <v>0</v>
      </c>
      <c r="BN125" s="178">
        <v>116</v>
      </c>
      <c r="BO125" s="87">
        <f t="shared" si="84"/>
        <v>2.9499999999999999E-5</v>
      </c>
      <c r="BP125" s="215">
        <f t="shared" si="74"/>
        <v>0</v>
      </c>
      <c r="BR125" s="126"/>
      <c r="BS125" s="126"/>
      <c r="BU125" s="178"/>
      <c r="BV125" s="179" t="str">
        <f t="shared" si="85"/>
        <v/>
      </c>
      <c r="BW125" s="179" t="str">
        <f t="shared" si="86"/>
        <v/>
      </c>
      <c r="BX125" s="179" t="str">
        <f t="shared" si="87"/>
        <v/>
      </c>
      <c r="BY125" s="179" t="str">
        <f t="shared" si="88"/>
        <v/>
      </c>
      <c r="BZ125" s="179" t="str">
        <f t="shared" si="89"/>
        <v/>
      </c>
      <c r="CA125" s="179" t="str">
        <f t="shared" si="90"/>
        <v/>
      </c>
      <c r="CB125" s="179" t="str">
        <f t="shared" si="91"/>
        <v/>
      </c>
      <c r="CC125" s="179" t="str">
        <f t="shared" si="92"/>
        <v/>
      </c>
      <c r="CD125" s="179" t="str">
        <f t="shared" si="93"/>
        <v/>
      </c>
      <c r="CE125" s="179" t="str">
        <f t="shared" si="94"/>
        <v/>
      </c>
      <c r="CF125" s="179" t="str">
        <f t="shared" si="95"/>
        <v/>
      </c>
      <c r="CG125" s="179" t="str">
        <f t="shared" si="96"/>
        <v/>
      </c>
      <c r="CH125" s="166"/>
      <c r="CI125" s="166"/>
      <c r="CJ125" s="166"/>
      <c r="CK125" s="166" t="s">
        <v>150</v>
      </c>
      <c r="CL125" s="166"/>
    </row>
    <row r="126" spans="1:90" ht="14.25" customHeight="1" thickBot="1" x14ac:dyDescent="0.3">
      <c r="A126" s="213">
        <v>116</v>
      </c>
      <c r="B126" s="88"/>
      <c r="C126" s="201"/>
      <c r="D126" s="94"/>
      <c r="E126" s="321" t="s">
        <v>93</v>
      </c>
      <c r="F126" s="96"/>
      <c r="G126" s="100"/>
      <c r="H126" s="100"/>
      <c r="I126" s="100"/>
      <c r="J126" s="100"/>
      <c r="K126" s="100"/>
      <c r="L126" s="100"/>
      <c r="M126" s="210"/>
      <c r="N126" s="234">
        <f t="shared" si="97"/>
        <v>0</v>
      </c>
      <c r="O126" s="308"/>
      <c r="P126" s="343"/>
      <c r="Q126" s="309"/>
      <c r="R126" s="324" t="s">
        <v>67</v>
      </c>
      <c r="S126" s="96"/>
      <c r="T126" s="100"/>
      <c r="U126" s="100"/>
      <c r="V126" s="100"/>
      <c r="W126" s="100"/>
      <c r="X126" s="100"/>
      <c r="Y126" s="97"/>
      <c r="Z126" s="210"/>
      <c r="AA126" s="234">
        <f t="shared" si="98"/>
        <v>0</v>
      </c>
      <c r="AB126" s="314">
        <f t="shared" si="75"/>
        <v>0</v>
      </c>
      <c r="AC126" s="314"/>
      <c r="AD126" s="314">
        <f t="shared" si="76"/>
        <v>0</v>
      </c>
      <c r="AE126" s="324" t="s">
        <v>87</v>
      </c>
      <c r="AF126" s="82"/>
      <c r="AG126" s="337"/>
      <c r="AH126" s="337"/>
      <c r="AI126" s="337"/>
      <c r="AJ126" s="337"/>
      <c r="AK126" s="337"/>
      <c r="AL126" s="338"/>
      <c r="AM126" s="354"/>
      <c r="AN126" s="91">
        <f t="shared" si="99"/>
        <v>0</v>
      </c>
      <c r="AO126" s="96">
        <f t="shared" si="77"/>
        <v>0</v>
      </c>
      <c r="AP126" s="210"/>
      <c r="AQ126" s="97">
        <f t="shared" si="78"/>
        <v>0</v>
      </c>
      <c r="AR126" s="105"/>
      <c r="AS126" s="102"/>
      <c r="AT126" s="237"/>
      <c r="AU126" s="231"/>
      <c r="AV126" s="93"/>
      <c r="AW126" s="231"/>
      <c r="AX126" s="93"/>
      <c r="AY126" s="231"/>
      <c r="AZ126" s="93"/>
      <c r="BA126" s="17">
        <f t="shared" si="69"/>
        <v>1.26E-5</v>
      </c>
      <c r="BB126" s="17">
        <f t="shared" si="70"/>
        <v>0</v>
      </c>
      <c r="BC126" s="17"/>
      <c r="BD126" s="178">
        <v>117</v>
      </c>
      <c r="BE126" s="214">
        <f t="shared" si="79"/>
        <v>3.1099999999999997E-5</v>
      </c>
      <c r="BF126" s="178">
        <f t="shared" si="71"/>
        <v>0</v>
      </c>
      <c r="BG126" s="245">
        <f t="shared" si="72"/>
        <v>1.26E-5</v>
      </c>
      <c r="BH126" s="17">
        <f t="shared" si="80"/>
        <v>0</v>
      </c>
      <c r="BI126" s="178">
        <v>117</v>
      </c>
      <c r="BJ126" s="87">
        <f t="shared" si="81"/>
        <v>2.94E-5</v>
      </c>
      <c r="BK126" s="215">
        <f t="shared" si="73"/>
        <v>0</v>
      </c>
      <c r="BL126" s="245">
        <f t="shared" si="82"/>
        <v>1.26E-5</v>
      </c>
      <c r="BM126" s="17">
        <f t="shared" si="83"/>
        <v>0</v>
      </c>
      <c r="BN126" s="178">
        <v>117</v>
      </c>
      <c r="BO126" s="87">
        <f t="shared" si="84"/>
        <v>2.94E-5</v>
      </c>
      <c r="BP126" s="215">
        <f t="shared" si="74"/>
        <v>0</v>
      </c>
      <c r="BR126" s="126"/>
      <c r="BS126" s="126"/>
      <c r="BU126" s="178"/>
      <c r="BV126" s="179" t="str">
        <f t="shared" si="85"/>
        <v/>
      </c>
      <c r="BW126" s="179" t="str">
        <f t="shared" si="86"/>
        <v/>
      </c>
      <c r="BX126" s="179" t="str">
        <f t="shared" si="87"/>
        <v/>
      </c>
      <c r="BY126" s="179" t="str">
        <f t="shared" si="88"/>
        <v/>
      </c>
      <c r="BZ126" s="179" t="str">
        <f t="shared" si="89"/>
        <v/>
      </c>
      <c r="CA126" s="179" t="str">
        <f t="shared" si="90"/>
        <v/>
      </c>
      <c r="CB126" s="179" t="str">
        <f t="shared" si="91"/>
        <v/>
      </c>
      <c r="CC126" s="179" t="str">
        <f t="shared" si="92"/>
        <v/>
      </c>
      <c r="CD126" s="179" t="str">
        <f t="shared" si="93"/>
        <v/>
      </c>
      <c r="CE126" s="179" t="str">
        <f t="shared" si="94"/>
        <v/>
      </c>
      <c r="CF126" s="179" t="str">
        <f t="shared" si="95"/>
        <v/>
      </c>
      <c r="CG126" s="179" t="str">
        <f t="shared" si="96"/>
        <v/>
      </c>
      <c r="CH126" s="166"/>
      <c r="CI126" s="166"/>
      <c r="CJ126" s="166"/>
      <c r="CK126" s="166" t="s">
        <v>150</v>
      </c>
      <c r="CL126" s="166"/>
    </row>
    <row r="127" spans="1:90" ht="14.25" customHeight="1" x14ac:dyDescent="0.25">
      <c r="A127" s="211">
        <v>117</v>
      </c>
      <c r="B127" s="89"/>
      <c r="C127" s="199"/>
      <c r="D127" s="146"/>
      <c r="E127" s="319" t="s">
        <v>93</v>
      </c>
      <c r="F127" s="221"/>
      <c r="G127" s="222"/>
      <c r="H127" s="222"/>
      <c r="I127" s="222"/>
      <c r="J127" s="222"/>
      <c r="K127" s="222"/>
      <c r="L127" s="222"/>
      <c r="M127" s="331"/>
      <c r="N127" s="303">
        <f t="shared" si="97"/>
        <v>0</v>
      </c>
      <c r="O127" s="304"/>
      <c r="P127" s="341"/>
      <c r="Q127" s="305"/>
      <c r="R127" s="322" t="s">
        <v>67</v>
      </c>
      <c r="S127" s="326"/>
      <c r="T127" s="327"/>
      <c r="U127" s="327"/>
      <c r="V127" s="327"/>
      <c r="W127" s="327"/>
      <c r="X127" s="327"/>
      <c r="Y127" s="95"/>
      <c r="Z127" s="331"/>
      <c r="AA127" s="303">
        <f t="shared" si="98"/>
        <v>0</v>
      </c>
      <c r="AB127" s="314">
        <f t="shared" si="75"/>
        <v>0</v>
      </c>
      <c r="AC127" s="314"/>
      <c r="AD127" s="314">
        <f t="shared" si="76"/>
        <v>0</v>
      </c>
      <c r="AE127" s="325" t="s">
        <v>148</v>
      </c>
      <c r="AF127" s="15"/>
      <c r="AG127" s="232"/>
      <c r="AH127" s="232"/>
      <c r="AI127" s="232"/>
      <c r="AJ127" s="232"/>
      <c r="AK127" s="232"/>
      <c r="AL127" s="7"/>
      <c r="AM127" s="352"/>
      <c r="AN127" s="22">
        <f t="shared" si="99"/>
        <v>0</v>
      </c>
      <c r="AO127" s="15">
        <f t="shared" si="77"/>
        <v>0</v>
      </c>
      <c r="AP127" s="345"/>
      <c r="AQ127" s="7">
        <f t="shared" si="78"/>
        <v>0</v>
      </c>
      <c r="AR127" s="103"/>
      <c r="AS127" s="101"/>
      <c r="AT127" s="236"/>
      <c r="AU127" s="235"/>
      <c r="AV127" s="92"/>
      <c r="AW127" s="235"/>
      <c r="AX127" s="92"/>
      <c r="AY127" s="235"/>
      <c r="AZ127" s="92"/>
      <c r="BA127" s="17">
        <f t="shared" si="69"/>
        <v>1.2699999999999999E-5</v>
      </c>
      <c r="BB127" s="17">
        <f t="shared" si="70"/>
        <v>0</v>
      </c>
      <c r="BC127" s="17"/>
      <c r="BD127" s="178">
        <v>118</v>
      </c>
      <c r="BE127" s="214">
        <f t="shared" si="79"/>
        <v>3.1000000000000001E-5</v>
      </c>
      <c r="BF127" s="178">
        <f t="shared" si="71"/>
        <v>0</v>
      </c>
      <c r="BG127" s="245">
        <f t="shared" si="72"/>
        <v>1.2699999999999999E-5</v>
      </c>
      <c r="BH127" s="17">
        <f t="shared" si="80"/>
        <v>0</v>
      </c>
      <c r="BI127" s="178">
        <v>118</v>
      </c>
      <c r="BJ127" s="87">
        <f t="shared" si="81"/>
        <v>2.9299999999999997E-5</v>
      </c>
      <c r="BK127" s="215">
        <f t="shared" si="73"/>
        <v>0</v>
      </c>
      <c r="BL127" s="245">
        <f t="shared" si="82"/>
        <v>1.2699999999999999E-5</v>
      </c>
      <c r="BM127" s="17">
        <f t="shared" si="83"/>
        <v>0</v>
      </c>
      <c r="BN127" s="178">
        <v>118</v>
      </c>
      <c r="BO127" s="87">
        <f t="shared" si="84"/>
        <v>2.9299999999999997E-5</v>
      </c>
      <c r="BP127" s="215">
        <f t="shared" si="74"/>
        <v>0</v>
      </c>
      <c r="BR127" s="126"/>
      <c r="BS127" s="126"/>
      <c r="BU127" s="178"/>
      <c r="BV127" s="179" t="str">
        <f t="shared" si="85"/>
        <v/>
      </c>
      <c r="BW127" s="179" t="str">
        <f t="shared" si="86"/>
        <v/>
      </c>
      <c r="BX127" s="179" t="str">
        <f t="shared" si="87"/>
        <v/>
      </c>
      <c r="BY127" s="179" t="str">
        <f t="shared" si="88"/>
        <v/>
      </c>
      <c r="BZ127" s="179" t="str">
        <f t="shared" si="89"/>
        <v/>
      </c>
      <c r="CA127" s="179" t="str">
        <f t="shared" si="90"/>
        <v/>
      </c>
      <c r="CB127" s="179" t="str">
        <f t="shared" si="91"/>
        <v/>
      </c>
      <c r="CC127" s="179" t="str">
        <f t="shared" si="92"/>
        <v/>
      </c>
      <c r="CD127" s="179" t="str">
        <f t="shared" si="93"/>
        <v/>
      </c>
      <c r="CE127" s="179" t="str">
        <f t="shared" si="94"/>
        <v/>
      </c>
      <c r="CF127" s="179" t="str">
        <f t="shared" si="95"/>
        <v/>
      </c>
      <c r="CG127" s="179" t="str">
        <f t="shared" si="96"/>
        <v/>
      </c>
      <c r="CH127" s="166"/>
      <c r="CI127" s="166"/>
      <c r="CJ127" s="166"/>
      <c r="CK127" s="166" t="s">
        <v>150</v>
      </c>
      <c r="CL127" s="166"/>
    </row>
    <row r="128" spans="1:90" ht="14.25" customHeight="1" thickBot="1" x14ac:dyDescent="0.3">
      <c r="A128" s="213">
        <v>118</v>
      </c>
      <c r="B128" s="219"/>
      <c r="C128" s="200"/>
      <c r="D128" s="145"/>
      <c r="E128" s="320" t="s">
        <v>93</v>
      </c>
      <c r="F128" s="209"/>
      <c r="G128" s="313"/>
      <c r="H128" s="313"/>
      <c r="I128" s="313"/>
      <c r="J128" s="313"/>
      <c r="K128" s="313"/>
      <c r="L128" s="313"/>
      <c r="M128" s="339"/>
      <c r="N128" s="233">
        <f t="shared" si="97"/>
        <v>0</v>
      </c>
      <c r="O128" s="306"/>
      <c r="P128" s="342"/>
      <c r="Q128" s="307"/>
      <c r="R128" s="323" t="s">
        <v>67</v>
      </c>
      <c r="S128" s="209"/>
      <c r="T128" s="313"/>
      <c r="U128" s="313"/>
      <c r="V128" s="313"/>
      <c r="W128" s="313"/>
      <c r="X128" s="313"/>
      <c r="Y128" s="125"/>
      <c r="Z128" s="339"/>
      <c r="AA128" s="233">
        <f t="shared" si="98"/>
        <v>0</v>
      </c>
      <c r="AB128" s="314">
        <f t="shared" si="75"/>
        <v>0</v>
      </c>
      <c r="AC128" s="314"/>
      <c r="AD128" s="314">
        <f t="shared" si="76"/>
        <v>0</v>
      </c>
      <c r="AE128" s="323" t="s">
        <v>87</v>
      </c>
      <c r="AF128" s="81"/>
      <c r="AG128" s="335"/>
      <c r="AH128" s="335"/>
      <c r="AI128" s="335"/>
      <c r="AJ128" s="335"/>
      <c r="AK128" s="335"/>
      <c r="AL128" s="336"/>
      <c r="AM128" s="353"/>
      <c r="AN128" s="22">
        <f t="shared" si="99"/>
        <v>0</v>
      </c>
      <c r="AO128" s="209">
        <f t="shared" si="77"/>
        <v>0</v>
      </c>
      <c r="AP128" s="339"/>
      <c r="AQ128" s="125">
        <f t="shared" si="78"/>
        <v>0</v>
      </c>
      <c r="AR128" s="104"/>
      <c r="AS128" s="217"/>
      <c r="AT128" s="216"/>
      <c r="AU128" s="230"/>
      <c r="AV128" s="220"/>
      <c r="AW128" s="230"/>
      <c r="AX128" s="220"/>
      <c r="AY128" s="230"/>
      <c r="AZ128" s="220"/>
      <c r="BA128" s="17">
        <f t="shared" si="69"/>
        <v>1.2799999999999999E-5</v>
      </c>
      <c r="BB128" s="17">
        <f t="shared" si="70"/>
        <v>0</v>
      </c>
      <c r="BC128" s="17"/>
      <c r="BD128" s="178">
        <v>119</v>
      </c>
      <c r="BE128" s="214">
        <f t="shared" si="79"/>
        <v>3.0899999999999999E-5</v>
      </c>
      <c r="BF128" s="178">
        <f t="shared" si="71"/>
        <v>0</v>
      </c>
      <c r="BG128" s="245">
        <f t="shared" si="72"/>
        <v>1.2799999999999999E-5</v>
      </c>
      <c r="BH128" s="17">
        <f t="shared" si="80"/>
        <v>0</v>
      </c>
      <c r="BI128" s="178">
        <v>119</v>
      </c>
      <c r="BJ128" s="87">
        <f t="shared" si="81"/>
        <v>2.9199999999999998E-5</v>
      </c>
      <c r="BK128" s="215">
        <f t="shared" si="73"/>
        <v>0</v>
      </c>
      <c r="BL128" s="245">
        <f t="shared" si="82"/>
        <v>1.2799999999999999E-5</v>
      </c>
      <c r="BM128" s="17">
        <f t="shared" si="83"/>
        <v>0</v>
      </c>
      <c r="BN128" s="178">
        <v>119</v>
      </c>
      <c r="BO128" s="87">
        <f t="shared" si="84"/>
        <v>2.9199999999999998E-5</v>
      </c>
      <c r="BP128" s="215">
        <f t="shared" si="74"/>
        <v>0</v>
      </c>
      <c r="BR128" s="126"/>
      <c r="BS128" s="126"/>
      <c r="BU128" s="178"/>
      <c r="BV128" s="179" t="str">
        <f t="shared" si="85"/>
        <v/>
      </c>
      <c r="BW128" s="179" t="str">
        <f t="shared" si="86"/>
        <v/>
      </c>
      <c r="BX128" s="179" t="str">
        <f t="shared" si="87"/>
        <v/>
      </c>
      <c r="BY128" s="179" t="str">
        <f t="shared" si="88"/>
        <v/>
      </c>
      <c r="BZ128" s="179" t="str">
        <f t="shared" si="89"/>
        <v/>
      </c>
      <c r="CA128" s="179" t="str">
        <f t="shared" si="90"/>
        <v/>
      </c>
      <c r="CB128" s="179" t="str">
        <f t="shared" si="91"/>
        <v/>
      </c>
      <c r="CC128" s="179" t="str">
        <f t="shared" si="92"/>
        <v/>
      </c>
      <c r="CD128" s="179" t="str">
        <f t="shared" si="93"/>
        <v/>
      </c>
      <c r="CE128" s="179" t="str">
        <f t="shared" si="94"/>
        <v/>
      </c>
      <c r="CF128" s="179" t="str">
        <f t="shared" si="95"/>
        <v/>
      </c>
      <c r="CG128" s="179" t="str">
        <f t="shared" si="96"/>
        <v/>
      </c>
      <c r="CH128" s="166"/>
      <c r="CI128" s="166"/>
      <c r="CJ128" s="166"/>
      <c r="CK128" s="166" t="s">
        <v>150</v>
      </c>
      <c r="CL128" s="166"/>
    </row>
    <row r="129" spans="1:90" ht="14.25" customHeight="1" thickBot="1" x14ac:dyDescent="0.3">
      <c r="A129" s="211">
        <v>119</v>
      </c>
      <c r="B129" s="88"/>
      <c r="C129" s="201"/>
      <c r="D129" s="94"/>
      <c r="E129" s="321" t="s">
        <v>93</v>
      </c>
      <c r="F129" s="96"/>
      <c r="G129" s="100"/>
      <c r="H129" s="100"/>
      <c r="I129" s="100"/>
      <c r="J129" s="100"/>
      <c r="K129" s="100"/>
      <c r="L129" s="100"/>
      <c r="M129" s="210"/>
      <c r="N129" s="234">
        <f t="shared" si="97"/>
        <v>0</v>
      </c>
      <c r="O129" s="308"/>
      <c r="P129" s="343"/>
      <c r="Q129" s="309"/>
      <c r="R129" s="324" t="s">
        <v>67</v>
      </c>
      <c r="S129" s="96"/>
      <c r="T129" s="100"/>
      <c r="U129" s="100"/>
      <c r="V129" s="100"/>
      <c r="W129" s="100"/>
      <c r="X129" s="100"/>
      <c r="Y129" s="97"/>
      <c r="Z129" s="210"/>
      <c r="AA129" s="234">
        <f t="shared" si="98"/>
        <v>0</v>
      </c>
      <c r="AB129" s="314">
        <f t="shared" si="75"/>
        <v>0</v>
      </c>
      <c r="AC129" s="314"/>
      <c r="AD129" s="314">
        <f t="shared" si="76"/>
        <v>0</v>
      </c>
      <c r="AE129" s="324" t="s">
        <v>87</v>
      </c>
      <c r="AF129" s="82"/>
      <c r="AG129" s="337"/>
      <c r="AH129" s="337"/>
      <c r="AI129" s="337"/>
      <c r="AJ129" s="337"/>
      <c r="AK129" s="337"/>
      <c r="AL129" s="338"/>
      <c r="AM129" s="354"/>
      <c r="AN129" s="91">
        <f t="shared" si="99"/>
        <v>0</v>
      </c>
      <c r="AO129" s="96">
        <f t="shared" si="77"/>
        <v>0</v>
      </c>
      <c r="AP129" s="210"/>
      <c r="AQ129" s="97">
        <f t="shared" si="78"/>
        <v>0</v>
      </c>
      <c r="AR129" s="105"/>
      <c r="AS129" s="102"/>
      <c r="AT129" s="237"/>
      <c r="AU129" s="231"/>
      <c r="AV129" s="93"/>
      <c r="AW129" s="231"/>
      <c r="AX129" s="93"/>
      <c r="AY129" s="231"/>
      <c r="AZ129" s="93"/>
      <c r="BA129" s="17">
        <f t="shared" si="69"/>
        <v>1.29E-5</v>
      </c>
      <c r="BB129" s="17">
        <f t="shared" si="70"/>
        <v>0</v>
      </c>
      <c r="BC129" s="17"/>
      <c r="BD129" s="178">
        <v>120</v>
      </c>
      <c r="BE129" s="214">
        <f t="shared" si="79"/>
        <v>3.0799999999999996E-5</v>
      </c>
      <c r="BF129" s="178">
        <f t="shared" si="71"/>
        <v>0</v>
      </c>
      <c r="BG129" s="245">
        <f t="shared" si="72"/>
        <v>1.29E-5</v>
      </c>
      <c r="BH129" s="17">
        <f t="shared" si="80"/>
        <v>0</v>
      </c>
      <c r="BI129" s="178">
        <v>120</v>
      </c>
      <c r="BJ129" s="87">
        <f t="shared" si="81"/>
        <v>2.9099999999999999E-5</v>
      </c>
      <c r="BK129" s="215">
        <f t="shared" si="73"/>
        <v>0</v>
      </c>
      <c r="BL129" s="245">
        <f t="shared" si="82"/>
        <v>1.29E-5</v>
      </c>
      <c r="BM129" s="17">
        <f t="shared" si="83"/>
        <v>0</v>
      </c>
      <c r="BN129" s="178">
        <v>120</v>
      </c>
      <c r="BO129" s="87">
        <f t="shared" si="84"/>
        <v>2.9099999999999999E-5</v>
      </c>
      <c r="BP129" s="215">
        <f t="shared" si="74"/>
        <v>0</v>
      </c>
      <c r="BR129" s="126"/>
      <c r="BS129" s="126"/>
      <c r="BU129" s="178"/>
      <c r="BV129" s="179" t="str">
        <f t="shared" si="85"/>
        <v/>
      </c>
      <c r="BW129" s="179" t="str">
        <f t="shared" si="86"/>
        <v/>
      </c>
      <c r="BX129" s="179" t="str">
        <f t="shared" si="87"/>
        <v/>
      </c>
      <c r="BY129" s="179" t="str">
        <f t="shared" si="88"/>
        <v/>
      </c>
      <c r="BZ129" s="179" t="str">
        <f t="shared" si="89"/>
        <v/>
      </c>
      <c r="CA129" s="179" t="str">
        <f t="shared" si="90"/>
        <v/>
      </c>
      <c r="CB129" s="179" t="str">
        <f t="shared" si="91"/>
        <v/>
      </c>
      <c r="CC129" s="179" t="str">
        <f t="shared" si="92"/>
        <v/>
      </c>
      <c r="CD129" s="179" t="str">
        <f t="shared" si="93"/>
        <v/>
      </c>
      <c r="CE129" s="179" t="str">
        <f t="shared" si="94"/>
        <v/>
      </c>
      <c r="CF129" s="179" t="str">
        <f t="shared" si="95"/>
        <v/>
      </c>
      <c r="CG129" s="179" t="str">
        <f t="shared" si="96"/>
        <v/>
      </c>
      <c r="CH129" s="166"/>
      <c r="CI129" s="166"/>
      <c r="CJ129" s="166"/>
      <c r="CK129" s="166" t="s">
        <v>150</v>
      </c>
      <c r="CL129" s="166"/>
    </row>
    <row r="130" spans="1:90" ht="14.25" customHeight="1" thickBot="1" x14ac:dyDescent="0.3">
      <c r="A130" s="213">
        <v>120</v>
      </c>
      <c r="B130" s="89"/>
      <c r="C130" s="199"/>
      <c r="D130" s="146"/>
      <c r="E130" s="319" t="s">
        <v>93</v>
      </c>
      <c r="F130" s="221"/>
      <c r="G130" s="222"/>
      <c r="H130" s="222"/>
      <c r="I130" s="222"/>
      <c r="J130" s="222"/>
      <c r="K130" s="222"/>
      <c r="L130" s="222"/>
      <c r="M130" s="331"/>
      <c r="N130" s="303">
        <f t="shared" si="97"/>
        <v>0</v>
      </c>
      <c r="O130" s="304"/>
      <c r="P130" s="341"/>
      <c r="Q130" s="305"/>
      <c r="R130" s="322" t="s">
        <v>67</v>
      </c>
      <c r="S130" s="326"/>
      <c r="T130" s="327"/>
      <c r="U130" s="327"/>
      <c r="V130" s="327"/>
      <c r="W130" s="327"/>
      <c r="X130" s="327"/>
      <c r="Y130" s="95"/>
      <c r="Z130" s="331"/>
      <c r="AA130" s="303">
        <f t="shared" si="98"/>
        <v>0</v>
      </c>
      <c r="AB130" s="314">
        <f t="shared" si="75"/>
        <v>0</v>
      </c>
      <c r="AC130" s="314"/>
      <c r="AD130" s="314">
        <f t="shared" si="76"/>
        <v>0</v>
      </c>
      <c r="AE130" s="325" t="s">
        <v>148</v>
      </c>
      <c r="AF130" s="15"/>
      <c r="AG130" s="232"/>
      <c r="AH130" s="232"/>
      <c r="AI130" s="232"/>
      <c r="AJ130" s="232"/>
      <c r="AK130" s="232"/>
      <c r="AL130" s="7"/>
      <c r="AM130" s="352"/>
      <c r="AN130" s="22">
        <f t="shared" si="99"/>
        <v>0</v>
      </c>
      <c r="AO130" s="15">
        <f t="shared" si="77"/>
        <v>0</v>
      </c>
      <c r="AP130" s="345"/>
      <c r="AQ130" s="7">
        <f t="shared" si="78"/>
        <v>0</v>
      </c>
      <c r="AR130" s="103"/>
      <c r="AS130" s="101"/>
      <c r="AT130" s="236"/>
      <c r="AU130" s="235"/>
      <c r="AV130" s="92"/>
      <c r="AW130" s="235"/>
      <c r="AX130" s="92"/>
      <c r="AY130" s="235"/>
      <c r="AZ130" s="92"/>
      <c r="BA130" s="17">
        <f t="shared" si="69"/>
        <v>1.2999999999999999E-5</v>
      </c>
      <c r="BB130" s="17">
        <f t="shared" si="70"/>
        <v>0</v>
      </c>
      <c r="BC130" s="17"/>
      <c r="BD130" s="178">
        <v>121</v>
      </c>
      <c r="BE130" s="214">
        <f t="shared" si="79"/>
        <v>3.0700000000000001E-5</v>
      </c>
      <c r="BF130" s="178">
        <f t="shared" si="71"/>
        <v>0</v>
      </c>
      <c r="BG130" s="245">
        <f t="shared" si="72"/>
        <v>1.2999999999999999E-5</v>
      </c>
      <c r="BH130" s="17">
        <f t="shared" si="80"/>
        <v>0</v>
      </c>
      <c r="BI130" s="178">
        <v>121</v>
      </c>
      <c r="BJ130" s="87">
        <f t="shared" si="81"/>
        <v>2.9E-5</v>
      </c>
      <c r="BK130" s="215">
        <f t="shared" si="73"/>
        <v>0</v>
      </c>
      <c r="BL130" s="245">
        <f t="shared" si="82"/>
        <v>1.2999999999999999E-5</v>
      </c>
      <c r="BM130" s="17">
        <f t="shared" si="83"/>
        <v>0</v>
      </c>
      <c r="BN130" s="178">
        <v>121</v>
      </c>
      <c r="BO130" s="87">
        <f t="shared" si="84"/>
        <v>2.9E-5</v>
      </c>
      <c r="BP130" s="215">
        <f t="shared" si="74"/>
        <v>0</v>
      </c>
      <c r="BR130" s="126"/>
      <c r="BS130" s="126"/>
      <c r="BU130" s="178"/>
      <c r="BV130" s="179" t="str">
        <f t="shared" si="85"/>
        <v/>
      </c>
      <c r="BW130" s="179" t="str">
        <f t="shared" si="86"/>
        <v/>
      </c>
      <c r="BX130" s="179" t="str">
        <f t="shared" si="87"/>
        <v/>
      </c>
      <c r="BY130" s="179" t="str">
        <f t="shared" si="88"/>
        <v/>
      </c>
      <c r="BZ130" s="179" t="str">
        <f t="shared" si="89"/>
        <v/>
      </c>
      <c r="CA130" s="179" t="str">
        <f t="shared" si="90"/>
        <v/>
      </c>
      <c r="CB130" s="179" t="str">
        <f t="shared" si="91"/>
        <v/>
      </c>
      <c r="CC130" s="179" t="str">
        <f t="shared" si="92"/>
        <v/>
      </c>
      <c r="CD130" s="179" t="str">
        <f t="shared" si="93"/>
        <v/>
      </c>
      <c r="CE130" s="179" t="str">
        <f t="shared" si="94"/>
        <v/>
      </c>
      <c r="CF130" s="179" t="str">
        <f t="shared" si="95"/>
        <v/>
      </c>
      <c r="CG130" s="179" t="str">
        <f t="shared" si="96"/>
        <v/>
      </c>
      <c r="CH130" s="166"/>
      <c r="CI130" s="166"/>
      <c r="CJ130" s="166"/>
      <c r="CK130" s="166" t="s">
        <v>150</v>
      </c>
      <c r="CL130" s="166"/>
    </row>
    <row r="131" spans="1:90" ht="14.25" customHeight="1" x14ac:dyDescent="0.25">
      <c r="A131" s="211">
        <v>121</v>
      </c>
      <c r="B131" s="219"/>
      <c r="C131" s="200"/>
      <c r="D131" s="145"/>
      <c r="E131" s="320" t="s">
        <v>93</v>
      </c>
      <c r="F131" s="209"/>
      <c r="G131" s="313"/>
      <c r="H131" s="313"/>
      <c r="I131" s="313"/>
      <c r="J131" s="313"/>
      <c r="K131" s="313"/>
      <c r="L131" s="313"/>
      <c r="M131" s="339"/>
      <c r="N131" s="233">
        <f t="shared" si="97"/>
        <v>0</v>
      </c>
      <c r="O131" s="306"/>
      <c r="P131" s="342"/>
      <c r="Q131" s="307"/>
      <c r="R131" s="323" t="s">
        <v>67</v>
      </c>
      <c r="S131" s="209"/>
      <c r="T131" s="313"/>
      <c r="U131" s="313"/>
      <c r="V131" s="313"/>
      <c r="W131" s="313"/>
      <c r="X131" s="313"/>
      <c r="Y131" s="125"/>
      <c r="Z131" s="339"/>
      <c r="AA131" s="233">
        <f t="shared" si="98"/>
        <v>0</v>
      </c>
      <c r="AB131" s="314">
        <f t="shared" si="75"/>
        <v>0</v>
      </c>
      <c r="AC131" s="314"/>
      <c r="AD131" s="314">
        <f t="shared" si="76"/>
        <v>0</v>
      </c>
      <c r="AE131" s="323" t="s">
        <v>87</v>
      </c>
      <c r="AF131" s="81"/>
      <c r="AG131" s="335"/>
      <c r="AH131" s="335"/>
      <c r="AI131" s="335"/>
      <c r="AJ131" s="335"/>
      <c r="AK131" s="335"/>
      <c r="AL131" s="336"/>
      <c r="AM131" s="353"/>
      <c r="AN131" s="22">
        <f t="shared" si="99"/>
        <v>0</v>
      </c>
      <c r="AO131" s="209">
        <f t="shared" si="77"/>
        <v>0</v>
      </c>
      <c r="AP131" s="339"/>
      <c r="AQ131" s="125">
        <f t="shared" si="78"/>
        <v>0</v>
      </c>
      <c r="AR131" s="104"/>
      <c r="AS131" s="217"/>
      <c r="AT131" s="216"/>
      <c r="AU131" s="230"/>
      <c r="AV131" s="220"/>
      <c r="AW131" s="230"/>
      <c r="AX131" s="220"/>
      <c r="AY131" s="230"/>
      <c r="AZ131" s="220"/>
      <c r="BA131" s="17">
        <f t="shared" si="69"/>
        <v>1.31E-5</v>
      </c>
      <c r="BB131" s="17">
        <f t="shared" si="70"/>
        <v>0</v>
      </c>
      <c r="BC131" s="17"/>
      <c r="BD131" s="178">
        <v>122</v>
      </c>
      <c r="BE131" s="214">
        <f t="shared" si="79"/>
        <v>3.0599999999999998E-5</v>
      </c>
      <c r="BF131" s="178">
        <f t="shared" si="71"/>
        <v>0</v>
      </c>
      <c r="BG131" s="245">
        <f t="shared" si="72"/>
        <v>1.31E-5</v>
      </c>
      <c r="BH131" s="17">
        <f t="shared" si="80"/>
        <v>0</v>
      </c>
      <c r="BI131" s="178">
        <v>122</v>
      </c>
      <c r="BJ131" s="87">
        <f t="shared" si="81"/>
        <v>2.8899999999999998E-5</v>
      </c>
      <c r="BK131" s="215">
        <f t="shared" si="73"/>
        <v>0</v>
      </c>
      <c r="BL131" s="245">
        <f t="shared" si="82"/>
        <v>1.31E-5</v>
      </c>
      <c r="BM131" s="17">
        <f t="shared" si="83"/>
        <v>0</v>
      </c>
      <c r="BN131" s="178">
        <v>122</v>
      </c>
      <c r="BO131" s="87">
        <f t="shared" si="84"/>
        <v>2.8899999999999998E-5</v>
      </c>
      <c r="BP131" s="215">
        <f t="shared" si="74"/>
        <v>0</v>
      </c>
      <c r="BR131" s="126"/>
      <c r="BS131" s="126"/>
      <c r="BU131" s="178"/>
      <c r="BV131" s="179" t="str">
        <f t="shared" si="85"/>
        <v/>
      </c>
      <c r="BW131" s="179" t="str">
        <f t="shared" si="86"/>
        <v/>
      </c>
      <c r="BX131" s="179" t="str">
        <f t="shared" si="87"/>
        <v/>
      </c>
      <c r="BY131" s="179" t="str">
        <f t="shared" si="88"/>
        <v/>
      </c>
      <c r="BZ131" s="179" t="str">
        <f t="shared" si="89"/>
        <v/>
      </c>
      <c r="CA131" s="179" t="str">
        <f t="shared" si="90"/>
        <v/>
      </c>
      <c r="CB131" s="179" t="str">
        <f t="shared" si="91"/>
        <v/>
      </c>
      <c r="CC131" s="179" t="str">
        <f t="shared" si="92"/>
        <v/>
      </c>
      <c r="CD131" s="179" t="str">
        <f t="shared" si="93"/>
        <v/>
      </c>
      <c r="CE131" s="179" t="str">
        <f t="shared" si="94"/>
        <v/>
      </c>
      <c r="CF131" s="179" t="str">
        <f t="shared" si="95"/>
        <v/>
      </c>
      <c r="CG131" s="179" t="str">
        <f t="shared" si="96"/>
        <v/>
      </c>
      <c r="CH131" s="166"/>
      <c r="CI131" s="166"/>
      <c r="CJ131" s="166"/>
      <c r="CK131" s="166" t="s">
        <v>150</v>
      </c>
      <c r="CL131" s="166"/>
    </row>
    <row r="132" spans="1:90" ht="14.25" customHeight="1" thickBot="1" x14ac:dyDescent="0.3">
      <c r="A132" s="213">
        <v>122</v>
      </c>
      <c r="B132" s="88"/>
      <c r="C132" s="201"/>
      <c r="D132" s="94"/>
      <c r="E132" s="321" t="s">
        <v>93</v>
      </c>
      <c r="F132" s="96"/>
      <c r="G132" s="100"/>
      <c r="H132" s="100"/>
      <c r="I132" s="100"/>
      <c r="J132" s="100"/>
      <c r="K132" s="100"/>
      <c r="L132" s="100"/>
      <c r="M132" s="210"/>
      <c r="N132" s="234">
        <f t="shared" si="97"/>
        <v>0</v>
      </c>
      <c r="O132" s="308"/>
      <c r="P132" s="343"/>
      <c r="Q132" s="309"/>
      <c r="R132" s="324" t="s">
        <v>67</v>
      </c>
      <c r="S132" s="96"/>
      <c r="T132" s="100"/>
      <c r="U132" s="100"/>
      <c r="V132" s="100"/>
      <c r="W132" s="100"/>
      <c r="X132" s="100"/>
      <c r="Y132" s="97"/>
      <c r="Z132" s="210"/>
      <c r="AA132" s="234">
        <f t="shared" si="98"/>
        <v>0</v>
      </c>
      <c r="AB132" s="314">
        <f t="shared" si="75"/>
        <v>0</v>
      </c>
      <c r="AC132" s="314"/>
      <c r="AD132" s="314">
        <f t="shared" si="76"/>
        <v>0</v>
      </c>
      <c r="AE132" s="324" t="s">
        <v>87</v>
      </c>
      <c r="AF132" s="82"/>
      <c r="AG132" s="337"/>
      <c r="AH132" s="337"/>
      <c r="AI132" s="337"/>
      <c r="AJ132" s="337"/>
      <c r="AK132" s="337"/>
      <c r="AL132" s="338"/>
      <c r="AM132" s="354"/>
      <c r="AN132" s="91">
        <f t="shared" si="99"/>
        <v>0</v>
      </c>
      <c r="AO132" s="96">
        <f t="shared" si="77"/>
        <v>0</v>
      </c>
      <c r="AP132" s="210"/>
      <c r="AQ132" s="97">
        <f t="shared" si="78"/>
        <v>0</v>
      </c>
      <c r="AR132" s="105"/>
      <c r="AS132" s="102"/>
      <c r="AT132" s="237"/>
      <c r="AU132" s="231"/>
      <c r="AV132" s="93"/>
      <c r="AW132" s="231"/>
      <c r="AX132" s="93"/>
      <c r="AY132" s="231"/>
      <c r="AZ132" s="93"/>
      <c r="BA132" s="17">
        <f t="shared" si="69"/>
        <v>1.3199999999999999E-5</v>
      </c>
      <c r="BB132" s="17">
        <f t="shared" si="70"/>
        <v>0</v>
      </c>
      <c r="BC132" s="17"/>
      <c r="BD132" s="178">
        <v>123</v>
      </c>
      <c r="BE132" s="214">
        <f t="shared" si="79"/>
        <v>3.0499999999999999E-5</v>
      </c>
      <c r="BF132" s="178">
        <f t="shared" si="71"/>
        <v>0</v>
      </c>
      <c r="BG132" s="245">
        <f t="shared" si="72"/>
        <v>1.3199999999999999E-5</v>
      </c>
      <c r="BH132" s="17">
        <f t="shared" si="80"/>
        <v>0</v>
      </c>
      <c r="BI132" s="178">
        <v>123</v>
      </c>
      <c r="BJ132" s="87">
        <f t="shared" si="81"/>
        <v>2.8799999999999999E-5</v>
      </c>
      <c r="BK132" s="215">
        <f t="shared" si="73"/>
        <v>0</v>
      </c>
      <c r="BL132" s="245">
        <f t="shared" si="82"/>
        <v>1.3199999999999999E-5</v>
      </c>
      <c r="BM132" s="17">
        <f t="shared" si="83"/>
        <v>0</v>
      </c>
      <c r="BN132" s="178">
        <v>123</v>
      </c>
      <c r="BO132" s="87">
        <f t="shared" si="84"/>
        <v>2.8799999999999999E-5</v>
      </c>
      <c r="BP132" s="215">
        <f t="shared" si="74"/>
        <v>0</v>
      </c>
      <c r="BR132" s="126"/>
      <c r="BS132" s="126"/>
      <c r="BU132" s="178"/>
      <c r="BV132" s="179" t="str">
        <f t="shared" si="85"/>
        <v/>
      </c>
      <c r="BW132" s="179" t="str">
        <f t="shared" si="86"/>
        <v/>
      </c>
      <c r="BX132" s="179" t="str">
        <f t="shared" si="87"/>
        <v/>
      </c>
      <c r="BY132" s="179" t="str">
        <f t="shared" si="88"/>
        <v/>
      </c>
      <c r="BZ132" s="179" t="str">
        <f t="shared" si="89"/>
        <v/>
      </c>
      <c r="CA132" s="179" t="str">
        <f t="shared" si="90"/>
        <v/>
      </c>
      <c r="CB132" s="179" t="str">
        <f t="shared" si="91"/>
        <v/>
      </c>
      <c r="CC132" s="179" t="str">
        <f t="shared" si="92"/>
        <v/>
      </c>
      <c r="CD132" s="179" t="str">
        <f t="shared" si="93"/>
        <v/>
      </c>
      <c r="CE132" s="179" t="str">
        <f t="shared" si="94"/>
        <v/>
      </c>
      <c r="CF132" s="179" t="str">
        <f t="shared" si="95"/>
        <v/>
      </c>
      <c r="CG132" s="179" t="str">
        <f t="shared" si="96"/>
        <v/>
      </c>
      <c r="CH132" s="166"/>
      <c r="CI132" s="166"/>
      <c r="CJ132" s="166"/>
      <c r="CK132" s="166" t="s">
        <v>150</v>
      </c>
      <c r="CL132" s="166"/>
    </row>
    <row r="133" spans="1:90" ht="14.25" customHeight="1" x14ac:dyDescent="0.25">
      <c r="A133" s="211">
        <v>123</v>
      </c>
      <c r="B133" s="89"/>
      <c r="C133" s="199"/>
      <c r="D133" s="146"/>
      <c r="E133" s="319" t="s">
        <v>93</v>
      </c>
      <c r="F133" s="221"/>
      <c r="G133" s="222"/>
      <c r="H133" s="222"/>
      <c r="I133" s="222"/>
      <c r="J133" s="222"/>
      <c r="K133" s="222"/>
      <c r="L133" s="222"/>
      <c r="M133" s="331"/>
      <c r="N133" s="303">
        <f t="shared" si="97"/>
        <v>0</v>
      </c>
      <c r="O133" s="304"/>
      <c r="P133" s="341"/>
      <c r="Q133" s="305"/>
      <c r="R133" s="322" t="s">
        <v>67</v>
      </c>
      <c r="S133" s="326"/>
      <c r="T133" s="327"/>
      <c r="U133" s="327"/>
      <c r="V133" s="327"/>
      <c r="W133" s="327"/>
      <c r="X133" s="327"/>
      <c r="Y133" s="95"/>
      <c r="Z133" s="331"/>
      <c r="AA133" s="303">
        <f t="shared" si="98"/>
        <v>0</v>
      </c>
      <c r="AB133" s="314">
        <f t="shared" si="75"/>
        <v>0</v>
      </c>
      <c r="AC133" s="314"/>
      <c r="AD133" s="314">
        <f t="shared" si="76"/>
        <v>0</v>
      </c>
      <c r="AE133" s="325" t="s">
        <v>148</v>
      </c>
      <c r="AF133" s="15"/>
      <c r="AG133" s="232"/>
      <c r="AH133" s="232"/>
      <c r="AI133" s="232"/>
      <c r="AJ133" s="232"/>
      <c r="AK133" s="232"/>
      <c r="AL133" s="7"/>
      <c r="AM133" s="352"/>
      <c r="AN133" s="22">
        <f t="shared" si="99"/>
        <v>0</v>
      </c>
      <c r="AO133" s="15">
        <f t="shared" si="77"/>
        <v>0</v>
      </c>
      <c r="AP133" s="345"/>
      <c r="AQ133" s="7">
        <f t="shared" si="78"/>
        <v>0</v>
      </c>
      <c r="AR133" s="103"/>
      <c r="AS133" s="101"/>
      <c r="AT133" s="236"/>
      <c r="AU133" s="235"/>
      <c r="AV133" s="92"/>
      <c r="AW133" s="235"/>
      <c r="AX133" s="92"/>
      <c r="AY133" s="235"/>
      <c r="AZ133" s="92"/>
      <c r="BA133" s="17">
        <f t="shared" si="69"/>
        <v>1.33E-5</v>
      </c>
      <c r="BB133" s="17">
        <f t="shared" si="70"/>
        <v>0</v>
      </c>
      <c r="BC133" s="17"/>
      <c r="BD133" s="178">
        <v>124</v>
      </c>
      <c r="BE133" s="214">
        <f t="shared" si="79"/>
        <v>3.04E-5</v>
      </c>
      <c r="BF133" s="178">
        <f t="shared" si="71"/>
        <v>0</v>
      </c>
      <c r="BG133" s="245">
        <f t="shared" si="72"/>
        <v>1.33E-5</v>
      </c>
      <c r="BH133" s="17">
        <f t="shared" si="80"/>
        <v>0</v>
      </c>
      <c r="BI133" s="178">
        <v>124</v>
      </c>
      <c r="BJ133" s="87">
        <f t="shared" si="81"/>
        <v>2.87E-5</v>
      </c>
      <c r="BK133" s="215">
        <f t="shared" si="73"/>
        <v>0</v>
      </c>
      <c r="BL133" s="245">
        <f t="shared" si="82"/>
        <v>1.33E-5</v>
      </c>
      <c r="BM133" s="17">
        <f t="shared" si="83"/>
        <v>0</v>
      </c>
      <c r="BN133" s="178">
        <v>124</v>
      </c>
      <c r="BO133" s="87">
        <f t="shared" si="84"/>
        <v>2.87E-5</v>
      </c>
      <c r="BP133" s="215">
        <f t="shared" si="74"/>
        <v>0</v>
      </c>
      <c r="BR133" s="126"/>
      <c r="BS133" s="126"/>
      <c r="BU133" s="178"/>
      <c r="BV133" s="179" t="str">
        <f t="shared" si="85"/>
        <v/>
      </c>
      <c r="BW133" s="179" t="str">
        <f t="shared" si="86"/>
        <v/>
      </c>
      <c r="BX133" s="179" t="str">
        <f t="shared" si="87"/>
        <v/>
      </c>
      <c r="BY133" s="179" t="str">
        <f t="shared" si="88"/>
        <v/>
      </c>
      <c r="BZ133" s="179" t="str">
        <f t="shared" si="89"/>
        <v/>
      </c>
      <c r="CA133" s="179" t="str">
        <f t="shared" si="90"/>
        <v/>
      </c>
      <c r="CB133" s="179" t="str">
        <f t="shared" si="91"/>
        <v/>
      </c>
      <c r="CC133" s="179" t="str">
        <f t="shared" si="92"/>
        <v/>
      </c>
      <c r="CD133" s="179" t="str">
        <f t="shared" si="93"/>
        <v/>
      </c>
      <c r="CE133" s="179" t="str">
        <f t="shared" si="94"/>
        <v/>
      </c>
      <c r="CF133" s="179" t="str">
        <f t="shared" si="95"/>
        <v/>
      </c>
      <c r="CG133" s="179" t="str">
        <f t="shared" si="96"/>
        <v/>
      </c>
      <c r="CH133" s="166"/>
      <c r="CI133" s="166"/>
      <c r="CJ133" s="166"/>
      <c r="CK133" s="166" t="s">
        <v>150</v>
      </c>
      <c r="CL133" s="166"/>
    </row>
    <row r="134" spans="1:90" ht="14.25" customHeight="1" thickBot="1" x14ac:dyDescent="0.3">
      <c r="A134" s="213">
        <v>124</v>
      </c>
      <c r="B134" s="219"/>
      <c r="C134" s="200"/>
      <c r="D134" s="145"/>
      <c r="E134" s="320" t="s">
        <v>93</v>
      </c>
      <c r="F134" s="209"/>
      <c r="G134" s="313"/>
      <c r="H134" s="313"/>
      <c r="I134" s="313"/>
      <c r="J134" s="313"/>
      <c r="K134" s="313"/>
      <c r="L134" s="313"/>
      <c r="M134" s="339"/>
      <c r="N134" s="233">
        <f t="shared" si="97"/>
        <v>0</v>
      </c>
      <c r="O134" s="306"/>
      <c r="P134" s="342"/>
      <c r="Q134" s="307"/>
      <c r="R134" s="323" t="s">
        <v>67</v>
      </c>
      <c r="S134" s="209"/>
      <c r="T134" s="313"/>
      <c r="U134" s="313"/>
      <c r="V134" s="313"/>
      <c r="W134" s="313"/>
      <c r="X134" s="313"/>
      <c r="Y134" s="125"/>
      <c r="Z134" s="339"/>
      <c r="AA134" s="233">
        <f t="shared" si="98"/>
        <v>0</v>
      </c>
      <c r="AB134" s="314">
        <f t="shared" si="75"/>
        <v>0</v>
      </c>
      <c r="AC134" s="314"/>
      <c r="AD134" s="314">
        <f t="shared" si="76"/>
        <v>0</v>
      </c>
      <c r="AE134" s="323" t="s">
        <v>87</v>
      </c>
      <c r="AF134" s="81"/>
      <c r="AG134" s="335"/>
      <c r="AH134" s="335"/>
      <c r="AI134" s="335"/>
      <c r="AJ134" s="335"/>
      <c r="AK134" s="335"/>
      <c r="AL134" s="336"/>
      <c r="AM134" s="353"/>
      <c r="AN134" s="22">
        <f t="shared" si="99"/>
        <v>0</v>
      </c>
      <c r="AO134" s="209">
        <f t="shared" si="77"/>
        <v>0</v>
      </c>
      <c r="AP134" s="339"/>
      <c r="AQ134" s="125">
        <f t="shared" si="78"/>
        <v>0</v>
      </c>
      <c r="AR134" s="104"/>
      <c r="AS134" s="217"/>
      <c r="AT134" s="216"/>
      <c r="AU134" s="230"/>
      <c r="AV134" s="220"/>
      <c r="AW134" s="230"/>
      <c r="AX134" s="220"/>
      <c r="AY134" s="230"/>
      <c r="AZ134" s="220"/>
      <c r="BA134" s="17">
        <f t="shared" si="69"/>
        <v>1.3399999999999999E-5</v>
      </c>
      <c r="BB134" s="17">
        <f t="shared" si="70"/>
        <v>0</v>
      </c>
      <c r="BC134" s="17"/>
      <c r="BD134" s="178">
        <v>125</v>
      </c>
      <c r="BE134" s="214">
        <f t="shared" si="79"/>
        <v>3.0299999999999998E-5</v>
      </c>
      <c r="BF134" s="178">
        <f t="shared" si="71"/>
        <v>0</v>
      </c>
      <c r="BG134" s="245">
        <f t="shared" si="72"/>
        <v>1.3399999999999999E-5</v>
      </c>
      <c r="BH134" s="17">
        <f t="shared" si="80"/>
        <v>0</v>
      </c>
      <c r="BI134" s="178">
        <v>125</v>
      </c>
      <c r="BJ134" s="87">
        <f t="shared" si="81"/>
        <v>2.8599999999999997E-5</v>
      </c>
      <c r="BK134" s="215">
        <f t="shared" si="73"/>
        <v>0</v>
      </c>
      <c r="BL134" s="245">
        <f t="shared" si="82"/>
        <v>1.3399999999999999E-5</v>
      </c>
      <c r="BM134" s="17">
        <f t="shared" si="83"/>
        <v>0</v>
      </c>
      <c r="BN134" s="178">
        <v>125</v>
      </c>
      <c r="BO134" s="87">
        <f t="shared" si="84"/>
        <v>2.8599999999999997E-5</v>
      </c>
      <c r="BP134" s="215">
        <f t="shared" si="74"/>
        <v>0</v>
      </c>
      <c r="BR134" s="126"/>
      <c r="BS134" s="126"/>
      <c r="BU134" s="178"/>
      <c r="BV134" s="179" t="str">
        <f t="shared" si="85"/>
        <v/>
      </c>
      <c r="BW134" s="179" t="str">
        <f t="shared" si="86"/>
        <v/>
      </c>
      <c r="BX134" s="179" t="str">
        <f t="shared" si="87"/>
        <v/>
      </c>
      <c r="BY134" s="179" t="str">
        <f t="shared" si="88"/>
        <v/>
      </c>
      <c r="BZ134" s="179" t="str">
        <f t="shared" si="89"/>
        <v/>
      </c>
      <c r="CA134" s="179" t="str">
        <f t="shared" si="90"/>
        <v/>
      </c>
      <c r="CB134" s="179" t="str">
        <f t="shared" si="91"/>
        <v/>
      </c>
      <c r="CC134" s="179" t="str">
        <f t="shared" si="92"/>
        <v/>
      </c>
      <c r="CD134" s="179" t="str">
        <f t="shared" si="93"/>
        <v/>
      </c>
      <c r="CE134" s="179" t="str">
        <f t="shared" si="94"/>
        <v/>
      </c>
      <c r="CF134" s="179" t="str">
        <f t="shared" si="95"/>
        <v/>
      </c>
      <c r="CG134" s="179" t="str">
        <f t="shared" si="96"/>
        <v/>
      </c>
      <c r="CH134" s="166"/>
      <c r="CI134" s="166"/>
      <c r="CJ134" s="166"/>
      <c r="CK134" s="166" t="s">
        <v>150</v>
      </c>
      <c r="CL134" s="166"/>
    </row>
    <row r="135" spans="1:90" ht="14.25" customHeight="1" thickBot="1" x14ac:dyDescent="0.3">
      <c r="A135" s="211">
        <v>125</v>
      </c>
      <c r="B135" s="88"/>
      <c r="C135" s="201"/>
      <c r="D135" s="94"/>
      <c r="E135" s="321" t="s">
        <v>93</v>
      </c>
      <c r="F135" s="96"/>
      <c r="G135" s="100"/>
      <c r="H135" s="100"/>
      <c r="I135" s="100"/>
      <c r="J135" s="100"/>
      <c r="K135" s="100"/>
      <c r="L135" s="100"/>
      <c r="M135" s="210"/>
      <c r="N135" s="234">
        <f t="shared" si="97"/>
        <v>0</v>
      </c>
      <c r="O135" s="308"/>
      <c r="P135" s="343"/>
      <c r="Q135" s="309"/>
      <c r="R135" s="324" t="s">
        <v>67</v>
      </c>
      <c r="S135" s="96"/>
      <c r="T135" s="100"/>
      <c r="U135" s="100"/>
      <c r="V135" s="100"/>
      <c r="W135" s="100"/>
      <c r="X135" s="100"/>
      <c r="Y135" s="97"/>
      <c r="Z135" s="210"/>
      <c r="AA135" s="234">
        <f t="shared" si="98"/>
        <v>0</v>
      </c>
      <c r="AB135" s="314">
        <f t="shared" si="75"/>
        <v>0</v>
      </c>
      <c r="AC135" s="314"/>
      <c r="AD135" s="314">
        <f t="shared" si="76"/>
        <v>0</v>
      </c>
      <c r="AE135" s="324" t="s">
        <v>87</v>
      </c>
      <c r="AF135" s="82"/>
      <c r="AG135" s="337"/>
      <c r="AH135" s="337"/>
      <c r="AI135" s="337"/>
      <c r="AJ135" s="337"/>
      <c r="AK135" s="337"/>
      <c r="AL135" s="338"/>
      <c r="AM135" s="354"/>
      <c r="AN135" s="91">
        <f t="shared" si="99"/>
        <v>0</v>
      </c>
      <c r="AO135" s="96">
        <f t="shared" si="77"/>
        <v>0</v>
      </c>
      <c r="AP135" s="210"/>
      <c r="AQ135" s="97">
        <f t="shared" si="78"/>
        <v>0</v>
      </c>
      <c r="AR135" s="105"/>
      <c r="AS135" s="102"/>
      <c r="AT135" s="237"/>
      <c r="AU135" s="231"/>
      <c r="AV135" s="93"/>
      <c r="AW135" s="231"/>
      <c r="AX135" s="93"/>
      <c r="AY135" s="231"/>
      <c r="AZ135" s="93"/>
      <c r="BA135" s="17">
        <f t="shared" si="69"/>
        <v>1.3499999999999999E-5</v>
      </c>
      <c r="BB135" s="17">
        <f t="shared" si="70"/>
        <v>0</v>
      </c>
      <c r="BC135" s="17"/>
      <c r="BD135" s="178">
        <v>126</v>
      </c>
      <c r="BE135" s="214">
        <f t="shared" si="79"/>
        <v>3.0199999999999999E-5</v>
      </c>
      <c r="BF135" s="178">
        <f t="shared" si="71"/>
        <v>0</v>
      </c>
      <c r="BG135" s="245">
        <f t="shared" si="72"/>
        <v>1.3499999999999999E-5</v>
      </c>
      <c r="BH135" s="17">
        <f t="shared" si="80"/>
        <v>0</v>
      </c>
      <c r="BI135" s="178">
        <v>126</v>
      </c>
      <c r="BJ135" s="87">
        <f t="shared" si="81"/>
        <v>2.8499999999999998E-5</v>
      </c>
      <c r="BK135" s="215">
        <f t="shared" si="73"/>
        <v>0</v>
      </c>
      <c r="BL135" s="245">
        <f t="shared" si="82"/>
        <v>1.3499999999999999E-5</v>
      </c>
      <c r="BM135" s="17">
        <f t="shared" si="83"/>
        <v>0</v>
      </c>
      <c r="BN135" s="178">
        <v>126</v>
      </c>
      <c r="BO135" s="87">
        <f t="shared" si="84"/>
        <v>2.8499999999999998E-5</v>
      </c>
      <c r="BP135" s="215">
        <f t="shared" si="74"/>
        <v>0</v>
      </c>
      <c r="BR135" s="126"/>
      <c r="BS135" s="126"/>
      <c r="BU135" s="178"/>
      <c r="BV135" s="179" t="str">
        <f t="shared" si="85"/>
        <v/>
      </c>
      <c r="BW135" s="179" t="str">
        <f t="shared" si="86"/>
        <v/>
      </c>
      <c r="BX135" s="179" t="str">
        <f t="shared" si="87"/>
        <v/>
      </c>
      <c r="BY135" s="179" t="str">
        <f t="shared" si="88"/>
        <v/>
      </c>
      <c r="BZ135" s="179" t="str">
        <f t="shared" si="89"/>
        <v/>
      </c>
      <c r="CA135" s="179" t="str">
        <f t="shared" si="90"/>
        <v/>
      </c>
      <c r="CB135" s="179" t="str">
        <f t="shared" si="91"/>
        <v/>
      </c>
      <c r="CC135" s="179" t="str">
        <f t="shared" si="92"/>
        <v/>
      </c>
      <c r="CD135" s="179" t="str">
        <f t="shared" si="93"/>
        <v/>
      </c>
      <c r="CE135" s="179" t="str">
        <f t="shared" si="94"/>
        <v/>
      </c>
      <c r="CF135" s="179" t="str">
        <f t="shared" si="95"/>
        <v/>
      </c>
      <c r="CG135" s="179" t="str">
        <f t="shared" si="96"/>
        <v/>
      </c>
      <c r="CH135" s="166"/>
      <c r="CI135" s="166"/>
      <c r="CJ135" s="166"/>
      <c r="CK135" s="166" t="s">
        <v>150</v>
      </c>
      <c r="CL135" s="166"/>
    </row>
    <row r="136" spans="1:90" ht="14.25" customHeight="1" thickBot="1" x14ac:dyDescent="0.3">
      <c r="A136" s="213">
        <v>126</v>
      </c>
      <c r="B136" s="89"/>
      <c r="C136" s="199"/>
      <c r="D136" s="146"/>
      <c r="E136" s="319" t="s">
        <v>93</v>
      </c>
      <c r="F136" s="221"/>
      <c r="G136" s="222"/>
      <c r="H136" s="222"/>
      <c r="I136" s="222"/>
      <c r="J136" s="222"/>
      <c r="K136" s="222"/>
      <c r="L136" s="222"/>
      <c r="M136" s="331"/>
      <c r="N136" s="303">
        <f t="shared" si="97"/>
        <v>0</v>
      </c>
      <c r="O136" s="304"/>
      <c r="P136" s="341"/>
      <c r="Q136" s="305"/>
      <c r="R136" s="322" t="s">
        <v>67</v>
      </c>
      <c r="S136" s="326"/>
      <c r="T136" s="327"/>
      <c r="U136" s="327"/>
      <c r="V136" s="327"/>
      <c r="W136" s="327"/>
      <c r="X136" s="327"/>
      <c r="Y136" s="95"/>
      <c r="Z136" s="331"/>
      <c r="AA136" s="303">
        <f t="shared" si="98"/>
        <v>0</v>
      </c>
      <c r="AB136" s="314">
        <f t="shared" si="75"/>
        <v>0</v>
      </c>
      <c r="AC136" s="314"/>
      <c r="AD136" s="314">
        <f t="shared" si="76"/>
        <v>0</v>
      </c>
      <c r="AE136" s="325" t="s">
        <v>148</v>
      </c>
      <c r="AF136" s="15"/>
      <c r="AG136" s="232"/>
      <c r="AH136" s="232"/>
      <c r="AI136" s="232"/>
      <c r="AJ136" s="232"/>
      <c r="AK136" s="232"/>
      <c r="AL136" s="7"/>
      <c r="AM136" s="352"/>
      <c r="AN136" s="22">
        <f t="shared" si="99"/>
        <v>0</v>
      </c>
      <c r="AO136" s="15">
        <f t="shared" si="77"/>
        <v>0</v>
      </c>
      <c r="AP136" s="345"/>
      <c r="AQ136" s="7">
        <f t="shared" si="78"/>
        <v>0</v>
      </c>
      <c r="AR136" s="103"/>
      <c r="AS136" s="101"/>
      <c r="AT136" s="236"/>
      <c r="AU136" s="235"/>
      <c r="AV136" s="92"/>
      <c r="AW136" s="235"/>
      <c r="AX136" s="92"/>
      <c r="AY136" s="235"/>
      <c r="AZ136" s="92"/>
      <c r="BA136" s="17">
        <f t="shared" si="69"/>
        <v>1.3599999999999999E-5</v>
      </c>
      <c r="BB136" s="17">
        <f t="shared" si="70"/>
        <v>0</v>
      </c>
      <c r="BC136" s="17"/>
      <c r="BD136" s="178">
        <v>127</v>
      </c>
      <c r="BE136" s="214">
        <f t="shared" si="79"/>
        <v>3.01E-5</v>
      </c>
      <c r="BF136" s="178">
        <f t="shared" si="71"/>
        <v>0</v>
      </c>
      <c r="BG136" s="245">
        <f t="shared" si="72"/>
        <v>1.3599999999999999E-5</v>
      </c>
      <c r="BH136" s="17">
        <f t="shared" si="80"/>
        <v>0</v>
      </c>
      <c r="BI136" s="178">
        <v>127</v>
      </c>
      <c r="BJ136" s="87">
        <f t="shared" si="81"/>
        <v>2.8399999999999999E-5</v>
      </c>
      <c r="BK136" s="215">
        <f t="shared" si="73"/>
        <v>0</v>
      </c>
      <c r="BL136" s="245">
        <f t="shared" si="82"/>
        <v>1.3599999999999999E-5</v>
      </c>
      <c r="BM136" s="17">
        <f t="shared" si="83"/>
        <v>0</v>
      </c>
      <c r="BN136" s="178">
        <v>127</v>
      </c>
      <c r="BO136" s="87">
        <f t="shared" si="84"/>
        <v>2.8399999999999999E-5</v>
      </c>
      <c r="BP136" s="215">
        <f t="shared" si="74"/>
        <v>0</v>
      </c>
      <c r="BR136" s="126"/>
      <c r="BS136" s="126"/>
      <c r="BU136" s="178"/>
      <c r="BV136" s="179" t="str">
        <f t="shared" si="85"/>
        <v/>
      </c>
      <c r="BW136" s="179" t="str">
        <f t="shared" si="86"/>
        <v/>
      </c>
      <c r="BX136" s="179" t="str">
        <f t="shared" si="87"/>
        <v/>
      </c>
      <c r="BY136" s="179" t="str">
        <f t="shared" si="88"/>
        <v/>
      </c>
      <c r="BZ136" s="179" t="str">
        <f t="shared" si="89"/>
        <v/>
      </c>
      <c r="CA136" s="179" t="str">
        <f t="shared" si="90"/>
        <v/>
      </c>
      <c r="CB136" s="179" t="str">
        <f t="shared" si="91"/>
        <v/>
      </c>
      <c r="CC136" s="179" t="str">
        <f t="shared" si="92"/>
        <v/>
      </c>
      <c r="CD136" s="179" t="str">
        <f t="shared" si="93"/>
        <v/>
      </c>
      <c r="CE136" s="179" t="str">
        <f t="shared" si="94"/>
        <v/>
      </c>
      <c r="CF136" s="179" t="str">
        <f t="shared" si="95"/>
        <v/>
      </c>
      <c r="CG136" s="179" t="str">
        <f t="shared" si="96"/>
        <v/>
      </c>
      <c r="CH136" s="166"/>
      <c r="CI136" s="166"/>
      <c r="CJ136" s="166"/>
      <c r="CK136" s="166" t="s">
        <v>150</v>
      </c>
      <c r="CL136" s="166"/>
    </row>
    <row r="137" spans="1:90" ht="14.25" customHeight="1" x14ac:dyDescent="0.25">
      <c r="A137" s="211">
        <v>127</v>
      </c>
      <c r="B137" s="219"/>
      <c r="C137" s="200"/>
      <c r="D137" s="145"/>
      <c r="E137" s="320" t="s">
        <v>93</v>
      </c>
      <c r="F137" s="209"/>
      <c r="G137" s="313"/>
      <c r="H137" s="313"/>
      <c r="I137" s="313"/>
      <c r="J137" s="313"/>
      <c r="K137" s="313"/>
      <c r="L137" s="313"/>
      <c r="M137" s="339"/>
      <c r="N137" s="233">
        <f t="shared" si="97"/>
        <v>0</v>
      </c>
      <c r="O137" s="306"/>
      <c r="P137" s="342"/>
      <c r="Q137" s="307"/>
      <c r="R137" s="323" t="s">
        <v>67</v>
      </c>
      <c r="S137" s="209"/>
      <c r="T137" s="313"/>
      <c r="U137" s="313"/>
      <c r="V137" s="313"/>
      <c r="W137" s="313"/>
      <c r="X137" s="313"/>
      <c r="Y137" s="125"/>
      <c r="Z137" s="339"/>
      <c r="AA137" s="233">
        <f t="shared" si="98"/>
        <v>0</v>
      </c>
      <c r="AB137" s="314">
        <f t="shared" si="75"/>
        <v>0</v>
      </c>
      <c r="AC137" s="314"/>
      <c r="AD137" s="314">
        <f t="shared" si="76"/>
        <v>0</v>
      </c>
      <c r="AE137" s="323" t="s">
        <v>87</v>
      </c>
      <c r="AF137" s="81"/>
      <c r="AG137" s="335"/>
      <c r="AH137" s="335"/>
      <c r="AI137" s="335"/>
      <c r="AJ137" s="335"/>
      <c r="AK137" s="335"/>
      <c r="AL137" s="336"/>
      <c r="AM137" s="353"/>
      <c r="AN137" s="22">
        <f t="shared" si="99"/>
        <v>0</v>
      </c>
      <c r="AO137" s="209">
        <f t="shared" si="77"/>
        <v>0</v>
      </c>
      <c r="AP137" s="339"/>
      <c r="AQ137" s="125">
        <f t="shared" si="78"/>
        <v>0</v>
      </c>
      <c r="AR137" s="104"/>
      <c r="AS137" s="217"/>
      <c r="AT137" s="216"/>
      <c r="AU137" s="230"/>
      <c r="AV137" s="220"/>
      <c r="AW137" s="230"/>
      <c r="AX137" s="220"/>
      <c r="AY137" s="230"/>
      <c r="AZ137" s="220"/>
      <c r="BA137" s="17">
        <f t="shared" si="69"/>
        <v>1.3699999999999999E-5</v>
      </c>
      <c r="BB137" s="17">
        <f t="shared" si="70"/>
        <v>0</v>
      </c>
      <c r="BC137" s="17"/>
      <c r="BD137" s="178">
        <v>128</v>
      </c>
      <c r="BE137" s="214">
        <f t="shared" si="79"/>
        <v>2.9999999999999997E-5</v>
      </c>
      <c r="BF137" s="178">
        <f t="shared" si="71"/>
        <v>0</v>
      </c>
      <c r="BG137" s="245">
        <f t="shared" si="72"/>
        <v>1.3699999999999999E-5</v>
      </c>
      <c r="BH137" s="17">
        <f t="shared" si="80"/>
        <v>0</v>
      </c>
      <c r="BI137" s="178">
        <v>128</v>
      </c>
      <c r="BJ137" s="87">
        <f t="shared" si="81"/>
        <v>2.83E-5</v>
      </c>
      <c r="BK137" s="215">
        <f t="shared" si="73"/>
        <v>0</v>
      </c>
      <c r="BL137" s="245">
        <f t="shared" si="82"/>
        <v>1.3699999999999999E-5</v>
      </c>
      <c r="BM137" s="17">
        <f t="shared" si="83"/>
        <v>0</v>
      </c>
      <c r="BN137" s="178">
        <v>128</v>
      </c>
      <c r="BO137" s="87">
        <f t="shared" si="84"/>
        <v>2.83E-5</v>
      </c>
      <c r="BP137" s="215">
        <f t="shared" si="74"/>
        <v>0</v>
      </c>
      <c r="BR137" s="126"/>
      <c r="BS137" s="126"/>
      <c r="BU137" s="178"/>
      <c r="BV137" s="179" t="str">
        <f t="shared" si="85"/>
        <v/>
      </c>
      <c r="BW137" s="179" t="str">
        <f t="shared" si="86"/>
        <v/>
      </c>
      <c r="BX137" s="179" t="str">
        <f t="shared" si="87"/>
        <v/>
      </c>
      <c r="BY137" s="179" t="str">
        <f t="shared" si="88"/>
        <v/>
      </c>
      <c r="BZ137" s="179" t="str">
        <f t="shared" si="89"/>
        <v/>
      </c>
      <c r="CA137" s="179" t="str">
        <f t="shared" si="90"/>
        <v/>
      </c>
      <c r="CB137" s="179" t="str">
        <f t="shared" si="91"/>
        <v/>
      </c>
      <c r="CC137" s="179" t="str">
        <f t="shared" si="92"/>
        <v/>
      </c>
      <c r="CD137" s="179" t="str">
        <f t="shared" si="93"/>
        <v/>
      </c>
      <c r="CE137" s="179" t="str">
        <f t="shared" si="94"/>
        <v/>
      </c>
      <c r="CF137" s="179" t="str">
        <f t="shared" si="95"/>
        <v/>
      </c>
      <c r="CG137" s="179" t="str">
        <f t="shared" si="96"/>
        <v/>
      </c>
      <c r="CH137" s="166"/>
      <c r="CI137" s="166"/>
      <c r="CJ137" s="166"/>
      <c r="CK137" s="166" t="s">
        <v>150</v>
      </c>
      <c r="CL137" s="166"/>
    </row>
    <row r="138" spans="1:90" ht="14.25" customHeight="1" thickBot="1" x14ac:dyDescent="0.3">
      <c r="A138" s="213">
        <v>128</v>
      </c>
      <c r="B138" s="88"/>
      <c r="C138" s="201"/>
      <c r="D138" s="94"/>
      <c r="E138" s="321" t="s">
        <v>93</v>
      </c>
      <c r="F138" s="96"/>
      <c r="G138" s="100"/>
      <c r="H138" s="100"/>
      <c r="I138" s="100"/>
      <c r="J138" s="100"/>
      <c r="K138" s="100"/>
      <c r="L138" s="100"/>
      <c r="M138" s="210"/>
      <c r="N138" s="234">
        <f t="shared" si="97"/>
        <v>0</v>
      </c>
      <c r="O138" s="308"/>
      <c r="P138" s="343"/>
      <c r="Q138" s="309"/>
      <c r="R138" s="324" t="s">
        <v>67</v>
      </c>
      <c r="S138" s="96"/>
      <c r="T138" s="100"/>
      <c r="U138" s="100"/>
      <c r="V138" s="100"/>
      <c r="W138" s="100"/>
      <c r="X138" s="100"/>
      <c r="Y138" s="97"/>
      <c r="Z138" s="210"/>
      <c r="AA138" s="234">
        <f t="shared" si="98"/>
        <v>0</v>
      </c>
      <c r="AB138" s="314">
        <f t="shared" si="75"/>
        <v>0</v>
      </c>
      <c r="AC138" s="314"/>
      <c r="AD138" s="314">
        <f t="shared" si="76"/>
        <v>0</v>
      </c>
      <c r="AE138" s="324" t="s">
        <v>87</v>
      </c>
      <c r="AF138" s="82"/>
      <c r="AG138" s="337"/>
      <c r="AH138" s="337"/>
      <c r="AI138" s="337"/>
      <c r="AJ138" s="337"/>
      <c r="AK138" s="337"/>
      <c r="AL138" s="338"/>
      <c r="AM138" s="354"/>
      <c r="AN138" s="91">
        <f t="shared" si="99"/>
        <v>0</v>
      </c>
      <c r="AO138" s="96">
        <f t="shared" si="77"/>
        <v>0</v>
      </c>
      <c r="AP138" s="210"/>
      <c r="AQ138" s="97">
        <f t="shared" si="78"/>
        <v>0</v>
      </c>
      <c r="AR138" s="105"/>
      <c r="AS138" s="102"/>
      <c r="AT138" s="237"/>
      <c r="AU138" s="231"/>
      <c r="AV138" s="93"/>
      <c r="AW138" s="231"/>
      <c r="AX138" s="93"/>
      <c r="AY138" s="231"/>
      <c r="AZ138" s="93"/>
      <c r="BA138" s="17">
        <f t="shared" ref="BA138:BA201" si="100">N138+ROW()*0.0000001</f>
        <v>1.38E-5</v>
      </c>
      <c r="BB138" s="17">
        <f t="shared" ref="BB138:BB201" si="101">B138</f>
        <v>0</v>
      </c>
      <c r="BC138" s="17"/>
      <c r="BD138" s="178">
        <v>129</v>
      </c>
      <c r="BE138" s="214">
        <f t="shared" si="79"/>
        <v>2.9899999999999998E-5</v>
      </c>
      <c r="BF138" s="178">
        <f t="shared" ref="BF138:BF201" si="102">IFERROR(VLOOKUP(BE138,الترتيب1,2,0),"")</f>
        <v>0</v>
      </c>
      <c r="BG138" s="245">
        <f t="shared" ref="BG138:BG201" si="103">AA138+ROW()*0.0000001</f>
        <v>1.38E-5</v>
      </c>
      <c r="BH138" s="17">
        <f t="shared" si="80"/>
        <v>0</v>
      </c>
      <c r="BI138" s="178">
        <v>129</v>
      </c>
      <c r="BJ138" s="87">
        <f t="shared" si="81"/>
        <v>2.8199999999999998E-5</v>
      </c>
      <c r="BK138" s="215">
        <f t="shared" ref="BK138:BK201" si="104">IFERROR(VLOOKUP(BJ138,الترتيب2,2,0),"")</f>
        <v>0</v>
      </c>
      <c r="BL138" s="245">
        <f t="shared" si="82"/>
        <v>1.38E-5</v>
      </c>
      <c r="BM138" s="17">
        <f t="shared" si="83"/>
        <v>0</v>
      </c>
      <c r="BN138" s="178">
        <v>129</v>
      </c>
      <c r="BO138" s="87">
        <f t="shared" si="84"/>
        <v>2.8199999999999998E-5</v>
      </c>
      <c r="BP138" s="215">
        <f t="shared" ref="BP138:BP201" si="105">IFERROR(VLOOKUP(BO138,الترتيب3,2,0),"")</f>
        <v>0</v>
      </c>
      <c r="BR138" s="126"/>
      <c r="BS138" s="126"/>
      <c r="BU138" s="178"/>
      <c r="BV138" s="179" t="str">
        <f t="shared" si="85"/>
        <v/>
      </c>
      <c r="BW138" s="179" t="str">
        <f t="shared" si="86"/>
        <v/>
      </c>
      <c r="BX138" s="179" t="str">
        <f t="shared" si="87"/>
        <v/>
      </c>
      <c r="BY138" s="179" t="str">
        <f t="shared" si="88"/>
        <v/>
      </c>
      <c r="BZ138" s="179" t="str">
        <f t="shared" si="89"/>
        <v/>
      </c>
      <c r="CA138" s="179" t="str">
        <f t="shared" si="90"/>
        <v/>
      </c>
      <c r="CB138" s="179" t="str">
        <f t="shared" si="91"/>
        <v/>
      </c>
      <c r="CC138" s="179" t="str">
        <f t="shared" si="92"/>
        <v/>
      </c>
      <c r="CD138" s="179" t="str">
        <f t="shared" si="93"/>
        <v/>
      </c>
      <c r="CE138" s="179" t="str">
        <f t="shared" si="94"/>
        <v/>
      </c>
      <c r="CF138" s="179" t="str">
        <f t="shared" si="95"/>
        <v/>
      </c>
      <c r="CG138" s="179" t="str">
        <f t="shared" si="96"/>
        <v/>
      </c>
      <c r="CH138" s="166"/>
      <c r="CI138" s="166"/>
      <c r="CJ138" s="166"/>
      <c r="CK138" s="166" t="s">
        <v>150</v>
      </c>
      <c r="CL138" s="166"/>
    </row>
    <row r="139" spans="1:90" ht="14.25" customHeight="1" x14ac:dyDescent="0.25">
      <c r="A139" s="211">
        <v>129</v>
      </c>
      <c r="B139" s="89"/>
      <c r="C139" s="199"/>
      <c r="D139" s="146"/>
      <c r="E139" s="319" t="s">
        <v>93</v>
      </c>
      <c r="F139" s="221"/>
      <c r="G139" s="222"/>
      <c r="H139" s="222"/>
      <c r="I139" s="222"/>
      <c r="J139" s="222"/>
      <c r="K139" s="222"/>
      <c r="L139" s="222"/>
      <c r="M139" s="331"/>
      <c r="N139" s="303">
        <f t="shared" si="97"/>
        <v>0</v>
      </c>
      <c r="O139" s="304"/>
      <c r="P139" s="341"/>
      <c r="Q139" s="305"/>
      <c r="R139" s="322" t="s">
        <v>67</v>
      </c>
      <c r="S139" s="326"/>
      <c r="T139" s="327"/>
      <c r="U139" s="327"/>
      <c r="V139" s="327"/>
      <c r="W139" s="327"/>
      <c r="X139" s="327"/>
      <c r="Y139" s="95"/>
      <c r="Z139" s="331"/>
      <c r="AA139" s="303">
        <f t="shared" si="98"/>
        <v>0</v>
      </c>
      <c r="AB139" s="314">
        <f t="shared" ref="AB139:AB202" si="106">O139</f>
        <v>0</v>
      </c>
      <c r="AC139" s="314"/>
      <c r="AD139" s="314">
        <f t="shared" ref="AD139:AD202" si="107">Q139</f>
        <v>0</v>
      </c>
      <c r="AE139" s="325" t="s">
        <v>148</v>
      </c>
      <c r="AF139" s="15"/>
      <c r="AG139" s="232"/>
      <c r="AH139" s="232"/>
      <c r="AI139" s="232"/>
      <c r="AJ139" s="232"/>
      <c r="AK139" s="232"/>
      <c r="AL139" s="7"/>
      <c r="AM139" s="352"/>
      <c r="AN139" s="22">
        <f t="shared" si="99"/>
        <v>0</v>
      </c>
      <c r="AO139" s="15">
        <f t="shared" ref="AO139:AO202" si="108">AB139</f>
        <v>0</v>
      </c>
      <c r="AP139" s="345"/>
      <c r="AQ139" s="7">
        <f t="shared" ref="AQ139:AQ202" si="109">AD139</f>
        <v>0</v>
      </c>
      <c r="AR139" s="103"/>
      <c r="AS139" s="101"/>
      <c r="AT139" s="236"/>
      <c r="AU139" s="235"/>
      <c r="AV139" s="92"/>
      <c r="AW139" s="235"/>
      <c r="AX139" s="92"/>
      <c r="AY139" s="235"/>
      <c r="AZ139" s="92"/>
      <c r="BA139" s="17">
        <f t="shared" si="100"/>
        <v>1.3899999999999999E-5</v>
      </c>
      <c r="BB139" s="17">
        <f t="shared" si="101"/>
        <v>0</v>
      </c>
      <c r="BC139" s="17"/>
      <c r="BD139" s="178">
        <v>130</v>
      </c>
      <c r="BE139" s="214">
        <f t="shared" ref="BE139:BE202" si="110">IFERROR(LARGE($BA$11:$BA$410,BD139),"")</f>
        <v>2.9799999999999999E-5</v>
      </c>
      <c r="BF139" s="178">
        <f t="shared" si="102"/>
        <v>0</v>
      </c>
      <c r="BG139" s="245">
        <f t="shared" si="103"/>
        <v>1.3899999999999999E-5</v>
      </c>
      <c r="BH139" s="17">
        <f t="shared" ref="BH139:BH202" si="111">BB139</f>
        <v>0</v>
      </c>
      <c r="BI139" s="178">
        <v>130</v>
      </c>
      <c r="BJ139" s="87">
        <f t="shared" ref="BJ139:BJ202" si="112">IFERROR(LARGE($BG$11:$BG$410,BI139),"")</f>
        <v>2.8099999999999999E-5</v>
      </c>
      <c r="BK139" s="215">
        <f t="shared" si="104"/>
        <v>0</v>
      </c>
      <c r="BL139" s="245">
        <f t="shared" ref="BL139:BL202" si="113">AN139+ROW()*0.0000001</f>
        <v>1.3899999999999999E-5</v>
      </c>
      <c r="BM139" s="17">
        <f t="shared" ref="BM139:BM202" si="114">BH139</f>
        <v>0</v>
      </c>
      <c r="BN139" s="178">
        <v>130</v>
      </c>
      <c r="BO139" s="87">
        <f t="shared" ref="BO139:BO202" si="115">IFERROR(LARGE($BL$11:$BL$410,BN139),"")</f>
        <v>2.8099999999999999E-5</v>
      </c>
      <c r="BP139" s="215">
        <f t="shared" si="105"/>
        <v>0</v>
      </c>
      <c r="BR139" s="126"/>
      <c r="BS139" s="126"/>
      <c r="BU139" s="178"/>
      <c r="BV139" s="179" t="str">
        <f t="shared" ref="BV139:BV202" si="116">MID($BT139,12,1)</f>
        <v/>
      </c>
      <c r="BW139" s="179" t="str">
        <f t="shared" ref="BW139:BW202" si="117">MID($BT139,11,1)</f>
        <v/>
      </c>
      <c r="BX139" s="179" t="str">
        <f t="shared" ref="BX139:BX202" si="118">MID($BT139,10,1)</f>
        <v/>
      </c>
      <c r="BY139" s="179" t="str">
        <f t="shared" ref="BY139:BY202" si="119">MID($BT139,9,1)</f>
        <v/>
      </c>
      <c r="BZ139" s="179" t="str">
        <f t="shared" ref="BZ139:BZ202" si="120">MID($BT139,8,1)</f>
        <v/>
      </c>
      <c r="CA139" s="179" t="str">
        <f t="shared" ref="CA139:CA202" si="121">MID($BT139,7,1)</f>
        <v/>
      </c>
      <c r="CB139" s="179" t="str">
        <f t="shared" ref="CB139:CB202" si="122">MID($BT139,6,1)</f>
        <v/>
      </c>
      <c r="CC139" s="179" t="str">
        <f t="shared" ref="CC139:CC202" si="123">MID($BT139,5,1)</f>
        <v/>
      </c>
      <c r="CD139" s="179" t="str">
        <f t="shared" ref="CD139:CD202" si="124">MID($BT139,4,1)</f>
        <v/>
      </c>
      <c r="CE139" s="179" t="str">
        <f t="shared" ref="CE139:CE202" si="125">MID($BT139,3,1)</f>
        <v/>
      </c>
      <c r="CF139" s="179" t="str">
        <f t="shared" ref="CF139:CF202" si="126">MID($BT139,2,1)</f>
        <v/>
      </c>
      <c r="CG139" s="179" t="str">
        <f t="shared" ref="CG139:CG202" si="127">MID($BT139,1,1)</f>
        <v/>
      </c>
      <c r="CH139" s="166"/>
      <c r="CI139" s="166"/>
      <c r="CJ139" s="166"/>
      <c r="CK139" s="166" t="s">
        <v>150</v>
      </c>
      <c r="CL139" s="166"/>
    </row>
    <row r="140" spans="1:90" ht="14.25" customHeight="1" thickBot="1" x14ac:dyDescent="0.3">
      <c r="A140" s="213">
        <v>130</v>
      </c>
      <c r="B140" s="219"/>
      <c r="C140" s="200"/>
      <c r="D140" s="145"/>
      <c r="E140" s="320" t="s">
        <v>93</v>
      </c>
      <c r="F140" s="209"/>
      <c r="G140" s="313"/>
      <c r="H140" s="313"/>
      <c r="I140" s="313"/>
      <c r="J140" s="313"/>
      <c r="K140" s="313"/>
      <c r="L140" s="313"/>
      <c r="M140" s="339"/>
      <c r="N140" s="233">
        <f t="shared" si="97"/>
        <v>0</v>
      </c>
      <c r="O140" s="306"/>
      <c r="P140" s="342"/>
      <c r="Q140" s="307"/>
      <c r="R140" s="323" t="s">
        <v>67</v>
      </c>
      <c r="S140" s="209"/>
      <c r="T140" s="313"/>
      <c r="U140" s="313"/>
      <c r="V140" s="313"/>
      <c r="W140" s="313"/>
      <c r="X140" s="313"/>
      <c r="Y140" s="125"/>
      <c r="Z140" s="339"/>
      <c r="AA140" s="233">
        <f t="shared" si="98"/>
        <v>0</v>
      </c>
      <c r="AB140" s="314">
        <f t="shared" si="106"/>
        <v>0</v>
      </c>
      <c r="AC140" s="314"/>
      <c r="AD140" s="314">
        <f t="shared" si="107"/>
        <v>0</v>
      </c>
      <c r="AE140" s="323" t="s">
        <v>87</v>
      </c>
      <c r="AF140" s="81"/>
      <c r="AG140" s="335"/>
      <c r="AH140" s="335"/>
      <c r="AI140" s="335"/>
      <c r="AJ140" s="335"/>
      <c r="AK140" s="335"/>
      <c r="AL140" s="336"/>
      <c r="AM140" s="353"/>
      <c r="AN140" s="22">
        <f t="shared" si="99"/>
        <v>0</v>
      </c>
      <c r="AO140" s="209">
        <f t="shared" si="108"/>
        <v>0</v>
      </c>
      <c r="AP140" s="339"/>
      <c r="AQ140" s="125">
        <f t="shared" si="109"/>
        <v>0</v>
      </c>
      <c r="AR140" s="104"/>
      <c r="AS140" s="217"/>
      <c r="AT140" s="216"/>
      <c r="AU140" s="230"/>
      <c r="AV140" s="220"/>
      <c r="AW140" s="230"/>
      <c r="AX140" s="220"/>
      <c r="AY140" s="230"/>
      <c r="AZ140" s="220"/>
      <c r="BA140" s="17">
        <f t="shared" si="100"/>
        <v>1.4E-5</v>
      </c>
      <c r="BB140" s="17">
        <f t="shared" si="101"/>
        <v>0</v>
      </c>
      <c r="BC140" s="17"/>
      <c r="BD140" s="178">
        <v>131</v>
      </c>
      <c r="BE140" s="214">
        <f t="shared" si="110"/>
        <v>2.97E-5</v>
      </c>
      <c r="BF140" s="178">
        <f t="shared" si="102"/>
        <v>0</v>
      </c>
      <c r="BG140" s="245">
        <f t="shared" si="103"/>
        <v>1.4E-5</v>
      </c>
      <c r="BH140" s="17">
        <f t="shared" si="111"/>
        <v>0</v>
      </c>
      <c r="BI140" s="178">
        <v>131</v>
      </c>
      <c r="BJ140" s="87">
        <f t="shared" si="112"/>
        <v>2.8E-5</v>
      </c>
      <c r="BK140" s="215">
        <f t="shared" si="104"/>
        <v>0</v>
      </c>
      <c r="BL140" s="245">
        <f t="shared" si="113"/>
        <v>1.4E-5</v>
      </c>
      <c r="BM140" s="17">
        <f t="shared" si="114"/>
        <v>0</v>
      </c>
      <c r="BN140" s="178">
        <v>131</v>
      </c>
      <c r="BO140" s="87">
        <f t="shared" si="115"/>
        <v>2.8E-5</v>
      </c>
      <c r="BP140" s="215">
        <f t="shared" si="105"/>
        <v>0</v>
      </c>
      <c r="BR140" s="126"/>
      <c r="BS140" s="126"/>
      <c r="BU140" s="178"/>
      <c r="BV140" s="179" t="str">
        <f t="shared" si="116"/>
        <v/>
      </c>
      <c r="BW140" s="179" t="str">
        <f t="shared" si="117"/>
        <v/>
      </c>
      <c r="BX140" s="179" t="str">
        <f t="shared" si="118"/>
        <v/>
      </c>
      <c r="BY140" s="179" t="str">
        <f t="shared" si="119"/>
        <v/>
      </c>
      <c r="BZ140" s="179" t="str">
        <f t="shared" si="120"/>
        <v/>
      </c>
      <c r="CA140" s="179" t="str">
        <f t="shared" si="121"/>
        <v/>
      </c>
      <c r="CB140" s="179" t="str">
        <f t="shared" si="122"/>
        <v/>
      </c>
      <c r="CC140" s="179" t="str">
        <f t="shared" si="123"/>
        <v/>
      </c>
      <c r="CD140" s="179" t="str">
        <f t="shared" si="124"/>
        <v/>
      </c>
      <c r="CE140" s="179" t="str">
        <f t="shared" si="125"/>
        <v/>
      </c>
      <c r="CF140" s="179" t="str">
        <f t="shared" si="126"/>
        <v/>
      </c>
      <c r="CG140" s="179" t="str">
        <f t="shared" si="127"/>
        <v/>
      </c>
      <c r="CH140" s="166"/>
      <c r="CI140" s="166"/>
      <c r="CJ140" s="166"/>
      <c r="CK140" s="166" t="s">
        <v>150</v>
      </c>
      <c r="CL140" s="166"/>
    </row>
    <row r="141" spans="1:90" ht="14.25" customHeight="1" thickBot="1" x14ac:dyDescent="0.3">
      <c r="A141" s="211">
        <v>131</v>
      </c>
      <c r="B141" s="88"/>
      <c r="C141" s="201"/>
      <c r="D141" s="94"/>
      <c r="E141" s="321" t="s">
        <v>93</v>
      </c>
      <c r="F141" s="96"/>
      <c r="G141" s="100"/>
      <c r="H141" s="100"/>
      <c r="I141" s="100"/>
      <c r="J141" s="100"/>
      <c r="K141" s="100"/>
      <c r="L141" s="100"/>
      <c r="M141" s="210"/>
      <c r="N141" s="234">
        <f t="shared" ref="N141:N204" si="128">SUM(F141:L141)</f>
        <v>0</v>
      </c>
      <c r="O141" s="308"/>
      <c r="P141" s="343"/>
      <c r="Q141" s="309"/>
      <c r="R141" s="324" t="s">
        <v>67</v>
      </c>
      <c r="S141" s="96"/>
      <c r="T141" s="100"/>
      <c r="U141" s="100"/>
      <c r="V141" s="100"/>
      <c r="W141" s="100"/>
      <c r="X141" s="100"/>
      <c r="Y141" s="97"/>
      <c r="Z141" s="210"/>
      <c r="AA141" s="234">
        <f t="shared" ref="AA141:AA204" si="129">SUM(S141:Y141)</f>
        <v>0</v>
      </c>
      <c r="AB141" s="314">
        <f t="shared" si="106"/>
        <v>0</v>
      </c>
      <c r="AC141" s="314"/>
      <c r="AD141" s="314">
        <f t="shared" si="107"/>
        <v>0</v>
      </c>
      <c r="AE141" s="324" t="s">
        <v>87</v>
      </c>
      <c r="AF141" s="82"/>
      <c r="AG141" s="337"/>
      <c r="AH141" s="337"/>
      <c r="AI141" s="337"/>
      <c r="AJ141" s="337"/>
      <c r="AK141" s="337"/>
      <c r="AL141" s="338"/>
      <c r="AM141" s="354"/>
      <c r="AN141" s="91">
        <f t="shared" ref="AN141:AN204" si="130">SUM(AF141:AL141)</f>
        <v>0</v>
      </c>
      <c r="AO141" s="96">
        <f t="shared" si="108"/>
        <v>0</v>
      </c>
      <c r="AP141" s="210"/>
      <c r="AQ141" s="97">
        <f t="shared" si="109"/>
        <v>0</v>
      </c>
      <c r="AR141" s="105"/>
      <c r="AS141" s="102"/>
      <c r="AT141" s="237"/>
      <c r="AU141" s="231"/>
      <c r="AV141" s="93"/>
      <c r="AW141" s="231"/>
      <c r="AX141" s="93"/>
      <c r="AY141" s="231"/>
      <c r="AZ141" s="93"/>
      <c r="BA141" s="17">
        <f t="shared" si="100"/>
        <v>1.4099999999999999E-5</v>
      </c>
      <c r="BB141" s="17">
        <f t="shared" si="101"/>
        <v>0</v>
      </c>
      <c r="BC141" s="17"/>
      <c r="BD141" s="178">
        <v>132</v>
      </c>
      <c r="BE141" s="214">
        <f t="shared" si="110"/>
        <v>2.9599999999999998E-5</v>
      </c>
      <c r="BF141" s="178">
        <f t="shared" si="102"/>
        <v>0</v>
      </c>
      <c r="BG141" s="245">
        <f t="shared" si="103"/>
        <v>1.4099999999999999E-5</v>
      </c>
      <c r="BH141" s="17">
        <f t="shared" si="111"/>
        <v>0</v>
      </c>
      <c r="BI141" s="178">
        <v>132</v>
      </c>
      <c r="BJ141" s="87">
        <f t="shared" si="112"/>
        <v>2.7899999999999997E-5</v>
      </c>
      <c r="BK141" s="215">
        <f t="shared" si="104"/>
        <v>0</v>
      </c>
      <c r="BL141" s="245">
        <f t="shared" si="113"/>
        <v>1.4099999999999999E-5</v>
      </c>
      <c r="BM141" s="17">
        <f t="shared" si="114"/>
        <v>0</v>
      </c>
      <c r="BN141" s="178">
        <v>132</v>
      </c>
      <c r="BO141" s="87">
        <f t="shared" si="115"/>
        <v>2.7899999999999997E-5</v>
      </c>
      <c r="BP141" s="215">
        <f t="shared" si="105"/>
        <v>0</v>
      </c>
      <c r="BR141" s="126"/>
      <c r="BS141" s="126"/>
      <c r="BU141" s="178"/>
      <c r="BV141" s="179" t="str">
        <f t="shared" si="116"/>
        <v/>
      </c>
      <c r="BW141" s="179" t="str">
        <f t="shared" si="117"/>
        <v/>
      </c>
      <c r="BX141" s="179" t="str">
        <f t="shared" si="118"/>
        <v/>
      </c>
      <c r="BY141" s="179" t="str">
        <f t="shared" si="119"/>
        <v/>
      </c>
      <c r="BZ141" s="179" t="str">
        <f t="shared" si="120"/>
        <v/>
      </c>
      <c r="CA141" s="179" t="str">
        <f t="shared" si="121"/>
        <v/>
      </c>
      <c r="CB141" s="179" t="str">
        <f t="shared" si="122"/>
        <v/>
      </c>
      <c r="CC141" s="179" t="str">
        <f t="shared" si="123"/>
        <v/>
      </c>
      <c r="CD141" s="179" t="str">
        <f t="shared" si="124"/>
        <v/>
      </c>
      <c r="CE141" s="179" t="str">
        <f t="shared" si="125"/>
        <v/>
      </c>
      <c r="CF141" s="179" t="str">
        <f t="shared" si="126"/>
        <v/>
      </c>
      <c r="CG141" s="179" t="str">
        <f t="shared" si="127"/>
        <v/>
      </c>
      <c r="CH141" s="166"/>
      <c r="CI141" s="166"/>
      <c r="CJ141" s="166"/>
      <c r="CK141" s="166" t="s">
        <v>150</v>
      </c>
      <c r="CL141" s="166"/>
    </row>
    <row r="142" spans="1:90" ht="14.25" customHeight="1" thickBot="1" x14ac:dyDescent="0.3">
      <c r="A142" s="213">
        <v>132</v>
      </c>
      <c r="B142" s="89"/>
      <c r="C142" s="199"/>
      <c r="D142" s="146"/>
      <c r="E142" s="319" t="s">
        <v>93</v>
      </c>
      <c r="F142" s="221"/>
      <c r="G142" s="222"/>
      <c r="H142" s="222"/>
      <c r="I142" s="222"/>
      <c r="J142" s="222"/>
      <c r="K142" s="222"/>
      <c r="L142" s="222"/>
      <c r="M142" s="331"/>
      <c r="N142" s="303">
        <f t="shared" si="128"/>
        <v>0</v>
      </c>
      <c r="O142" s="304"/>
      <c r="P142" s="341"/>
      <c r="Q142" s="305"/>
      <c r="R142" s="322" t="s">
        <v>67</v>
      </c>
      <c r="S142" s="326"/>
      <c r="T142" s="327"/>
      <c r="U142" s="327"/>
      <c r="V142" s="327"/>
      <c r="W142" s="327"/>
      <c r="X142" s="327"/>
      <c r="Y142" s="95"/>
      <c r="Z142" s="331"/>
      <c r="AA142" s="303">
        <f t="shared" si="129"/>
        <v>0</v>
      </c>
      <c r="AB142" s="314">
        <f t="shared" si="106"/>
        <v>0</v>
      </c>
      <c r="AC142" s="314"/>
      <c r="AD142" s="314">
        <f t="shared" si="107"/>
        <v>0</v>
      </c>
      <c r="AE142" s="325" t="s">
        <v>148</v>
      </c>
      <c r="AF142" s="15"/>
      <c r="AG142" s="232"/>
      <c r="AH142" s="232"/>
      <c r="AI142" s="232"/>
      <c r="AJ142" s="232"/>
      <c r="AK142" s="232"/>
      <c r="AL142" s="7"/>
      <c r="AM142" s="352"/>
      <c r="AN142" s="22">
        <f t="shared" si="130"/>
        <v>0</v>
      </c>
      <c r="AO142" s="15">
        <f t="shared" si="108"/>
        <v>0</v>
      </c>
      <c r="AP142" s="345"/>
      <c r="AQ142" s="7">
        <f t="shared" si="109"/>
        <v>0</v>
      </c>
      <c r="AR142" s="103"/>
      <c r="AS142" s="101"/>
      <c r="AT142" s="236"/>
      <c r="AU142" s="235"/>
      <c r="AV142" s="92"/>
      <c r="AW142" s="235"/>
      <c r="AX142" s="92"/>
      <c r="AY142" s="235"/>
      <c r="AZ142" s="92"/>
      <c r="BA142" s="17">
        <f t="shared" si="100"/>
        <v>1.42E-5</v>
      </c>
      <c r="BB142" s="17">
        <f t="shared" si="101"/>
        <v>0</v>
      </c>
      <c r="BC142" s="17"/>
      <c r="BD142" s="178">
        <v>133</v>
      </c>
      <c r="BE142" s="214">
        <f t="shared" si="110"/>
        <v>2.9499999999999999E-5</v>
      </c>
      <c r="BF142" s="178">
        <f t="shared" si="102"/>
        <v>0</v>
      </c>
      <c r="BG142" s="245">
        <f t="shared" si="103"/>
        <v>1.42E-5</v>
      </c>
      <c r="BH142" s="17">
        <f t="shared" si="111"/>
        <v>0</v>
      </c>
      <c r="BI142" s="178">
        <v>133</v>
      </c>
      <c r="BJ142" s="87">
        <f t="shared" si="112"/>
        <v>2.7799999999999998E-5</v>
      </c>
      <c r="BK142" s="215">
        <f t="shared" si="104"/>
        <v>0</v>
      </c>
      <c r="BL142" s="245">
        <f t="shared" si="113"/>
        <v>1.42E-5</v>
      </c>
      <c r="BM142" s="17">
        <f t="shared" si="114"/>
        <v>0</v>
      </c>
      <c r="BN142" s="178">
        <v>133</v>
      </c>
      <c r="BO142" s="87">
        <f t="shared" si="115"/>
        <v>2.7799999999999998E-5</v>
      </c>
      <c r="BP142" s="215">
        <f t="shared" si="105"/>
        <v>0</v>
      </c>
      <c r="BR142" s="126"/>
      <c r="BS142" s="126"/>
      <c r="BU142" s="178"/>
      <c r="BV142" s="179" t="str">
        <f t="shared" si="116"/>
        <v/>
      </c>
      <c r="BW142" s="179" t="str">
        <f t="shared" si="117"/>
        <v/>
      </c>
      <c r="BX142" s="179" t="str">
        <f t="shared" si="118"/>
        <v/>
      </c>
      <c r="BY142" s="179" t="str">
        <f t="shared" si="119"/>
        <v/>
      </c>
      <c r="BZ142" s="179" t="str">
        <f t="shared" si="120"/>
        <v/>
      </c>
      <c r="CA142" s="179" t="str">
        <f t="shared" si="121"/>
        <v/>
      </c>
      <c r="CB142" s="179" t="str">
        <f t="shared" si="122"/>
        <v/>
      </c>
      <c r="CC142" s="179" t="str">
        <f t="shared" si="123"/>
        <v/>
      </c>
      <c r="CD142" s="179" t="str">
        <f t="shared" si="124"/>
        <v/>
      </c>
      <c r="CE142" s="179" t="str">
        <f t="shared" si="125"/>
        <v/>
      </c>
      <c r="CF142" s="179" t="str">
        <f t="shared" si="126"/>
        <v/>
      </c>
      <c r="CG142" s="179" t="str">
        <f t="shared" si="127"/>
        <v/>
      </c>
      <c r="CH142" s="166"/>
      <c r="CI142" s="166"/>
      <c r="CJ142" s="166"/>
      <c r="CK142" s="166" t="s">
        <v>150</v>
      </c>
      <c r="CL142" s="166"/>
    </row>
    <row r="143" spans="1:90" ht="14.25" customHeight="1" x14ac:dyDescent="0.25">
      <c r="A143" s="211">
        <v>133</v>
      </c>
      <c r="B143" s="219"/>
      <c r="C143" s="200"/>
      <c r="D143" s="145"/>
      <c r="E143" s="320" t="s">
        <v>93</v>
      </c>
      <c r="F143" s="209"/>
      <c r="G143" s="313"/>
      <c r="H143" s="313"/>
      <c r="I143" s="313"/>
      <c r="J143" s="313"/>
      <c r="K143" s="313"/>
      <c r="L143" s="313"/>
      <c r="M143" s="339"/>
      <c r="N143" s="233">
        <f t="shared" si="128"/>
        <v>0</v>
      </c>
      <c r="O143" s="306"/>
      <c r="P143" s="342"/>
      <c r="Q143" s="307"/>
      <c r="R143" s="323" t="s">
        <v>67</v>
      </c>
      <c r="S143" s="209"/>
      <c r="T143" s="313"/>
      <c r="U143" s="313"/>
      <c r="V143" s="313"/>
      <c r="W143" s="313"/>
      <c r="X143" s="313"/>
      <c r="Y143" s="125"/>
      <c r="Z143" s="339"/>
      <c r="AA143" s="233">
        <f t="shared" si="129"/>
        <v>0</v>
      </c>
      <c r="AB143" s="314">
        <f t="shared" si="106"/>
        <v>0</v>
      </c>
      <c r="AC143" s="314"/>
      <c r="AD143" s="314">
        <f t="shared" si="107"/>
        <v>0</v>
      </c>
      <c r="AE143" s="323" t="s">
        <v>87</v>
      </c>
      <c r="AF143" s="81"/>
      <c r="AG143" s="335"/>
      <c r="AH143" s="335"/>
      <c r="AI143" s="335"/>
      <c r="AJ143" s="335"/>
      <c r="AK143" s="335"/>
      <c r="AL143" s="336"/>
      <c r="AM143" s="353"/>
      <c r="AN143" s="22">
        <f t="shared" si="130"/>
        <v>0</v>
      </c>
      <c r="AO143" s="209">
        <f t="shared" si="108"/>
        <v>0</v>
      </c>
      <c r="AP143" s="339"/>
      <c r="AQ143" s="125">
        <f t="shared" si="109"/>
        <v>0</v>
      </c>
      <c r="AR143" s="104"/>
      <c r="AS143" s="217"/>
      <c r="AT143" s="216"/>
      <c r="AU143" s="230"/>
      <c r="AV143" s="220"/>
      <c r="AW143" s="230"/>
      <c r="AX143" s="220"/>
      <c r="AY143" s="230"/>
      <c r="AZ143" s="220"/>
      <c r="BA143" s="17">
        <f t="shared" si="100"/>
        <v>1.4299999999999999E-5</v>
      </c>
      <c r="BB143" s="17">
        <f t="shared" si="101"/>
        <v>0</v>
      </c>
      <c r="BC143" s="17"/>
      <c r="BD143" s="178">
        <v>134</v>
      </c>
      <c r="BE143" s="214">
        <f t="shared" si="110"/>
        <v>2.94E-5</v>
      </c>
      <c r="BF143" s="178">
        <f t="shared" si="102"/>
        <v>0</v>
      </c>
      <c r="BG143" s="245">
        <f t="shared" si="103"/>
        <v>1.4299999999999999E-5</v>
      </c>
      <c r="BH143" s="17">
        <f t="shared" si="111"/>
        <v>0</v>
      </c>
      <c r="BI143" s="178">
        <v>134</v>
      </c>
      <c r="BJ143" s="87">
        <f t="shared" si="112"/>
        <v>2.7699999999999999E-5</v>
      </c>
      <c r="BK143" s="215">
        <f t="shared" si="104"/>
        <v>0</v>
      </c>
      <c r="BL143" s="245">
        <f t="shared" si="113"/>
        <v>1.4299999999999999E-5</v>
      </c>
      <c r="BM143" s="17">
        <f t="shared" si="114"/>
        <v>0</v>
      </c>
      <c r="BN143" s="178">
        <v>134</v>
      </c>
      <c r="BO143" s="87">
        <f t="shared" si="115"/>
        <v>2.7699999999999999E-5</v>
      </c>
      <c r="BP143" s="215">
        <f t="shared" si="105"/>
        <v>0</v>
      </c>
      <c r="BR143" s="126"/>
      <c r="BS143" s="126"/>
      <c r="BU143" s="178"/>
      <c r="BV143" s="179" t="str">
        <f t="shared" si="116"/>
        <v/>
      </c>
      <c r="BW143" s="179" t="str">
        <f t="shared" si="117"/>
        <v/>
      </c>
      <c r="BX143" s="179" t="str">
        <f t="shared" si="118"/>
        <v/>
      </c>
      <c r="BY143" s="179" t="str">
        <f t="shared" si="119"/>
        <v/>
      </c>
      <c r="BZ143" s="179" t="str">
        <f t="shared" si="120"/>
        <v/>
      </c>
      <c r="CA143" s="179" t="str">
        <f t="shared" si="121"/>
        <v/>
      </c>
      <c r="CB143" s="179" t="str">
        <f t="shared" si="122"/>
        <v/>
      </c>
      <c r="CC143" s="179" t="str">
        <f t="shared" si="123"/>
        <v/>
      </c>
      <c r="CD143" s="179" t="str">
        <f t="shared" si="124"/>
        <v/>
      </c>
      <c r="CE143" s="179" t="str">
        <f t="shared" si="125"/>
        <v/>
      </c>
      <c r="CF143" s="179" t="str">
        <f t="shared" si="126"/>
        <v/>
      </c>
      <c r="CG143" s="179" t="str">
        <f t="shared" si="127"/>
        <v/>
      </c>
      <c r="CH143" s="166"/>
      <c r="CI143" s="166"/>
      <c r="CJ143" s="166"/>
      <c r="CK143" s="166" t="s">
        <v>150</v>
      </c>
      <c r="CL143" s="166"/>
    </row>
    <row r="144" spans="1:90" ht="14.25" customHeight="1" thickBot="1" x14ac:dyDescent="0.3">
      <c r="A144" s="213">
        <v>134</v>
      </c>
      <c r="B144" s="88"/>
      <c r="C144" s="201"/>
      <c r="D144" s="94"/>
      <c r="E144" s="321" t="s">
        <v>93</v>
      </c>
      <c r="F144" s="96"/>
      <c r="G144" s="100"/>
      <c r="H144" s="100"/>
      <c r="I144" s="100"/>
      <c r="J144" s="100"/>
      <c r="K144" s="100"/>
      <c r="L144" s="100"/>
      <c r="M144" s="210"/>
      <c r="N144" s="234">
        <f t="shared" si="128"/>
        <v>0</v>
      </c>
      <c r="O144" s="308"/>
      <c r="P144" s="343"/>
      <c r="Q144" s="309"/>
      <c r="R144" s="324" t="s">
        <v>67</v>
      </c>
      <c r="S144" s="96"/>
      <c r="T144" s="100"/>
      <c r="U144" s="100"/>
      <c r="V144" s="100"/>
      <c r="W144" s="100"/>
      <c r="X144" s="100"/>
      <c r="Y144" s="97"/>
      <c r="Z144" s="210"/>
      <c r="AA144" s="234">
        <f t="shared" si="129"/>
        <v>0</v>
      </c>
      <c r="AB144" s="314">
        <f t="shared" si="106"/>
        <v>0</v>
      </c>
      <c r="AC144" s="314"/>
      <c r="AD144" s="314">
        <f t="shared" si="107"/>
        <v>0</v>
      </c>
      <c r="AE144" s="324" t="s">
        <v>87</v>
      </c>
      <c r="AF144" s="82"/>
      <c r="AG144" s="337"/>
      <c r="AH144" s="337"/>
      <c r="AI144" s="337"/>
      <c r="AJ144" s="337"/>
      <c r="AK144" s="337"/>
      <c r="AL144" s="338"/>
      <c r="AM144" s="354"/>
      <c r="AN144" s="91">
        <f t="shared" si="130"/>
        <v>0</v>
      </c>
      <c r="AO144" s="96">
        <f t="shared" si="108"/>
        <v>0</v>
      </c>
      <c r="AP144" s="210"/>
      <c r="AQ144" s="97">
        <f t="shared" si="109"/>
        <v>0</v>
      </c>
      <c r="AR144" s="105"/>
      <c r="AS144" s="102"/>
      <c r="AT144" s="237"/>
      <c r="AU144" s="231"/>
      <c r="AV144" s="93"/>
      <c r="AW144" s="231"/>
      <c r="AX144" s="93"/>
      <c r="AY144" s="231"/>
      <c r="AZ144" s="93"/>
      <c r="BA144" s="17">
        <f t="shared" si="100"/>
        <v>1.4399999999999999E-5</v>
      </c>
      <c r="BB144" s="17">
        <f t="shared" si="101"/>
        <v>0</v>
      </c>
      <c r="BC144" s="17"/>
      <c r="BD144" s="178">
        <v>135</v>
      </c>
      <c r="BE144" s="214">
        <f t="shared" si="110"/>
        <v>2.9299999999999997E-5</v>
      </c>
      <c r="BF144" s="178">
        <f t="shared" si="102"/>
        <v>0</v>
      </c>
      <c r="BG144" s="245">
        <f t="shared" si="103"/>
        <v>1.4399999999999999E-5</v>
      </c>
      <c r="BH144" s="17">
        <f t="shared" si="111"/>
        <v>0</v>
      </c>
      <c r="BI144" s="178">
        <v>135</v>
      </c>
      <c r="BJ144" s="87">
        <f t="shared" si="112"/>
        <v>2.76E-5</v>
      </c>
      <c r="BK144" s="215">
        <f t="shared" si="104"/>
        <v>0</v>
      </c>
      <c r="BL144" s="245">
        <f t="shared" si="113"/>
        <v>1.4399999999999999E-5</v>
      </c>
      <c r="BM144" s="17">
        <f t="shared" si="114"/>
        <v>0</v>
      </c>
      <c r="BN144" s="178">
        <v>135</v>
      </c>
      <c r="BO144" s="87">
        <f t="shared" si="115"/>
        <v>2.76E-5</v>
      </c>
      <c r="BP144" s="215">
        <f t="shared" si="105"/>
        <v>0</v>
      </c>
      <c r="BR144" s="126"/>
      <c r="BS144" s="126"/>
      <c r="BU144" s="178"/>
      <c r="BV144" s="179" t="str">
        <f t="shared" si="116"/>
        <v/>
      </c>
      <c r="BW144" s="179" t="str">
        <f t="shared" si="117"/>
        <v/>
      </c>
      <c r="BX144" s="179" t="str">
        <f t="shared" si="118"/>
        <v/>
      </c>
      <c r="BY144" s="179" t="str">
        <f t="shared" si="119"/>
        <v/>
      </c>
      <c r="BZ144" s="179" t="str">
        <f t="shared" si="120"/>
        <v/>
      </c>
      <c r="CA144" s="179" t="str">
        <f t="shared" si="121"/>
        <v/>
      </c>
      <c r="CB144" s="179" t="str">
        <f t="shared" si="122"/>
        <v/>
      </c>
      <c r="CC144" s="179" t="str">
        <f t="shared" si="123"/>
        <v/>
      </c>
      <c r="CD144" s="179" t="str">
        <f t="shared" si="124"/>
        <v/>
      </c>
      <c r="CE144" s="179" t="str">
        <f t="shared" si="125"/>
        <v/>
      </c>
      <c r="CF144" s="179" t="str">
        <f t="shared" si="126"/>
        <v/>
      </c>
      <c r="CG144" s="179" t="str">
        <f t="shared" si="127"/>
        <v/>
      </c>
      <c r="CH144" s="166"/>
      <c r="CI144" s="166"/>
      <c r="CJ144" s="166"/>
      <c r="CK144" s="166" t="s">
        <v>150</v>
      </c>
      <c r="CL144" s="166"/>
    </row>
    <row r="145" spans="1:90" ht="14.25" customHeight="1" x14ac:dyDescent="0.25">
      <c r="A145" s="211">
        <v>135</v>
      </c>
      <c r="B145" s="89"/>
      <c r="C145" s="199"/>
      <c r="D145" s="146"/>
      <c r="E145" s="319" t="s">
        <v>93</v>
      </c>
      <c r="F145" s="221"/>
      <c r="G145" s="222"/>
      <c r="H145" s="222"/>
      <c r="I145" s="222"/>
      <c r="J145" s="222"/>
      <c r="K145" s="222"/>
      <c r="L145" s="222"/>
      <c r="M145" s="331"/>
      <c r="N145" s="303">
        <f t="shared" si="128"/>
        <v>0</v>
      </c>
      <c r="O145" s="304"/>
      <c r="P145" s="341"/>
      <c r="Q145" s="305"/>
      <c r="R145" s="322" t="s">
        <v>67</v>
      </c>
      <c r="S145" s="326"/>
      <c r="T145" s="327"/>
      <c r="U145" s="327"/>
      <c r="V145" s="327"/>
      <c r="W145" s="327"/>
      <c r="X145" s="327"/>
      <c r="Y145" s="95"/>
      <c r="Z145" s="331"/>
      <c r="AA145" s="303">
        <f t="shared" si="129"/>
        <v>0</v>
      </c>
      <c r="AB145" s="314">
        <f t="shared" si="106"/>
        <v>0</v>
      </c>
      <c r="AC145" s="314"/>
      <c r="AD145" s="314">
        <f t="shared" si="107"/>
        <v>0</v>
      </c>
      <c r="AE145" s="325" t="s">
        <v>148</v>
      </c>
      <c r="AF145" s="15"/>
      <c r="AG145" s="232"/>
      <c r="AH145" s="232"/>
      <c r="AI145" s="232"/>
      <c r="AJ145" s="232"/>
      <c r="AK145" s="232"/>
      <c r="AL145" s="7"/>
      <c r="AM145" s="352"/>
      <c r="AN145" s="22">
        <f t="shared" si="130"/>
        <v>0</v>
      </c>
      <c r="AO145" s="15">
        <f t="shared" si="108"/>
        <v>0</v>
      </c>
      <c r="AP145" s="345"/>
      <c r="AQ145" s="7">
        <f t="shared" si="109"/>
        <v>0</v>
      </c>
      <c r="AR145" s="103"/>
      <c r="AS145" s="101"/>
      <c r="AT145" s="236"/>
      <c r="AU145" s="235"/>
      <c r="AV145" s="92"/>
      <c r="AW145" s="235"/>
      <c r="AX145" s="92"/>
      <c r="AY145" s="235"/>
      <c r="AZ145" s="92"/>
      <c r="BA145" s="17">
        <f t="shared" si="100"/>
        <v>1.45E-5</v>
      </c>
      <c r="BB145" s="17">
        <f t="shared" si="101"/>
        <v>0</v>
      </c>
      <c r="BC145" s="17"/>
      <c r="BD145" s="178">
        <v>136</v>
      </c>
      <c r="BE145" s="214">
        <f t="shared" si="110"/>
        <v>2.9199999999999998E-5</v>
      </c>
      <c r="BF145" s="178">
        <f t="shared" si="102"/>
        <v>0</v>
      </c>
      <c r="BG145" s="245">
        <f t="shared" si="103"/>
        <v>1.45E-5</v>
      </c>
      <c r="BH145" s="17">
        <f t="shared" si="111"/>
        <v>0</v>
      </c>
      <c r="BI145" s="178">
        <v>136</v>
      </c>
      <c r="BJ145" s="87">
        <f t="shared" si="112"/>
        <v>2.7499999999999998E-5</v>
      </c>
      <c r="BK145" s="215">
        <f t="shared" si="104"/>
        <v>0</v>
      </c>
      <c r="BL145" s="245">
        <f t="shared" si="113"/>
        <v>1.45E-5</v>
      </c>
      <c r="BM145" s="17">
        <f t="shared" si="114"/>
        <v>0</v>
      </c>
      <c r="BN145" s="178">
        <v>136</v>
      </c>
      <c r="BO145" s="87">
        <f t="shared" si="115"/>
        <v>2.7499999999999998E-5</v>
      </c>
      <c r="BP145" s="215">
        <f t="shared" si="105"/>
        <v>0</v>
      </c>
      <c r="BR145" s="126"/>
      <c r="BS145" s="126"/>
      <c r="BU145" s="178"/>
      <c r="BV145" s="179" t="str">
        <f t="shared" si="116"/>
        <v/>
      </c>
      <c r="BW145" s="179" t="str">
        <f t="shared" si="117"/>
        <v/>
      </c>
      <c r="BX145" s="179" t="str">
        <f t="shared" si="118"/>
        <v/>
      </c>
      <c r="BY145" s="179" t="str">
        <f t="shared" si="119"/>
        <v/>
      </c>
      <c r="BZ145" s="179" t="str">
        <f t="shared" si="120"/>
        <v/>
      </c>
      <c r="CA145" s="179" t="str">
        <f t="shared" si="121"/>
        <v/>
      </c>
      <c r="CB145" s="179" t="str">
        <f t="shared" si="122"/>
        <v/>
      </c>
      <c r="CC145" s="179" t="str">
        <f t="shared" si="123"/>
        <v/>
      </c>
      <c r="CD145" s="179" t="str">
        <f t="shared" si="124"/>
        <v/>
      </c>
      <c r="CE145" s="179" t="str">
        <f t="shared" si="125"/>
        <v/>
      </c>
      <c r="CF145" s="179" t="str">
        <f t="shared" si="126"/>
        <v/>
      </c>
      <c r="CG145" s="179" t="str">
        <f t="shared" si="127"/>
        <v/>
      </c>
      <c r="CH145" s="166"/>
      <c r="CI145" s="166"/>
      <c r="CJ145" s="166"/>
      <c r="CK145" s="166" t="s">
        <v>150</v>
      </c>
      <c r="CL145" s="166"/>
    </row>
    <row r="146" spans="1:90" ht="14.25" customHeight="1" thickBot="1" x14ac:dyDescent="0.3">
      <c r="A146" s="213">
        <v>136</v>
      </c>
      <c r="B146" s="219"/>
      <c r="C146" s="200"/>
      <c r="D146" s="145"/>
      <c r="E146" s="320" t="s">
        <v>93</v>
      </c>
      <c r="F146" s="209"/>
      <c r="G146" s="313"/>
      <c r="H146" s="313"/>
      <c r="I146" s="313"/>
      <c r="J146" s="313"/>
      <c r="K146" s="313"/>
      <c r="L146" s="313"/>
      <c r="M146" s="339"/>
      <c r="N146" s="233">
        <f t="shared" si="128"/>
        <v>0</v>
      </c>
      <c r="O146" s="306"/>
      <c r="P146" s="342"/>
      <c r="Q146" s="307"/>
      <c r="R146" s="323" t="s">
        <v>67</v>
      </c>
      <c r="S146" s="209"/>
      <c r="T146" s="313"/>
      <c r="U146" s="313"/>
      <c r="V146" s="313"/>
      <c r="W146" s="313"/>
      <c r="X146" s="313"/>
      <c r="Y146" s="125"/>
      <c r="Z146" s="339"/>
      <c r="AA146" s="233">
        <f t="shared" si="129"/>
        <v>0</v>
      </c>
      <c r="AB146" s="314">
        <f t="shared" si="106"/>
        <v>0</v>
      </c>
      <c r="AC146" s="314"/>
      <c r="AD146" s="314">
        <f t="shared" si="107"/>
        <v>0</v>
      </c>
      <c r="AE146" s="323" t="s">
        <v>87</v>
      </c>
      <c r="AF146" s="81"/>
      <c r="AG146" s="335"/>
      <c r="AH146" s="335"/>
      <c r="AI146" s="335"/>
      <c r="AJ146" s="335"/>
      <c r="AK146" s="335"/>
      <c r="AL146" s="336"/>
      <c r="AM146" s="353"/>
      <c r="AN146" s="22">
        <f t="shared" si="130"/>
        <v>0</v>
      </c>
      <c r="AO146" s="209">
        <f t="shared" si="108"/>
        <v>0</v>
      </c>
      <c r="AP146" s="339"/>
      <c r="AQ146" s="125">
        <f t="shared" si="109"/>
        <v>0</v>
      </c>
      <c r="AR146" s="104"/>
      <c r="AS146" s="217"/>
      <c r="AT146" s="216"/>
      <c r="AU146" s="230"/>
      <c r="AV146" s="220"/>
      <c r="AW146" s="230"/>
      <c r="AX146" s="220"/>
      <c r="AY146" s="230"/>
      <c r="AZ146" s="220"/>
      <c r="BA146" s="17">
        <f t="shared" si="100"/>
        <v>1.4599999999999999E-5</v>
      </c>
      <c r="BB146" s="17">
        <f t="shared" si="101"/>
        <v>0</v>
      </c>
      <c r="BC146" s="17"/>
      <c r="BD146" s="178">
        <v>137</v>
      </c>
      <c r="BE146" s="214">
        <f t="shared" si="110"/>
        <v>2.9099999999999999E-5</v>
      </c>
      <c r="BF146" s="178">
        <f t="shared" si="102"/>
        <v>0</v>
      </c>
      <c r="BG146" s="245">
        <f t="shared" si="103"/>
        <v>1.4599999999999999E-5</v>
      </c>
      <c r="BH146" s="17">
        <f t="shared" si="111"/>
        <v>0</v>
      </c>
      <c r="BI146" s="178">
        <v>137</v>
      </c>
      <c r="BJ146" s="87">
        <f t="shared" si="112"/>
        <v>2.7399999999999999E-5</v>
      </c>
      <c r="BK146" s="215">
        <f t="shared" si="104"/>
        <v>0</v>
      </c>
      <c r="BL146" s="245">
        <f t="shared" si="113"/>
        <v>1.4599999999999999E-5</v>
      </c>
      <c r="BM146" s="17">
        <f t="shared" si="114"/>
        <v>0</v>
      </c>
      <c r="BN146" s="178">
        <v>137</v>
      </c>
      <c r="BO146" s="87">
        <f t="shared" si="115"/>
        <v>2.7399999999999999E-5</v>
      </c>
      <c r="BP146" s="215">
        <f t="shared" si="105"/>
        <v>0</v>
      </c>
      <c r="BR146" s="126"/>
      <c r="BS146" s="126"/>
      <c r="BU146" s="178"/>
      <c r="BV146" s="179" t="str">
        <f t="shared" si="116"/>
        <v/>
      </c>
      <c r="BW146" s="179" t="str">
        <f t="shared" si="117"/>
        <v/>
      </c>
      <c r="BX146" s="179" t="str">
        <f t="shared" si="118"/>
        <v/>
      </c>
      <c r="BY146" s="179" t="str">
        <f t="shared" si="119"/>
        <v/>
      </c>
      <c r="BZ146" s="179" t="str">
        <f t="shared" si="120"/>
        <v/>
      </c>
      <c r="CA146" s="179" t="str">
        <f t="shared" si="121"/>
        <v/>
      </c>
      <c r="CB146" s="179" t="str">
        <f t="shared" si="122"/>
        <v/>
      </c>
      <c r="CC146" s="179" t="str">
        <f t="shared" si="123"/>
        <v/>
      </c>
      <c r="CD146" s="179" t="str">
        <f t="shared" si="124"/>
        <v/>
      </c>
      <c r="CE146" s="179" t="str">
        <f t="shared" si="125"/>
        <v/>
      </c>
      <c r="CF146" s="179" t="str">
        <f t="shared" si="126"/>
        <v/>
      </c>
      <c r="CG146" s="179" t="str">
        <f t="shared" si="127"/>
        <v/>
      </c>
      <c r="CH146" s="166"/>
      <c r="CI146" s="166"/>
      <c r="CJ146" s="166"/>
      <c r="CK146" s="166" t="s">
        <v>150</v>
      </c>
      <c r="CL146" s="166"/>
    </row>
    <row r="147" spans="1:90" ht="14.25" customHeight="1" thickBot="1" x14ac:dyDescent="0.3">
      <c r="A147" s="211">
        <v>137</v>
      </c>
      <c r="B147" s="88"/>
      <c r="C147" s="201"/>
      <c r="D147" s="94"/>
      <c r="E147" s="321" t="s">
        <v>93</v>
      </c>
      <c r="F147" s="96"/>
      <c r="G147" s="100"/>
      <c r="H147" s="100"/>
      <c r="I147" s="100"/>
      <c r="J147" s="100"/>
      <c r="K147" s="100"/>
      <c r="L147" s="100"/>
      <c r="M147" s="210"/>
      <c r="N147" s="234">
        <f t="shared" si="128"/>
        <v>0</v>
      </c>
      <c r="O147" s="308"/>
      <c r="P147" s="343"/>
      <c r="Q147" s="309"/>
      <c r="R147" s="324" t="s">
        <v>67</v>
      </c>
      <c r="S147" s="96"/>
      <c r="T147" s="100"/>
      <c r="U147" s="100"/>
      <c r="V147" s="100"/>
      <c r="W147" s="100"/>
      <c r="X147" s="100"/>
      <c r="Y147" s="97"/>
      <c r="Z147" s="210"/>
      <c r="AA147" s="234">
        <f t="shared" si="129"/>
        <v>0</v>
      </c>
      <c r="AB147" s="314">
        <f t="shared" si="106"/>
        <v>0</v>
      </c>
      <c r="AC147" s="314"/>
      <c r="AD147" s="314">
        <f t="shared" si="107"/>
        <v>0</v>
      </c>
      <c r="AE147" s="324" t="s">
        <v>87</v>
      </c>
      <c r="AF147" s="82"/>
      <c r="AG147" s="337"/>
      <c r="AH147" s="337"/>
      <c r="AI147" s="337"/>
      <c r="AJ147" s="337"/>
      <c r="AK147" s="337"/>
      <c r="AL147" s="338"/>
      <c r="AM147" s="354"/>
      <c r="AN147" s="91">
        <f t="shared" si="130"/>
        <v>0</v>
      </c>
      <c r="AO147" s="96">
        <f t="shared" si="108"/>
        <v>0</v>
      </c>
      <c r="AP147" s="210"/>
      <c r="AQ147" s="97">
        <f t="shared" si="109"/>
        <v>0</v>
      </c>
      <c r="AR147" s="105"/>
      <c r="AS147" s="102"/>
      <c r="AT147" s="237"/>
      <c r="AU147" s="231"/>
      <c r="AV147" s="93"/>
      <c r="AW147" s="231"/>
      <c r="AX147" s="93"/>
      <c r="AY147" s="231"/>
      <c r="AZ147" s="93"/>
      <c r="BA147" s="17">
        <f t="shared" si="100"/>
        <v>1.47E-5</v>
      </c>
      <c r="BB147" s="17">
        <f t="shared" si="101"/>
        <v>0</v>
      </c>
      <c r="BC147" s="17"/>
      <c r="BD147" s="178">
        <v>138</v>
      </c>
      <c r="BE147" s="214">
        <f t="shared" si="110"/>
        <v>2.9E-5</v>
      </c>
      <c r="BF147" s="178">
        <f t="shared" si="102"/>
        <v>0</v>
      </c>
      <c r="BG147" s="245">
        <f t="shared" si="103"/>
        <v>1.47E-5</v>
      </c>
      <c r="BH147" s="17">
        <f t="shared" si="111"/>
        <v>0</v>
      </c>
      <c r="BI147" s="178">
        <v>138</v>
      </c>
      <c r="BJ147" s="87">
        <f t="shared" si="112"/>
        <v>2.73E-5</v>
      </c>
      <c r="BK147" s="215">
        <f t="shared" si="104"/>
        <v>0</v>
      </c>
      <c r="BL147" s="245">
        <f t="shared" si="113"/>
        <v>1.47E-5</v>
      </c>
      <c r="BM147" s="17">
        <f t="shared" si="114"/>
        <v>0</v>
      </c>
      <c r="BN147" s="178">
        <v>138</v>
      </c>
      <c r="BO147" s="87">
        <f t="shared" si="115"/>
        <v>2.73E-5</v>
      </c>
      <c r="BP147" s="215">
        <f t="shared" si="105"/>
        <v>0</v>
      </c>
      <c r="BR147" s="126"/>
      <c r="BS147" s="126"/>
      <c r="BU147" s="178"/>
      <c r="BV147" s="179" t="str">
        <f t="shared" si="116"/>
        <v/>
      </c>
      <c r="BW147" s="179" t="str">
        <f t="shared" si="117"/>
        <v/>
      </c>
      <c r="BX147" s="179" t="str">
        <f t="shared" si="118"/>
        <v/>
      </c>
      <c r="BY147" s="179" t="str">
        <f t="shared" si="119"/>
        <v/>
      </c>
      <c r="BZ147" s="179" t="str">
        <f t="shared" si="120"/>
        <v/>
      </c>
      <c r="CA147" s="179" t="str">
        <f t="shared" si="121"/>
        <v/>
      </c>
      <c r="CB147" s="179" t="str">
        <f t="shared" si="122"/>
        <v/>
      </c>
      <c r="CC147" s="179" t="str">
        <f t="shared" si="123"/>
        <v/>
      </c>
      <c r="CD147" s="179" t="str">
        <f t="shared" si="124"/>
        <v/>
      </c>
      <c r="CE147" s="179" t="str">
        <f t="shared" si="125"/>
        <v/>
      </c>
      <c r="CF147" s="179" t="str">
        <f t="shared" si="126"/>
        <v/>
      </c>
      <c r="CG147" s="179" t="str">
        <f t="shared" si="127"/>
        <v/>
      </c>
      <c r="CH147" s="166"/>
      <c r="CI147" s="166"/>
      <c r="CJ147" s="166"/>
      <c r="CK147" s="166" t="s">
        <v>150</v>
      </c>
      <c r="CL147" s="166"/>
    </row>
    <row r="148" spans="1:90" ht="14.25" customHeight="1" thickBot="1" x14ac:dyDescent="0.3">
      <c r="A148" s="213">
        <v>138</v>
      </c>
      <c r="B148" s="89"/>
      <c r="C148" s="199"/>
      <c r="D148" s="146"/>
      <c r="E148" s="319" t="s">
        <v>93</v>
      </c>
      <c r="F148" s="221"/>
      <c r="G148" s="222"/>
      <c r="H148" s="222"/>
      <c r="I148" s="222"/>
      <c r="J148" s="222"/>
      <c r="K148" s="222"/>
      <c r="L148" s="222"/>
      <c r="M148" s="331"/>
      <c r="N148" s="303">
        <f t="shared" si="128"/>
        <v>0</v>
      </c>
      <c r="O148" s="304"/>
      <c r="P148" s="341"/>
      <c r="Q148" s="305"/>
      <c r="R148" s="322" t="s">
        <v>67</v>
      </c>
      <c r="S148" s="326"/>
      <c r="T148" s="327"/>
      <c r="U148" s="327"/>
      <c r="V148" s="327"/>
      <c r="W148" s="327"/>
      <c r="X148" s="327"/>
      <c r="Y148" s="95"/>
      <c r="Z148" s="331"/>
      <c r="AA148" s="303">
        <f t="shared" si="129"/>
        <v>0</v>
      </c>
      <c r="AB148" s="314">
        <f t="shared" si="106"/>
        <v>0</v>
      </c>
      <c r="AC148" s="314"/>
      <c r="AD148" s="314">
        <f t="shared" si="107"/>
        <v>0</v>
      </c>
      <c r="AE148" s="325" t="s">
        <v>148</v>
      </c>
      <c r="AF148" s="15"/>
      <c r="AG148" s="232"/>
      <c r="AH148" s="232"/>
      <c r="AI148" s="232"/>
      <c r="AJ148" s="232"/>
      <c r="AK148" s="232"/>
      <c r="AL148" s="7"/>
      <c r="AM148" s="352"/>
      <c r="AN148" s="22">
        <f t="shared" si="130"/>
        <v>0</v>
      </c>
      <c r="AO148" s="15">
        <f t="shared" si="108"/>
        <v>0</v>
      </c>
      <c r="AP148" s="345"/>
      <c r="AQ148" s="7">
        <f t="shared" si="109"/>
        <v>0</v>
      </c>
      <c r="AR148" s="103"/>
      <c r="AS148" s="101"/>
      <c r="AT148" s="236"/>
      <c r="AU148" s="235"/>
      <c r="AV148" s="92"/>
      <c r="AW148" s="235"/>
      <c r="AX148" s="92"/>
      <c r="AY148" s="235"/>
      <c r="AZ148" s="92"/>
      <c r="BA148" s="17">
        <f t="shared" si="100"/>
        <v>1.4799999999999999E-5</v>
      </c>
      <c r="BB148" s="17">
        <f t="shared" si="101"/>
        <v>0</v>
      </c>
      <c r="BC148" s="17"/>
      <c r="BD148" s="178">
        <v>139</v>
      </c>
      <c r="BE148" s="214">
        <f t="shared" si="110"/>
        <v>2.8899999999999998E-5</v>
      </c>
      <c r="BF148" s="178">
        <f t="shared" si="102"/>
        <v>0</v>
      </c>
      <c r="BG148" s="245">
        <f t="shared" si="103"/>
        <v>1.4799999999999999E-5</v>
      </c>
      <c r="BH148" s="17">
        <f t="shared" si="111"/>
        <v>0</v>
      </c>
      <c r="BI148" s="178">
        <v>139</v>
      </c>
      <c r="BJ148" s="87">
        <f t="shared" si="112"/>
        <v>2.7199999999999997E-5</v>
      </c>
      <c r="BK148" s="215">
        <f t="shared" si="104"/>
        <v>0</v>
      </c>
      <c r="BL148" s="245">
        <f t="shared" si="113"/>
        <v>1.4799999999999999E-5</v>
      </c>
      <c r="BM148" s="17">
        <f t="shared" si="114"/>
        <v>0</v>
      </c>
      <c r="BN148" s="178">
        <v>139</v>
      </c>
      <c r="BO148" s="87">
        <f t="shared" si="115"/>
        <v>2.7199999999999997E-5</v>
      </c>
      <c r="BP148" s="215">
        <f t="shared" si="105"/>
        <v>0</v>
      </c>
      <c r="BR148" s="126"/>
      <c r="BS148" s="126"/>
      <c r="BU148" s="178"/>
      <c r="BV148" s="179" t="str">
        <f t="shared" si="116"/>
        <v/>
      </c>
      <c r="BW148" s="179" t="str">
        <f t="shared" si="117"/>
        <v/>
      </c>
      <c r="BX148" s="179" t="str">
        <f t="shared" si="118"/>
        <v/>
      </c>
      <c r="BY148" s="179" t="str">
        <f t="shared" si="119"/>
        <v/>
      </c>
      <c r="BZ148" s="179" t="str">
        <f t="shared" si="120"/>
        <v/>
      </c>
      <c r="CA148" s="179" t="str">
        <f t="shared" si="121"/>
        <v/>
      </c>
      <c r="CB148" s="179" t="str">
        <f t="shared" si="122"/>
        <v/>
      </c>
      <c r="CC148" s="179" t="str">
        <f t="shared" si="123"/>
        <v/>
      </c>
      <c r="CD148" s="179" t="str">
        <f t="shared" si="124"/>
        <v/>
      </c>
      <c r="CE148" s="179" t="str">
        <f t="shared" si="125"/>
        <v/>
      </c>
      <c r="CF148" s="179" t="str">
        <f t="shared" si="126"/>
        <v/>
      </c>
      <c r="CG148" s="179" t="str">
        <f t="shared" si="127"/>
        <v/>
      </c>
      <c r="CH148" s="166"/>
      <c r="CI148" s="166"/>
      <c r="CJ148" s="166"/>
      <c r="CK148" s="166" t="s">
        <v>150</v>
      </c>
      <c r="CL148" s="166"/>
    </row>
    <row r="149" spans="1:90" ht="14.25" customHeight="1" x14ac:dyDescent="0.25">
      <c r="A149" s="211">
        <v>139</v>
      </c>
      <c r="B149" s="219"/>
      <c r="C149" s="200"/>
      <c r="D149" s="145"/>
      <c r="E149" s="320" t="s">
        <v>93</v>
      </c>
      <c r="F149" s="209"/>
      <c r="G149" s="313"/>
      <c r="H149" s="313"/>
      <c r="I149" s="313"/>
      <c r="J149" s="313"/>
      <c r="K149" s="313"/>
      <c r="L149" s="313"/>
      <c r="M149" s="339"/>
      <c r="N149" s="233">
        <f t="shared" si="128"/>
        <v>0</v>
      </c>
      <c r="O149" s="306"/>
      <c r="P149" s="342"/>
      <c r="Q149" s="307"/>
      <c r="R149" s="323" t="s">
        <v>67</v>
      </c>
      <c r="S149" s="209"/>
      <c r="T149" s="313"/>
      <c r="U149" s="313"/>
      <c r="V149" s="313"/>
      <c r="W149" s="313"/>
      <c r="X149" s="313"/>
      <c r="Y149" s="125"/>
      <c r="Z149" s="339"/>
      <c r="AA149" s="233">
        <f t="shared" si="129"/>
        <v>0</v>
      </c>
      <c r="AB149" s="314">
        <f t="shared" si="106"/>
        <v>0</v>
      </c>
      <c r="AC149" s="314"/>
      <c r="AD149" s="314">
        <f t="shared" si="107"/>
        <v>0</v>
      </c>
      <c r="AE149" s="323" t="s">
        <v>87</v>
      </c>
      <c r="AF149" s="81"/>
      <c r="AG149" s="335"/>
      <c r="AH149" s="335"/>
      <c r="AI149" s="335"/>
      <c r="AJ149" s="335"/>
      <c r="AK149" s="335"/>
      <c r="AL149" s="336"/>
      <c r="AM149" s="353"/>
      <c r="AN149" s="22">
        <f t="shared" si="130"/>
        <v>0</v>
      </c>
      <c r="AO149" s="209">
        <f t="shared" si="108"/>
        <v>0</v>
      </c>
      <c r="AP149" s="339"/>
      <c r="AQ149" s="125">
        <f t="shared" si="109"/>
        <v>0</v>
      </c>
      <c r="AR149" s="104"/>
      <c r="AS149" s="217"/>
      <c r="AT149" s="216"/>
      <c r="AU149" s="230"/>
      <c r="AV149" s="220"/>
      <c r="AW149" s="230"/>
      <c r="AX149" s="220"/>
      <c r="AY149" s="230"/>
      <c r="AZ149" s="220"/>
      <c r="BA149" s="17">
        <f t="shared" si="100"/>
        <v>1.49E-5</v>
      </c>
      <c r="BB149" s="17">
        <f t="shared" si="101"/>
        <v>0</v>
      </c>
      <c r="BC149" s="17"/>
      <c r="BD149" s="178">
        <v>140</v>
      </c>
      <c r="BE149" s="214">
        <f t="shared" si="110"/>
        <v>2.8799999999999999E-5</v>
      </c>
      <c r="BF149" s="178">
        <f t="shared" si="102"/>
        <v>0</v>
      </c>
      <c r="BG149" s="245">
        <f t="shared" si="103"/>
        <v>1.49E-5</v>
      </c>
      <c r="BH149" s="17">
        <f t="shared" si="111"/>
        <v>0</v>
      </c>
      <c r="BI149" s="178">
        <v>140</v>
      </c>
      <c r="BJ149" s="87">
        <f t="shared" si="112"/>
        <v>2.7099999999999998E-5</v>
      </c>
      <c r="BK149" s="215">
        <f t="shared" si="104"/>
        <v>0</v>
      </c>
      <c r="BL149" s="245">
        <f t="shared" si="113"/>
        <v>1.49E-5</v>
      </c>
      <c r="BM149" s="17">
        <f t="shared" si="114"/>
        <v>0</v>
      </c>
      <c r="BN149" s="178">
        <v>140</v>
      </c>
      <c r="BO149" s="87">
        <f t="shared" si="115"/>
        <v>2.7099999999999998E-5</v>
      </c>
      <c r="BP149" s="215">
        <f t="shared" si="105"/>
        <v>0</v>
      </c>
      <c r="BR149" s="126"/>
      <c r="BS149" s="126"/>
      <c r="BU149" s="178"/>
      <c r="BV149" s="179" t="str">
        <f t="shared" si="116"/>
        <v/>
      </c>
      <c r="BW149" s="179" t="str">
        <f t="shared" si="117"/>
        <v/>
      </c>
      <c r="BX149" s="179" t="str">
        <f t="shared" si="118"/>
        <v/>
      </c>
      <c r="BY149" s="179" t="str">
        <f t="shared" si="119"/>
        <v/>
      </c>
      <c r="BZ149" s="179" t="str">
        <f t="shared" si="120"/>
        <v/>
      </c>
      <c r="CA149" s="179" t="str">
        <f t="shared" si="121"/>
        <v/>
      </c>
      <c r="CB149" s="179" t="str">
        <f t="shared" si="122"/>
        <v/>
      </c>
      <c r="CC149" s="179" t="str">
        <f t="shared" si="123"/>
        <v/>
      </c>
      <c r="CD149" s="179" t="str">
        <f t="shared" si="124"/>
        <v/>
      </c>
      <c r="CE149" s="179" t="str">
        <f t="shared" si="125"/>
        <v/>
      </c>
      <c r="CF149" s="179" t="str">
        <f t="shared" si="126"/>
        <v/>
      </c>
      <c r="CG149" s="179" t="str">
        <f t="shared" si="127"/>
        <v/>
      </c>
      <c r="CH149" s="166"/>
      <c r="CI149" s="166"/>
      <c r="CJ149" s="166"/>
      <c r="CK149" s="166" t="s">
        <v>150</v>
      </c>
      <c r="CL149" s="166"/>
    </row>
    <row r="150" spans="1:90" ht="14.25" customHeight="1" thickBot="1" x14ac:dyDescent="0.3">
      <c r="A150" s="213">
        <v>140</v>
      </c>
      <c r="B150" s="88"/>
      <c r="C150" s="201"/>
      <c r="D150" s="94"/>
      <c r="E150" s="321" t="s">
        <v>93</v>
      </c>
      <c r="F150" s="96"/>
      <c r="G150" s="100"/>
      <c r="H150" s="100"/>
      <c r="I150" s="100"/>
      <c r="J150" s="100"/>
      <c r="K150" s="100"/>
      <c r="L150" s="100"/>
      <c r="M150" s="210"/>
      <c r="N150" s="234">
        <f t="shared" si="128"/>
        <v>0</v>
      </c>
      <c r="O150" s="308"/>
      <c r="P150" s="343"/>
      <c r="Q150" s="309"/>
      <c r="R150" s="324" t="s">
        <v>67</v>
      </c>
      <c r="S150" s="96"/>
      <c r="T150" s="100"/>
      <c r="U150" s="100"/>
      <c r="V150" s="100"/>
      <c r="W150" s="100"/>
      <c r="X150" s="100"/>
      <c r="Y150" s="97"/>
      <c r="Z150" s="210"/>
      <c r="AA150" s="234">
        <f t="shared" si="129"/>
        <v>0</v>
      </c>
      <c r="AB150" s="314">
        <f t="shared" si="106"/>
        <v>0</v>
      </c>
      <c r="AC150" s="314"/>
      <c r="AD150" s="314">
        <f t="shared" si="107"/>
        <v>0</v>
      </c>
      <c r="AE150" s="324" t="s">
        <v>87</v>
      </c>
      <c r="AF150" s="82"/>
      <c r="AG150" s="337"/>
      <c r="AH150" s="337"/>
      <c r="AI150" s="337"/>
      <c r="AJ150" s="337"/>
      <c r="AK150" s="337"/>
      <c r="AL150" s="338"/>
      <c r="AM150" s="354"/>
      <c r="AN150" s="91">
        <f t="shared" si="130"/>
        <v>0</v>
      </c>
      <c r="AO150" s="96">
        <f t="shared" si="108"/>
        <v>0</v>
      </c>
      <c r="AP150" s="210"/>
      <c r="AQ150" s="97">
        <f t="shared" si="109"/>
        <v>0</v>
      </c>
      <c r="AR150" s="105"/>
      <c r="AS150" s="102"/>
      <c r="AT150" s="237"/>
      <c r="AU150" s="231"/>
      <c r="AV150" s="93"/>
      <c r="AW150" s="231"/>
      <c r="AX150" s="93"/>
      <c r="AY150" s="231"/>
      <c r="AZ150" s="93"/>
      <c r="BA150" s="17">
        <f t="shared" si="100"/>
        <v>1.4999999999999999E-5</v>
      </c>
      <c r="BB150" s="17">
        <f t="shared" si="101"/>
        <v>0</v>
      </c>
      <c r="BC150" s="17"/>
      <c r="BD150" s="178">
        <v>141</v>
      </c>
      <c r="BE150" s="214">
        <f t="shared" si="110"/>
        <v>2.87E-5</v>
      </c>
      <c r="BF150" s="178">
        <f t="shared" si="102"/>
        <v>0</v>
      </c>
      <c r="BG150" s="245">
        <f t="shared" si="103"/>
        <v>1.4999999999999999E-5</v>
      </c>
      <c r="BH150" s="17">
        <f t="shared" si="111"/>
        <v>0</v>
      </c>
      <c r="BI150" s="178">
        <v>141</v>
      </c>
      <c r="BJ150" s="87">
        <f t="shared" si="112"/>
        <v>2.6999999999999999E-5</v>
      </c>
      <c r="BK150" s="215">
        <f t="shared" si="104"/>
        <v>0</v>
      </c>
      <c r="BL150" s="245">
        <f t="shared" si="113"/>
        <v>1.4999999999999999E-5</v>
      </c>
      <c r="BM150" s="17">
        <f t="shared" si="114"/>
        <v>0</v>
      </c>
      <c r="BN150" s="178">
        <v>141</v>
      </c>
      <c r="BO150" s="87">
        <f t="shared" si="115"/>
        <v>2.6999999999999999E-5</v>
      </c>
      <c r="BP150" s="215">
        <f t="shared" si="105"/>
        <v>0</v>
      </c>
      <c r="BR150" s="126"/>
      <c r="BS150" s="126"/>
      <c r="BU150" s="178"/>
      <c r="BV150" s="179" t="str">
        <f t="shared" si="116"/>
        <v/>
      </c>
      <c r="BW150" s="179" t="str">
        <f t="shared" si="117"/>
        <v/>
      </c>
      <c r="BX150" s="179" t="str">
        <f t="shared" si="118"/>
        <v/>
      </c>
      <c r="BY150" s="179" t="str">
        <f t="shared" si="119"/>
        <v/>
      </c>
      <c r="BZ150" s="179" t="str">
        <f t="shared" si="120"/>
        <v/>
      </c>
      <c r="CA150" s="179" t="str">
        <f t="shared" si="121"/>
        <v/>
      </c>
      <c r="CB150" s="179" t="str">
        <f t="shared" si="122"/>
        <v/>
      </c>
      <c r="CC150" s="179" t="str">
        <f t="shared" si="123"/>
        <v/>
      </c>
      <c r="CD150" s="179" t="str">
        <f t="shared" si="124"/>
        <v/>
      </c>
      <c r="CE150" s="179" t="str">
        <f t="shared" si="125"/>
        <v/>
      </c>
      <c r="CF150" s="179" t="str">
        <f t="shared" si="126"/>
        <v/>
      </c>
      <c r="CG150" s="179" t="str">
        <f t="shared" si="127"/>
        <v/>
      </c>
      <c r="CH150" s="166"/>
      <c r="CI150" s="166"/>
      <c r="CJ150" s="166"/>
      <c r="CK150" s="166" t="s">
        <v>150</v>
      </c>
      <c r="CL150" s="166"/>
    </row>
    <row r="151" spans="1:90" ht="14.25" customHeight="1" x14ac:dyDescent="0.25">
      <c r="A151" s="211">
        <v>141</v>
      </c>
      <c r="B151" s="89"/>
      <c r="C151" s="199"/>
      <c r="D151" s="146"/>
      <c r="E151" s="319" t="s">
        <v>93</v>
      </c>
      <c r="F151" s="221"/>
      <c r="G151" s="222"/>
      <c r="H151" s="222"/>
      <c r="I151" s="222"/>
      <c r="J151" s="222"/>
      <c r="K151" s="222"/>
      <c r="L151" s="222"/>
      <c r="M151" s="331"/>
      <c r="N151" s="303">
        <f t="shared" si="128"/>
        <v>0</v>
      </c>
      <c r="O151" s="304"/>
      <c r="P151" s="341"/>
      <c r="Q151" s="305"/>
      <c r="R151" s="322" t="s">
        <v>67</v>
      </c>
      <c r="S151" s="326"/>
      <c r="T151" s="327"/>
      <c r="U151" s="327"/>
      <c r="V151" s="327"/>
      <c r="W151" s="327"/>
      <c r="X151" s="327"/>
      <c r="Y151" s="95"/>
      <c r="Z151" s="331"/>
      <c r="AA151" s="303">
        <f t="shared" si="129"/>
        <v>0</v>
      </c>
      <c r="AB151" s="314">
        <f t="shared" si="106"/>
        <v>0</v>
      </c>
      <c r="AC151" s="314"/>
      <c r="AD151" s="314">
        <f t="shared" si="107"/>
        <v>0</v>
      </c>
      <c r="AE151" s="325" t="s">
        <v>148</v>
      </c>
      <c r="AF151" s="15"/>
      <c r="AG151" s="232"/>
      <c r="AH151" s="232"/>
      <c r="AI151" s="232"/>
      <c r="AJ151" s="232"/>
      <c r="AK151" s="232"/>
      <c r="AL151" s="7"/>
      <c r="AM151" s="352"/>
      <c r="AN151" s="22">
        <f t="shared" si="130"/>
        <v>0</v>
      </c>
      <c r="AO151" s="15">
        <f t="shared" si="108"/>
        <v>0</v>
      </c>
      <c r="AP151" s="345"/>
      <c r="AQ151" s="7">
        <f t="shared" si="109"/>
        <v>0</v>
      </c>
      <c r="AR151" s="103"/>
      <c r="AS151" s="101"/>
      <c r="AT151" s="236"/>
      <c r="AU151" s="235"/>
      <c r="AV151" s="92"/>
      <c r="AW151" s="235"/>
      <c r="AX151" s="92"/>
      <c r="AY151" s="235"/>
      <c r="AZ151" s="92"/>
      <c r="BA151" s="17">
        <f t="shared" si="100"/>
        <v>1.5099999999999999E-5</v>
      </c>
      <c r="BB151" s="17">
        <f t="shared" si="101"/>
        <v>0</v>
      </c>
      <c r="BC151" s="17"/>
      <c r="BD151" s="178">
        <v>142</v>
      </c>
      <c r="BE151" s="214">
        <f t="shared" si="110"/>
        <v>2.8599999999999997E-5</v>
      </c>
      <c r="BF151" s="178">
        <f t="shared" si="102"/>
        <v>0</v>
      </c>
      <c r="BG151" s="245">
        <f t="shared" si="103"/>
        <v>1.5099999999999999E-5</v>
      </c>
      <c r="BH151" s="17">
        <f t="shared" si="111"/>
        <v>0</v>
      </c>
      <c r="BI151" s="178">
        <v>142</v>
      </c>
      <c r="BJ151" s="87">
        <f t="shared" si="112"/>
        <v>2.69E-5</v>
      </c>
      <c r="BK151" s="215">
        <f t="shared" si="104"/>
        <v>0</v>
      </c>
      <c r="BL151" s="245">
        <f t="shared" si="113"/>
        <v>1.5099999999999999E-5</v>
      </c>
      <c r="BM151" s="17">
        <f t="shared" si="114"/>
        <v>0</v>
      </c>
      <c r="BN151" s="178">
        <v>142</v>
      </c>
      <c r="BO151" s="87">
        <f t="shared" si="115"/>
        <v>2.69E-5</v>
      </c>
      <c r="BP151" s="215">
        <f t="shared" si="105"/>
        <v>0</v>
      </c>
      <c r="BR151" s="126"/>
      <c r="BS151" s="126"/>
      <c r="BU151" s="178"/>
      <c r="BV151" s="179" t="str">
        <f t="shared" si="116"/>
        <v/>
      </c>
      <c r="BW151" s="179" t="str">
        <f t="shared" si="117"/>
        <v/>
      </c>
      <c r="BX151" s="179" t="str">
        <f t="shared" si="118"/>
        <v/>
      </c>
      <c r="BY151" s="179" t="str">
        <f t="shared" si="119"/>
        <v/>
      </c>
      <c r="BZ151" s="179" t="str">
        <f t="shared" si="120"/>
        <v/>
      </c>
      <c r="CA151" s="179" t="str">
        <f t="shared" si="121"/>
        <v/>
      </c>
      <c r="CB151" s="179" t="str">
        <f t="shared" si="122"/>
        <v/>
      </c>
      <c r="CC151" s="179" t="str">
        <f t="shared" si="123"/>
        <v/>
      </c>
      <c r="CD151" s="179" t="str">
        <f t="shared" si="124"/>
        <v/>
      </c>
      <c r="CE151" s="179" t="str">
        <f t="shared" si="125"/>
        <v/>
      </c>
      <c r="CF151" s="179" t="str">
        <f t="shared" si="126"/>
        <v/>
      </c>
      <c r="CG151" s="179" t="str">
        <f t="shared" si="127"/>
        <v/>
      </c>
      <c r="CH151" s="166"/>
      <c r="CI151" s="166"/>
      <c r="CJ151" s="166"/>
      <c r="CK151" s="166" t="s">
        <v>150</v>
      </c>
      <c r="CL151" s="166"/>
    </row>
    <row r="152" spans="1:90" ht="14.25" customHeight="1" thickBot="1" x14ac:dyDescent="0.3">
      <c r="A152" s="213">
        <v>142</v>
      </c>
      <c r="B152" s="219"/>
      <c r="C152" s="200"/>
      <c r="D152" s="145"/>
      <c r="E152" s="320" t="s">
        <v>93</v>
      </c>
      <c r="F152" s="209"/>
      <c r="G152" s="313"/>
      <c r="H152" s="313"/>
      <c r="I152" s="313"/>
      <c r="J152" s="313"/>
      <c r="K152" s="313"/>
      <c r="L152" s="313"/>
      <c r="M152" s="339"/>
      <c r="N152" s="233">
        <f t="shared" si="128"/>
        <v>0</v>
      </c>
      <c r="O152" s="306"/>
      <c r="P152" s="342"/>
      <c r="Q152" s="307"/>
      <c r="R152" s="323" t="s">
        <v>67</v>
      </c>
      <c r="S152" s="209"/>
      <c r="T152" s="313"/>
      <c r="U152" s="313"/>
      <c r="V152" s="313"/>
      <c r="W152" s="313"/>
      <c r="X152" s="313"/>
      <c r="Y152" s="125"/>
      <c r="Z152" s="339"/>
      <c r="AA152" s="233">
        <f t="shared" si="129"/>
        <v>0</v>
      </c>
      <c r="AB152" s="314">
        <f t="shared" si="106"/>
        <v>0</v>
      </c>
      <c r="AC152" s="314"/>
      <c r="AD152" s="314">
        <f t="shared" si="107"/>
        <v>0</v>
      </c>
      <c r="AE152" s="323" t="s">
        <v>87</v>
      </c>
      <c r="AF152" s="81"/>
      <c r="AG152" s="335"/>
      <c r="AH152" s="335"/>
      <c r="AI152" s="335"/>
      <c r="AJ152" s="335"/>
      <c r="AK152" s="335"/>
      <c r="AL152" s="336"/>
      <c r="AM152" s="353"/>
      <c r="AN152" s="22">
        <f t="shared" si="130"/>
        <v>0</v>
      </c>
      <c r="AO152" s="209">
        <f t="shared" si="108"/>
        <v>0</v>
      </c>
      <c r="AP152" s="339"/>
      <c r="AQ152" s="125">
        <f t="shared" si="109"/>
        <v>0</v>
      </c>
      <c r="AR152" s="104"/>
      <c r="AS152" s="217"/>
      <c r="AT152" s="216"/>
      <c r="AU152" s="230"/>
      <c r="AV152" s="220"/>
      <c r="AW152" s="230"/>
      <c r="AX152" s="220"/>
      <c r="AY152" s="230"/>
      <c r="AZ152" s="220"/>
      <c r="BA152" s="17">
        <f t="shared" si="100"/>
        <v>1.52E-5</v>
      </c>
      <c r="BB152" s="17">
        <f t="shared" si="101"/>
        <v>0</v>
      </c>
      <c r="BC152" s="17"/>
      <c r="BD152" s="178">
        <v>143</v>
      </c>
      <c r="BE152" s="214">
        <f t="shared" si="110"/>
        <v>2.8499999999999998E-5</v>
      </c>
      <c r="BF152" s="178">
        <f t="shared" si="102"/>
        <v>0</v>
      </c>
      <c r="BG152" s="245">
        <f t="shared" si="103"/>
        <v>1.52E-5</v>
      </c>
      <c r="BH152" s="17">
        <f t="shared" si="111"/>
        <v>0</v>
      </c>
      <c r="BI152" s="178">
        <v>143</v>
      </c>
      <c r="BJ152" s="87">
        <f t="shared" si="112"/>
        <v>2.6799999999999998E-5</v>
      </c>
      <c r="BK152" s="215">
        <f t="shared" si="104"/>
        <v>0</v>
      </c>
      <c r="BL152" s="245">
        <f t="shared" si="113"/>
        <v>1.52E-5</v>
      </c>
      <c r="BM152" s="17">
        <f t="shared" si="114"/>
        <v>0</v>
      </c>
      <c r="BN152" s="178">
        <v>143</v>
      </c>
      <c r="BO152" s="87">
        <f t="shared" si="115"/>
        <v>2.6799999999999998E-5</v>
      </c>
      <c r="BP152" s="215">
        <f t="shared" si="105"/>
        <v>0</v>
      </c>
      <c r="BR152" s="126"/>
      <c r="BS152" s="126"/>
      <c r="BU152" s="178"/>
      <c r="BV152" s="179" t="str">
        <f t="shared" si="116"/>
        <v/>
      </c>
      <c r="BW152" s="179" t="str">
        <f t="shared" si="117"/>
        <v/>
      </c>
      <c r="BX152" s="179" t="str">
        <f t="shared" si="118"/>
        <v/>
      </c>
      <c r="BY152" s="179" t="str">
        <f t="shared" si="119"/>
        <v/>
      </c>
      <c r="BZ152" s="179" t="str">
        <f t="shared" si="120"/>
        <v/>
      </c>
      <c r="CA152" s="179" t="str">
        <f t="shared" si="121"/>
        <v/>
      </c>
      <c r="CB152" s="179" t="str">
        <f t="shared" si="122"/>
        <v/>
      </c>
      <c r="CC152" s="179" t="str">
        <f t="shared" si="123"/>
        <v/>
      </c>
      <c r="CD152" s="179" t="str">
        <f t="shared" si="124"/>
        <v/>
      </c>
      <c r="CE152" s="179" t="str">
        <f t="shared" si="125"/>
        <v/>
      </c>
      <c r="CF152" s="179" t="str">
        <f t="shared" si="126"/>
        <v/>
      </c>
      <c r="CG152" s="179" t="str">
        <f t="shared" si="127"/>
        <v/>
      </c>
      <c r="CH152" s="166"/>
      <c r="CI152" s="166"/>
      <c r="CJ152" s="166"/>
      <c r="CK152" s="166" t="s">
        <v>150</v>
      </c>
      <c r="CL152" s="166"/>
    </row>
    <row r="153" spans="1:90" ht="14.25" customHeight="1" thickBot="1" x14ac:dyDescent="0.3">
      <c r="A153" s="211">
        <v>143</v>
      </c>
      <c r="B153" s="88"/>
      <c r="C153" s="201"/>
      <c r="D153" s="94"/>
      <c r="E153" s="321" t="s">
        <v>93</v>
      </c>
      <c r="F153" s="96"/>
      <c r="G153" s="100"/>
      <c r="H153" s="100"/>
      <c r="I153" s="100"/>
      <c r="J153" s="100"/>
      <c r="K153" s="100"/>
      <c r="L153" s="100"/>
      <c r="M153" s="210"/>
      <c r="N153" s="234">
        <f t="shared" si="128"/>
        <v>0</v>
      </c>
      <c r="O153" s="308"/>
      <c r="P153" s="343"/>
      <c r="Q153" s="309"/>
      <c r="R153" s="324" t="s">
        <v>67</v>
      </c>
      <c r="S153" s="96"/>
      <c r="T153" s="100"/>
      <c r="U153" s="100"/>
      <c r="V153" s="100"/>
      <c r="W153" s="100"/>
      <c r="X153" s="100"/>
      <c r="Y153" s="97"/>
      <c r="Z153" s="210"/>
      <c r="AA153" s="234">
        <f t="shared" si="129"/>
        <v>0</v>
      </c>
      <c r="AB153" s="314">
        <f t="shared" si="106"/>
        <v>0</v>
      </c>
      <c r="AC153" s="314"/>
      <c r="AD153" s="314">
        <f t="shared" si="107"/>
        <v>0</v>
      </c>
      <c r="AE153" s="324" t="s">
        <v>87</v>
      </c>
      <c r="AF153" s="82"/>
      <c r="AG153" s="337"/>
      <c r="AH153" s="337"/>
      <c r="AI153" s="337"/>
      <c r="AJ153" s="337"/>
      <c r="AK153" s="337"/>
      <c r="AL153" s="338"/>
      <c r="AM153" s="354"/>
      <c r="AN153" s="91">
        <f t="shared" si="130"/>
        <v>0</v>
      </c>
      <c r="AO153" s="96">
        <f t="shared" si="108"/>
        <v>0</v>
      </c>
      <c r="AP153" s="210"/>
      <c r="AQ153" s="97">
        <f t="shared" si="109"/>
        <v>0</v>
      </c>
      <c r="AR153" s="105"/>
      <c r="AS153" s="102"/>
      <c r="AT153" s="237"/>
      <c r="AU153" s="231"/>
      <c r="AV153" s="93"/>
      <c r="AW153" s="231"/>
      <c r="AX153" s="93"/>
      <c r="AY153" s="231"/>
      <c r="AZ153" s="93"/>
      <c r="BA153" s="17">
        <f t="shared" si="100"/>
        <v>1.5299999999999999E-5</v>
      </c>
      <c r="BB153" s="17">
        <f t="shared" si="101"/>
        <v>0</v>
      </c>
      <c r="BC153" s="17"/>
      <c r="BD153" s="178">
        <v>144</v>
      </c>
      <c r="BE153" s="214">
        <f t="shared" si="110"/>
        <v>2.8399999999999999E-5</v>
      </c>
      <c r="BF153" s="178">
        <f t="shared" si="102"/>
        <v>0</v>
      </c>
      <c r="BG153" s="245">
        <f t="shared" si="103"/>
        <v>1.5299999999999999E-5</v>
      </c>
      <c r="BH153" s="17">
        <f t="shared" si="111"/>
        <v>0</v>
      </c>
      <c r="BI153" s="178">
        <v>144</v>
      </c>
      <c r="BJ153" s="87">
        <f t="shared" si="112"/>
        <v>2.6699999999999998E-5</v>
      </c>
      <c r="BK153" s="215">
        <f t="shared" si="104"/>
        <v>0</v>
      </c>
      <c r="BL153" s="245">
        <f t="shared" si="113"/>
        <v>1.5299999999999999E-5</v>
      </c>
      <c r="BM153" s="17">
        <f t="shared" si="114"/>
        <v>0</v>
      </c>
      <c r="BN153" s="178">
        <v>144</v>
      </c>
      <c r="BO153" s="87">
        <f t="shared" si="115"/>
        <v>2.6699999999999998E-5</v>
      </c>
      <c r="BP153" s="215">
        <f t="shared" si="105"/>
        <v>0</v>
      </c>
      <c r="BR153" s="126"/>
      <c r="BS153" s="126"/>
      <c r="BU153" s="178"/>
      <c r="BV153" s="179" t="str">
        <f t="shared" si="116"/>
        <v/>
      </c>
      <c r="BW153" s="179" t="str">
        <f t="shared" si="117"/>
        <v/>
      </c>
      <c r="BX153" s="179" t="str">
        <f t="shared" si="118"/>
        <v/>
      </c>
      <c r="BY153" s="179" t="str">
        <f t="shared" si="119"/>
        <v/>
      </c>
      <c r="BZ153" s="179" t="str">
        <f t="shared" si="120"/>
        <v/>
      </c>
      <c r="CA153" s="179" t="str">
        <f t="shared" si="121"/>
        <v/>
      </c>
      <c r="CB153" s="179" t="str">
        <f t="shared" si="122"/>
        <v/>
      </c>
      <c r="CC153" s="179" t="str">
        <f t="shared" si="123"/>
        <v/>
      </c>
      <c r="CD153" s="179" t="str">
        <f t="shared" si="124"/>
        <v/>
      </c>
      <c r="CE153" s="179" t="str">
        <f t="shared" si="125"/>
        <v/>
      </c>
      <c r="CF153" s="179" t="str">
        <f t="shared" si="126"/>
        <v/>
      </c>
      <c r="CG153" s="179" t="str">
        <f t="shared" si="127"/>
        <v/>
      </c>
      <c r="CH153" s="166"/>
      <c r="CI153" s="166"/>
      <c r="CJ153" s="166"/>
      <c r="CK153" s="166" t="s">
        <v>150</v>
      </c>
      <c r="CL153" s="166"/>
    </row>
    <row r="154" spans="1:90" ht="14.25" customHeight="1" thickBot="1" x14ac:dyDescent="0.3">
      <c r="A154" s="213">
        <v>144</v>
      </c>
      <c r="B154" s="89"/>
      <c r="C154" s="199"/>
      <c r="D154" s="146"/>
      <c r="E154" s="319" t="s">
        <v>93</v>
      </c>
      <c r="F154" s="221"/>
      <c r="G154" s="222"/>
      <c r="H154" s="222"/>
      <c r="I154" s="222"/>
      <c r="J154" s="222"/>
      <c r="K154" s="222"/>
      <c r="L154" s="222"/>
      <c r="M154" s="331"/>
      <c r="N154" s="303">
        <f t="shared" si="128"/>
        <v>0</v>
      </c>
      <c r="O154" s="304"/>
      <c r="P154" s="341"/>
      <c r="Q154" s="305"/>
      <c r="R154" s="322" t="s">
        <v>67</v>
      </c>
      <c r="S154" s="326"/>
      <c r="T154" s="327"/>
      <c r="U154" s="327"/>
      <c r="V154" s="327"/>
      <c r="W154" s="327"/>
      <c r="X154" s="327"/>
      <c r="Y154" s="95"/>
      <c r="Z154" s="331"/>
      <c r="AA154" s="303">
        <f t="shared" si="129"/>
        <v>0</v>
      </c>
      <c r="AB154" s="314">
        <f t="shared" si="106"/>
        <v>0</v>
      </c>
      <c r="AC154" s="314"/>
      <c r="AD154" s="314">
        <f t="shared" si="107"/>
        <v>0</v>
      </c>
      <c r="AE154" s="325" t="s">
        <v>148</v>
      </c>
      <c r="AF154" s="15"/>
      <c r="AG154" s="232"/>
      <c r="AH154" s="232"/>
      <c r="AI154" s="232"/>
      <c r="AJ154" s="232"/>
      <c r="AK154" s="232"/>
      <c r="AL154" s="7"/>
      <c r="AM154" s="352"/>
      <c r="AN154" s="22">
        <f t="shared" si="130"/>
        <v>0</v>
      </c>
      <c r="AO154" s="15">
        <f t="shared" si="108"/>
        <v>0</v>
      </c>
      <c r="AP154" s="345"/>
      <c r="AQ154" s="7">
        <f t="shared" si="109"/>
        <v>0</v>
      </c>
      <c r="AR154" s="103"/>
      <c r="AS154" s="101"/>
      <c r="AT154" s="236"/>
      <c r="AU154" s="235"/>
      <c r="AV154" s="92"/>
      <c r="AW154" s="235"/>
      <c r="AX154" s="92"/>
      <c r="AY154" s="235"/>
      <c r="AZ154" s="92"/>
      <c r="BA154" s="17">
        <f t="shared" si="100"/>
        <v>1.5399999999999998E-5</v>
      </c>
      <c r="BB154" s="17">
        <f t="shared" si="101"/>
        <v>0</v>
      </c>
      <c r="BC154" s="17"/>
      <c r="BD154" s="178">
        <v>145</v>
      </c>
      <c r="BE154" s="214">
        <f t="shared" si="110"/>
        <v>2.83E-5</v>
      </c>
      <c r="BF154" s="178">
        <f t="shared" si="102"/>
        <v>0</v>
      </c>
      <c r="BG154" s="245">
        <f t="shared" si="103"/>
        <v>1.5399999999999998E-5</v>
      </c>
      <c r="BH154" s="17">
        <f t="shared" si="111"/>
        <v>0</v>
      </c>
      <c r="BI154" s="178">
        <v>145</v>
      </c>
      <c r="BJ154" s="87">
        <f t="shared" si="112"/>
        <v>2.6599999999999999E-5</v>
      </c>
      <c r="BK154" s="215">
        <f t="shared" si="104"/>
        <v>0</v>
      </c>
      <c r="BL154" s="245">
        <f t="shared" si="113"/>
        <v>1.5399999999999998E-5</v>
      </c>
      <c r="BM154" s="17">
        <f t="shared" si="114"/>
        <v>0</v>
      </c>
      <c r="BN154" s="178">
        <v>145</v>
      </c>
      <c r="BO154" s="87">
        <f t="shared" si="115"/>
        <v>2.6599999999999999E-5</v>
      </c>
      <c r="BP154" s="215">
        <f t="shared" si="105"/>
        <v>0</v>
      </c>
      <c r="BR154" s="126"/>
      <c r="BS154" s="126"/>
      <c r="BU154" s="178"/>
      <c r="BV154" s="179" t="str">
        <f t="shared" si="116"/>
        <v/>
      </c>
      <c r="BW154" s="179" t="str">
        <f t="shared" si="117"/>
        <v/>
      </c>
      <c r="BX154" s="179" t="str">
        <f t="shared" si="118"/>
        <v/>
      </c>
      <c r="BY154" s="179" t="str">
        <f t="shared" si="119"/>
        <v/>
      </c>
      <c r="BZ154" s="179" t="str">
        <f t="shared" si="120"/>
        <v/>
      </c>
      <c r="CA154" s="179" t="str">
        <f t="shared" si="121"/>
        <v/>
      </c>
      <c r="CB154" s="179" t="str">
        <f t="shared" si="122"/>
        <v/>
      </c>
      <c r="CC154" s="179" t="str">
        <f t="shared" si="123"/>
        <v/>
      </c>
      <c r="CD154" s="179" t="str">
        <f t="shared" si="124"/>
        <v/>
      </c>
      <c r="CE154" s="179" t="str">
        <f t="shared" si="125"/>
        <v/>
      </c>
      <c r="CF154" s="179" t="str">
        <f t="shared" si="126"/>
        <v/>
      </c>
      <c r="CG154" s="179" t="str">
        <f t="shared" si="127"/>
        <v/>
      </c>
      <c r="CH154" s="166"/>
      <c r="CI154" s="166"/>
      <c r="CJ154" s="166"/>
      <c r="CK154" s="166" t="s">
        <v>150</v>
      </c>
      <c r="CL154" s="166"/>
    </row>
    <row r="155" spans="1:90" ht="14.25" customHeight="1" x14ac:dyDescent="0.25">
      <c r="A155" s="211">
        <v>145</v>
      </c>
      <c r="B155" s="219"/>
      <c r="C155" s="200"/>
      <c r="D155" s="145"/>
      <c r="E155" s="320" t="s">
        <v>93</v>
      </c>
      <c r="F155" s="209"/>
      <c r="G155" s="313"/>
      <c r="H155" s="313"/>
      <c r="I155" s="313"/>
      <c r="J155" s="313"/>
      <c r="K155" s="313"/>
      <c r="L155" s="313"/>
      <c r="M155" s="339"/>
      <c r="N155" s="233">
        <f t="shared" si="128"/>
        <v>0</v>
      </c>
      <c r="O155" s="306"/>
      <c r="P155" s="342"/>
      <c r="Q155" s="307"/>
      <c r="R155" s="323" t="s">
        <v>67</v>
      </c>
      <c r="S155" s="209"/>
      <c r="T155" s="313"/>
      <c r="U155" s="313"/>
      <c r="V155" s="313"/>
      <c r="W155" s="313"/>
      <c r="X155" s="313"/>
      <c r="Y155" s="125"/>
      <c r="Z155" s="339"/>
      <c r="AA155" s="233">
        <f t="shared" si="129"/>
        <v>0</v>
      </c>
      <c r="AB155" s="314">
        <f t="shared" si="106"/>
        <v>0</v>
      </c>
      <c r="AC155" s="314"/>
      <c r="AD155" s="314">
        <f t="shared" si="107"/>
        <v>0</v>
      </c>
      <c r="AE155" s="323" t="s">
        <v>87</v>
      </c>
      <c r="AF155" s="81"/>
      <c r="AG155" s="335"/>
      <c r="AH155" s="335"/>
      <c r="AI155" s="335"/>
      <c r="AJ155" s="335"/>
      <c r="AK155" s="335"/>
      <c r="AL155" s="336"/>
      <c r="AM155" s="353"/>
      <c r="AN155" s="22">
        <f t="shared" si="130"/>
        <v>0</v>
      </c>
      <c r="AO155" s="209">
        <f t="shared" si="108"/>
        <v>0</v>
      </c>
      <c r="AP155" s="339"/>
      <c r="AQ155" s="125">
        <f t="shared" si="109"/>
        <v>0</v>
      </c>
      <c r="AR155" s="104"/>
      <c r="AS155" s="217"/>
      <c r="AT155" s="216"/>
      <c r="AU155" s="230"/>
      <c r="AV155" s="220"/>
      <c r="AW155" s="230"/>
      <c r="AX155" s="220"/>
      <c r="AY155" s="230"/>
      <c r="AZ155" s="220"/>
      <c r="BA155" s="17">
        <f t="shared" si="100"/>
        <v>1.5500000000000001E-5</v>
      </c>
      <c r="BB155" s="17">
        <f t="shared" si="101"/>
        <v>0</v>
      </c>
      <c r="BC155" s="17"/>
      <c r="BD155" s="178">
        <v>146</v>
      </c>
      <c r="BE155" s="214">
        <f t="shared" si="110"/>
        <v>2.8199999999999998E-5</v>
      </c>
      <c r="BF155" s="178">
        <f t="shared" si="102"/>
        <v>0</v>
      </c>
      <c r="BG155" s="245">
        <f t="shared" si="103"/>
        <v>1.5500000000000001E-5</v>
      </c>
      <c r="BH155" s="17">
        <f t="shared" si="111"/>
        <v>0</v>
      </c>
      <c r="BI155" s="178">
        <v>146</v>
      </c>
      <c r="BJ155" s="87">
        <f t="shared" si="112"/>
        <v>2.65E-5</v>
      </c>
      <c r="BK155" s="215">
        <f t="shared" si="104"/>
        <v>0</v>
      </c>
      <c r="BL155" s="245">
        <f t="shared" si="113"/>
        <v>1.5500000000000001E-5</v>
      </c>
      <c r="BM155" s="17">
        <f t="shared" si="114"/>
        <v>0</v>
      </c>
      <c r="BN155" s="178">
        <v>146</v>
      </c>
      <c r="BO155" s="87">
        <f t="shared" si="115"/>
        <v>2.65E-5</v>
      </c>
      <c r="BP155" s="215">
        <f t="shared" si="105"/>
        <v>0</v>
      </c>
      <c r="BR155" s="126"/>
      <c r="BS155" s="126"/>
      <c r="BU155" s="178"/>
      <c r="BV155" s="179" t="str">
        <f t="shared" si="116"/>
        <v/>
      </c>
      <c r="BW155" s="179" t="str">
        <f t="shared" si="117"/>
        <v/>
      </c>
      <c r="BX155" s="179" t="str">
        <f t="shared" si="118"/>
        <v/>
      </c>
      <c r="BY155" s="179" t="str">
        <f t="shared" si="119"/>
        <v/>
      </c>
      <c r="BZ155" s="179" t="str">
        <f t="shared" si="120"/>
        <v/>
      </c>
      <c r="CA155" s="179" t="str">
        <f t="shared" si="121"/>
        <v/>
      </c>
      <c r="CB155" s="179" t="str">
        <f t="shared" si="122"/>
        <v/>
      </c>
      <c r="CC155" s="179" t="str">
        <f t="shared" si="123"/>
        <v/>
      </c>
      <c r="CD155" s="179" t="str">
        <f t="shared" si="124"/>
        <v/>
      </c>
      <c r="CE155" s="179" t="str">
        <f t="shared" si="125"/>
        <v/>
      </c>
      <c r="CF155" s="179" t="str">
        <f t="shared" si="126"/>
        <v/>
      </c>
      <c r="CG155" s="179" t="str">
        <f t="shared" si="127"/>
        <v/>
      </c>
      <c r="CH155" s="166"/>
      <c r="CI155" s="166"/>
      <c r="CJ155" s="166"/>
      <c r="CK155" s="166" t="s">
        <v>150</v>
      </c>
      <c r="CL155" s="166"/>
    </row>
    <row r="156" spans="1:90" ht="14.25" customHeight="1" thickBot="1" x14ac:dyDescent="0.3">
      <c r="A156" s="213">
        <v>146</v>
      </c>
      <c r="B156" s="88"/>
      <c r="C156" s="201"/>
      <c r="D156" s="94"/>
      <c r="E156" s="321" t="s">
        <v>93</v>
      </c>
      <c r="F156" s="96"/>
      <c r="G156" s="100"/>
      <c r="H156" s="100"/>
      <c r="I156" s="100"/>
      <c r="J156" s="100"/>
      <c r="K156" s="100"/>
      <c r="L156" s="100"/>
      <c r="M156" s="210"/>
      <c r="N156" s="234">
        <f t="shared" si="128"/>
        <v>0</v>
      </c>
      <c r="O156" s="308"/>
      <c r="P156" s="343"/>
      <c r="Q156" s="309"/>
      <c r="R156" s="324" t="s">
        <v>67</v>
      </c>
      <c r="S156" s="96"/>
      <c r="T156" s="100"/>
      <c r="U156" s="100"/>
      <c r="V156" s="100"/>
      <c r="W156" s="100"/>
      <c r="X156" s="100"/>
      <c r="Y156" s="97"/>
      <c r="Z156" s="210"/>
      <c r="AA156" s="234">
        <f t="shared" si="129"/>
        <v>0</v>
      </c>
      <c r="AB156" s="314">
        <f t="shared" si="106"/>
        <v>0</v>
      </c>
      <c r="AC156" s="314"/>
      <c r="AD156" s="314">
        <f t="shared" si="107"/>
        <v>0</v>
      </c>
      <c r="AE156" s="324" t="s">
        <v>87</v>
      </c>
      <c r="AF156" s="82"/>
      <c r="AG156" s="337"/>
      <c r="AH156" s="337"/>
      <c r="AI156" s="337"/>
      <c r="AJ156" s="337"/>
      <c r="AK156" s="337"/>
      <c r="AL156" s="338"/>
      <c r="AM156" s="354"/>
      <c r="AN156" s="91">
        <f t="shared" si="130"/>
        <v>0</v>
      </c>
      <c r="AO156" s="96">
        <f t="shared" si="108"/>
        <v>0</v>
      </c>
      <c r="AP156" s="210"/>
      <c r="AQ156" s="97">
        <f t="shared" si="109"/>
        <v>0</v>
      </c>
      <c r="AR156" s="105"/>
      <c r="AS156" s="102"/>
      <c r="AT156" s="237"/>
      <c r="AU156" s="231"/>
      <c r="AV156" s="93"/>
      <c r="AW156" s="231"/>
      <c r="AX156" s="93"/>
      <c r="AY156" s="231"/>
      <c r="AZ156" s="93"/>
      <c r="BA156" s="17">
        <f t="shared" si="100"/>
        <v>1.56E-5</v>
      </c>
      <c r="BB156" s="17">
        <f t="shared" si="101"/>
        <v>0</v>
      </c>
      <c r="BC156" s="17"/>
      <c r="BD156" s="178">
        <v>147</v>
      </c>
      <c r="BE156" s="214">
        <f t="shared" si="110"/>
        <v>2.8099999999999999E-5</v>
      </c>
      <c r="BF156" s="178">
        <f t="shared" si="102"/>
        <v>0</v>
      </c>
      <c r="BG156" s="245">
        <f t="shared" si="103"/>
        <v>1.56E-5</v>
      </c>
      <c r="BH156" s="17">
        <f t="shared" si="111"/>
        <v>0</v>
      </c>
      <c r="BI156" s="178">
        <v>147</v>
      </c>
      <c r="BJ156" s="87">
        <f t="shared" si="112"/>
        <v>2.6399999999999998E-5</v>
      </c>
      <c r="BK156" s="215">
        <f t="shared" si="104"/>
        <v>0</v>
      </c>
      <c r="BL156" s="245">
        <f t="shared" si="113"/>
        <v>1.56E-5</v>
      </c>
      <c r="BM156" s="17">
        <f t="shared" si="114"/>
        <v>0</v>
      </c>
      <c r="BN156" s="178">
        <v>147</v>
      </c>
      <c r="BO156" s="87">
        <f t="shared" si="115"/>
        <v>2.6399999999999998E-5</v>
      </c>
      <c r="BP156" s="215">
        <f t="shared" si="105"/>
        <v>0</v>
      </c>
      <c r="BR156" s="126"/>
      <c r="BS156" s="126"/>
      <c r="BU156" s="178"/>
      <c r="BV156" s="179" t="str">
        <f t="shared" si="116"/>
        <v/>
      </c>
      <c r="BW156" s="179" t="str">
        <f t="shared" si="117"/>
        <v/>
      </c>
      <c r="BX156" s="179" t="str">
        <f t="shared" si="118"/>
        <v/>
      </c>
      <c r="BY156" s="179" t="str">
        <f t="shared" si="119"/>
        <v/>
      </c>
      <c r="BZ156" s="179" t="str">
        <f t="shared" si="120"/>
        <v/>
      </c>
      <c r="CA156" s="179" t="str">
        <f t="shared" si="121"/>
        <v/>
      </c>
      <c r="CB156" s="179" t="str">
        <f t="shared" si="122"/>
        <v/>
      </c>
      <c r="CC156" s="179" t="str">
        <f t="shared" si="123"/>
        <v/>
      </c>
      <c r="CD156" s="179" t="str">
        <f t="shared" si="124"/>
        <v/>
      </c>
      <c r="CE156" s="179" t="str">
        <f t="shared" si="125"/>
        <v/>
      </c>
      <c r="CF156" s="179" t="str">
        <f t="shared" si="126"/>
        <v/>
      </c>
      <c r="CG156" s="179" t="str">
        <f t="shared" si="127"/>
        <v/>
      </c>
      <c r="CH156" s="166"/>
      <c r="CI156" s="166"/>
      <c r="CJ156" s="166"/>
      <c r="CK156" s="166" t="s">
        <v>150</v>
      </c>
      <c r="CL156" s="166"/>
    </row>
    <row r="157" spans="1:90" ht="14.25" customHeight="1" x14ac:dyDescent="0.25">
      <c r="A157" s="211">
        <v>147</v>
      </c>
      <c r="B157" s="89"/>
      <c r="C157" s="199"/>
      <c r="D157" s="146"/>
      <c r="E157" s="319" t="s">
        <v>93</v>
      </c>
      <c r="F157" s="221"/>
      <c r="G157" s="222"/>
      <c r="H157" s="222"/>
      <c r="I157" s="222"/>
      <c r="J157" s="222"/>
      <c r="K157" s="222"/>
      <c r="L157" s="222"/>
      <c r="M157" s="331"/>
      <c r="N157" s="303">
        <f t="shared" si="128"/>
        <v>0</v>
      </c>
      <c r="O157" s="304"/>
      <c r="P157" s="341"/>
      <c r="Q157" s="305"/>
      <c r="R157" s="322" t="s">
        <v>67</v>
      </c>
      <c r="S157" s="326"/>
      <c r="T157" s="327"/>
      <c r="U157" s="327"/>
      <c r="V157" s="327"/>
      <c r="W157" s="327"/>
      <c r="X157" s="327"/>
      <c r="Y157" s="95"/>
      <c r="Z157" s="331"/>
      <c r="AA157" s="303">
        <f t="shared" si="129"/>
        <v>0</v>
      </c>
      <c r="AB157" s="314">
        <f t="shared" si="106"/>
        <v>0</v>
      </c>
      <c r="AC157" s="314"/>
      <c r="AD157" s="314">
        <f t="shared" si="107"/>
        <v>0</v>
      </c>
      <c r="AE157" s="325" t="s">
        <v>148</v>
      </c>
      <c r="AF157" s="15"/>
      <c r="AG157" s="232"/>
      <c r="AH157" s="232"/>
      <c r="AI157" s="232"/>
      <c r="AJ157" s="232"/>
      <c r="AK157" s="232"/>
      <c r="AL157" s="7"/>
      <c r="AM157" s="352"/>
      <c r="AN157" s="22">
        <f t="shared" si="130"/>
        <v>0</v>
      </c>
      <c r="AO157" s="15">
        <f t="shared" si="108"/>
        <v>0</v>
      </c>
      <c r="AP157" s="345"/>
      <c r="AQ157" s="7">
        <f t="shared" si="109"/>
        <v>0</v>
      </c>
      <c r="AR157" s="103"/>
      <c r="AS157" s="101"/>
      <c r="AT157" s="236"/>
      <c r="AU157" s="235"/>
      <c r="AV157" s="92"/>
      <c r="AW157" s="235"/>
      <c r="AX157" s="92"/>
      <c r="AY157" s="235"/>
      <c r="AZ157" s="92"/>
      <c r="BA157" s="17">
        <f t="shared" si="100"/>
        <v>1.5699999999999999E-5</v>
      </c>
      <c r="BB157" s="17">
        <f t="shared" si="101"/>
        <v>0</v>
      </c>
      <c r="BC157" s="17"/>
      <c r="BD157" s="178">
        <v>148</v>
      </c>
      <c r="BE157" s="214">
        <f t="shared" si="110"/>
        <v>2.8E-5</v>
      </c>
      <c r="BF157" s="178">
        <f t="shared" si="102"/>
        <v>0</v>
      </c>
      <c r="BG157" s="245">
        <f t="shared" si="103"/>
        <v>1.5699999999999999E-5</v>
      </c>
      <c r="BH157" s="17">
        <f t="shared" si="111"/>
        <v>0</v>
      </c>
      <c r="BI157" s="178">
        <v>148</v>
      </c>
      <c r="BJ157" s="87">
        <f t="shared" si="112"/>
        <v>2.6299999999999999E-5</v>
      </c>
      <c r="BK157" s="215">
        <f t="shared" si="104"/>
        <v>0</v>
      </c>
      <c r="BL157" s="245">
        <f t="shared" si="113"/>
        <v>1.5699999999999999E-5</v>
      </c>
      <c r="BM157" s="17">
        <f t="shared" si="114"/>
        <v>0</v>
      </c>
      <c r="BN157" s="178">
        <v>148</v>
      </c>
      <c r="BO157" s="87">
        <f t="shared" si="115"/>
        <v>2.6299999999999999E-5</v>
      </c>
      <c r="BP157" s="215">
        <f t="shared" si="105"/>
        <v>0</v>
      </c>
      <c r="BR157" s="126"/>
      <c r="BS157" s="126"/>
      <c r="BU157" s="178"/>
      <c r="BV157" s="179" t="str">
        <f t="shared" si="116"/>
        <v/>
      </c>
      <c r="BW157" s="179" t="str">
        <f t="shared" si="117"/>
        <v/>
      </c>
      <c r="BX157" s="179" t="str">
        <f t="shared" si="118"/>
        <v/>
      </c>
      <c r="BY157" s="179" t="str">
        <f t="shared" si="119"/>
        <v/>
      </c>
      <c r="BZ157" s="179" t="str">
        <f t="shared" si="120"/>
        <v/>
      </c>
      <c r="CA157" s="179" t="str">
        <f t="shared" si="121"/>
        <v/>
      </c>
      <c r="CB157" s="179" t="str">
        <f t="shared" si="122"/>
        <v/>
      </c>
      <c r="CC157" s="179" t="str">
        <f t="shared" si="123"/>
        <v/>
      </c>
      <c r="CD157" s="179" t="str">
        <f t="shared" si="124"/>
        <v/>
      </c>
      <c r="CE157" s="179" t="str">
        <f t="shared" si="125"/>
        <v/>
      </c>
      <c r="CF157" s="179" t="str">
        <f t="shared" si="126"/>
        <v/>
      </c>
      <c r="CG157" s="179" t="str">
        <f t="shared" si="127"/>
        <v/>
      </c>
      <c r="CH157" s="166"/>
      <c r="CI157" s="166"/>
      <c r="CJ157" s="166"/>
      <c r="CK157" s="166" t="s">
        <v>150</v>
      </c>
      <c r="CL157" s="166"/>
    </row>
    <row r="158" spans="1:90" ht="14.25" customHeight="1" thickBot="1" x14ac:dyDescent="0.3">
      <c r="A158" s="213">
        <v>148</v>
      </c>
      <c r="B158" s="219"/>
      <c r="C158" s="200"/>
      <c r="D158" s="145"/>
      <c r="E158" s="320" t="s">
        <v>93</v>
      </c>
      <c r="F158" s="209"/>
      <c r="G158" s="313"/>
      <c r="H158" s="313"/>
      <c r="I158" s="313"/>
      <c r="J158" s="313"/>
      <c r="K158" s="313"/>
      <c r="L158" s="313"/>
      <c r="M158" s="339"/>
      <c r="N158" s="233">
        <f t="shared" si="128"/>
        <v>0</v>
      </c>
      <c r="O158" s="306"/>
      <c r="P158" s="342"/>
      <c r="Q158" s="307"/>
      <c r="R158" s="323" t="s">
        <v>67</v>
      </c>
      <c r="S158" s="209"/>
      <c r="T158" s="313"/>
      <c r="U158" s="313"/>
      <c r="V158" s="313"/>
      <c r="W158" s="313"/>
      <c r="X158" s="313"/>
      <c r="Y158" s="125"/>
      <c r="Z158" s="339"/>
      <c r="AA158" s="233">
        <f t="shared" si="129"/>
        <v>0</v>
      </c>
      <c r="AB158" s="314">
        <f t="shared" si="106"/>
        <v>0</v>
      </c>
      <c r="AC158" s="314"/>
      <c r="AD158" s="314">
        <f t="shared" si="107"/>
        <v>0</v>
      </c>
      <c r="AE158" s="323" t="s">
        <v>87</v>
      </c>
      <c r="AF158" s="81"/>
      <c r="AG158" s="335"/>
      <c r="AH158" s="335"/>
      <c r="AI158" s="335"/>
      <c r="AJ158" s="335"/>
      <c r="AK158" s="335"/>
      <c r="AL158" s="336"/>
      <c r="AM158" s="353"/>
      <c r="AN158" s="22">
        <f t="shared" si="130"/>
        <v>0</v>
      </c>
      <c r="AO158" s="209">
        <f t="shared" si="108"/>
        <v>0</v>
      </c>
      <c r="AP158" s="339"/>
      <c r="AQ158" s="125">
        <f t="shared" si="109"/>
        <v>0</v>
      </c>
      <c r="AR158" s="104"/>
      <c r="AS158" s="217"/>
      <c r="AT158" s="216"/>
      <c r="AU158" s="230"/>
      <c r="AV158" s="220"/>
      <c r="AW158" s="230"/>
      <c r="AX158" s="220"/>
      <c r="AY158" s="230"/>
      <c r="AZ158" s="220"/>
      <c r="BA158" s="17">
        <f t="shared" si="100"/>
        <v>1.5799999999999998E-5</v>
      </c>
      <c r="BB158" s="17">
        <f t="shared" si="101"/>
        <v>0</v>
      </c>
      <c r="BC158" s="17"/>
      <c r="BD158" s="178">
        <v>149</v>
      </c>
      <c r="BE158" s="214">
        <f t="shared" si="110"/>
        <v>2.7899999999999997E-5</v>
      </c>
      <c r="BF158" s="178">
        <f t="shared" si="102"/>
        <v>0</v>
      </c>
      <c r="BG158" s="245">
        <f t="shared" si="103"/>
        <v>1.5799999999999998E-5</v>
      </c>
      <c r="BH158" s="17">
        <f t="shared" si="111"/>
        <v>0</v>
      </c>
      <c r="BI158" s="178">
        <v>149</v>
      </c>
      <c r="BJ158" s="87">
        <f t="shared" si="112"/>
        <v>2.62E-5</v>
      </c>
      <c r="BK158" s="215">
        <f t="shared" si="104"/>
        <v>0</v>
      </c>
      <c r="BL158" s="245">
        <f t="shared" si="113"/>
        <v>1.5799999999999998E-5</v>
      </c>
      <c r="BM158" s="17">
        <f t="shared" si="114"/>
        <v>0</v>
      </c>
      <c r="BN158" s="178">
        <v>149</v>
      </c>
      <c r="BO158" s="87">
        <f t="shared" si="115"/>
        <v>2.62E-5</v>
      </c>
      <c r="BP158" s="215">
        <f t="shared" si="105"/>
        <v>0</v>
      </c>
      <c r="BR158" s="126"/>
      <c r="BS158" s="126"/>
      <c r="BU158" s="178"/>
      <c r="BV158" s="179" t="str">
        <f t="shared" si="116"/>
        <v/>
      </c>
      <c r="BW158" s="179" t="str">
        <f t="shared" si="117"/>
        <v/>
      </c>
      <c r="BX158" s="179" t="str">
        <f t="shared" si="118"/>
        <v/>
      </c>
      <c r="BY158" s="179" t="str">
        <f t="shared" si="119"/>
        <v/>
      </c>
      <c r="BZ158" s="179" t="str">
        <f t="shared" si="120"/>
        <v/>
      </c>
      <c r="CA158" s="179" t="str">
        <f t="shared" si="121"/>
        <v/>
      </c>
      <c r="CB158" s="179" t="str">
        <f t="shared" si="122"/>
        <v/>
      </c>
      <c r="CC158" s="179" t="str">
        <f t="shared" si="123"/>
        <v/>
      </c>
      <c r="CD158" s="179" t="str">
        <f t="shared" si="124"/>
        <v/>
      </c>
      <c r="CE158" s="179" t="str">
        <f t="shared" si="125"/>
        <v/>
      </c>
      <c r="CF158" s="179" t="str">
        <f t="shared" si="126"/>
        <v/>
      </c>
      <c r="CG158" s="179" t="str">
        <f t="shared" si="127"/>
        <v/>
      </c>
      <c r="CH158" s="166"/>
      <c r="CI158" s="166"/>
      <c r="CJ158" s="166"/>
      <c r="CK158" s="166" t="s">
        <v>150</v>
      </c>
      <c r="CL158" s="166"/>
    </row>
    <row r="159" spans="1:90" ht="14.25" customHeight="1" thickBot="1" x14ac:dyDescent="0.3">
      <c r="A159" s="211">
        <v>149</v>
      </c>
      <c r="B159" s="88"/>
      <c r="C159" s="201"/>
      <c r="D159" s="94"/>
      <c r="E159" s="321" t="s">
        <v>93</v>
      </c>
      <c r="F159" s="96"/>
      <c r="G159" s="100"/>
      <c r="H159" s="100"/>
      <c r="I159" s="100"/>
      <c r="J159" s="100"/>
      <c r="K159" s="100"/>
      <c r="L159" s="100"/>
      <c r="M159" s="210"/>
      <c r="N159" s="234">
        <f t="shared" si="128"/>
        <v>0</v>
      </c>
      <c r="O159" s="308"/>
      <c r="P159" s="343"/>
      <c r="Q159" s="309"/>
      <c r="R159" s="324" t="s">
        <v>67</v>
      </c>
      <c r="S159" s="96"/>
      <c r="T159" s="100"/>
      <c r="U159" s="100"/>
      <c r="V159" s="100"/>
      <c r="W159" s="100"/>
      <c r="X159" s="100"/>
      <c r="Y159" s="97"/>
      <c r="Z159" s="210"/>
      <c r="AA159" s="234">
        <f t="shared" si="129"/>
        <v>0</v>
      </c>
      <c r="AB159" s="314">
        <f t="shared" si="106"/>
        <v>0</v>
      </c>
      <c r="AC159" s="314"/>
      <c r="AD159" s="314">
        <f t="shared" si="107"/>
        <v>0</v>
      </c>
      <c r="AE159" s="324" t="s">
        <v>87</v>
      </c>
      <c r="AF159" s="82"/>
      <c r="AG159" s="337"/>
      <c r="AH159" s="337"/>
      <c r="AI159" s="337"/>
      <c r="AJ159" s="337"/>
      <c r="AK159" s="337"/>
      <c r="AL159" s="338"/>
      <c r="AM159" s="354"/>
      <c r="AN159" s="91">
        <f t="shared" si="130"/>
        <v>0</v>
      </c>
      <c r="AO159" s="96">
        <f t="shared" si="108"/>
        <v>0</v>
      </c>
      <c r="AP159" s="210"/>
      <c r="AQ159" s="97">
        <f t="shared" si="109"/>
        <v>0</v>
      </c>
      <c r="AR159" s="105"/>
      <c r="AS159" s="102"/>
      <c r="AT159" s="237"/>
      <c r="AU159" s="231"/>
      <c r="AV159" s="93"/>
      <c r="AW159" s="231"/>
      <c r="AX159" s="93"/>
      <c r="AY159" s="231"/>
      <c r="AZ159" s="93"/>
      <c r="BA159" s="17">
        <f t="shared" si="100"/>
        <v>1.59E-5</v>
      </c>
      <c r="BB159" s="17">
        <f t="shared" si="101"/>
        <v>0</v>
      </c>
      <c r="BC159" s="17"/>
      <c r="BD159" s="178">
        <v>150</v>
      </c>
      <c r="BE159" s="214">
        <f t="shared" si="110"/>
        <v>2.7799999999999998E-5</v>
      </c>
      <c r="BF159" s="178">
        <f t="shared" si="102"/>
        <v>0</v>
      </c>
      <c r="BG159" s="245">
        <f t="shared" si="103"/>
        <v>1.59E-5</v>
      </c>
      <c r="BH159" s="17">
        <f t="shared" si="111"/>
        <v>0</v>
      </c>
      <c r="BI159" s="178">
        <v>150</v>
      </c>
      <c r="BJ159" s="87">
        <f t="shared" si="112"/>
        <v>2.6099999999999997E-5</v>
      </c>
      <c r="BK159" s="215">
        <f t="shared" si="104"/>
        <v>0</v>
      </c>
      <c r="BL159" s="245">
        <f t="shared" si="113"/>
        <v>1.59E-5</v>
      </c>
      <c r="BM159" s="17">
        <f t="shared" si="114"/>
        <v>0</v>
      </c>
      <c r="BN159" s="178">
        <v>150</v>
      </c>
      <c r="BO159" s="87">
        <f t="shared" si="115"/>
        <v>2.6099999999999997E-5</v>
      </c>
      <c r="BP159" s="215">
        <f t="shared" si="105"/>
        <v>0</v>
      </c>
      <c r="BR159" s="126"/>
      <c r="BS159" s="126"/>
      <c r="BU159" s="178"/>
      <c r="BV159" s="179" t="str">
        <f t="shared" si="116"/>
        <v/>
      </c>
      <c r="BW159" s="179" t="str">
        <f t="shared" si="117"/>
        <v/>
      </c>
      <c r="BX159" s="179" t="str">
        <f t="shared" si="118"/>
        <v/>
      </c>
      <c r="BY159" s="179" t="str">
        <f t="shared" si="119"/>
        <v/>
      </c>
      <c r="BZ159" s="179" t="str">
        <f t="shared" si="120"/>
        <v/>
      </c>
      <c r="CA159" s="179" t="str">
        <f t="shared" si="121"/>
        <v/>
      </c>
      <c r="CB159" s="179" t="str">
        <f t="shared" si="122"/>
        <v/>
      </c>
      <c r="CC159" s="179" t="str">
        <f t="shared" si="123"/>
        <v/>
      </c>
      <c r="CD159" s="179" t="str">
        <f t="shared" si="124"/>
        <v/>
      </c>
      <c r="CE159" s="179" t="str">
        <f t="shared" si="125"/>
        <v/>
      </c>
      <c r="CF159" s="179" t="str">
        <f t="shared" si="126"/>
        <v/>
      </c>
      <c r="CG159" s="179" t="str">
        <f t="shared" si="127"/>
        <v/>
      </c>
      <c r="CH159" s="166"/>
      <c r="CI159" s="166"/>
      <c r="CJ159" s="166"/>
      <c r="CK159" s="166" t="s">
        <v>150</v>
      </c>
      <c r="CL159" s="166"/>
    </row>
    <row r="160" spans="1:90" ht="14.25" customHeight="1" thickBot="1" x14ac:dyDescent="0.3">
      <c r="A160" s="213">
        <v>150</v>
      </c>
      <c r="B160" s="89"/>
      <c r="C160" s="199"/>
      <c r="D160" s="146"/>
      <c r="E160" s="319" t="s">
        <v>93</v>
      </c>
      <c r="F160" s="221"/>
      <c r="G160" s="222"/>
      <c r="H160" s="222"/>
      <c r="I160" s="222"/>
      <c r="J160" s="222"/>
      <c r="K160" s="222"/>
      <c r="L160" s="222"/>
      <c r="M160" s="331"/>
      <c r="N160" s="303">
        <f t="shared" si="128"/>
        <v>0</v>
      </c>
      <c r="O160" s="304"/>
      <c r="P160" s="341"/>
      <c r="Q160" s="305"/>
      <c r="R160" s="322" t="s">
        <v>67</v>
      </c>
      <c r="S160" s="326"/>
      <c r="T160" s="327"/>
      <c r="U160" s="327"/>
      <c r="V160" s="327"/>
      <c r="W160" s="327"/>
      <c r="X160" s="327"/>
      <c r="Y160" s="95"/>
      <c r="Z160" s="331"/>
      <c r="AA160" s="303">
        <f t="shared" si="129"/>
        <v>0</v>
      </c>
      <c r="AB160" s="314">
        <f t="shared" si="106"/>
        <v>0</v>
      </c>
      <c r="AC160" s="314"/>
      <c r="AD160" s="314">
        <f t="shared" si="107"/>
        <v>0</v>
      </c>
      <c r="AE160" s="325" t="s">
        <v>148</v>
      </c>
      <c r="AF160" s="15"/>
      <c r="AG160" s="232"/>
      <c r="AH160" s="232"/>
      <c r="AI160" s="232"/>
      <c r="AJ160" s="232"/>
      <c r="AK160" s="232"/>
      <c r="AL160" s="7"/>
      <c r="AM160" s="352"/>
      <c r="AN160" s="22">
        <f t="shared" si="130"/>
        <v>0</v>
      </c>
      <c r="AO160" s="15">
        <f t="shared" si="108"/>
        <v>0</v>
      </c>
      <c r="AP160" s="345"/>
      <c r="AQ160" s="7">
        <f t="shared" si="109"/>
        <v>0</v>
      </c>
      <c r="AR160" s="103"/>
      <c r="AS160" s="101"/>
      <c r="AT160" s="236"/>
      <c r="AU160" s="235"/>
      <c r="AV160" s="92"/>
      <c r="AW160" s="235"/>
      <c r="AX160" s="92"/>
      <c r="AY160" s="235"/>
      <c r="AZ160" s="92"/>
      <c r="BA160" s="17">
        <f t="shared" si="100"/>
        <v>1.5999999999999999E-5</v>
      </c>
      <c r="BB160" s="17">
        <f t="shared" si="101"/>
        <v>0</v>
      </c>
      <c r="BC160" s="17"/>
      <c r="BD160" s="178">
        <v>151</v>
      </c>
      <c r="BE160" s="214">
        <f t="shared" si="110"/>
        <v>2.7699999999999999E-5</v>
      </c>
      <c r="BF160" s="178">
        <f t="shared" si="102"/>
        <v>0</v>
      </c>
      <c r="BG160" s="245">
        <f t="shared" si="103"/>
        <v>1.5999999999999999E-5</v>
      </c>
      <c r="BH160" s="17">
        <f t="shared" si="111"/>
        <v>0</v>
      </c>
      <c r="BI160" s="178">
        <v>151</v>
      </c>
      <c r="BJ160" s="87">
        <f t="shared" si="112"/>
        <v>2.5999999999999998E-5</v>
      </c>
      <c r="BK160" s="215">
        <f t="shared" si="104"/>
        <v>0</v>
      </c>
      <c r="BL160" s="245">
        <f t="shared" si="113"/>
        <v>1.5999999999999999E-5</v>
      </c>
      <c r="BM160" s="17">
        <f t="shared" si="114"/>
        <v>0</v>
      </c>
      <c r="BN160" s="178">
        <v>151</v>
      </c>
      <c r="BO160" s="87">
        <f t="shared" si="115"/>
        <v>2.5999999999999998E-5</v>
      </c>
      <c r="BP160" s="215">
        <f t="shared" si="105"/>
        <v>0</v>
      </c>
      <c r="BR160" s="126"/>
      <c r="BS160" s="126"/>
      <c r="BU160" s="178"/>
      <c r="BV160" s="179" t="str">
        <f t="shared" si="116"/>
        <v/>
      </c>
      <c r="BW160" s="179" t="str">
        <f t="shared" si="117"/>
        <v/>
      </c>
      <c r="BX160" s="179" t="str">
        <f t="shared" si="118"/>
        <v/>
      </c>
      <c r="BY160" s="179" t="str">
        <f t="shared" si="119"/>
        <v/>
      </c>
      <c r="BZ160" s="179" t="str">
        <f t="shared" si="120"/>
        <v/>
      </c>
      <c r="CA160" s="179" t="str">
        <f t="shared" si="121"/>
        <v/>
      </c>
      <c r="CB160" s="179" t="str">
        <f t="shared" si="122"/>
        <v/>
      </c>
      <c r="CC160" s="179" t="str">
        <f t="shared" si="123"/>
        <v/>
      </c>
      <c r="CD160" s="179" t="str">
        <f t="shared" si="124"/>
        <v/>
      </c>
      <c r="CE160" s="179" t="str">
        <f t="shared" si="125"/>
        <v/>
      </c>
      <c r="CF160" s="179" t="str">
        <f t="shared" si="126"/>
        <v/>
      </c>
      <c r="CG160" s="179" t="str">
        <f t="shared" si="127"/>
        <v/>
      </c>
      <c r="CH160" s="166"/>
      <c r="CI160" s="166"/>
      <c r="CJ160" s="166"/>
      <c r="CK160" s="166" t="s">
        <v>150</v>
      </c>
      <c r="CL160" s="166"/>
    </row>
    <row r="161" spans="1:90" ht="14.25" customHeight="1" x14ac:dyDescent="0.25">
      <c r="A161" s="211">
        <v>151</v>
      </c>
      <c r="B161" s="219"/>
      <c r="C161" s="200"/>
      <c r="D161" s="145"/>
      <c r="E161" s="320" t="s">
        <v>93</v>
      </c>
      <c r="F161" s="209"/>
      <c r="G161" s="313"/>
      <c r="H161" s="313"/>
      <c r="I161" s="313"/>
      <c r="J161" s="313"/>
      <c r="K161" s="313"/>
      <c r="L161" s="313"/>
      <c r="M161" s="339"/>
      <c r="N161" s="233">
        <f t="shared" si="128"/>
        <v>0</v>
      </c>
      <c r="O161" s="306"/>
      <c r="P161" s="342"/>
      <c r="Q161" s="307"/>
      <c r="R161" s="323" t="s">
        <v>67</v>
      </c>
      <c r="S161" s="209"/>
      <c r="T161" s="313"/>
      <c r="U161" s="313"/>
      <c r="V161" s="313"/>
      <c r="W161" s="313"/>
      <c r="X161" s="313"/>
      <c r="Y161" s="125"/>
      <c r="Z161" s="339"/>
      <c r="AA161" s="233">
        <f t="shared" si="129"/>
        <v>0</v>
      </c>
      <c r="AB161" s="314">
        <f t="shared" si="106"/>
        <v>0</v>
      </c>
      <c r="AC161" s="314"/>
      <c r="AD161" s="314">
        <f t="shared" si="107"/>
        <v>0</v>
      </c>
      <c r="AE161" s="323" t="s">
        <v>87</v>
      </c>
      <c r="AF161" s="81"/>
      <c r="AG161" s="335"/>
      <c r="AH161" s="335"/>
      <c r="AI161" s="335"/>
      <c r="AJ161" s="335"/>
      <c r="AK161" s="335"/>
      <c r="AL161" s="336"/>
      <c r="AM161" s="353"/>
      <c r="AN161" s="22">
        <f t="shared" si="130"/>
        <v>0</v>
      </c>
      <c r="AO161" s="209">
        <f t="shared" si="108"/>
        <v>0</v>
      </c>
      <c r="AP161" s="339"/>
      <c r="AQ161" s="125">
        <f t="shared" si="109"/>
        <v>0</v>
      </c>
      <c r="AR161" s="104"/>
      <c r="AS161" s="217"/>
      <c r="AT161" s="216"/>
      <c r="AU161" s="230"/>
      <c r="AV161" s="220"/>
      <c r="AW161" s="230"/>
      <c r="AX161" s="220"/>
      <c r="AY161" s="230"/>
      <c r="AZ161" s="220"/>
      <c r="BA161" s="17">
        <f t="shared" si="100"/>
        <v>1.6099999999999998E-5</v>
      </c>
      <c r="BB161" s="17">
        <f t="shared" si="101"/>
        <v>0</v>
      </c>
      <c r="BC161" s="17"/>
      <c r="BD161" s="178">
        <v>152</v>
      </c>
      <c r="BE161" s="214">
        <f t="shared" si="110"/>
        <v>2.76E-5</v>
      </c>
      <c r="BF161" s="178">
        <f t="shared" si="102"/>
        <v>0</v>
      </c>
      <c r="BG161" s="245">
        <f t="shared" si="103"/>
        <v>1.6099999999999998E-5</v>
      </c>
      <c r="BH161" s="17">
        <f t="shared" si="111"/>
        <v>0</v>
      </c>
      <c r="BI161" s="178">
        <v>152</v>
      </c>
      <c r="BJ161" s="87">
        <f t="shared" si="112"/>
        <v>2.5899999999999999E-5</v>
      </c>
      <c r="BK161" s="215">
        <f t="shared" si="104"/>
        <v>0</v>
      </c>
      <c r="BL161" s="245">
        <f t="shared" si="113"/>
        <v>1.6099999999999998E-5</v>
      </c>
      <c r="BM161" s="17">
        <f t="shared" si="114"/>
        <v>0</v>
      </c>
      <c r="BN161" s="178">
        <v>152</v>
      </c>
      <c r="BO161" s="87">
        <f t="shared" si="115"/>
        <v>2.5899999999999999E-5</v>
      </c>
      <c r="BP161" s="215">
        <f t="shared" si="105"/>
        <v>0</v>
      </c>
      <c r="BR161" s="126"/>
      <c r="BS161" s="126"/>
      <c r="BU161" s="178"/>
      <c r="BV161" s="179" t="str">
        <f t="shared" si="116"/>
        <v/>
      </c>
      <c r="BW161" s="179" t="str">
        <f t="shared" si="117"/>
        <v/>
      </c>
      <c r="BX161" s="179" t="str">
        <f t="shared" si="118"/>
        <v/>
      </c>
      <c r="BY161" s="179" t="str">
        <f t="shared" si="119"/>
        <v/>
      </c>
      <c r="BZ161" s="179" t="str">
        <f t="shared" si="120"/>
        <v/>
      </c>
      <c r="CA161" s="179" t="str">
        <f t="shared" si="121"/>
        <v/>
      </c>
      <c r="CB161" s="179" t="str">
        <f t="shared" si="122"/>
        <v/>
      </c>
      <c r="CC161" s="179" t="str">
        <f t="shared" si="123"/>
        <v/>
      </c>
      <c r="CD161" s="179" t="str">
        <f t="shared" si="124"/>
        <v/>
      </c>
      <c r="CE161" s="179" t="str">
        <f t="shared" si="125"/>
        <v/>
      </c>
      <c r="CF161" s="179" t="str">
        <f t="shared" si="126"/>
        <v/>
      </c>
      <c r="CG161" s="179" t="str">
        <f t="shared" si="127"/>
        <v/>
      </c>
      <c r="CH161" s="166"/>
      <c r="CI161" s="166"/>
      <c r="CJ161" s="166"/>
      <c r="CK161" s="166" t="s">
        <v>150</v>
      </c>
      <c r="CL161" s="166"/>
    </row>
    <row r="162" spans="1:90" ht="14.25" customHeight="1" thickBot="1" x14ac:dyDescent="0.3">
      <c r="A162" s="213">
        <v>152</v>
      </c>
      <c r="B162" s="88"/>
      <c r="C162" s="201"/>
      <c r="D162" s="94"/>
      <c r="E162" s="321" t="s">
        <v>93</v>
      </c>
      <c r="F162" s="96"/>
      <c r="G162" s="100"/>
      <c r="H162" s="100"/>
      <c r="I162" s="100"/>
      <c r="J162" s="100"/>
      <c r="K162" s="100"/>
      <c r="L162" s="100"/>
      <c r="M162" s="210"/>
      <c r="N162" s="234">
        <f t="shared" si="128"/>
        <v>0</v>
      </c>
      <c r="O162" s="308"/>
      <c r="P162" s="343"/>
      <c r="Q162" s="309"/>
      <c r="R162" s="324" t="s">
        <v>67</v>
      </c>
      <c r="S162" s="96"/>
      <c r="T162" s="100"/>
      <c r="U162" s="100"/>
      <c r="V162" s="100"/>
      <c r="W162" s="100"/>
      <c r="X162" s="100"/>
      <c r="Y162" s="97"/>
      <c r="Z162" s="210"/>
      <c r="AA162" s="234">
        <f t="shared" si="129"/>
        <v>0</v>
      </c>
      <c r="AB162" s="314">
        <f t="shared" si="106"/>
        <v>0</v>
      </c>
      <c r="AC162" s="314"/>
      <c r="AD162" s="314">
        <f t="shared" si="107"/>
        <v>0</v>
      </c>
      <c r="AE162" s="324" t="s">
        <v>87</v>
      </c>
      <c r="AF162" s="82"/>
      <c r="AG162" s="337"/>
      <c r="AH162" s="337"/>
      <c r="AI162" s="337"/>
      <c r="AJ162" s="337"/>
      <c r="AK162" s="337"/>
      <c r="AL162" s="338"/>
      <c r="AM162" s="354"/>
      <c r="AN162" s="91">
        <f t="shared" si="130"/>
        <v>0</v>
      </c>
      <c r="AO162" s="96">
        <f t="shared" si="108"/>
        <v>0</v>
      </c>
      <c r="AP162" s="210"/>
      <c r="AQ162" s="97">
        <f t="shared" si="109"/>
        <v>0</v>
      </c>
      <c r="AR162" s="105"/>
      <c r="AS162" s="102"/>
      <c r="AT162" s="237"/>
      <c r="AU162" s="231"/>
      <c r="AV162" s="93"/>
      <c r="AW162" s="231"/>
      <c r="AX162" s="93"/>
      <c r="AY162" s="231"/>
      <c r="AZ162" s="93"/>
      <c r="BA162" s="17">
        <f t="shared" si="100"/>
        <v>1.6200000000000001E-5</v>
      </c>
      <c r="BB162" s="17">
        <f t="shared" si="101"/>
        <v>0</v>
      </c>
      <c r="BC162" s="17"/>
      <c r="BD162" s="178">
        <v>153</v>
      </c>
      <c r="BE162" s="214">
        <f t="shared" si="110"/>
        <v>2.7499999999999998E-5</v>
      </c>
      <c r="BF162" s="178">
        <f t="shared" si="102"/>
        <v>0</v>
      </c>
      <c r="BG162" s="245">
        <f t="shared" si="103"/>
        <v>1.6200000000000001E-5</v>
      </c>
      <c r="BH162" s="17">
        <f t="shared" si="111"/>
        <v>0</v>
      </c>
      <c r="BI162" s="178">
        <v>153</v>
      </c>
      <c r="BJ162" s="87">
        <f t="shared" si="112"/>
        <v>2.58E-5</v>
      </c>
      <c r="BK162" s="215">
        <f t="shared" si="104"/>
        <v>0</v>
      </c>
      <c r="BL162" s="245">
        <f t="shared" si="113"/>
        <v>1.6200000000000001E-5</v>
      </c>
      <c r="BM162" s="17">
        <f t="shared" si="114"/>
        <v>0</v>
      </c>
      <c r="BN162" s="178">
        <v>153</v>
      </c>
      <c r="BO162" s="87">
        <f t="shared" si="115"/>
        <v>2.58E-5</v>
      </c>
      <c r="BP162" s="215">
        <f t="shared" si="105"/>
        <v>0</v>
      </c>
      <c r="BR162" s="126"/>
      <c r="BS162" s="126"/>
      <c r="BU162" s="178"/>
      <c r="BV162" s="179" t="str">
        <f t="shared" si="116"/>
        <v/>
      </c>
      <c r="BW162" s="179" t="str">
        <f t="shared" si="117"/>
        <v/>
      </c>
      <c r="BX162" s="179" t="str">
        <f t="shared" si="118"/>
        <v/>
      </c>
      <c r="BY162" s="179" t="str">
        <f t="shared" si="119"/>
        <v/>
      </c>
      <c r="BZ162" s="179" t="str">
        <f t="shared" si="120"/>
        <v/>
      </c>
      <c r="CA162" s="179" t="str">
        <f t="shared" si="121"/>
        <v/>
      </c>
      <c r="CB162" s="179" t="str">
        <f t="shared" si="122"/>
        <v/>
      </c>
      <c r="CC162" s="179" t="str">
        <f t="shared" si="123"/>
        <v/>
      </c>
      <c r="CD162" s="179" t="str">
        <f t="shared" si="124"/>
        <v/>
      </c>
      <c r="CE162" s="179" t="str">
        <f t="shared" si="125"/>
        <v/>
      </c>
      <c r="CF162" s="179" t="str">
        <f t="shared" si="126"/>
        <v/>
      </c>
      <c r="CG162" s="179" t="str">
        <f t="shared" si="127"/>
        <v/>
      </c>
      <c r="CH162" s="166"/>
      <c r="CI162" s="166"/>
      <c r="CJ162" s="166"/>
      <c r="CK162" s="166" t="s">
        <v>150</v>
      </c>
      <c r="CL162" s="166"/>
    </row>
    <row r="163" spans="1:90" ht="14.25" customHeight="1" x14ac:dyDescent="0.25">
      <c r="A163" s="211">
        <v>153</v>
      </c>
      <c r="B163" s="89"/>
      <c r="C163" s="199"/>
      <c r="D163" s="146"/>
      <c r="E163" s="319" t="s">
        <v>93</v>
      </c>
      <c r="F163" s="221"/>
      <c r="G163" s="222"/>
      <c r="H163" s="222"/>
      <c r="I163" s="222"/>
      <c r="J163" s="222"/>
      <c r="K163" s="222"/>
      <c r="L163" s="222"/>
      <c r="M163" s="331"/>
      <c r="N163" s="303">
        <f t="shared" si="128"/>
        <v>0</v>
      </c>
      <c r="O163" s="304"/>
      <c r="P163" s="341"/>
      <c r="Q163" s="305"/>
      <c r="R163" s="322" t="s">
        <v>67</v>
      </c>
      <c r="S163" s="326"/>
      <c r="T163" s="327"/>
      <c r="U163" s="327"/>
      <c r="V163" s="327"/>
      <c r="W163" s="327"/>
      <c r="X163" s="327"/>
      <c r="Y163" s="95"/>
      <c r="Z163" s="331"/>
      <c r="AA163" s="303">
        <f t="shared" si="129"/>
        <v>0</v>
      </c>
      <c r="AB163" s="314">
        <f t="shared" si="106"/>
        <v>0</v>
      </c>
      <c r="AC163" s="314"/>
      <c r="AD163" s="314">
        <f t="shared" si="107"/>
        <v>0</v>
      </c>
      <c r="AE163" s="325" t="s">
        <v>148</v>
      </c>
      <c r="AF163" s="15"/>
      <c r="AG163" s="232"/>
      <c r="AH163" s="232"/>
      <c r="AI163" s="232"/>
      <c r="AJ163" s="232"/>
      <c r="AK163" s="232"/>
      <c r="AL163" s="7"/>
      <c r="AM163" s="352"/>
      <c r="AN163" s="22">
        <f t="shared" si="130"/>
        <v>0</v>
      </c>
      <c r="AO163" s="15">
        <f t="shared" si="108"/>
        <v>0</v>
      </c>
      <c r="AP163" s="345"/>
      <c r="AQ163" s="7">
        <f t="shared" si="109"/>
        <v>0</v>
      </c>
      <c r="AR163" s="103"/>
      <c r="AS163" s="101"/>
      <c r="AT163" s="236"/>
      <c r="AU163" s="235"/>
      <c r="AV163" s="92"/>
      <c r="AW163" s="235"/>
      <c r="AX163" s="92"/>
      <c r="AY163" s="235"/>
      <c r="AZ163" s="92"/>
      <c r="BA163" s="17">
        <f t="shared" si="100"/>
        <v>1.63E-5</v>
      </c>
      <c r="BB163" s="17">
        <f t="shared" si="101"/>
        <v>0</v>
      </c>
      <c r="BC163" s="17"/>
      <c r="BD163" s="178">
        <v>154</v>
      </c>
      <c r="BE163" s="214">
        <f t="shared" si="110"/>
        <v>2.7399999999999999E-5</v>
      </c>
      <c r="BF163" s="178">
        <f t="shared" si="102"/>
        <v>0</v>
      </c>
      <c r="BG163" s="245">
        <f t="shared" si="103"/>
        <v>1.63E-5</v>
      </c>
      <c r="BH163" s="17">
        <f t="shared" si="111"/>
        <v>0</v>
      </c>
      <c r="BI163" s="178">
        <v>154</v>
      </c>
      <c r="BJ163" s="87">
        <f t="shared" si="112"/>
        <v>2.5699999999999998E-5</v>
      </c>
      <c r="BK163" s="215">
        <f t="shared" si="104"/>
        <v>0</v>
      </c>
      <c r="BL163" s="245">
        <f t="shared" si="113"/>
        <v>1.63E-5</v>
      </c>
      <c r="BM163" s="17">
        <f t="shared" si="114"/>
        <v>0</v>
      </c>
      <c r="BN163" s="178">
        <v>154</v>
      </c>
      <c r="BO163" s="87">
        <f t="shared" si="115"/>
        <v>2.5699999999999998E-5</v>
      </c>
      <c r="BP163" s="215">
        <f t="shared" si="105"/>
        <v>0</v>
      </c>
      <c r="BR163" s="126"/>
      <c r="BS163" s="126"/>
      <c r="BU163" s="178"/>
      <c r="BV163" s="179" t="str">
        <f t="shared" si="116"/>
        <v/>
      </c>
      <c r="BW163" s="179" t="str">
        <f t="shared" si="117"/>
        <v/>
      </c>
      <c r="BX163" s="179" t="str">
        <f t="shared" si="118"/>
        <v/>
      </c>
      <c r="BY163" s="179" t="str">
        <f t="shared" si="119"/>
        <v/>
      </c>
      <c r="BZ163" s="179" t="str">
        <f t="shared" si="120"/>
        <v/>
      </c>
      <c r="CA163" s="179" t="str">
        <f t="shared" si="121"/>
        <v/>
      </c>
      <c r="CB163" s="179" t="str">
        <f t="shared" si="122"/>
        <v/>
      </c>
      <c r="CC163" s="179" t="str">
        <f t="shared" si="123"/>
        <v/>
      </c>
      <c r="CD163" s="179" t="str">
        <f t="shared" si="124"/>
        <v/>
      </c>
      <c r="CE163" s="179" t="str">
        <f t="shared" si="125"/>
        <v/>
      </c>
      <c r="CF163" s="179" t="str">
        <f t="shared" si="126"/>
        <v/>
      </c>
      <c r="CG163" s="179" t="str">
        <f t="shared" si="127"/>
        <v/>
      </c>
      <c r="CH163" s="166"/>
      <c r="CI163" s="166"/>
      <c r="CJ163" s="166"/>
      <c r="CK163" s="166" t="s">
        <v>150</v>
      </c>
      <c r="CL163" s="166"/>
    </row>
    <row r="164" spans="1:90" ht="14.25" customHeight="1" thickBot="1" x14ac:dyDescent="0.3">
      <c r="A164" s="213">
        <v>154</v>
      </c>
      <c r="B164" s="219"/>
      <c r="C164" s="200"/>
      <c r="D164" s="145"/>
      <c r="E164" s="320" t="s">
        <v>93</v>
      </c>
      <c r="F164" s="209"/>
      <c r="G164" s="313"/>
      <c r="H164" s="313"/>
      <c r="I164" s="313"/>
      <c r="J164" s="313"/>
      <c r="K164" s="313"/>
      <c r="L164" s="313"/>
      <c r="M164" s="339"/>
      <c r="N164" s="233">
        <f t="shared" si="128"/>
        <v>0</v>
      </c>
      <c r="O164" s="306"/>
      <c r="P164" s="342"/>
      <c r="Q164" s="307"/>
      <c r="R164" s="323" t="s">
        <v>67</v>
      </c>
      <c r="S164" s="209"/>
      <c r="T164" s="313"/>
      <c r="U164" s="313"/>
      <c r="V164" s="313"/>
      <c r="W164" s="313"/>
      <c r="X164" s="313"/>
      <c r="Y164" s="125"/>
      <c r="Z164" s="339"/>
      <c r="AA164" s="233">
        <f t="shared" si="129"/>
        <v>0</v>
      </c>
      <c r="AB164" s="314">
        <f t="shared" si="106"/>
        <v>0</v>
      </c>
      <c r="AC164" s="314"/>
      <c r="AD164" s="314">
        <f t="shared" si="107"/>
        <v>0</v>
      </c>
      <c r="AE164" s="323" t="s">
        <v>87</v>
      </c>
      <c r="AF164" s="81"/>
      <c r="AG164" s="335"/>
      <c r="AH164" s="335"/>
      <c r="AI164" s="335"/>
      <c r="AJ164" s="335"/>
      <c r="AK164" s="335"/>
      <c r="AL164" s="336"/>
      <c r="AM164" s="353"/>
      <c r="AN164" s="22">
        <f t="shared" si="130"/>
        <v>0</v>
      </c>
      <c r="AO164" s="209">
        <f t="shared" si="108"/>
        <v>0</v>
      </c>
      <c r="AP164" s="339"/>
      <c r="AQ164" s="125">
        <f t="shared" si="109"/>
        <v>0</v>
      </c>
      <c r="AR164" s="104"/>
      <c r="AS164" s="217"/>
      <c r="AT164" s="216"/>
      <c r="AU164" s="230"/>
      <c r="AV164" s="220"/>
      <c r="AW164" s="230"/>
      <c r="AX164" s="220"/>
      <c r="AY164" s="230"/>
      <c r="AZ164" s="220"/>
      <c r="BA164" s="17">
        <f t="shared" si="100"/>
        <v>1.6399999999999999E-5</v>
      </c>
      <c r="BB164" s="17">
        <f t="shared" si="101"/>
        <v>0</v>
      </c>
      <c r="BC164" s="17"/>
      <c r="BD164" s="178">
        <v>155</v>
      </c>
      <c r="BE164" s="214">
        <f t="shared" si="110"/>
        <v>2.73E-5</v>
      </c>
      <c r="BF164" s="178">
        <f t="shared" si="102"/>
        <v>0</v>
      </c>
      <c r="BG164" s="245">
        <f t="shared" si="103"/>
        <v>1.6399999999999999E-5</v>
      </c>
      <c r="BH164" s="17">
        <f t="shared" si="111"/>
        <v>0</v>
      </c>
      <c r="BI164" s="178">
        <v>155</v>
      </c>
      <c r="BJ164" s="87">
        <f t="shared" si="112"/>
        <v>2.5599999999999999E-5</v>
      </c>
      <c r="BK164" s="215">
        <f t="shared" si="104"/>
        <v>0</v>
      </c>
      <c r="BL164" s="245">
        <f t="shared" si="113"/>
        <v>1.6399999999999999E-5</v>
      </c>
      <c r="BM164" s="17">
        <f t="shared" si="114"/>
        <v>0</v>
      </c>
      <c r="BN164" s="178">
        <v>155</v>
      </c>
      <c r="BO164" s="87">
        <f t="shared" si="115"/>
        <v>2.5599999999999999E-5</v>
      </c>
      <c r="BP164" s="215">
        <f t="shared" si="105"/>
        <v>0</v>
      </c>
      <c r="BR164" s="126"/>
      <c r="BS164" s="126"/>
      <c r="BU164" s="178"/>
      <c r="BV164" s="179" t="str">
        <f t="shared" si="116"/>
        <v/>
      </c>
      <c r="BW164" s="179" t="str">
        <f t="shared" si="117"/>
        <v/>
      </c>
      <c r="BX164" s="179" t="str">
        <f t="shared" si="118"/>
        <v/>
      </c>
      <c r="BY164" s="179" t="str">
        <f t="shared" si="119"/>
        <v/>
      </c>
      <c r="BZ164" s="179" t="str">
        <f t="shared" si="120"/>
        <v/>
      </c>
      <c r="CA164" s="179" t="str">
        <f t="shared" si="121"/>
        <v/>
      </c>
      <c r="CB164" s="179" t="str">
        <f t="shared" si="122"/>
        <v/>
      </c>
      <c r="CC164" s="179" t="str">
        <f t="shared" si="123"/>
        <v/>
      </c>
      <c r="CD164" s="179" t="str">
        <f t="shared" si="124"/>
        <v/>
      </c>
      <c r="CE164" s="179" t="str">
        <f t="shared" si="125"/>
        <v/>
      </c>
      <c r="CF164" s="179" t="str">
        <f t="shared" si="126"/>
        <v/>
      </c>
      <c r="CG164" s="179" t="str">
        <f t="shared" si="127"/>
        <v/>
      </c>
      <c r="CH164" s="166"/>
      <c r="CI164" s="166"/>
      <c r="CJ164" s="166"/>
      <c r="CK164" s="166" t="s">
        <v>150</v>
      </c>
      <c r="CL164" s="166"/>
    </row>
    <row r="165" spans="1:90" ht="14.25" customHeight="1" thickBot="1" x14ac:dyDescent="0.3">
      <c r="A165" s="211">
        <v>155</v>
      </c>
      <c r="B165" s="88"/>
      <c r="C165" s="201"/>
      <c r="D165" s="94"/>
      <c r="E165" s="321" t="s">
        <v>93</v>
      </c>
      <c r="F165" s="96"/>
      <c r="G165" s="100"/>
      <c r="H165" s="100"/>
      <c r="I165" s="100"/>
      <c r="J165" s="100"/>
      <c r="K165" s="100"/>
      <c r="L165" s="100"/>
      <c r="M165" s="210"/>
      <c r="N165" s="234">
        <f t="shared" si="128"/>
        <v>0</v>
      </c>
      <c r="O165" s="308"/>
      <c r="P165" s="343"/>
      <c r="Q165" s="309"/>
      <c r="R165" s="324" t="s">
        <v>67</v>
      </c>
      <c r="S165" s="96"/>
      <c r="T165" s="100"/>
      <c r="U165" s="100"/>
      <c r="V165" s="100"/>
      <c r="W165" s="100"/>
      <c r="X165" s="100"/>
      <c r="Y165" s="97"/>
      <c r="Z165" s="210"/>
      <c r="AA165" s="234">
        <f t="shared" si="129"/>
        <v>0</v>
      </c>
      <c r="AB165" s="314">
        <f t="shared" si="106"/>
        <v>0</v>
      </c>
      <c r="AC165" s="314"/>
      <c r="AD165" s="314">
        <f t="shared" si="107"/>
        <v>0</v>
      </c>
      <c r="AE165" s="324" t="s">
        <v>87</v>
      </c>
      <c r="AF165" s="82"/>
      <c r="AG165" s="337"/>
      <c r="AH165" s="337"/>
      <c r="AI165" s="337"/>
      <c r="AJ165" s="337"/>
      <c r="AK165" s="337"/>
      <c r="AL165" s="338"/>
      <c r="AM165" s="354"/>
      <c r="AN165" s="91">
        <f t="shared" si="130"/>
        <v>0</v>
      </c>
      <c r="AO165" s="96">
        <f t="shared" si="108"/>
        <v>0</v>
      </c>
      <c r="AP165" s="210"/>
      <c r="AQ165" s="97">
        <f t="shared" si="109"/>
        <v>0</v>
      </c>
      <c r="AR165" s="105"/>
      <c r="AS165" s="102"/>
      <c r="AT165" s="237"/>
      <c r="AU165" s="231"/>
      <c r="AV165" s="93"/>
      <c r="AW165" s="231"/>
      <c r="AX165" s="93"/>
      <c r="AY165" s="231"/>
      <c r="AZ165" s="93"/>
      <c r="BA165" s="17">
        <f t="shared" si="100"/>
        <v>1.6499999999999998E-5</v>
      </c>
      <c r="BB165" s="17">
        <f t="shared" si="101"/>
        <v>0</v>
      </c>
      <c r="BC165" s="17"/>
      <c r="BD165" s="178">
        <v>156</v>
      </c>
      <c r="BE165" s="214">
        <f t="shared" si="110"/>
        <v>2.7199999999999997E-5</v>
      </c>
      <c r="BF165" s="178">
        <f t="shared" si="102"/>
        <v>0</v>
      </c>
      <c r="BG165" s="245">
        <f t="shared" si="103"/>
        <v>1.6499999999999998E-5</v>
      </c>
      <c r="BH165" s="17">
        <f t="shared" si="111"/>
        <v>0</v>
      </c>
      <c r="BI165" s="178">
        <v>156</v>
      </c>
      <c r="BJ165" s="87">
        <f t="shared" si="112"/>
        <v>2.55E-5</v>
      </c>
      <c r="BK165" s="215">
        <f t="shared" si="104"/>
        <v>0</v>
      </c>
      <c r="BL165" s="245">
        <f t="shared" si="113"/>
        <v>1.6499999999999998E-5</v>
      </c>
      <c r="BM165" s="17">
        <f t="shared" si="114"/>
        <v>0</v>
      </c>
      <c r="BN165" s="178">
        <v>156</v>
      </c>
      <c r="BO165" s="87">
        <f t="shared" si="115"/>
        <v>2.55E-5</v>
      </c>
      <c r="BP165" s="215">
        <f t="shared" si="105"/>
        <v>0</v>
      </c>
      <c r="BR165" s="126"/>
      <c r="BS165" s="126"/>
      <c r="BU165" s="178"/>
      <c r="BV165" s="179" t="str">
        <f t="shared" si="116"/>
        <v/>
      </c>
      <c r="BW165" s="179" t="str">
        <f t="shared" si="117"/>
        <v/>
      </c>
      <c r="BX165" s="179" t="str">
        <f t="shared" si="118"/>
        <v/>
      </c>
      <c r="BY165" s="179" t="str">
        <f t="shared" si="119"/>
        <v/>
      </c>
      <c r="BZ165" s="179" t="str">
        <f t="shared" si="120"/>
        <v/>
      </c>
      <c r="CA165" s="179" t="str">
        <f t="shared" si="121"/>
        <v/>
      </c>
      <c r="CB165" s="179" t="str">
        <f t="shared" si="122"/>
        <v/>
      </c>
      <c r="CC165" s="179" t="str">
        <f t="shared" si="123"/>
        <v/>
      </c>
      <c r="CD165" s="179" t="str">
        <f t="shared" si="124"/>
        <v/>
      </c>
      <c r="CE165" s="179" t="str">
        <f t="shared" si="125"/>
        <v/>
      </c>
      <c r="CF165" s="179" t="str">
        <f t="shared" si="126"/>
        <v/>
      </c>
      <c r="CG165" s="179" t="str">
        <f t="shared" si="127"/>
        <v/>
      </c>
      <c r="CH165" s="166"/>
      <c r="CI165" s="166"/>
      <c r="CJ165" s="166"/>
      <c r="CK165" s="166" t="s">
        <v>150</v>
      </c>
      <c r="CL165" s="166"/>
    </row>
    <row r="166" spans="1:90" ht="14.25" customHeight="1" thickBot="1" x14ac:dyDescent="0.3">
      <c r="A166" s="213">
        <v>156</v>
      </c>
      <c r="B166" s="89"/>
      <c r="C166" s="199"/>
      <c r="D166" s="146"/>
      <c r="E166" s="319" t="s">
        <v>93</v>
      </c>
      <c r="F166" s="221"/>
      <c r="G166" s="222"/>
      <c r="H166" s="222"/>
      <c r="I166" s="222"/>
      <c r="J166" s="222"/>
      <c r="K166" s="222"/>
      <c r="L166" s="222"/>
      <c r="M166" s="331"/>
      <c r="N166" s="303">
        <f t="shared" si="128"/>
        <v>0</v>
      </c>
      <c r="O166" s="304"/>
      <c r="P166" s="341"/>
      <c r="Q166" s="305"/>
      <c r="R166" s="322" t="s">
        <v>67</v>
      </c>
      <c r="S166" s="326"/>
      <c r="T166" s="327"/>
      <c r="U166" s="327"/>
      <c r="V166" s="327"/>
      <c r="W166" s="327"/>
      <c r="X166" s="327"/>
      <c r="Y166" s="95"/>
      <c r="Z166" s="331"/>
      <c r="AA166" s="303">
        <f t="shared" si="129"/>
        <v>0</v>
      </c>
      <c r="AB166" s="314">
        <f t="shared" si="106"/>
        <v>0</v>
      </c>
      <c r="AC166" s="314"/>
      <c r="AD166" s="314">
        <f t="shared" si="107"/>
        <v>0</v>
      </c>
      <c r="AE166" s="325" t="s">
        <v>148</v>
      </c>
      <c r="AF166" s="15"/>
      <c r="AG166" s="232"/>
      <c r="AH166" s="232"/>
      <c r="AI166" s="232"/>
      <c r="AJ166" s="232"/>
      <c r="AK166" s="232"/>
      <c r="AL166" s="7"/>
      <c r="AM166" s="352"/>
      <c r="AN166" s="22">
        <f t="shared" si="130"/>
        <v>0</v>
      </c>
      <c r="AO166" s="15">
        <f t="shared" si="108"/>
        <v>0</v>
      </c>
      <c r="AP166" s="345"/>
      <c r="AQ166" s="7">
        <f t="shared" si="109"/>
        <v>0</v>
      </c>
      <c r="AR166" s="103"/>
      <c r="AS166" s="101"/>
      <c r="AT166" s="236"/>
      <c r="AU166" s="235"/>
      <c r="AV166" s="92"/>
      <c r="AW166" s="235"/>
      <c r="AX166" s="92"/>
      <c r="AY166" s="235"/>
      <c r="AZ166" s="92"/>
      <c r="BA166" s="17">
        <f t="shared" si="100"/>
        <v>1.66E-5</v>
      </c>
      <c r="BB166" s="17">
        <f t="shared" si="101"/>
        <v>0</v>
      </c>
      <c r="BC166" s="17"/>
      <c r="BD166" s="178">
        <v>157</v>
      </c>
      <c r="BE166" s="214">
        <f t="shared" si="110"/>
        <v>2.7099999999999998E-5</v>
      </c>
      <c r="BF166" s="178">
        <f t="shared" si="102"/>
        <v>0</v>
      </c>
      <c r="BG166" s="245">
        <f t="shared" si="103"/>
        <v>1.66E-5</v>
      </c>
      <c r="BH166" s="17">
        <f t="shared" si="111"/>
        <v>0</v>
      </c>
      <c r="BI166" s="178">
        <v>157</v>
      </c>
      <c r="BJ166" s="87">
        <f t="shared" si="112"/>
        <v>2.5399999999999997E-5</v>
      </c>
      <c r="BK166" s="215">
        <f t="shared" si="104"/>
        <v>0</v>
      </c>
      <c r="BL166" s="245">
        <f t="shared" si="113"/>
        <v>1.66E-5</v>
      </c>
      <c r="BM166" s="17">
        <f t="shared" si="114"/>
        <v>0</v>
      </c>
      <c r="BN166" s="178">
        <v>157</v>
      </c>
      <c r="BO166" s="87">
        <f t="shared" si="115"/>
        <v>2.5399999999999997E-5</v>
      </c>
      <c r="BP166" s="215">
        <f t="shared" si="105"/>
        <v>0</v>
      </c>
      <c r="BR166" s="126"/>
      <c r="BS166" s="126"/>
      <c r="BU166" s="178"/>
      <c r="BV166" s="179" t="str">
        <f t="shared" si="116"/>
        <v/>
      </c>
      <c r="BW166" s="179" t="str">
        <f t="shared" si="117"/>
        <v/>
      </c>
      <c r="BX166" s="179" t="str">
        <f t="shared" si="118"/>
        <v/>
      </c>
      <c r="BY166" s="179" t="str">
        <f t="shared" si="119"/>
        <v/>
      </c>
      <c r="BZ166" s="179" t="str">
        <f t="shared" si="120"/>
        <v/>
      </c>
      <c r="CA166" s="179" t="str">
        <f t="shared" si="121"/>
        <v/>
      </c>
      <c r="CB166" s="179" t="str">
        <f t="shared" si="122"/>
        <v/>
      </c>
      <c r="CC166" s="179" t="str">
        <f t="shared" si="123"/>
        <v/>
      </c>
      <c r="CD166" s="179" t="str">
        <f t="shared" si="124"/>
        <v/>
      </c>
      <c r="CE166" s="179" t="str">
        <f t="shared" si="125"/>
        <v/>
      </c>
      <c r="CF166" s="179" t="str">
        <f t="shared" si="126"/>
        <v/>
      </c>
      <c r="CG166" s="179" t="str">
        <f t="shared" si="127"/>
        <v/>
      </c>
      <c r="CH166" s="166"/>
      <c r="CI166" s="166"/>
      <c r="CJ166" s="166"/>
      <c r="CK166" s="166" t="s">
        <v>150</v>
      </c>
      <c r="CL166" s="166"/>
    </row>
    <row r="167" spans="1:90" ht="14.25" customHeight="1" x14ac:dyDescent="0.25">
      <c r="A167" s="211">
        <v>157</v>
      </c>
      <c r="B167" s="219"/>
      <c r="C167" s="200"/>
      <c r="D167" s="145"/>
      <c r="E167" s="320" t="s">
        <v>93</v>
      </c>
      <c r="F167" s="209"/>
      <c r="G167" s="313"/>
      <c r="H167" s="313"/>
      <c r="I167" s="313"/>
      <c r="J167" s="313"/>
      <c r="K167" s="313"/>
      <c r="L167" s="313"/>
      <c r="M167" s="339"/>
      <c r="N167" s="233">
        <f t="shared" si="128"/>
        <v>0</v>
      </c>
      <c r="O167" s="306"/>
      <c r="P167" s="342"/>
      <c r="Q167" s="307"/>
      <c r="R167" s="323" t="s">
        <v>67</v>
      </c>
      <c r="S167" s="209"/>
      <c r="T167" s="313"/>
      <c r="U167" s="313"/>
      <c r="V167" s="313"/>
      <c r="W167" s="313"/>
      <c r="X167" s="313"/>
      <c r="Y167" s="125"/>
      <c r="Z167" s="339"/>
      <c r="AA167" s="233">
        <f t="shared" si="129"/>
        <v>0</v>
      </c>
      <c r="AB167" s="314">
        <f t="shared" si="106"/>
        <v>0</v>
      </c>
      <c r="AC167" s="314"/>
      <c r="AD167" s="314">
        <f t="shared" si="107"/>
        <v>0</v>
      </c>
      <c r="AE167" s="323" t="s">
        <v>87</v>
      </c>
      <c r="AF167" s="81"/>
      <c r="AG167" s="335"/>
      <c r="AH167" s="335"/>
      <c r="AI167" s="335"/>
      <c r="AJ167" s="335"/>
      <c r="AK167" s="335"/>
      <c r="AL167" s="336"/>
      <c r="AM167" s="353"/>
      <c r="AN167" s="22">
        <f t="shared" si="130"/>
        <v>0</v>
      </c>
      <c r="AO167" s="209">
        <f t="shared" si="108"/>
        <v>0</v>
      </c>
      <c r="AP167" s="339"/>
      <c r="AQ167" s="125">
        <f t="shared" si="109"/>
        <v>0</v>
      </c>
      <c r="AR167" s="104"/>
      <c r="AS167" s="217"/>
      <c r="AT167" s="216"/>
      <c r="AU167" s="230"/>
      <c r="AV167" s="220"/>
      <c r="AW167" s="230"/>
      <c r="AX167" s="220"/>
      <c r="AY167" s="230"/>
      <c r="AZ167" s="220"/>
      <c r="BA167" s="17">
        <f t="shared" si="100"/>
        <v>1.6699999999999999E-5</v>
      </c>
      <c r="BB167" s="17">
        <f t="shared" si="101"/>
        <v>0</v>
      </c>
      <c r="BC167" s="17"/>
      <c r="BD167" s="178">
        <v>158</v>
      </c>
      <c r="BE167" s="214">
        <f t="shared" si="110"/>
        <v>2.6999999999999999E-5</v>
      </c>
      <c r="BF167" s="178">
        <f t="shared" si="102"/>
        <v>0</v>
      </c>
      <c r="BG167" s="245">
        <f t="shared" si="103"/>
        <v>1.6699999999999999E-5</v>
      </c>
      <c r="BH167" s="17">
        <f t="shared" si="111"/>
        <v>0</v>
      </c>
      <c r="BI167" s="178">
        <v>158</v>
      </c>
      <c r="BJ167" s="87">
        <f t="shared" si="112"/>
        <v>2.5299999999999998E-5</v>
      </c>
      <c r="BK167" s="215">
        <f t="shared" si="104"/>
        <v>0</v>
      </c>
      <c r="BL167" s="245">
        <f t="shared" si="113"/>
        <v>1.6699999999999999E-5</v>
      </c>
      <c r="BM167" s="17">
        <f t="shared" si="114"/>
        <v>0</v>
      </c>
      <c r="BN167" s="178">
        <v>158</v>
      </c>
      <c r="BO167" s="87">
        <f t="shared" si="115"/>
        <v>2.5299999999999998E-5</v>
      </c>
      <c r="BP167" s="215">
        <f t="shared" si="105"/>
        <v>0</v>
      </c>
      <c r="BR167" s="126"/>
      <c r="BS167" s="126"/>
      <c r="BU167" s="178"/>
      <c r="BV167" s="179" t="str">
        <f t="shared" si="116"/>
        <v/>
      </c>
      <c r="BW167" s="179" t="str">
        <f t="shared" si="117"/>
        <v/>
      </c>
      <c r="BX167" s="179" t="str">
        <f t="shared" si="118"/>
        <v/>
      </c>
      <c r="BY167" s="179" t="str">
        <f t="shared" si="119"/>
        <v/>
      </c>
      <c r="BZ167" s="179" t="str">
        <f t="shared" si="120"/>
        <v/>
      </c>
      <c r="CA167" s="179" t="str">
        <f t="shared" si="121"/>
        <v/>
      </c>
      <c r="CB167" s="179" t="str">
        <f t="shared" si="122"/>
        <v/>
      </c>
      <c r="CC167" s="179" t="str">
        <f t="shared" si="123"/>
        <v/>
      </c>
      <c r="CD167" s="179" t="str">
        <f t="shared" si="124"/>
        <v/>
      </c>
      <c r="CE167" s="179" t="str">
        <f t="shared" si="125"/>
        <v/>
      </c>
      <c r="CF167" s="179" t="str">
        <f t="shared" si="126"/>
        <v/>
      </c>
      <c r="CG167" s="179" t="str">
        <f t="shared" si="127"/>
        <v/>
      </c>
      <c r="CH167" s="166"/>
      <c r="CI167" s="166"/>
      <c r="CJ167" s="166"/>
      <c r="CK167" s="166" t="s">
        <v>150</v>
      </c>
      <c r="CL167" s="166"/>
    </row>
    <row r="168" spans="1:90" ht="14.25" customHeight="1" thickBot="1" x14ac:dyDescent="0.3">
      <c r="A168" s="213">
        <v>158</v>
      </c>
      <c r="B168" s="88"/>
      <c r="C168" s="201"/>
      <c r="D168" s="94"/>
      <c r="E168" s="321" t="s">
        <v>93</v>
      </c>
      <c r="F168" s="96"/>
      <c r="G168" s="100"/>
      <c r="H168" s="100"/>
      <c r="I168" s="100"/>
      <c r="J168" s="100"/>
      <c r="K168" s="100"/>
      <c r="L168" s="100"/>
      <c r="M168" s="210"/>
      <c r="N168" s="234">
        <f t="shared" si="128"/>
        <v>0</v>
      </c>
      <c r="O168" s="308"/>
      <c r="P168" s="343"/>
      <c r="Q168" s="309"/>
      <c r="R168" s="324" t="s">
        <v>67</v>
      </c>
      <c r="S168" s="96"/>
      <c r="T168" s="100"/>
      <c r="U168" s="100"/>
      <c r="V168" s="100"/>
      <c r="W168" s="100"/>
      <c r="X168" s="100"/>
      <c r="Y168" s="97"/>
      <c r="Z168" s="210"/>
      <c r="AA168" s="234">
        <f t="shared" si="129"/>
        <v>0</v>
      </c>
      <c r="AB168" s="314">
        <f t="shared" si="106"/>
        <v>0</v>
      </c>
      <c r="AC168" s="314"/>
      <c r="AD168" s="314">
        <f t="shared" si="107"/>
        <v>0</v>
      </c>
      <c r="AE168" s="324" t="s">
        <v>87</v>
      </c>
      <c r="AF168" s="82"/>
      <c r="AG168" s="337"/>
      <c r="AH168" s="337"/>
      <c r="AI168" s="337"/>
      <c r="AJ168" s="337"/>
      <c r="AK168" s="337"/>
      <c r="AL168" s="338"/>
      <c r="AM168" s="354"/>
      <c r="AN168" s="91">
        <f t="shared" si="130"/>
        <v>0</v>
      </c>
      <c r="AO168" s="96">
        <f t="shared" si="108"/>
        <v>0</v>
      </c>
      <c r="AP168" s="210"/>
      <c r="AQ168" s="97">
        <f t="shared" si="109"/>
        <v>0</v>
      </c>
      <c r="AR168" s="105"/>
      <c r="AS168" s="102"/>
      <c r="AT168" s="237"/>
      <c r="AU168" s="231"/>
      <c r="AV168" s="93"/>
      <c r="AW168" s="231"/>
      <c r="AX168" s="93"/>
      <c r="AY168" s="231"/>
      <c r="AZ168" s="93"/>
      <c r="BA168" s="17">
        <f t="shared" si="100"/>
        <v>1.6799999999999998E-5</v>
      </c>
      <c r="BB168" s="17">
        <f t="shared" si="101"/>
        <v>0</v>
      </c>
      <c r="BC168" s="17"/>
      <c r="BD168" s="178">
        <v>159</v>
      </c>
      <c r="BE168" s="214">
        <f t="shared" si="110"/>
        <v>2.69E-5</v>
      </c>
      <c r="BF168" s="178">
        <f t="shared" si="102"/>
        <v>0</v>
      </c>
      <c r="BG168" s="245">
        <f t="shared" si="103"/>
        <v>1.6799999999999998E-5</v>
      </c>
      <c r="BH168" s="17">
        <f t="shared" si="111"/>
        <v>0</v>
      </c>
      <c r="BI168" s="178">
        <v>159</v>
      </c>
      <c r="BJ168" s="87">
        <f t="shared" si="112"/>
        <v>2.5199999999999999E-5</v>
      </c>
      <c r="BK168" s="215">
        <f t="shared" si="104"/>
        <v>0</v>
      </c>
      <c r="BL168" s="245">
        <f t="shared" si="113"/>
        <v>1.6799999999999998E-5</v>
      </c>
      <c r="BM168" s="17">
        <f t="shared" si="114"/>
        <v>0</v>
      </c>
      <c r="BN168" s="178">
        <v>159</v>
      </c>
      <c r="BO168" s="87">
        <f t="shared" si="115"/>
        <v>2.5199999999999999E-5</v>
      </c>
      <c r="BP168" s="215">
        <f t="shared" si="105"/>
        <v>0</v>
      </c>
      <c r="BR168" s="126"/>
      <c r="BS168" s="126"/>
      <c r="BU168" s="178"/>
      <c r="BV168" s="179" t="str">
        <f t="shared" si="116"/>
        <v/>
      </c>
      <c r="BW168" s="179" t="str">
        <f t="shared" si="117"/>
        <v/>
      </c>
      <c r="BX168" s="179" t="str">
        <f t="shared" si="118"/>
        <v/>
      </c>
      <c r="BY168" s="179" t="str">
        <f t="shared" si="119"/>
        <v/>
      </c>
      <c r="BZ168" s="179" t="str">
        <f t="shared" si="120"/>
        <v/>
      </c>
      <c r="CA168" s="179" t="str">
        <f t="shared" si="121"/>
        <v/>
      </c>
      <c r="CB168" s="179" t="str">
        <f t="shared" si="122"/>
        <v/>
      </c>
      <c r="CC168" s="179" t="str">
        <f t="shared" si="123"/>
        <v/>
      </c>
      <c r="CD168" s="179" t="str">
        <f t="shared" si="124"/>
        <v/>
      </c>
      <c r="CE168" s="179" t="str">
        <f t="shared" si="125"/>
        <v/>
      </c>
      <c r="CF168" s="179" t="str">
        <f t="shared" si="126"/>
        <v/>
      </c>
      <c r="CG168" s="179" t="str">
        <f t="shared" si="127"/>
        <v/>
      </c>
      <c r="CH168" s="166"/>
      <c r="CI168" s="166"/>
      <c r="CJ168" s="166"/>
      <c r="CK168" s="166" t="s">
        <v>150</v>
      </c>
      <c r="CL168" s="166"/>
    </row>
    <row r="169" spans="1:90" ht="14.25" customHeight="1" x14ac:dyDescent="0.25">
      <c r="A169" s="211">
        <v>159</v>
      </c>
      <c r="B169" s="89"/>
      <c r="C169" s="199"/>
      <c r="D169" s="146"/>
      <c r="E169" s="319" t="s">
        <v>93</v>
      </c>
      <c r="F169" s="221"/>
      <c r="G169" s="222"/>
      <c r="H169" s="222"/>
      <c r="I169" s="222"/>
      <c r="J169" s="222"/>
      <c r="K169" s="222"/>
      <c r="L169" s="222"/>
      <c r="M169" s="331"/>
      <c r="N169" s="303">
        <f t="shared" si="128"/>
        <v>0</v>
      </c>
      <c r="O169" s="304"/>
      <c r="P169" s="341"/>
      <c r="Q169" s="305"/>
      <c r="R169" s="322" t="s">
        <v>67</v>
      </c>
      <c r="S169" s="326"/>
      <c r="T169" s="327"/>
      <c r="U169" s="327"/>
      <c r="V169" s="327"/>
      <c r="W169" s="327"/>
      <c r="X169" s="327"/>
      <c r="Y169" s="95"/>
      <c r="Z169" s="331"/>
      <c r="AA169" s="303">
        <f t="shared" si="129"/>
        <v>0</v>
      </c>
      <c r="AB169" s="314">
        <f t="shared" si="106"/>
        <v>0</v>
      </c>
      <c r="AC169" s="314"/>
      <c r="AD169" s="314">
        <f t="shared" si="107"/>
        <v>0</v>
      </c>
      <c r="AE169" s="325" t="s">
        <v>148</v>
      </c>
      <c r="AF169" s="15"/>
      <c r="AG169" s="232"/>
      <c r="AH169" s="232"/>
      <c r="AI169" s="232"/>
      <c r="AJ169" s="232"/>
      <c r="AK169" s="232"/>
      <c r="AL169" s="7"/>
      <c r="AM169" s="352"/>
      <c r="AN169" s="22">
        <f t="shared" si="130"/>
        <v>0</v>
      </c>
      <c r="AO169" s="15">
        <f t="shared" si="108"/>
        <v>0</v>
      </c>
      <c r="AP169" s="345"/>
      <c r="AQ169" s="7">
        <f t="shared" si="109"/>
        <v>0</v>
      </c>
      <c r="AR169" s="103"/>
      <c r="AS169" s="101"/>
      <c r="AT169" s="236"/>
      <c r="AU169" s="235"/>
      <c r="AV169" s="92"/>
      <c r="AW169" s="235"/>
      <c r="AX169" s="92"/>
      <c r="AY169" s="235"/>
      <c r="AZ169" s="92"/>
      <c r="BA169" s="17">
        <f t="shared" si="100"/>
        <v>1.6900000000000001E-5</v>
      </c>
      <c r="BB169" s="17">
        <f t="shared" si="101"/>
        <v>0</v>
      </c>
      <c r="BC169" s="17"/>
      <c r="BD169" s="178">
        <v>160</v>
      </c>
      <c r="BE169" s="214">
        <f t="shared" si="110"/>
        <v>2.6799999999999998E-5</v>
      </c>
      <c r="BF169" s="178">
        <f t="shared" si="102"/>
        <v>0</v>
      </c>
      <c r="BG169" s="245">
        <f t="shared" si="103"/>
        <v>1.6900000000000001E-5</v>
      </c>
      <c r="BH169" s="17">
        <f t="shared" si="111"/>
        <v>0</v>
      </c>
      <c r="BI169" s="178">
        <v>160</v>
      </c>
      <c r="BJ169" s="87">
        <f t="shared" si="112"/>
        <v>2.51E-5</v>
      </c>
      <c r="BK169" s="215">
        <f t="shared" si="104"/>
        <v>0</v>
      </c>
      <c r="BL169" s="245">
        <f t="shared" si="113"/>
        <v>1.6900000000000001E-5</v>
      </c>
      <c r="BM169" s="17">
        <f t="shared" si="114"/>
        <v>0</v>
      </c>
      <c r="BN169" s="178">
        <v>160</v>
      </c>
      <c r="BO169" s="87">
        <f t="shared" si="115"/>
        <v>2.51E-5</v>
      </c>
      <c r="BP169" s="215">
        <f t="shared" si="105"/>
        <v>0</v>
      </c>
      <c r="BR169" s="126"/>
      <c r="BS169" s="126"/>
      <c r="BU169" s="178"/>
      <c r="BV169" s="179" t="str">
        <f t="shared" si="116"/>
        <v/>
      </c>
      <c r="BW169" s="179" t="str">
        <f t="shared" si="117"/>
        <v/>
      </c>
      <c r="BX169" s="179" t="str">
        <f t="shared" si="118"/>
        <v/>
      </c>
      <c r="BY169" s="179" t="str">
        <f t="shared" si="119"/>
        <v/>
      </c>
      <c r="BZ169" s="179" t="str">
        <f t="shared" si="120"/>
        <v/>
      </c>
      <c r="CA169" s="179" t="str">
        <f t="shared" si="121"/>
        <v/>
      </c>
      <c r="CB169" s="179" t="str">
        <f t="shared" si="122"/>
        <v/>
      </c>
      <c r="CC169" s="179" t="str">
        <f t="shared" si="123"/>
        <v/>
      </c>
      <c r="CD169" s="179" t="str">
        <f t="shared" si="124"/>
        <v/>
      </c>
      <c r="CE169" s="179" t="str">
        <f t="shared" si="125"/>
        <v/>
      </c>
      <c r="CF169" s="179" t="str">
        <f t="shared" si="126"/>
        <v/>
      </c>
      <c r="CG169" s="179" t="str">
        <f t="shared" si="127"/>
        <v/>
      </c>
      <c r="CH169" s="166"/>
      <c r="CI169" s="166"/>
      <c r="CJ169" s="166"/>
      <c r="CK169" s="166" t="s">
        <v>150</v>
      </c>
      <c r="CL169" s="166"/>
    </row>
    <row r="170" spans="1:90" ht="14.25" customHeight="1" thickBot="1" x14ac:dyDescent="0.3">
      <c r="A170" s="213">
        <v>160</v>
      </c>
      <c r="B170" s="219"/>
      <c r="C170" s="200"/>
      <c r="D170" s="145"/>
      <c r="E170" s="320" t="s">
        <v>93</v>
      </c>
      <c r="F170" s="209"/>
      <c r="G170" s="313"/>
      <c r="H170" s="313"/>
      <c r="I170" s="313"/>
      <c r="J170" s="313"/>
      <c r="K170" s="313"/>
      <c r="L170" s="313"/>
      <c r="M170" s="339"/>
      <c r="N170" s="233">
        <f t="shared" si="128"/>
        <v>0</v>
      </c>
      <c r="O170" s="306"/>
      <c r="P170" s="342"/>
      <c r="Q170" s="307"/>
      <c r="R170" s="323" t="s">
        <v>67</v>
      </c>
      <c r="S170" s="209"/>
      <c r="T170" s="313"/>
      <c r="U170" s="313"/>
      <c r="V170" s="313"/>
      <c r="W170" s="313"/>
      <c r="X170" s="313"/>
      <c r="Y170" s="125"/>
      <c r="Z170" s="339"/>
      <c r="AA170" s="233">
        <f t="shared" si="129"/>
        <v>0</v>
      </c>
      <c r="AB170" s="314">
        <f t="shared" si="106"/>
        <v>0</v>
      </c>
      <c r="AC170" s="314"/>
      <c r="AD170" s="314">
        <f t="shared" si="107"/>
        <v>0</v>
      </c>
      <c r="AE170" s="323" t="s">
        <v>87</v>
      </c>
      <c r="AF170" s="81"/>
      <c r="AG170" s="335"/>
      <c r="AH170" s="335"/>
      <c r="AI170" s="335"/>
      <c r="AJ170" s="335"/>
      <c r="AK170" s="335"/>
      <c r="AL170" s="336"/>
      <c r="AM170" s="353"/>
      <c r="AN170" s="22">
        <f t="shared" si="130"/>
        <v>0</v>
      </c>
      <c r="AO170" s="209">
        <f t="shared" si="108"/>
        <v>0</v>
      </c>
      <c r="AP170" s="339"/>
      <c r="AQ170" s="125">
        <f t="shared" si="109"/>
        <v>0</v>
      </c>
      <c r="AR170" s="104"/>
      <c r="AS170" s="217"/>
      <c r="AT170" s="216"/>
      <c r="AU170" s="230"/>
      <c r="AV170" s="220"/>
      <c r="AW170" s="230"/>
      <c r="AX170" s="220"/>
      <c r="AY170" s="230"/>
      <c r="AZ170" s="220"/>
      <c r="BA170" s="17">
        <f t="shared" si="100"/>
        <v>1.7E-5</v>
      </c>
      <c r="BB170" s="17">
        <f t="shared" si="101"/>
        <v>0</v>
      </c>
      <c r="BC170" s="17"/>
      <c r="BD170" s="178">
        <v>161</v>
      </c>
      <c r="BE170" s="214">
        <f t="shared" si="110"/>
        <v>2.6699999999999998E-5</v>
      </c>
      <c r="BF170" s="178">
        <f t="shared" si="102"/>
        <v>0</v>
      </c>
      <c r="BG170" s="245">
        <f t="shared" si="103"/>
        <v>1.7E-5</v>
      </c>
      <c r="BH170" s="17">
        <f t="shared" si="111"/>
        <v>0</v>
      </c>
      <c r="BI170" s="178">
        <v>161</v>
      </c>
      <c r="BJ170" s="87">
        <f t="shared" si="112"/>
        <v>2.4999999999999998E-5</v>
      </c>
      <c r="BK170" s="215">
        <f t="shared" si="104"/>
        <v>0</v>
      </c>
      <c r="BL170" s="245">
        <f t="shared" si="113"/>
        <v>1.7E-5</v>
      </c>
      <c r="BM170" s="17">
        <f t="shared" si="114"/>
        <v>0</v>
      </c>
      <c r="BN170" s="178">
        <v>161</v>
      </c>
      <c r="BO170" s="87">
        <f t="shared" si="115"/>
        <v>2.4999999999999998E-5</v>
      </c>
      <c r="BP170" s="215">
        <f t="shared" si="105"/>
        <v>0</v>
      </c>
      <c r="BR170" s="126"/>
      <c r="BS170" s="126"/>
      <c r="BU170" s="178"/>
      <c r="BV170" s="179" t="str">
        <f t="shared" si="116"/>
        <v/>
      </c>
      <c r="BW170" s="179" t="str">
        <f t="shared" si="117"/>
        <v/>
      </c>
      <c r="BX170" s="179" t="str">
        <f t="shared" si="118"/>
        <v/>
      </c>
      <c r="BY170" s="179" t="str">
        <f t="shared" si="119"/>
        <v/>
      </c>
      <c r="BZ170" s="179" t="str">
        <f t="shared" si="120"/>
        <v/>
      </c>
      <c r="CA170" s="179" t="str">
        <f t="shared" si="121"/>
        <v/>
      </c>
      <c r="CB170" s="179" t="str">
        <f t="shared" si="122"/>
        <v/>
      </c>
      <c r="CC170" s="179" t="str">
        <f t="shared" si="123"/>
        <v/>
      </c>
      <c r="CD170" s="179" t="str">
        <f t="shared" si="124"/>
        <v/>
      </c>
      <c r="CE170" s="179" t="str">
        <f t="shared" si="125"/>
        <v/>
      </c>
      <c r="CF170" s="179" t="str">
        <f t="shared" si="126"/>
        <v/>
      </c>
      <c r="CG170" s="179" t="str">
        <f t="shared" si="127"/>
        <v/>
      </c>
      <c r="CH170" s="166"/>
      <c r="CI170" s="166"/>
      <c r="CJ170" s="166"/>
      <c r="CK170" s="166" t="s">
        <v>150</v>
      </c>
      <c r="CL170" s="166"/>
    </row>
    <row r="171" spans="1:90" ht="14.25" customHeight="1" thickBot="1" x14ac:dyDescent="0.3">
      <c r="A171" s="211">
        <v>161</v>
      </c>
      <c r="B171" s="88"/>
      <c r="C171" s="201"/>
      <c r="D171" s="94"/>
      <c r="E171" s="321" t="s">
        <v>93</v>
      </c>
      <c r="F171" s="96"/>
      <c r="G171" s="100"/>
      <c r="H171" s="100"/>
      <c r="I171" s="100"/>
      <c r="J171" s="100"/>
      <c r="K171" s="100"/>
      <c r="L171" s="100"/>
      <c r="M171" s="210"/>
      <c r="N171" s="234">
        <f t="shared" si="128"/>
        <v>0</v>
      </c>
      <c r="O171" s="308"/>
      <c r="P171" s="343"/>
      <c r="Q171" s="309"/>
      <c r="R171" s="324" t="s">
        <v>67</v>
      </c>
      <c r="S171" s="96"/>
      <c r="T171" s="100"/>
      <c r="U171" s="100"/>
      <c r="V171" s="100"/>
      <c r="W171" s="100"/>
      <c r="X171" s="100"/>
      <c r="Y171" s="97"/>
      <c r="Z171" s="210"/>
      <c r="AA171" s="234">
        <f t="shared" si="129"/>
        <v>0</v>
      </c>
      <c r="AB171" s="314">
        <f t="shared" si="106"/>
        <v>0</v>
      </c>
      <c r="AC171" s="314"/>
      <c r="AD171" s="314">
        <f t="shared" si="107"/>
        <v>0</v>
      </c>
      <c r="AE171" s="324" t="s">
        <v>87</v>
      </c>
      <c r="AF171" s="82"/>
      <c r="AG171" s="337"/>
      <c r="AH171" s="337"/>
      <c r="AI171" s="337"/>
      <c r="AJ171" s="337"/>
      <c r="AK171" s="337"/>
      <c r="AL171" s="338"/>
      <c r="AM171" s="354"/>
      <c r="AN171" s="91">
        <f t="shared" si="130"/>
        <v>0</v>
      </c>
      <c r="AO171" s="96">
        <f t="shared" si="108"/>
        <v>0</v>
      </c>
      <c r="AP171" s="210"/>
      <c r="AQ171" s="97">
        <f t="shared" si="109"/>
        <v>0</v>
      </c>
      <c r="AR171" s="105"/>
      <c r="AS171" s="102"/>
      <c r="AT171" s="237"/>
      <c r="AU171" s="231"/>
      <c r="AV171" s="93"/>
      <c r="AW171" s="231"/>
      <c r="AX171" s="93"/>
      <c r="AY171" s="231"/>
      <c r="AZ171" s="93"/>
      <c r="BA171" s="17">
        <f t="shared" si="100"/>
        <v>1.7099999999999999E-5</v>
      </c>
      <c r="BB171" s="17">
        <f t="shared" si="101"/>
        <v>0</v>
      </c>
      <c r="BC171" s="17"/>
      <c r="BD171" s="178">
        <v>162</v>
      </c>
      <c r="BE171" s="214">
        <f t="shared" si="110"/>
        <v>2.6599999999999999E-5</v>
      </c>
      <c r="BF171" s="178">
        <f t="shared" si="102"/>
        <v>0</v>
      </c>
      <c r="BG171" s="245">
        <f t="shared" si="103"/>
        <v>1.7099999999999999E-5</v>
      </c>
      <c r="BH171" s="17">
        <f t="shared" si="111"/>
        <v>0</v>
      </c>
      <c r="BI171" s="178">
        <v>162</v>
      </c>
      <c r="BJ171" s="87">
        <f t="shared" si="112"/>
        <v>2.4899999999999999E-5</v>
      </c>
      <c r="BK171" s="215">
        <f t="shared" si="104"/>
        <v>0</v>
      </c>
      <c r="BL171" s="245">
        <f t="shared" si="113"/>
        <v>1.7099999999999999E-5</v>
      </c>
      <c r="BM171" s="17">
        <f t="shared" si="114"/>
        <v>0</v>
      </c>
      <c r="BN171" s="178">
        <v>162</v>
      </c>
      <c r="BO171" s="87">
        <f t="shared" si="115"/>
        <v>2.4899999999999999E-5</v>
      </c>
      <c r="BP171" s="215">
        <f t="shared" si="105"/>
        <v>0</v>
      </c>
      <c r="BR171" s="126"/>
      <c r="BS171" s="126"/>
      <c r="BU171" s="178"/>
      <c r="BV171" s="179" t="str">
        <f t="shared" si="116"/>
        <v/>
      </c>
      <c r="BW171" s="179" t="str">
        <f t="shared" si="117"/>
        <v/>
      </c>
      <c r="BX171" s="179" t="str">
        <f t="shared" si="118"/>
        <v/>
      </c>
      <c r="BY171" s="179" t="str">
        <f t="shared" si="119"/>
        <v/>
      </c>
      <c r="BZ171" s="179" t="str">
        <f t="shared" si="120"/>
        <v/>
      </c>
      <c r="CA171" s="179" t="str">
        <f t="shared" si="121"/>
        <v/>
      </c>
      <c r="CB171" s="179" t="str">
        <f t="shared" si="122"/>
        <v/>
      </c>
      <c r="CC171" s="179" t="str">
        <f t="shared" si="123"/>
        <v/>
      </c>
      <c r="CD171" s="179" t="str">
        <f t="shared" si="124"/>
        <v/>
      </c>
      <c r="CE171" s="179" t="str">
        <f t="shared" si="125"/>
        <v/>
      </c>
      <c r="CF171" s="179" t="str">
        <f t="shared" si="126"/>
        <v/>
      </c>
      <c r="CG171" s="179" t="str">
        <f t="shared" si="127"/>
        <v/>
      </c>
      <c r="CH171" s="166"/>
      <c r="CI171" s="166"/>
      <c r="CJ171" s="166"/>
      <c r="CK171" s="166" t="s">
        <v>150</v>
      </c>
      <c r="CL171" s="166"/>
    </row>
    <row r="172" spans="1:90" ht="14.25" customHeight="1" thickBot="1" x14ac:dyDescent="0.3">
      <c r="A172" s="213">
        <v>162</v>
      </c>
      <c r="B172" s="89"/>
      <c r="C172" s="199"/>
      <c r="D172" s="146"/>
      <c r="E172" s="319" t="s">
        <v>93</v>
      </c>
      <c r="F172" s="221"/>
      <c r="G172" s="222"/>
      <c r="H172" s="222"/>
      <c r="I172" s="222"/>
      <c r="J172" s="222"/>
      <c r="K172" s="222"/>
      <c r="L172" s="222"/>
      <c r="M172" s="331"/>
      <c r="N172" s="303">
        <f t="shared" si="128"/>
        <v>0</v>
      </c>
      <c r="O172" s="304"/>
      <c r="P172" s="341"/>
      <c r="Q172" s="305"/>
      <c r="R172" s="322" t="s">
        <v>67</v>
      </c>
      <c r="S172" s="326"/>
      <c r="T172" s="327"/>
      <c r="U172" s="327"/>
      <c r="V172" s="327"/>
      <c r="W172" s="327"/>
      <c r="X172" s="327"/>
      <c r="Y172" s="95"/>
      <c r="Z172" s="331"/>
      <c r="AA172" s="303">
        <f t="shared" si="129"/>
        <v>0</v>
      </c>
      <c r="AB172" s="314">
        <f t="shared" si="106"/>
        <v>0</v>
      </c>
      <c r="AC172" s="314"/>
      <c r="AD172" s="314">
        <f t="shared" si="107"/>
        <v>0</v>
      </c>
      <c r="AE172" s="325" t="s">
        <v>148</v>
      </c>
      <c r="AF172" s="15"/>
      <c r="AG172" s="232"/>
      <c r="AH172" s="232"/>
      <c r="AI172" s="232"/>
      <c r="AJ172" s="232"/>
      <c r="AK172" s="232"/>
      <c r="AL172" s="7"/>
      <c r="AM172" s="352"/>
      <c r="AN172" s="22">
        <f t="shared" si="130"/>
        <v>0</v>
      </c>
      <c r="AO172" s="15">
        <f t="shared" si="108"/>
        <v>0</v>
      </c>
      <c r="AP172" s="345"/>
      <c r="AQ172" s="7">
        <f t="shared" si="109"/>
        <v>0</v>
      </c>
      <c r="AR172" s="103"/>
      <c r="AS172" s="101"/>
      <c r="AT172" s="236"/>
      <c r="AU172" s="235"/>
      <c r="AV172" s="92"/>
      <c r="AW172" s="235"/>
      <c r="AX172" s="92"/>
      <c r="AY172" s="235"/>
      <c r="AZ172" s="92"/>
      <c r="BA172" s="17">
        <f t="shared" si="100"/>
        <v>1.7199999999999998E-5</v>
      </c>
      <c r="BB172" s="17">
        <f t="shared" si="101"/>
        <v>0</v>
      </c>
      <c r="BC172" s="17"/>
      <c r="BD172" s="178">
        <v>163</v>
      </c>
      <c r="BE172" s="214">
        <f t="shared" si="110"/>
        <v>2.65E-5</v>
      </c>
      <c r="BF172" s="178">
        <f t="shared" si="102"/>
        <v>0</v>
      </c>
      <c r="BG172" s="245">
        <f t="shared" si="103"/>
        <v>1.7199999999999998E-5</v>
      </c>
      <c r="BH172" s="17">
        <f t="shared" si="111"/>
        <v>0</v>
      </c>
      <c r="BI172" s="178">
        <v>163</v>
      </c>
      <c r="BJ172" s="87">
        <f t="shared" si="112"/>
        <v>2.48E-5</v>
      </c>
      <c r="BK172" s="215">
        <f t="shared" si="104"/>
        <v>0</v>
      </c>
      <c r="BL172" s="245">
        <f t="shared" si="113"/>
        <v>1.7199999999999998E-5</v>
      </c>
      <c r="BM172" s="17">
        <f t="shared" si="114"/>
        <v>0</v>
      </c>
      <c r="BN172" s="178">
        <v>163</v>
      </c>
      <c r="BO172" s="87">
        <f t="shared" si="115"/>
        <v>2.48E-5</v>
      </c>
      <c r="BP172" s="215">
        <f t="shared" si="105"/>
        <v>0</v>
      </c>
      <c r="BR172" s="126"/>
      <c r="BS172" s="126"/>
      <c r="BU172" s="178"/>
      <c r="BV172" s="179" t="str">
        <f t="shared" si="116"/>
        <v/>
      </c>
      <c r="BW172" s="179" t="str">
        <f t="shared" si="117"/>
        <v/>
      </c>
      <c r="BX172" s="179" t="str">
        <f t="shared" si="118"/>
        <v/>
      </c>
      <c r="BY172" s="179" t="str">
        <f t="shared" si="119"/>
        <v/>
      </c>
      <c r="BZ172" s="179" t="str">
        <f t="shared" si="120"/>
        <v/>
      </c>
      <c r="CA172" s="179" t="str">
        <f t="shared" si="121"/>
        <v/>
      </c>
      <c r="CB172" s="179" t="str">
        <f t="shared" si="122"/>
        <v/>
      </c>
      <c r="CC172" s="179" t="str">
        <f t="shared" si="123"/>
        <v/>
      </c>
      <c r="CD172" s="179" t="str">
        <f t="shared" si="124"/>
        <v/>
      </c>
      <c r="CE172" s="179" t="str">
        <f t="shared" si="125"/>
        <v/>
      </c>
      <c r="CF172" s="179" t="str">
        <f t="shared" si="126"/>
        <v/>
      </c>
      <c r="CG172" s="179" t="str">
        <f t="shared" si="127"/>
        <v/>
      </c>
      <c r="CH172" s="166"/>
      <c r="CI172" s="166"/>
      <c r="CJ172" s="166"/>
      <c r="CK172" s="166" t="s">
        <v>150</v>
      </c>
      <c r="CL172" s="166"/>
    </row>
    <row r="173" spans="1:90" ht="14.25" customHeight="1" x14ac:dyDescent="0.25">
      <c r="A173" s="211">
        <v>163</v>
      </c>
      <c r="B173" s="219"/>
      <c r="C173" s="200"/>
      <c r="D173" s="145"/>
      <c r="E173" s="320" t="s">
        <v>93</v>
      </c>
      <c r="F173" s="209"/>
      <c r="G173" s="313"/>
      <c r="H173" s="313"/>
      <c r="I173" s="313"/>
      <c r="J173" s="313"/>
      <c r="K173" s="313"/>
      <c r="L173" s="313"/>
      <c r="M173" s="339"/>
      <c r="N173" s="233">
        <f t="shared" si="128"/>
        <v>0</v>
      </c>
      <c r="O173" s="306"/>
      <c r="P173" s="342"/>
      <c r="Q173" s="307"/>
      <c r="R173" s="323" t="s">
        <v>67</v>
      </c>
      <c r="S173" s="209"/>
      <c r="T173" s="313"/>
      <c r="U173" s="313"/>
      <c r="V173" s="313"/>
      <c r="W173" s="313"/>
      <c r="X173" s="313"/>
      <c r="Y173" s="125"/>
      <c r="Z173" s="339"/>
      <c r="AA173" s="233">
        <f t="shared" si="129"/>
        <v>0</v>
      </c>
      <c r="AB173" s="314">
        <f t="shared" si="106"/>
        <v>0</v>
      </c>
      <c r="AC173" s="314"/>
      <c r="AD173" s="314">
        <f t="shared" si="107"/>
        <v>0</v>
      </c>
      <c r="AE173" s="323" t="s">
        <v>87</v>
      </c>
      <c r="AF173" s="81"/>
      <c r="AG173" s="335"/>
      <c r="AH173" s="335"/>
      <c r="AI173" s="335"/>
      <c r="AJ173" s="335"/>
      <c r="AK173" s="335"/>
      <c r="AL173" s="336"/>
      <c r="AM173" s="353"/>
      <c r="AN173" s="22">
        <f t="shared" si="130"/>
        <v>0</v>
      </c>
      <c r="AO173" s="209">
        <f t="shared" si="108"/>
        <v>0</v>
      </c>
      <c r="AP173" s="339"/>
      <c r="AQ173" s="125">
        <f t="shared" si="109"/>
        <v>0</v>
      </c>
      <c r="AR173" s="104"/>
      <c r="AS173" s="217"/>
      <c r="AT173" s="216"/>
      <c r="AU173" s="230"/>
      <c r="AV173" s="220"/>
      <c r="AW173" s="230"/>
      <c r="AX173" s="220"/>
      <c r="AY173" s="230"/>
      <c r="AZ173" s="220"/>
      <c r="BA173" s="17">
        <f t="shared" si="100"/>
        <v>1.73E-5</v>
      </c>
      <c r="BB173" s="17">
        <f t="shared" si="101"/>
        <v>0</v>
      </c>
      <c r="BC173" s="17"/>
      <c r="BD173" s="178">
        <v>164</v>
      </c>
      <c r="BE173" s="214">
        <f t="shared" si="110"/>
        <v>2.6399999999999998E-5</v>
      </c>
      <c r="BF173" s="178">
        <f t="shared" si="102"/>
        <v>0</v>
      </c>
      <c r="BG173" s="245">
        <f t="shared" si="103"/>
        <v>1.73E-5</v>
      </c>
      <c r="BH173" s="17">
        <f t="shared" si="111"/>
        <v>0</v>
      </c>
      <c r="BI173" s="178">
        <v>164</v>
      </c>
      <c r="BJ173" s="87">
        <f t="shared" si="112"/>
        <v>2.4699999999999997E-5</v>
      </c>
      <c r="BK173" s="215">
        <f t="shared" si="104"/>
        <v>0</v>
      </c>
      <c r="BL173" s="245">
        <f t="shared" si="113"/>
        <v>1.73E-5</v>
      </c>
      <c r="BM173" s="17">
        <f t="shared" si="114"/>
        <v>0</v>
      </c>
      <c r="BN173" s="178">
        <v>164</v>
      </c>
      <c r="BO173" s="87">
        <f t="shared" si="115"/>
        <v>2.4699999999999997E-5</v>
      </c>
      <c r="BP173" s="215">
        <f t="shared" si="105"/>
        <v>0</v>
      </c>
      <c r="BR173" s="126"/>
      <c r="BS173" s="126"/>
      <c r="BU173" s="178"/>
      <c r="BV173" s="179" t="str">
        <f t="shared" si="116"/>
        <v/>
      </c>
      <c r="BW173" s="179" t="str">
        <f t="shared" si="117"/>
        <v/>
      </c>
      <c r="BX173" s="179" t="str">
        <f t="shared" si="118"/>
        <v/>
      </c>
      <c r="BY173" s="179" t="str">
        <f t="shared" si="119"/>
        <v/>
      </c>
      <c r="BZ173" s="179" t="str">
        <f t="shared" si="120"/>
        <v/>
      </c>
      <c r="CA173" s="179" t="str">
        <f t="shared" si="121"/>
        <v/>
      </c>
      <c r="CB173" s="179" t="str">
        <f t="shared" si="122"/>
        <v/>
      </c>
      <c r="CC173" s="179" t="str">
        <f t="shared" si="123"/>
        <v/>
      </c>
      <c r="CD173" s="179" t="str">
        <f t="shared" si="124"/>
        <v/>
      </c>
      <c r="CE173" s="179" t="str">
        <f t="shared" si="125"/>
        <v/>
      </c>
      <c r="CF173" s="179" t="str">
        <f t="shared" si="126"/>
        <v/>
      </c>
      <c r="CG173" s="179" t="str">
        <f t="shared" si="127"/>
        <v/>
      </c>
      <c r="CH173" s="166"/>
      <c r="CI173" s="166"/>
      <c r="CJ173" s="166"/>
      <c r="CK173" s="166" t="s">
        <v>150</v>
      </c>
      <c r="CL173" s="166"/>
    </row>
    <row r="174" spans="1:90" ht="14.25" customHeight="1" thickBot="1" x14ac:dyDescent="0.3">
      <c r="A174" s="213">
        <v>164</v>
      </c>
      <c r="B174" s="88"/>
      <c r="C174" s="201"/>
      <c r="D174" s="94"/>
      <c r="E174" s="321" t="s">
        <v>93</v>
      </c>
      <c r="F174" s="96"/>
      <c r="G174" s="100"/>
      <c r="H174" s="100"/>
      <c r="I174" s="100"/>
      <c r="J174" s="100"/>
      <c r="K174" s="100"/>
      <c r="L174" s="100"/>
      <c r="M174" s="210"/>
      <c r="N174" s="234">
        <f t="shared" si="128"/>
        <v>0</v>
      </c>
      <c r="O174" s="308"/>
      <c r="P174" s="343"/>
      <c r="Q174" s="309"/>
      <c r="R174" s="324" t="s">
        <v>67</v>
      </c>
      <c r="S174" s="96"/>
      <c r="T174" s="100"/>
      <c r="U174" s="100"/>
      <c r="V174" s="100"/>
      <c r="W174" s="100"/>
      <c r="X174" s="100"/>
      <c r="Y174" s="97"/>
      <c r="Z174" s="210"/>
      <c r="AA174" s="234">
        <f t="shared" si="129"/>
        <v>0</v>
      </c>
      <c r="AB174" s="314">
        <f t="shared" si="106"/>
        <v>0</v>
      </c>
      <c r="AC174" s="314"/>
      <c r="AD174" s="314">
        <f t="shared" si="107"/>
        <v>0</v>
      </c>
      <c r="AE174" s="324" t="s">
        <v>87</v>
      </c>
      <c r="AF174" s="82"/>
      <c r="AG174" s="337"/>
      <c r="AH174" s="337"/>
      <c r="AI174" s="337"/>
      <c r="AJ174" s="337"/>
      <c r="AK174" s="337"/>
      <c r="AL174" s="338"/>
      <c r="AM174" s="354"/>
      <c r="AN174" s="91">
        <f t="shared" si="130"/>
        <v>0</v>
      </c>
      <c r="AO174" s="96">
        <f t="shared" si="108"/>
        <v>0</v>
      </c>
      <c r="AP174" s="210"/>
      <c r="AQ174" s="97">
        <f t="shared" si="109"/>
        <v>0</v>
      </c>
      <c r="AR174" s="105"/>
      <c r="AS174" s="102"/>
      <c r="AT174" s="237"/>
      <c r="AU174" s="231"/>
      <c r="AV174" s="93"/>
      <c r="AW174" s="231"/>
      <c r="AX174" s="93"/>
      <c r="AY174" s="231"/>
      <c r="AZ174" s="93"/>
      <c r="BA174" s="17">
        <f t="shared" si="100"/>
        <v>1.7399999999999999E-5</v>
      </c>
      <c r="BB174" s="17">
        <f t="shared" si="101"/>
        <v>0</v>
      </c>
      <c r="BC174" s="17"/>
      <c r="BD174" s="178">
        <v>165</v>
      </c>
      <c r="BE174" s="214">
        <f t="shared" si="110"/>
        <v>2.6299999999999999E-5</v>
      </c>
      <c r="BF174" s="178">
        <f t="shared" si="102"/>
        <v>0</v>
      </c>
      <c r="BG174" s="245">
        <f t="shared" si="103"/>
        <v>1.7399999999999999E-5</v>
      </c>
      <c r="BH174" s="17">
        <f t="shared" si="111"/>
        <v>0</v>
      </c>
      <c r="BI174" s="178">
        <v>165</v>
      </c>
      <c r="BJ174" s="87">
        <f t="shared" si="112"/>
        <v>2.4599999999999998E-5</v>
      </c>
      <c r="BK174" s="215">
        <f t="shared" si="104"/>
        <v>0</v>
      </c>
      <c r="BL174" s="245">
        <f t="shared" si="113"/>
        <v>1.7399999999999999E-5</v>
      </c>
      <c r="BM174" s="17">
        <f t="shared" si="114"/>
        <v>0</v>
      </c>
      <c r="BN174" s="178">
        <v>165</v>
      </c>
      <c r="BO174" s="87">
        <f t="shared" si="115"/>
        <v>2.4599999999999998E-5</v>
      </c>
      <c r="BP174" s="215">
        <f t="shared" si="105"/>
        <v>0</v>
      </c>
      <c r="BR174" s="126"/>
      <c r="BS174" s="126"/>
      <c r="BU174" s="178"/>
      <c r="BV174" s="179" t="str">
        <f t="shared" si="116"/>
        <v/>
      </c>
      <c r="BW174" s="179" t="str">
        <f t="shared" si="117"/>
        <v/>
      </c>
      <c r="BX174" s="179" t="str">
        <f t="shared" si="118"/>
        <v/>
      </c>
      <c r="BY174" s="179" t="str">
        <f t="shared" si="119"/>
        <v/>
      </c>
      <c r="BZ174" s="179" t="str">
        <f t="shared" si="120"/>
        <v/>
      </c>
      <c r="CA174" s="179" t="str">
        <f t="shared" si="121"/>
        <v/>
      </c>
      <c r="CB174" s="179" t="str">
        <f t="shared" si="122"/>
        <v/>
      </c>
      <c r="CC174" s="179" t="str">
        <f t="shared" si="123"/>
        <v/>
      </c>
      <c r="CD174" s="179" t="str">
        <f t="shared" si="124"/>
        <v/>
      </c>
      <c r="CE174" s="179" t="str">
        <f t="shared" si="125"/>
        <v/>
      </c>
      <c r="CF174" s="179" t="str">
        <f t="shared" si="126"/>
        <v/>
      </c>
      <c r="CG174" s="179" t="str">
        <f t="shared" si="127"/>
        <v/>
      </c>
      <c r="CH174" s="166"/>
      <c r="CI174" s="166"/>
      <c r="CJ174" s="166"/>
      <c r="CK174" s="166" t="s">
        <v>150</v>
      </c>
      <c r="CL174" s="166"/>
    </row>
    <row r="175" spans="1:90" ht="14.25" customHeight="1" x14ac:dyDescent="0.25">
      <c r="A175" s="211">
        <v>165</v>
      </c>
      <c r="B175" s="89"/>
      <c r="C175" s="199"/>
      <c r="D175" s="146"/>
      <c r="E175" s="319" t="s">
        <v>93</v>
      </c>
      <c r="F175" s="221"/>
      <c r="G175" s="222"/>
      <c r="H175" s="222"/>
      <c r="I175" s="222"/>
      <c r="J175" s="222"/>
      <c r="K175" s="222"/>
      <c r="L175" s="222"/>
      <c r="M175" s="331"/>
      <c r="N175" s="303">
        <f t="shared" si="128"/>
        <v>0</v>
      </c>
      <c r="O175" s="304"/>
      <c r="P175" s="341"/>
      <c r="Q175" s="305"/>
      <c r="R175" s="322" t="s">
        <v>67</v>
      </c>
      <c r="S175" s="326"/>
      <c r="T175" s="327"/>
      <c r="U175" s="327"/>
      <c r="V175" s="327"/>
      <c r="W175" s="327"/>
      <c r="X175" s="327"/>
      <c r="Y175" s="95"/>
      <c r="Z175" s="331"/>
      <c r="AA175" s="303">
        <f t="shared" si="129"/>
        <v>0</v>
      </c>
      <c r="AB175" s="314">
        <f t="shared" si="106"/>
        <v>0</v>
      </c>
      <c r="AC175" s="314"/>
      <c r="AD175" s="314">
        <f t="shared" si="107"/>
        <v>0</v>
      </c>
      <c r="AE175" s="325" t="s">
        <v>148</v>
      </c>
      <c r="AF175" s="15"/>
      <c r="AG175" s="232"/>
      <c r="AH175" s="232"/>
      <c r="AI175" s="232"/>
      <c r="AJ175" s="232"/>
      <c r="AK175" s="232"/>
      <c r="AL175" s="7"/>
      <c r="AM175" s="352"/>
      <c r="AN175" s="22">
        <f t="shared" si="130"/>
        <v>0</v>
      </c>
      <c r="AO175" s="15">
        <f t="shared" si="108"/>
        <v>0</v>
      </c>
      <c r="AP175" s="345"/>
      <c r="AQ175" s="7">
        <f t="shared" si="109"/>
        <v>0</v>
      </c>
      <c r="AR175" s="103"/>
      <c r="AS175" s="101"/>
      <c r="AT175" s="236"/>
      <c r="AU175" s="235"/>
      <c r="AV175" s="92"/>
      <c r="AW175" s="235"/>
      <c r="AX175" s="92"/>
      <c r="AY175" s="235"/>
      <c r="AZ175" s="92"/>
      <c r="BA175" s="17">
        <f t="shared" si="100"/>
        <v>1.7499999999999998E-5</v>
      </c>
      <c r="BB175" s="17">
        <f t="shared" si="101"/>
        <v>0</v>
      </c>
      <c r="BC175" s="17"/>
      <c r="BD175" s="178">
        <v>166</v>
      </c>
      <c r="BE175" s="214">
        <f t="shared" si="110"/>
        <v>2.62E-5</v>
      </c>
      <c r="BF175" s="178">
        <f t="shared" si="102"/>
        <v>0</v>
      </c>
      <c r="BG175" s="245">
        <f t="shared" si="103"/>
        <v>1.7499999999999998E-5</v>
      </c>
      <c r="BH175" s="17">
        <f t="shared" si="111"/>
        <v>0</v>
      </c>
      <c r="BI175" s="178">
        <v>166</v>
      </c>
      <c r="BJ175" s="87">
        <f t="shared" si="112"/>
        <v>2.4499999999999999E-5</v>
      </c>
      <c r="BK175" s="215">
        <f t="shared" si="104"/>
        <v>0</v>
      </c>
      <c r="BL175" s="245">
        <f t="shared" si="113"/>
        <v>1.7499999999999998E-5</v>
      </c>
      <c r="BM175" s="17">
        <f t="shared" si="114"/>
        <v>0</v>
      </c>
      <c r="BN175" s="178">
        <v>166</v>
      </c>
      <c r="BO175" s="87">
        <f t="shared" si="115"/>
        <v>2.4499999999999999E-5</v>
      </c>
      <c r="BP175" s="215">
        <f t="shared" si="105"/>
        <v>0</v>
      </c>
      <c r="BR175" s="126"/>
      <c r="BS175" s="126"/>
      <c r="BU175" s="178"/>
      <c r="BV175" s="179" t="str">
        <f t="shared" si="116"/>
        <v/>
      </c>
      <c r="BW175" s="179" t="str">
        <f t="shared" si="117"/>
        <v/>
      </c>
      <c r="BX175" s="179" t="str">
        <f t="shared" si="118"/>
        <v/>
      </c>
      <c r="BY175" s="179" t="str">
        <f t="shared" si="119"/>
        <v/>
      </c>
      <c r="BZ175" s="179" t="str">
        <f t="shared" si="120"/>
        <v/>
      </c>
      <c r="CA175" s="179" t="str">
        <f t="shared" si="121"/>
        <v/>
      </c>
      <c r="CB175" s="179" t="str">
        <f t="shared" si="122"/>
        <v/>
      </c>
      <c r="CC175" s="179" t="str">
        <f t="shared" si="123"/>
        <v/>
      </c>
      <c r="CD175" s="179" t="str">
        <f t="shared" si="124"/>
        <v/>
      </c>
      <c r="CE175" s="179" t="str">
        <f t="shared" si="125"/>
        <v/>
      </c>
      <c r="CF175" s="179" t="str">
        <f t="shared" si="126"/>
        <v/>
      </c>
      <c r="CG175" s="179" t="str">
        <f t="shared" si="127"/>
        <v/>
      </c>
      <c r="CH175" s="166"/>
      <c r="CI175" s="166"/>
      <c r="CJ175" s="166"/>
      <c r="CK175" s="166" t="s">
        <v>150</v>
      </c>
      <c r="CL175" s="166"/>
    </row>
    <row r="176" spans="1:90" ht="14.25" customHeight="1" thickBot="1" x14ac:dyDescent="0.3">
      <c r="A176" s="213">
        <v>166</v>
      </c>
      <c r="B176" s="219"/>
      <c r="C176" s="200"/>
      <c r="D176" s="145"/>
      <c r="E176" s="320" t="s">
        <v>93</v>
      </c>
      <c r="F176" s="209"/>
      <c r="G176" s="313"/>
      <c r="H176" s="313"/>
      <c r="I176" s="313"/>
      <c r="J176" s="313"/>
      <c r="K176" s="313"/>
      <c r="L176" s="313"/>
      <c r="M176" s="339"/>
      <c r="N176" s="233">
        <f t="shared" si="128"/>
        <v>0</v>
      </c>
      <c r="O176" s="306"/>
      <c r="P176" s="342"/>
      <c r="Q176" s="307"/>
      <c r="R176" s="323" t="s">
        <v>67</v>
      </c>
      <c r="S176" s="209"/>
      <c r="T176" s="313"/>
      <c r="U176" s="313"/>
      <c r="V176" s="313"/>
      <c r="W176" s="313"/>
      <c r="X176" s="313"/>
      <c r="Y176" s="125"/>
      <c r="Z176" s="339"/>
      <c r="AA176" s="233">
        <f t="shared" si="129"/>
        <v>0</v>
      </c>
      <c r="AB176" s="314">
        <f t="shared" si="106"/>
        <v>0</v>
      </c>
      <c r="AC176" s="314"/>
      <c r="AD176" s="314">
        <f t="shared" si="107"/>
        <v>0</v>
      </c>
      <c r="AE176" s="323" t="s">
        <v>87</v>
      </c>
      <c r="AF176" s="81"/>
      <c r="AG176" s="335"/>
      <c r="AH176" s="335"/>
      <c r="AI176" s="335"/>
      <c r="AJ176" s="335"/>
      <c r="AK176" s="335"/>
      <c r="AL176" s="336"/>
      <c r="AM176" s="353"/>
      <c r="AN176" s="22">
        <f t="shared" si="130"/>
        <v>0</v>
      </c>
      <c r="AO176" s="209">
        <f t="shared" si="108"/>
        <v>0</v>
      </c>
      <c r="AP176" s="339"/>
      <c r="AQ176" s="125">
        <f t="shared" si="109"/>
        <v>0</v>
      </c>
      <c r="AR176" s="104"/>
      <c r="AS176" s="217"/>
      <c r="AT176" s="216"/>
      <c r="AU176" s="230"/>
      <c r="AV176" s="220"/>
      <c r="AW176" s="230"/>
      <c r="AX176" s="220"/>
      <c r="AY176" s="230"/>
      <c r="AZ176" s="220"/>
      <c r="BA176" s="17">
        <f t="shared" si="100"/>
        <v>1.7600000000000001E-5</v>
      </c>
      <c r="BB176" s="17">
        <f t="shared" si="101"/>
        <v>0</v>
      </c>
      <c r="BC176" s="17"/>
      <c r="BD176" s="178">
        <v>167</v>
      </c>
      <c r="BE176" s="214">
        <f t="shared" si="110"/>
        <v>2.6099999999999997E-5</v>
      </c>
      <c r="BF176" s="178">
        <f t="shared" si="102"/>
        <v>0</v>
      </c>
      <c r="BG176" s="245">
        <f t="shared" si="103"/>
        <v>1.7600000000000001E-5</v>
      </c>
      <c r="BH176" s="17">
        <f t="shared" si="111"/>
        <v>0</v>
      </c>
      <c r="BI176" s="178">
        <v>167</v>
      </c>
      <c r="BJ176" s="87">
        <f t="shared" si="112"/>
        <v>2.44E-5</v>
      </c>
      <c r="BK176" s="215">
        <f t="shared" si="104"/>
        <v>0</v>
      </c>
      <c r="BL176" s="245">
        <f t="shared" si="113"/>
        <v>1.7600000000000001E-5</v>
      </c>
      <c r="BM176" s="17">
        <f t="shared" si="114"/>
        <v>0</v>
      </c>
      <c r="BN176" s="178">
        <v>167</v>
      </c>
      <c r="BO176" s="87">
        <f t="shared" si="115"/>
        <v>2.44E-5</v>
      </c>
      <c r="BP176" s="215">
        <f t="shared" si="105"/>
        <v>0</v>
      </c>
      <c r="BR176" s="126"/>
      <c r="BS176" s="126"/>
      <c r="BU176" s="178"/>
      <c r="BV176" s="179" t="str">
        <f t="shared" si="116"/>
        <v/>
      </c>
      <c r="BW176" s="179" t="str">
        <f t="shared" si="117"/>
        <v/>
      </c>
      <c r="BX176" s="179" t="str">
        <f t="shared" si="118"/>
        <v/>
      </c>
      <c r="BY176" s="179" t="str">
        <f t="shared" si="119"/>
        <v/>
      </c>
      <c r="BZ176" s="179" t="str">
        <f t="shared" si="120"/>
        <v/>
      </c>
      <c r="CA176" s="179" t="str">
        <f t="shared" si="121"/>
        <v/>
      </c>
      <c r="CB176" s="179" t="str">
        <f t="shared" si="122"/>
        <v/>
      </c>
      <c r="CC176" s="179" t="str">
        <f t="shared" si="123"/>
        <v/>
      </c>
      <c r="CD176" s="179" t="str">
        <f t="shared" si="124"/>
        <v/>
      </c>
      <c r="CE176" s="179" t="str">
        <f t="shared" si="125"/>
        <v/>
      </c>
      <c r="CF176" s="179" t="str">
        <f t="shared" si="126"/>
        <v/>
      </c>
      <c r="CG176" s="179" t="str">
        <f t="shared" si="127"/>
        <v/>
      </c>
      <c r="CH176" s="166"/>
      <c r="CI176" s="166"/>
      <c r="CJ176" s="166"/>
      <c r="CK176" s="166" t="s">
        <v>150</v>
      </c>
      <c r="CL176" s="166"/>
    </row>
    <row r="177" spans="1:90" ht="14.25" customHeight="1" thickBot="1" x14ac:dyDescent="0.3">
      <c r="A177" s="211">
        <v>167</v>
      </c>
      <c r="B177" s="88"/>
      <c r="C177" s="201"/>
      <c r="D177" s="94"/>
      <c r="E177" s="321" t="s">
        <v>93</v>
      </c>
      <c r="F177" s="96"/>
      <c r="G177" s="100"/>
      <c r="H177" s="100"/>
      <c r="I177" s="100"/>
      <c r="J177" s="100"/>
      <c r="K177" s="100"/>
      <c r="L177" s="100"/>
      <c r="M177" s="210"/>
      <c r="N177" s="234">
        <f t="shared" si="128"/>
        <v>0</v>
      </c>
      <c r="O177" s="308"/>
      <c r="P177" s="343"/>
      <c r="Q177" s="309"/>
      <c r="R177" s="324" t="s">
        <v>67</v>
      </c>
      <c r="S177" s="96"/>
      <c r="T177" s="100"/>
      <c r="U177" s="100"/>
      <c r="V177" s="100"/>
      <c r="W177" s="100"/>
      <c r="X177" s="100"/>
      <c r="Y177" s="97"/>
      <c r="Z177" s="210"/>
      <c r="AA177" s="234">
        <f t="shared" si="129"/>
        <v>0</v>
      </c>
      <c r="AB177" s="314">
        <f t="shared" si="106"/>
        <v>0</v>
      </c>
      <c r="AC177" s="314"/>
      <c r="AD177" s="314">
        <f t="shared" si="107"/>
        <v>0</v>
      </c>
      <c r="AE177" s="324" t="s">
        <v>87</v>
      </c>
      <c r="AF177" s="82"/>
      <c r="AG177" s="337"/>
      <c r="AH177" s="337"/>
      <c r="AI177" s="337"/>
      <c r="AJ177" s="337"/>
      <c r="AK177" s="337"/>
      <c r="AL177" s="338"/>
      <c r="AM177" s="354"/>
      <c r="AN177" s="91">
        <f t="shared" si="130"/>
        <v>0</v>
      </c>
      <c r="AO177" s="96">
        <f t="shared" si="108"/>
        <v>0</v>
      </c>
      <c r="AP177" s="210"/>
      <c r="AQ177" s="97">
        <f t="shared" si="109"/>
        <v>0</v>
      </c>
      <c r="AR177" s="105"/>
      <c r="AS177" s="102"/>
      <c r="AT177" s="237"/>
      <c r="AU177" s="231"/>
      <c r="AV177" s="93"/>
      <c r="AW177" s="231"/>
      <c r="AX177" s="93"/>
      <c r="AY177" s="231"/>
      <c r="AZ177" s="93"/>
      <c r="BA177" s="17">
        <f t="shared" si="100"/>
        <v>1.77E-5</v>
      </c>
      <c r="BB177" s="17">
        <f t="shared" si="101"/>
        <v>0</v>
      </c>
      <c r="BC177" s="17"/>
      <c r="BD177" s="178">
        <v>168</v>
      </c>
      <c r="BE177" s="214">
        <f t="shared" si="110"/>
        <v>2.5999999999999998E-5</v>
      </c>
      <c r="BF177" s="178">
        <f t="shared" si="102"/>
        <v>0</v>
      </c>
      <c r="BG177" s="245">
        <f t="shared" si="103"/>
        <v>1.77E-5</v>
      </c>
      <c r="BH177" s="17">
        <f t="shared" si="111"/>
        <v>0</v>
      </c>
      <c r="BI177" s="178">
        <v>168</v>
      </c>
      <c r="BJ177" s="87">
        <f t="shared" si="112"/>
        <v>2.4299999999999998E-5</v>
      </c>
      <c r="BK177" s="215">
        <f t="shared" si="104"/>
        <v>0</v>
      </c>
      <c r="BL177" s="245">
        <f t="shared" si="113"/>
        <v>1.77E-5</v>
      </c>
      <c r="BM177" s="17">
        <f t="shared" si="114"/>
        <v>0</v>
      </c>
      <c r="BN177" s="178">
        <v>168</v>
      </c>
      <c r="BO177" s="87">
        <f t="shared" si="115"/>
        <v>2.4299999999999998E-5</v>
      </c>
      <c r="BP177" s="215">
        <f t="shared" si="105"/>
        <v>0</v>
      </c>
      <c r="BR177" s="126"/>
      <c r="BS177" s="126"/>
      <c r="BU177" s="178"/>
      <c r="BV177" s="179" t="str">
        <f t="shared" si="116"/>
        <v/>
      </c>
      <c r="BW177" s="179" t="str">
        <f t="shared" si="117"/>
        <v/>
      </c>
      <c r="BX177" s="179" t="str">
        <f t="shared" si="118"/>
        <v/>
      </c>
      <c r="BY177" s="179" t="str">
        <f t="shared" si="119"/>
        <v/>
      </c>
      <c r="BZ177" s="179" t="str">
        <f t="shared" si="120"/>
        <v/>
      </c>
      <c r="CA177" s="179" t="str">
        <f t="shared" si="121"/>
        <v/>
      </c>
      <c r="CB177" s="179" t="str">
        <f t="shared" si="122"/>
        <v/>
      </c>
      <c r="CC177" s="179" t="str">
        <f t="shared" si="123"/>
        <v/>
      </c>
      <c r="CD177" s="179" t="str">
        <f t="shared" si="124"/>
        <v/>
      </c>
      <c r="CE177" s="179" t="str">
        <f t="shared" si="125"/>
        <v/>
      </c>
      <c r="CF177" s="179" t="str">
        <f t="shared" si="126"/>
        <v/>
      </c>
      <c r="CG177" s="179" t="str">
        <f t="shared" si="127"/>
        <v/>
      </c>
      <c r="CH177" s="166"/>
      <c r="CI177" s="166"/>
      <c r="CJ177" s="166"/>
      <c r="CK177" s="166" t="s">
        <v>150</v>
      </c>
      <c r="CL177" s="166"/>
    </row>
    <row r="178" spans="1:90" ht="14.25" customHeight="1" thickBot="1" x14ac:dyDescent="0.3">
      <c r="A178" s="213">
        <v>168</v>
      </c>
      <c r="B178" s="89"/>
      <c r="C178" s="199"/>
      <c r="D178" s="146"/>
      <c r="E178" s="319" t="s">
        <v>93</v>
      </c>
      <c r="F178" s="221"/>
      <c r="G178" s="222"/>
      <c r="H178" s="222"/>
      <c r="I178" s="222"/>
      <c r="J178" s="222"/>
      <c r="K178" s="222"/>
      <c r="L178" s="222"/>
      <c r="M178" s="331"/>
      <c r="N178" s="303">
        <f t="shared" si="128"/>
        <v>0</v>
      </c>
      <c r="O178" s="304"/>
      <c r="P178" s="341"/>
      <c r="Q178" s="305"/>
      <c r="R178" s="322" t="s">
        <v>67</v>
      </c>
      <c r="S178" s="326"/>
      <c r="T178" s="327"/>
      <c r="U178" s="327"/>
      <c r="V178" s="327"/>
      <c r="W178" s="327"/>
      <c r="X178" s="327"/>
      <c r="Y178" s="95"/>
      <c r="Z178" s="331"/>
      <c r="AA178" s="303">
        <f t="shared" si="129"/>
        <v>0</v>
      </c>
      <c r="AB178" s="314">
        <f t="shared" si="106"/>
        <v>0</v>
      </c>
      <c r="AC178" s="314"/>
      <c r="AD178" s="314">
        <f t="shared" si="107"/>
        <v>0</v>
      </c>
      <c r="AE178" s="325" t="s">
        <v>148</v>
      </c>
      <c r="AF178" s="15"/>
      <c r="AG178" s="232"/>
      <c r="AH178" s="232"/>
      <c r="AI178" s="232"/>
      <c r="AJ178" s="232"/>
      <c r="AK178" s="232"/>
      <c r="AL178" s="7"/>
      <c r="AM178" s="352"/>
      <c r="AN178" s="22">
        <f t="shared" si="130"/>
        <v>0</v>
      </c>
      <c r="AO178" s="15">
        <f t="shared" si="108"/>
        <v>0</v>
      </c>
      <c r="AP178" s="345"/>
      <c r="AQ178" s="7">
        <f t="shared" si="109"/>
        <v>0</v>
      </c>
      <c r="AR178" s="103"/>
      <c r="AS178" s="101"/>
      <c r="AT178" s="236"/>
      <c r="AU178" s="235"/>
      <c r="AV178" s="92"/>
      <c r="AW178" s="235"/>
      <c r="AX178" s="92"/>
      <c r="AY178" s="235"/>
      <c r="AZ178" s="92"/>
      <c r="BA178" s="17">
        <f t="shared" si="100"/>
        <v>1.7799999999999999E-5</v>
      </c>
      <c r="BB178" s="17">
        <f t="shared" si="101"/>
        <v>0</v>
      </c>
      <c r="BC178" s="17"/>
      <c r="BD178" s="178">
        <v>169</v>
      </c>
      <c r="BE178" s="214">
        <f t="shared" si="110"/>
        <v>2.5899999999999999E-5</v>
      </c>
      <c r="BF178" s="178">
        <f t="shared" si="102"/>
        <v>0</v>
      </c>
      <c r="BG178" s="245">
        <f t="shared" si="103"/>
        <v>1.7799999999999999E-5</v>
      </c>
      <c r="BH178" s="17">
        <f t="shared" si="111"/>
        <v>0</v>
      </c>
      <c r="BI178" s="178">
        <v>169</v>
      </c>
      <c r="BJ178" s="87">
        <f t="shared" si="112"/>
        <v>2.4199999999999999E-5</v>
      </c>
      <c r="BK178" s="215">
        <f t="shared" si="104"/>
        <v>0</v>
      </c>
      <c r="BL178" s="245">
        <f t="shared" si="113"/>
        <v>1.7799999999999999E-5</v>
      </c>
      <c r="BM178" s="17">
        <f t="shared" si="114"/>
        <v>0</v>
      </c>
      <c r="BN178" s="178">
        <v>169</v>
      </c>
      <c r="BO178" s="87">
        <f t="shared" si="115"/>
        <v>2.4199999999999999E-5</v>
      </c>
      <c r="BP178" s="215">
        <f t="shared" si="105"/>
        <v>0</v>
      </c>
      <c r="BR178" s="126"/>
      <c r="BS178" s="126"/>
      <c r="BU178" s="178"/>
      <c r="BV178" s="179" t="str">
        <f t="shared" si="116"/>
        <v/>
      </c>
      <c r="BW178" s="179" t="str">
        <f t="shared" si="117"/>
        <v/>
      </c>
      <c r="BX178" s="179" t="str">
        <f t="shared" si="118"/>
        <v/>
      </c>
      <c r="BY178" s="179" t="str">
        <f t="shared" si="119"/>
        <v/>
      </c>
      <c r="BZ178" s="179" t="str">
        <f t="shared" si="120"/>
        <v/>
      </c>
      <c r="CA178" s="179" t="str">
        <f t="shared" si="121"/>
        <v/>
      </c>
      <c r="CB178" s="179" t="str">
        <f t="shared" si="122"/>
        <v/>
      </c>
      <c r="CC178" s="179" t="str">
        <f t="shared" si="123"/>
        <v/>
      </c>
      <c r="CD178" s="179" t="str">
        <f t="shared" si="124"/>
        <v/>
      </c>
      <c r="CE178" s="179" t="str">
        <f t="shared" si="125"/>
        <v/>
      </c>
      <c r="CF178" s="179" t="str">
        <f t="shared" si="126"/>
        <v/>
      </c>
      <c r="CG178" s="179" t="str">
        <f t="shared" si="127"/>
        <v/>
      </c>
      <c r="CH178" s="166"/>
      <c r="CI178" s="166"/>
      <c r="CJ178" s="166"/>
      <c r="CK178" s="166" t="s">
        <v>150</v>
      </c>
      <c r="CL178" s="166"/>
    </row>
    <row r="179" spans="1:90" ht="14.25" customHeight="1" x14ac:dyDescent="0.25">
      <c r="A179" s="211">
        <v>169</v>
      </c>
      <c r="B179" s="219"/>
      <c r="C179" s="200"/>
      <c r="D179" s="145"/>
      <c r="E179" s="320" t="s">
        <v>93</v>
      </c>
      <c r="F179" s="209"/>
      <c r="G179" s="313"/>
      <c r="H179" s="313"/>
      <c r="I179" s="313"/>
      <c r="J179" s="313"/>
      <c r="K179" s="313"/>
      <c r="L179" s="313"/>
      <c r="M179" s="339"/>
      <c r="N179" s="233">
        <f t="shared" si="128"/>
        <v>0</v>
      </c>
      <c r="O179" s="306"/>
      <c r="P179" s="342"/>
      <c r="Q179" s="307"/>
      <c r="R179" s="323" t="s">
        <v>67</v>
      </c>
      <c r="S179" s="209"/>
      <c r="T179" s="313"/>
      <c r="U179" s="313"/>
      <c r="V179" s="313"/>
      <c r="W179" s="313"/>
      <c r="X179" s="313"/>
      <c r="Y179" s="125"/>
      <c r="Z179" s="339"/>
      <c r="AA179" s="233">
        <f t="shared" si="129"/>
        <v>0</v>
      </c>
      <c r="AB179" s="314">
        <f t="shared" si="106"/>
        <v>0</v>
      </c>
      <c r="AC179" s="314"/>
      <c r="AD179" s="314">
        <f t="shared" si="107"/>
        <v>0</v>
      </c>
      <c r="AE179" s="323" t="s">
        <v>87</v>
      </c>
      <c r="AF179" s="81"/>
      <c r="AG179" s="335"/>
      <c r="AH179" s="335"/>
      <c r="AI179" s="335"/>
      <c r="AJ179" s="335"/>
      <c r="AK179" s="335"/>
      <c r="AL179" s="336"/>
      <c r="AM179" s="353"/>
      <c r="AN179" s="22">
        <f t="shared" si="130"/>
        <v>0</v>
      </c>
      <c r="AO179" s="209">
        <f t="shared" si="108"/>
        <v>0</v>
      </c>
      <c r="AP179" s="339"/>
      <c r="AQ179" s="125">
        <f t="shared" si="109"/>
        <v>0</v>
      </c>
      <c r="AR179" s="104"/>
      <c r="AS179" s="217"/>
      <c r="AT179" s="216"/>
      <c r="AU179" s="230"/>
      <c r="AV179" s="220"/>
      <c r="AW179" s="230"/>
      <c r="AX179" s="220"/>
      <c r="AY179" s="230"/>
      <c r="AZ179" s="220"/>
      <c r="BA179" s="17">
        <f t="shared" si="100"/>
        <v>1.7899999999999998E-5</v>
      </c>
      <c r="BB179" s="17">
        <f t="shared" si="101"/>
        <v>0</v>
      </c>
      <c r="BC179" s="17"/>
      <c r="BD179" s="178">
        <v>170</v>
      </c>
      <c r="BE179" s="214">
        <f t="shared" si="110"/>
        <v>2.58E-5</v>
      </c>
      <c r="BF179" s="178">
        <f t="shared" si="102"/>
        <v>0</v>
      </c>
      <c r="BG179" s="245">
        <f t="shared" si="103"/>
        <v>1.7899999999999998E-5</v>
      </c>
      <c r="BH179" s="17">
        <f t="shared" si="111"/>
        <v>0</v>
      </c>
      <c r="BI179" s="178">
        <v>170</v>
      </c>
      <c r="BJ179" s="87">
        <f t="shared" si="112"/>
        <v>2.41E-5</v>
      </c>
      <c r="BK179" s="215">
        <f t="shared" si="104"/>
        <v>0</v>
      </c>
      <c r="BL179" s="245">
        <f t="shared" si="113"/>
        <v>1.7899999999999998E-5</v>
      </c>
      <c r="BM179" s="17">
        <f t="shared" si="114"/>
        <v>0</v>
      </c>
      <c r="BN179" s="178">
        <v>170</v>
      </c>
      <c r="BO179" s="87">
        <f t="shared" si="115"/>
        <v>2.41E-5</v>
      </c>
      <c r="BP179" s="215">
        <f t="shared" si="105"/>
        <v>0</v>
      </c>
      <c r="BR179" s="126"/>
      <c r="BS179" s="126"/>
      <c r="BU179" s="178"/>
      <c r="BV179" s="179" t="str">
        <f t="shared" si="116"/>
        <v/>
      </c>
      <c r="BW179" s="179" t="str">
        <f t="shared" si="117"/>
        <v/>
      </c>
      <c r="BX179" s="179" t="str">
        <f t="shared" si="118"/>
        <v/>
      </c>
      <c r="BY179" s="179" t="str">
        <f t="shared" si="119"/>
        <v/>
      </c>
      <c r="BZ179" s="179" t="str">
        <f t="shared" si="120"/>
        <v/>
      </c>
      <c r="CA179" s="179" t="str">
        <f t="shared" si="121"/>
        <v/>
      </c>
      <c r="CB179" s="179" t="str">
        <f t="shared" si="122"/>
        <v/>
      </c>
      <c r="CC179" s="179" t="str">
        <f t="shared" si="123"/>
        <v/>
      </c>
      <c r="CD179" s="179" t="str">
        <f t="shared" si="124"/>
        <v/>
      </c>
      <c r="CE179" s="179" t="str">
        <f t="shared" si="125"/>
        <v/>
      </c>
      <c r="CF179" s="179" t="str">
        <f t="shared" si="126"/>
        <v/>
      </c>
      <c r="CG179" s="179" t="str">
        <f t="shared" si="127"/>
        <v/>
      </c>
      <c r="CH179" s="166"/>
      <c r="CI179" s="166"/>
      <c r="CJ179" s="166"/>
      <c r="CK179" s="166" t="s">
        <v>150</v>
      </c>
      <c r="CL179" s="166"/>
    </row>
    <row r="180" spans="1:90" ht="14.25" customHeight="1" thickBot="1" x14ac:dyDescent="0.3">
      <c r="A180" s="213">
        <v>170</v>
      </c>
      <c r="B180" s="88"/>
      <c r="C180" s="201"/>
      <c r="D180" s="94"/>
      <c r="E180" s="321" t="s">
        <v>93</v>
      </c>
      <c r="F180" s="96"/>
      <c r="G180" s="100"/>
      <c r="H180" s="100"/>
      <c r="I180" s="100"/>
      <c r="J180" s="100"/>
      <c r="K180" s="100"/>
      <c r="L180" s="100"/>
      <c r="M180" s="210"/>
      <c r="N180" s="234">
        <f t="shared" si="128"/>
        <v>0</v>
      </c>
      <c r="O180" s="308"/>
      <c r="P180" s="343"/>
      <c r="Q180" s="309"/>
      <c r="R180" s="324" t="s">
        <v>67</v>
      </c>
      <c r="S180" s="96"/>
      <c r="T180" s="100"/>
      <c r="U180" s="100"/>
      <c r="V180" s="100"/>
      <c r="W180" s="100"/>
      <c r="X180" s="100"/>
      <c r="Y180" s="97"/>
      <c r="Z180" s="210"/>
      <c r="AA180" s="234">
        <f t="shared" si="129"/>
        <v>0</v>
      </c>
      <c r="AB180" s="314">
        <f t="shared" si="106"/>
        <v>0</v>
      </c>
      <c r="AC180" s="314"/>
      <c r="AD180" s="314">
        <f t="shared" si="107"/>
        <v>0</v>
      </c>
      <c r="AE180" s="324" t="s">
        <v>87</v>
      </c>
      <c r="AF180" s="82"/>
      <c r="AG180" s="337"/>
      <c r="AH180" s="337"/>
      <c r="AI180" s="337"/>
      <c r="AJ180" s="337"/>
      <c r="AK180" s="337"/>
      <c r="AL180" s="338"/>
      <c r="AM180" s="354"/>
      <c r="AN180" s="91">
        <f t="shared" si="130"/>
        <v>0</v>
      </c>
      <c r="AO180" s="96">
        <f t="shared" si="108"/>
        <v>0</v>
      </c>
      <c r="AP180" s="210"/>
      <c r="AQ180" s="97">
        <f t="shared" si="109"/>
        <v>0</v>
      </c>
      <c r="AR180" s="105"/>
      <c r="AS180" s="102"/>
      <c r="AT180" s="237"/>
      <c r="AU180" s="231"/>
      <c r="AV180" s="93"/>
      <c r="AW180" s="231"/>
      <c r="AX180" s="93"/>
      <c r="AY180" s="231"/>
      <c r="AZ180" s="93"/>
      <c r="BA180" s="17">
        <f t="shared" si="100"/>
        <v>1.8E-5</v>
      </c>
      <c r="BB180" s="17">
        <f t="shared" si="101"/>
        <v>0</v>
      </c>
      <c r="BC180" s="17"/>
      <c r="BD180" s="178">
        <v>171</v>
      </c>
      <c r="BE180" s="214">
        <f t="shared" si="110"/>
        <v>2.5699999999999998E-5</v>
      </c>
      <c r="BF180" s="178">
        <f t="shared" si="102"/>
        <v>0</v>
      </c>
      <c r="BG180" s="245">
        <f t="shared" si="103"/>
        <v>1.8E-5</v>
      </c>
      <c r="BH180" s="17">
        <f t="shared" si="111"/>
        <v>0</v>
      </c>
      <c r="BI180" s="178">
        <v>171</v>
      </c>
      <c r="BJ180" s="87">
        <f t="shared" si="112"/>
        <v>2.4000000000000001E-5</v>
      </c>
      <c r="BK180" s="215">
        <f t="shared" si="104"/>
        <v>0</v>
      </c>
      <c r="BL180" s="245">
        <f t="shared" si="113"/>
        <v>1.8E-5</v>
      </c>
      <c r="BM180" s="17">
        <f t="shared" si="114"/>
        <v>0</v>
      </c>
      <c r="BN180" s="178">
        <v>171</v>
      </c>
      <c r="BO180" s="87">
        <f t="shared" si="115"/>
        <v>2.4000000000000001E-5</v>
      </c>
      <c r="BP180" s="215">
        <f t="shared" si="105"/>
        <v>0</v>
      </c>
      <c r="BR180" s="126"/>
      <c r="BS180" s="126"/>
      <c r="BU180" s="178"/>
      <c r="BV180" s="179" t="str">
        <f t="shared" si="116"/>
        <v/>
      </c>
      <c r="BW180" s="179" t="str">
        <f t="shared" si="117"/>
        <v/>
      </c>
      <c r="BX180" s="179" t="str">
        <f t="shared" si="118"/>
        <v/>
      </c>
      <c r="BY180" s="179" t="str">
        <f t="shared" si="119"/>
        <v/>
      </c>
      <c r="BZ180" s="179" t="str">
        <f t="shared" si="120"/>
        <v/>
      </c>
      <c r="CA180" s="179" t="str">
        <f t="shared" si="121"/>
        <v/>
      </c>
      <c r="CB180" s="179" t="str">
        <f t="shared" si="122"/>
        <v/>
      </c>
      <c r="CC180" s="179" t="str">
        <f t="shared" si="123"/>
        <v/>
      </c>
      <c r="CD180" s="179" t="str">
        <f t="shared" si="124"/>
        <v/>
      </c>
      <c r="CE180" s="179" t="str">
        <f t="shared" si="125"/>
        <v/>
      </c>
      <c r="CF180" s="179" t="str">
        <f t="shared" si="126"/>
        <v/>
      </c>
      <c r="CG180" s="179" t="str">
        <f t="shared" si="127"/>
        <v/>
      </c>
      <c r="CH180" s="166"/>
      <c r="CI180" s="166"/>
      <c r="CJ180" s="166"/>
      <c r="CK180" s="166" t="s">
        <v>150</v>
      </c>
      <c r="CL180" s="166"/>
    </row>
    <row r="181" spans="1:90" ht="14.25" customHeight="1" x14ac:dyDescent="0.25">
      <c r="A181" s="211">
        <v>171</v>
      </c>
      <c r="B181" s="89"/>
      <c r="C181" s="199"/>
      <c r="D181" s="146"/>
      <c r="E181" s="319" t="s">
        <v>93</v>
      </c>
      <c r="F181" s="221"/>
      <c r="G181" s="222"/>
      <c r="H181" s="222"/>
      <c r="I181" s="222"/>
      <c r="J181" s="222"/>
      <c r="K181" s="222"/>
      <c r="L181" s="222"/>
      <c r="M181" s="331"/>
      <c r="N181" s="303">
        <f t="shared" si="128"/>
        <v>0</v>
      </c>
      <c r="O181" s="304"/>
      <c r="P181" s="341"/>
      <c r="Q181" s="305"/>
      <c r="R181" s="322" t="s">
        <v>67</v>
      </c>
      <c r="S181" s="326"/>
      <c r="T181" s="327"/>
      <c r="U181" s="327"/>
      <c r="V181" s="327"/>
      <c r="W181" s="327"/>
      <c r="X181" s="327"/>
      <c r="Y181" s="95"/>
      <c r="Z181" s="331"/>
      <c r="AA181" s="303">
        <f t="shared" si="129"/>
        <v>0</v>
      </c>
      <c r="AB181" s="314">
        <f t="shared" si="106"/>
        <v>0</v>
      </c>
      <c r="AC181" s="314"/>
      <c r="AD181" s="314">
        <f t="shared" si="107"/>
        <v>0</v>
      </c>
      <c r="AE181" s="325" t="s">
        <v>148</v>
      </c>
      <c r="AF181" s="15"/>
      <c r="AG181" s="232"/>
      <c r="AH181" s="232"/>
      <c r="AI181" s="232"/>
      <c r="AJ181" s="232"/>
      <c r="AK181" s="232"/>
      <c r="AL181" s="7"/>
      <c r="AM181" s="352"/>
      <c r="AN181" s="22">
        <f t="shared" si="130"/>
        <v>0</v>
      </c>
      <c r="AO181" s="15">
        <f t="shared" si="108"/>
        <v>0</v>
      </c>
      <c r="AP181" s="345"/>
      <c r="AQ181" s="7">
        <f t="shared" si="109"/>
        <v>0</v>
      </c>
      <c r="AR181" s="103"/>
      <c r="AS181" s="101"/>
      <c r="AT181" s="236"/>
      <c r="AU181" s="235"/>
      <c r="AV181" s="92"/>
      <c r="AW181" s="235"/>
      <c r="AX181" s="92"/>
      <c r="AY181" s="235"/>
      <c r="AZ181" s="92"/>
      <c r="BA181" s="17">
        <f t="shared" si="100"/>
        <v>1.8099999999999999E-5</v>
      </c>
      <c r="BB181" s="17">
        <f t="shared" si="101"/>
        <v>0</v>
      </c>
      <c r="BC181" s="17"/>
      <c r="BD181" s="178">
        <v>172</v>
      </c>
      <c r="BE181" s="214">
        <f t="shared" si="110"/>
        <v>2.5599999999999999E-5</v>
      </c>
      <c r="BF181" s="178">
        <f t="shared" si="102"/>
        <v>0</v>
      </c>
      <c r="BG181" s="245">
        <f t="shared" si="103"/>
        <v>1.8099999999999999E-5</v>
      </c>
      <c r="BH181" s="17">
        <f t="shared" si="111"/>
        <v>0</v>
      </c>
      <c r="BI181" s="178">
        <v>172</v>
      </c>
      <c r="BJ181" s="87">
        <f t="shared" si="112"/>
        <v>2.3899999999999998E-5</v>
      </c>
      <c r="BK181" s="215">
        <f t="shared" si="104"/>
        <v>0</v>
      </c>
      <c r="BL181" s="245">
        <f t="shared" si="113"/>
        <v>1.8099999999999999E-5</v>
      </c>
      <c r="BM181" s="17">
        <f t="shared" si="114"/>
        <v>0</v>
      </c>
      <c r="BN181" s="178">
        <v>172</v>
      </c>
      <c r="BO181" s="87">
        <f t="shared" si="115"/>
        <v>2.3899999999999998E-5</v>
      </c>
      <c r="BP181" s="215">
        <f t="shared" si="105"/>
        <v>0</v>
      </c>
      <c r="BR181" s="126"/>
      <c r="BS181" s="126"/>
      <c r="BU181" s="178"/>
      <c r="BV181" s="179" t="str">
        <f t="shared" si="116"/>
        <v/>
      </c>
      <c r="BW181" s="179" t="str">
        <f t="shared" si="117"/>
        <v/>
      </c>
      <c r="BX181" s="179" t="str">
        <f t="shared" si="118"/>
        <v/>
      </c>
      <c r="BY181" s="179" t="str">
        <f t="shared" si="119"/>
        <v/>
      </c>
      <c r="BZ181" s="179" t="str">
        <f t="shared" si="120"/>
        <v/>
      </c>
      <c r="CA181" s="179" t="str">
        <f t="shared" si="121"/>
        <v/>
      </c>
      <c r="CB181" s="179" t="str">
        <f t="shared" si="122"/>
        <v/>
      </c>
      <c r="CC181" s="179" t="str">
        <f t="shared" si="123"/>
        <v/>
      </c>
      <c r="CD181" s="179" t="str">
        <f t="shared" si="124"/>
        <v/>
      </c>
      <c r="CE181" s="179" t="str">
        <f t="shared" si="125"/>
        <v/>
      </c>
      <c r="CF181" s="179" t="str">
        <f t="shared" si="126"/>
        <v/>
      </c>
      <c r="CG181" s="179" t="str">
        <f t="shared" si="127"/>
        <v/>
      </c>
      <c r="CH181" s="166"/>
      <c r="CI181" s="166"/>
      <c r="CJ181" s="166"/>
      <c r="CK181" s="166" t="s">
        <v>150</v>
      </c>
      <c r="CL181" s="166"/>
    </row>
    <row r="182" spans="1:90" ht="14.25" customHeight="1" thickBot="1" x14ac:dyDescent="0.3">
      <c r="A182" s="213">
        <v>172</v>
      </c>
      <c r="B182" s="219"/>
      <c r="C182" s="200"/>
      <c r="D182" s="145"/>
      <c r="E182" s="320" t="s">
        <v>93</v>
      </c>
      <c r="F182" s="209"/>
      <c r="G182" s="313"/>
      <c r="H182" s="313"/>
      <c r="I182" s="313"/>
      <c r="J182" s="313"/>
      <c r="K182" s="313"/>
      <c r="L182" s="313"/>
      <c r="M182" s="339"/>
      <c r="N182" s="233">
        <f t="shared" si="128"/>
        <v>0</v>
      </c>
      <c r="O182" s="306"/>
      <c r="P182" s="342"/>
      <c r="Q182" s="307"/>
      <c r="R182" s="323" t="s">
        <v>67</v>
      </c>
      <c r="S182" s="209"/>
      <c r="T182" s="313"/>
      <c r="U182" s="313"/>
      <c r="V182" s="313"/>
      <c r="W182" s="313"/>
      <c r="X182" s="313"/>
      <c r="Y182" s="125"/>
      <c r="Z182" s="339"/>
      <c r="AA182" s="233">
        <f t="shared" si="129"/>
        <v>0</v>
      </c>
      <c r="AB182" s="314">
        <f t="shared" si="106"/>
        <v>0</v>
      </c>
      <c r="AC182" s="314"/>
      <c r="AD182" s="314">
        <f t="shared" si="107"/>
        <v>0</v>
      </c>
      <c r="AE182" s="323" t="s">
        <v>87</v>
      </c>
      <c r="AF182" s="81"/>
      <c r="AG182" s="335"/>
      <c r="AH182" s="335"/>
      <c r="AI182" s="335"/>
      <c r="AJ182" s="335"/>
      <c r="AK182" s="335"/>
      <c r="AL182" s="336"/>
      <c r="AM182" s="353"/>
      <c r="AN182" s="22">
        <f t="shared" si="130"/>
        <v>0</v>
      </c>
      <c r="AO182" s="209">
        <f t="shared" si="108"/>
        <v>0</v>
      </c>
      <c r="AP182" s="339"/>
      <c r="AQ182" s="125">
        <f t="shared" si="109"/>
        <v>0</v>
      </c>
      <c r="AR182" s="104"/>
      <c r="AS182" s="217"/>
      <c r="AT182" s="216"/>
      <c r="AU182" s="230"/>
      <c r="AV182" s="220"/>
      <c r="AW182" s="230"/>
      <c r="AX182" s="220"/>
      <c r="AY182" s="230"/>
      <c r="AZ182" s="220"/>
      <c r="BA182" s="17">
        <f t="shared" si="100"/>
        <v>1.8199999999999999E-5</v>
      </c>
      <c r="BB182" s="17">
        <f t="shared" si="101"/>
        <v>0</v>
      </c>
      <c r="BC182" s="17"/>
      <c r="BD182" s="178">
        <v>173</v>
      </c>
      <c r="BE182" s="214">
        <f t="shared" si="110"/>
        <v>2.55E-5</v>
      </c>
      <c r="BF182" s="178">
        <f t="shared" si="102"/>
        <v>0</v>
      </c>
      <c r="BG182" s="245">
        <f t="shared" si="103"/>
        <v>1.8199999999999999E-5</v>
      </c>
      <c r="BH182" s="17">
        <f t="shared" si="111"/>
        <v>0</v>
      </c>
      <c r="BI182" s="178">
        <v>173</v>
      </c>
      <c r="BJ182" s="87">
        <f t="shared" si="112"/>
        <v>2.3799999999999999E-5</v>
      </c>
      <c r="BK182" s="215">
        <f t="shared" si="104"/>
        <v>0</v>
      </c>
      <c r="BL182" s="245">
        <f t="shared" si="113"/>
        <v>1.8199999999999999E-5</v>
      </c>
      <c r="BM182" s="17">
        <f t="shared" si="114"/>
        <v>0</v>
      </c>
      <c r="BN182" s="178">
        <v>173</v>
      </c>
      <c r="BO182" s="87">
        <f t="shared" si="115"/>
        <v>2.3799999999999999E-5</v>
      </c>
      <c r="BP182" s="215">
        <f t="shared" si="105"/>
        <v>0</v>
      </c>
      <c r="BR182" s="126"/>
      <c r="BS182" s="126"/>
      <c r="BU182" s="178"/>
      <c r="BV182" s="179" t="str">
        <f t="shared" si="116"/>
        <v/>
      </c>
      <c r="BW182" s="179" t="str">
        <f t="shared" si="117"/>
        <v/>
      </c>
      <c r="BX182" s="179" t="str">
        <f t="shared" si="118"/>
        <v/>
      </c>
      <c r="BY182" s="179" t="str">
        <f t="shared" si="119"/>
        <v/>
      </c>
      <c r="BZ182" s="179" t="str">
        <f t="shared" si="120"/>
        <v/>
      </c>
      <c r="CA182" s="179" t="str">
        <f t="shared" si="121"/>
        <v/>
      </c>
      <c r="CB182" s="179" t="str">
        <f t="shared" si="122"/>
        <v/>
      </c>
      <c r="CC182" s="179" t="str">
        <f t="shared" si="123"/>
        <v/>
      </c>
      <c r="CD182" s="179" t="str">
        <f t="shared" si="124"/>
        <v/>
      </c>
      <c r="CE182" s="179" t="str">
        <f t="shared" si="125"/>
        <v/>
      </c>
      <c r="CF182" s="179" t="str">
        <f t="shared" si="126"/>
        <v/>
      </c>
      <c r="CG182" s="179" t="str">
        <f t="shared" si="127"/>
        <v/>
      </c>
      <c r="CH182" s="166"/>
      <c r="CI182" s="166"/>
      <c r="CJ182" s="166"/>
      <c r="CK182" s="166" t="s">
        <v>150</v>
      </c>
      <c r="CL182" s="166"/>
    </row>
    <row r="183" spans="1:90" ht="14.25" customHeight="1" thickBot="1" x14ac:dyDescent="0.3">
      <c r="A183" s="211">
        <v>173</v>
      </c>
      <c r="B183" s="88"/>
      <c r="C183" s="201"/>
      <c r="D183" s="94"/>
      <c r="E183" s="321" t="s">
        <v>93</v>
      </c>
      <c r="F183" s="96"/>
      <c r="G183" s="100"/>
      <c r="H183" s="100"/>
      <c r="I183" s="100"/>
      <c r="J183" s="100"/>
      <c r="K183" s="100"/>
      <c r="L183" s="100"/>
      <c r="M183" s="210"/>
      <c r="N183" s="234">
        <f t="shared" si="128"/>
        <v>0</v>
      </c>
      <c r="O183" s="308"/>
      <c r="P183" s="343"/>
      <c r="Q183" s="309"/>
      <c r="R183" s="324" t="s">
        <v>67</v>
      </c>
      <c r="S183" s="96"/>
      <c r="T183" s="100"/>
      <c r="U183" s="100"/>
      <c r="V183" s="100"/>
      <c r="W183" s="100"/>
      <c r="X183" s="100"/>
      <c r="Y183" s="97"/>
      <c r="Z183" s="210"/>
      <c r="AA183" s="234">
        <f t="shared" si="129"/>
        <v>0</v>
      </c>
      <c r="AB183" s="314">
        <f t="shared" si="106"/>
        <v>0</v>
      </c>
      <c r="AC183" s="314"/>
      <c r="AD183" s="314">
        <f t="shared" si="107"/>
        <v>0</v>
      </c>
      <c r="AE183" s="324" t="s">
        <v>87</v>
      </c>
      <c r="AF183" s="82"/>
      <c r="AG183" s="337"/>
      <c r="AH183" s="337"/>
      <c r="AI183" s="337"/>
      <c r="AJ183" s="337"/>
      <c r="AK183" s="337"/>
      <c r="AL183" s="338"/>
      <c r="AM183" s="354"/>
      <c r="AN183" s="91">
        <f t="shared" si="130"/>
        <v>0</v>
      </c>
      <c r="AO183" s="96">
        <f t="shared" si="108"/>
        <v>0</v>
      </c>
      <c r="AP183" s="210"/>
      <c r="AQ183" s="97">
        <f t="shared" si="109"/>
        <v>0</v>
      </c>
      <c r="AR183" s="105"/>
      <c r="AS183" s="102"/>
      <c r="AT183" s="237"/>
      <c r="AU183" s="231"/>
      <c r="AV183" s="93"/>
      <c r="AW183" s="231"/>
      <c r="AX183" s="93"/>
      <c r="AY183" s="231"/>
      <c r="AZ183" s="93"/>
      <c r="BA183" s="17">
        <f t="shared" si="100"/>
        <v>1.8299999999999998E-5</v>
      </c>
      <c r="BB183" s="17">
        <f t="shared" si="101"/>
        <v>0</v>
      </c>
      <c r="BC183" s="17"/>
      <c r="BD183" s="178">
        <v>174</v>
      </c>
      <c r="BE183" s="214">
        <f t="shared" si="110"/>
        <v>2.5399999999999997E-5</v>
      </c>
      <c r="BF183" s="178">
        <f t="shared" si="102"/>
        <v>0</v>
      </c>
      <c r="BG183" s="245">
        <f t="shared" si="103"/>
        <v>1.8299999999999998E-5</v>
      </c>
      <c r="BH183" s="17">
        <f t="shared" si="111"/>
        <v>0</v>
      </c>
      <c r="BI183" s="178">
        <v>174</v>
      </c>
      <c r="BJ183" s="87">
        <f t="shared" si="112"/>
        <v>2.37E-5</v>
      </c>
      <c r="BK183" s="215">
        <f t="shared" si="104"/>
        <v>0</v>
      </c>
      <c r="BL183" s="245">
        <f t="shared" si="113"/>
        <v>1.8299999999999998E-5</v>
      </c>
      <c r="BM183" s="17">
        <f t="shared" si="114"/>
        <v>0</v>
      </c>
      <c r="BN183" s="178">
        <v>174</v>
      </c>
      <c r="BO183" s="87">
        <f t="shared" si="115"/>
        <v>2.37E-5</v>
      </c>
      <c r="BP183" s="215">
        <f t="shared" si="105"/>
        <v>0</v>
      </c>
      <c r="BR183" s="126"/>
      <c r="BS183" s="126"/>
      <c r="BU183" s="178"/>
      <c r="BV183" s="179" t="str">
        <f t="shared" si="116"/>
        <v/>
      </c>
      <c r="BW183" s="179" t="str">
        <f t="shared" si="117"/>
        <v/>
      </c>
      <c r="BX183" s="179" t="str">
        <f t="shared" si="118"/>
        <v/>
      </c>
      <c r="BY183" s="179" t="str">
        <f t="shared" si="119"/>
        <v/>
      </c>
      <c r="BZ183" s="179" t="str">
        <f t="shared" si="120"/>
        <v/>
      </c>
      <c r="CA183" s="179" t="str">
        <f t="shared" si="121"/>
        <v/>
      </c>
      <c r="CB183" s="179" t="str">
        <f t="shared" si="122"/>
        <v/>
      </c>
      <c r="CC183" s="179" t="str">
        <f t="shared" si="123"/>
        <v/>
      </c>
      <c r="CD183" s="179" t="str">
        <f t="shared" si="124"/>
        <v/>
      </c>
      <c r="CE183" s="179" t="str">
        <f t="shared" si="125"/>
        <v/>
      </c>
      <c r="CF183" s="179" t="str">
        <f t="shared" si="126"/>
        <v/>
      </c>
      <c r="CG183" s="179" t="str">
        <f t="shared" si="127"/>
        <v/>
      </c>
      <c r="CH183" s="166"/>
      <c r="CI183" s="166"/>
      <c r="CJ183" s="166"/>
      <c r="CK183" s="166" t="s">
        <v>150</v>
      </c>
      <c r="CL183" s="166"/>
    </row>
    <row r="184" spans="1:90" ht="14.25" customHeight="1" thickBot="1" x14ac:dyDescent="0.3">
      <c r="A184" s="213">
        <v>174</v>
      </c>
      <c r="B184" s="89"/>
      <c r="C184" s="199"/>
      <c r="D184" s="146"/>
      <c r="E184" s="319" t="s">
        <v>93</v>
      </c>
      <c r="F184" s="221"/>
      <c r="G184" s="222"/>
      <c r="H184" s="222"/>
      <c r="I184" s="222"/>
      <c r="J184" s="222"/>
      <c r="K184" s="222"/>
      <c r="L184" s="222"/>
      <c r="M184" s="331"/>
      <c r="N184" s="303">
        <f t="shared" si="128"/>
        <v>0</v>
      </c>
      <c r="O184" s="304"/>
      <c r="P184" s="341"/>
      <c r="Q184" s="305"/>
      <c r="R184" s="322" t="s">
        <v>67</v>
      </c>
      <c r="S184" s="326"/>
      <c r="T184" s="327"/>
      <c r="U184" s="327"/>
      <c r="V184" s="327"/>
      <c r="W184" s="327"/>
      <c r="X184" s="327"/>
      <c r="Y184" s="95"/>
      <c r="Z184" s="331"/>
      <c r="AA184" s="303">
        <f t="shared" si="129"/>
        <v>0</v>
      </c>
      <c r="AB184" s="314">
        <f t="shared" si="106"/>
        <v>0</v>
      </c>
      <c r="AC184" s="314"/>
      <c r="AD184" s="314">
        <f t="shared" si="107"/>
        <v>0</v>
      </c>
      <c r="AE184" s="325" t="s">
        <v>148</v>
      </c>
      <c r="AF184" s="15"/>
      <c r="AG184" s="232"/>
      <c r="AH184" s="232"/>
      <c r="AI184" s="232"/>
      <c r="AJ184" s="232"/>
      <c r="AK184" s="232"/>
      <c r="AL184" s="7"/>
      <c r="AM184" s="352"/>
      <c r="AN184" s="22">
        <f t="shared" si="130"/>
        <v>0</v>
      </c>
      <c r="AO184" s="15">
        <f t="shared" si="108"/>
        <v>0</v>
      </c>
      <c r="AP184" s="345"/>
      <c r="AQ184" s="7">
        <f t="shared" si="109"/>
        <v>0</v>
      </c>
      <c r="AR184" s="103"/>
      <c r="AS184" s="101"/>
      <c r="AT184" s="236"/>
      <c r="AU184" s="235"/>
      <c r="AV184" s="92"/>
      <c r="AW184" s="235"/>
      <c r="AX184" s="92"/>
      <c r="AY184" s="235"/>
      <c r="AZ184" s="92"/>
      <c r="BA184" s="17">
        <f t="shared" si="100"/>
        <v>1.84E-5</v>
      </c>
      <c r="BB184" s="17">
        <f t="shared" si="101"/>
        <v>0</v>
      </c>
      <c r="BC184" s="17"/>
      <c r="BD184" s="178">
        <v>175</v>
      </c>
      <c r="BE184" s="214">
        <f t="shared" si="110"/>
        <v>2.5299999999999998E-5</v>
      </c>
      <c r="BF184" s="178">
        <f t="shared" si="102"/>
        <v>0</v>
      </c>
      <c r="BG184" s="245">
        <f t="shared" si="103"/>
        <v>1.84E-5</v>
      </c>
      <c r="BH184" s="17">
        <f t="shared" si="111"/>
        <v>0</v>
      </c>
      <c r="BI184" s="178">
        <v>175</v>
      </c>
      <c r="BJ184" s="87">
        <f t="shared" si="112"/>
        <v>2.3599999999999998E-5</v>
      </c>
      <c r="BK184" s="215">
        <f t="shared" si="104"/>
        <v>0</v>
      </c>
      <c r="BL184" s="245">
        <f t="shared" si="113"/>
        <v>1.84E-5</v>
      </c>
      <c r="BM184" s="17">
        <f t="shared" si="114"/>
        <v>0</v>
      </c>
      <c r="BN184" s="178">
        <v>175</v>
      </c>
      <c r="BO184" s="87">
        <f t="shared" si="115"/>
        <v>2.3599999999999998E-5</v>
      </c>
      <c r="BP184" s="215">
        <f t="shared" si="105"/>
        <v>0</v>
      </c>
      <c r="BR184" s="126"/>
      <c r="BS184" s="126"/>
      <c r="BU184" s="178"/>
      <c r="BV184" s="179" t="str">
        <f t="shared" si="116"/>
        <v/>
      </c>
      <c r="BW184" s="179" t="str">
        <f t="shared" si="117"/>
        <v/>
      </c>
      <c r="BX184" s="179" t="str">
        <f t="shared" si="118"/>
        <v/>
      </c>
      <c r="BY184" s="179" t="str">
        <f t="shared" si="119"/>
        <v/>
      </c>
      <c r="BZ184" s="179" t="str">
        <f t="shared" si="120"/>
        <v/>
      </c>
      <c r="CA184" s="179" t="str">
        <f t="shared" si="121"/>
        <v/>
      </c>
      <c r="CB184" s="179" t="str">
        <f t="shared" si="122"/>
        <v/>
      </c>
      <c r="CC184" s="179" t="str">
        <f t="shared" si="123"/>
        <v/>
      </c>
      <c r="CD184" s="179" t="str">
        <f t="shared" si="124"/>
        <v/>
      </c>
      <c r="CE184" s="179" t="str">
        <f t="shared" si="125"/>
        <v/>
      </c>
      <c r="CF184" s="179" t="str">
        <f t="shared" si="126"/>
        <v/>
      </c>
      <c r="CG184" s="179" t="str">
        <f t="shared" si="127"/>
        <v/>
      </c>
      <c r="CH184" s="166"/>
      <c r="CI184" s="166"/>
      <c r="CJ184" s="166"/>
      <c r="CK184" s="166" t="s">
        <v>150</v>
      </c>
      <c r="CL184" s="166"/>
    </row>
    <row r="185" spans="1:90" ht="14.25" customHeight="1" x14ac:dyDescent="0.25">
      <c r="A185" s="211">
        <v>175</v>
      </c>
      <c r="B185" s="219"/>
      <c r="C185" s="200"/>
      <c r="D185" s="145"/>
      <c r="E185" s="320" t="s">
        <v>93</v>
      </c>
      <c r="F185" s="209"/>
      <c r="G185" s="313"/>
      <c r="H185" s="313"/>
      <c r="I185" s="313"/>
      <c r="J185" s="313"/>
      <c r="K185" s="313"/>
      <c r="L185" s="313"/>
      <c r="M185" s="339"/>
      <c r="N185" s="233">
        <f t="shared" si="128"/>
        <v>0</v>
      </c>
      <c r="O185" s="306"/>
      <c r="P185" s="342"/>
      <c r="Q185" s="307"/>
      <c r="R185" s="323" t="s">
        <v>67</v>
      </c>
      <c r="S185" s="209"/>
      <c r="T185" s="313"/>
      <c r="U185" s="313"/>
      <c r="V185" s="313"/>
      <c r="W185" s="313"/>
      <c r="X185" s="313"/>
      <c r="Y185" s="125"/>
      <c r="Z185" s="339"/>
      <c r="AA185" s="233">
        <f t="shared" si="129"/>
        <v>0</v>
      </c>
      <c r="AB185" s="314">
        <f t="shared" si="106"/>
        <v>0</v>
      </c>
      <c r="AC185" s="314"/>
      <c r="AD185" s="314">
        <f t="shared" si="107"/>
        <v>0</v>
      </c>
      <c r="AE185" s="323" t="s">
        <v>87</v>
      </c>
      <c r="AF185" s="81"/>
      <c r="AG185" s="335"/>
      <c r="AH185" s="335"/>
      <c r="AI185" s="335"/>
      <c r="AJ185" s="335"/>
      <c r="AK185" s="335"/>
      <c r="AL185" s="336"/>
      <c r="AM185" s="353"/>
      <c r="AN185" s="22">
        <f t="shared" si="130"/>
        <v>0</v>
      </c>
      <c r="AO185" s="209">
        <f t="shared" si="108"/>
        <v>0</v>
      </c>
      <c r="AP185" s="339"/>
      <c r="AQ185" s="125">
        <f t="shared" si="109"/>
        <v>0</v>
      </c>
      <c r="AR185" s="104"/>
      <c r="AS185" s="217"/>
      <c r="AT185" s="216"/>
      <c r="AU185" s="230"/>
      <c r="AV185" s="220"/>
      <c r="AW185" s="230"/>
      <c r="AX185" s="220"/>
      <c r="AY185" s="230"/>
      <c r="AZ185" s="220"/>
      <c r="BA185" s="17">
        <f t="shared" si="100"/>
        <v>1.8499999999999999E-5</v>
      </c>
      <c r="BB185" s="17">
        <f t="shared" si="101"/>
        <v>0</v>
      </c>
      <c r="BC185" s="17"/>
      <c r="BD185" s="178">
        <v>176</v>
      </c>
      <c r="BE185" s="214">
        <f t="shared" si="110"/>
        <v>2.5199999999999999E-5</v>
      </c>
      <c r="BF185" s="178">
        <f t="shared" si="102"/>
        <v>0</v>
      </c>
      <c r="BG185" s="245">
        <f t="shared" si="103"/>
        <v>1.8499999999999999E-5</v>
      </c>
      <c r="BH185" s="17">
        <f t="shared" si="111"/>
        <v>0</v>
      </c>
      <c r="BI185" s="178">
        <v>176</v>
      </c>
      <c r="BJ185" s="87">
        <f t="shared" si="112"/>
        <v>2.3499999999999999E-5</v>
      </c>
      <c r="BK185" s="215">
        <f t="shared" si="104"/>
        <v>0</v>
      </c>
      <c r="BL185" s="245">
        <f t="shared" si="113"/>
        <v>1.8499999999999999E-5</v>
      </c>
      <c r="BM185" s="17">
        <f t="shared" si="114"/>
        <v>0</v>
      </c>
      <c r="BN185" s="178">
        <v>176</v>
      </c>
      <c r="BO185" s="87">
        <f t="shared" si="115"/>
        <v>2.3499999999999999E-5</v>
      </c>
      <c r="BP185" s="215">
        <f t="shared" si="105"/>
        <v>0</v>
      </c>
      <c r="BR185" s="126"/>
      <c r="BS185" s="126"/>
      <c r="BU185" s="178"/>
      <c r="BV185" s="179" t="str">
        <f t="shared" si="116"/>
        <v/>
      </c>
      <c r="BW185" s="179" t="str">
        <f t="shared" si="117"/>
        <v/>
      </c>
      <c r="BX185" s="179" t="str">
        <f t="shared" si="118"/>
        <v/>
      </c>
      <c r="BY185" s="179" t="str">
        <f t="shared" si="119"/>
        <v/>
      </c>
      <c r="BZ185" s="179" t="str">
        <f t="shared" si="120"/>
        <v/>
      </c>
      <c r="CA185" s="179" t="str">
        <f t="shared" si="121"/>
        <v/>
      </c>
      <c r="CB185" s="179" t="str">
        <f t="shared" si="122"/>
        <v/>
      </c>
      <c r="CC185" s="179" t="str">
        <f t="shared" si="123"/>
        <v/>
      </c>
      <c r="CD185" s="179" t="str">
        <f t="shared" si="124"/>
        <v/>
      </c>
      <c r="CE185" s="179" t="str">
        <f t="shared" si="125"/>
        <v/>
      </c>
      <c r="CF185" s="179" t="str">
        <f t="shared" si="126"/>
        <v/>
      </c>
      <c r="CG185" s="179" t="str">
        <f t="shared" si="127"/>
        <v/>
      </c>
      <c r="CH185" s="166"/>
      <c r="CI185" s="166"/>
      <c r="CJ185" s="166"/>
      <c r="CK185" s="166" t="s">
        <v>150</v>
      </c>
      <c r="CL185" s="166"/>
    </row>
    <row r="186" spans="1:90" ht="14.25" customHeight="1" thickBot="1" x14ac:dyDescent="0.3">
      <c r="A186" s="213">
        <v>176</v>
      </c>
      <c r="B186" s="88"/>
      <c r="C186" s="201"/>
      <c r="D186" s="94"/>
      <c r="E186" s="321" t="s">
        <v>93</v>
      </c>
      <c r="F186" s="96"/>
      <c r="G186" s="100"/>
      <c r="H186" s="100"/>
      <c r="I186" s="100"/>
      <c r="J186" s="100"/>
      <c r="K186" s="100"/>
      <c r="L186" s="100"/>
      <c r="M186" s="210"/>
      <c r="N186" s="234">
        <f t="shared" si="128"/>
        <v>0</v>
      </c>
      <c r="O186" s="308"/>
      <c r="P186" s="343"/>
      <c r="Q186" s="309"/>
      <c r="R186" s="324" t="s">
        <v>67</v>
      </c>
      <c r="S186" s="96"/>
      <c r="T186" s="100"/>
      <c r="U186" s="100"/>
      <c r="V186" s="100"/>
      <c r="W186" s="100"/>
      <c r="X186" s="100"/>
      <c r="Y186" s="97"/>
      <c r="Z186" s="210"/>
      <c r="AA186" s="234">
        <f t="shared" si="129"/>
        <v>0</v>
      </c>
      <c r="AB186" s="314">
        <f t="shared" si="106"/>
        <v>0</v>
      </c>
      <c r="AC186" s="314"/>
      <c r="AD186" s="314">
        <f t="shared" si="107"/>
        <v>0</v>
      </c>
      <c r="AE186" s="324" t="s">
        <v>87</v>
      </c>
      <c r="AF186" s="82"/>
      <c r="AG186" s="337"/>
      <c r="AH186" s="337"/>
      <c r="AI186" s="337"/>
      <c r="AJ186" s="337"/>
      <c r="AK186" s="337"/>
      <c r="AL186" s="338"/>
      <c r="AM186" s="354"/>
      <c r="AN186" s="91">
        <f t="shared" si="130"/>
        <v>0</v>
      </c>
      <c r="AO186" s="96">
        <f t="shared" si="108"/>
        <v>0</v>
      </c>
      <c r="AP186" s="210"/>
      <c r="AQ186" s="97">
        <f t="shared" si="109"/>
        <v>0</v>
      </c>
      <c r="AR186" s="105"/>
      <c r="AS186" s="102"/>
      <c r="AT186" s="237"/>
      <c r="AU186" s="231"/>
      <c r="AV186" s="93"/>
      <c r="AW186" s="231"/>
      <c r="AX186" s="93"/>
      <c r="AY186" s="231"/>
      <c r="AZ186" s="93"/>
      <c r="BA186" s="17">
        <f t="shared" si="100"/>
        <v>1.8599999999999998E-5</v>
      </c>
      <c r="BB186" s="17">
        <f t="shared" si="101"/>
        <v>0</v>
      </c>
      <c r="BC186" s="17"/>
      <c r="BD186" s="178">
        <v>177</v>
      </c>
      <c r="BE186" s="214">
        <f t="shared" si="110"/>
        <v>2.51E-5</v>
      </c>
      <c r="BF186" s="178">
        <f t="shared" si="102"/>
        <v>0</v>
      </c>
      <c r="BG186" s="245">
        <f t="shared" si="103"/>
        <v>1.8599999999999998E-5</v>
      </c>
      <c r="BH186" s="17">
        <f t="shared" si="111"/>
        <v>0</v>
      </c>
      <c r="BI186" s="178">
        <v>177</v>
      </c>
      <c r="BJ186" s="87">
        <f t="shared" si="112"/>
        <v>2.34E-5</v>
      </c>
      <c r="BK186" s="215">
        <f t="shared" si="104"/>
        <v>0</v>
      </c>
      <c r="BL186" s="245">
        <f t="shared" si="113"/>
        <v>1.8599999999999998E-5</v>
      </c>
      <c r="BM186" s="17">
        <f t="shared" si="114"/>
        <v>0</v>
      </c>
      <c r="BN186" s="178">
        <v>177</v>
      </c>
      <c r="BO186" s="87">
        <f t="shared" si="115"/>
        <v>2.34E-5</v>
      </c>
      <c r="BP186" s="215">
        <f t="shared" si="105"/>
        <v>0</v>
      </c>
      <c r="BR186" s="126"/>
      <c r="BS186" s="126"/>
      <c r="BU186" s="178"/>
      <c r="BV186" s="179" t="str">
        <f t="shared" si="116"/>
        <v/>
      </c>
      <c r="BW186" s="179" t="str">
        <f t="shared" si="117"/>
        <v/>
      </c>
      <c r="BX186" s="179" t="str">
        <f t="shared" si="118"/>
        <v/>
      </c>
      <c r="BY186" s="179" t="str">
        <f t="shared" si="119"/>
        <v/>
      </c>
      <c r="BZ186" s="179" t="str">
        <f t="shared" si="120"/>
        <v/>
      </c>
      <c r="CA186" s="179" t="str">
        <f t="shared" si="121"/>
        <v/>
      </c>
      <c r="CB186" s="179" t="str">
        <f t="shared" si="122"/>
        <v/>
      </c>
      <c r="CC186" s="179" t="str">
        <f t="shared" si="123"/>
        <v/>
      </c>
      <c r="CD186" s="179" t="str">
        <f t="shared" si="124"/>
        <v/>
      </c>
      <c r="CE186" s="179" t="str">
        <f t="shared" si="125"/>
        <v/>
      </c>
      <c r="CF186" s="179" t="str">
        <f t="shared" si="126"/>
        <v/>
      </c>
      <c r="CG186" s="179" t="str">
        <f t="shared" si="127"/>
        <v/>
      </c>
      <c r="CH186" s="166"/>
      <c r="CI186" s="166"/>
      <c r="CJ186" s="166"/>
      <c r="CK186" s="166" t="s">
        <v>150</v>
      </c>
      <c r="CL186" s="166"/>
    </row>
    <row r="187" spans="1:90" ht="14.25" customHeight="1" x14ac:dyDescent="0.25">
      <c r="A187" s="211">
        <v>177</v>
      </c>
      <c r="B187" s="89"/>
      <c r="C187" s="199"/>
      <c r="D187" s="146"/>
      <c r="E187" s="319" t="s">
        <v>93</v>
      </c>
      <c r="F187" s="221"/>
      <c r="G187" s="222"/>
      <c r="H187" s="222"/>
      <c r="I187" s="222"/>
      <c r="J187" s="222"/>
      <c r="K187" s="222"/>
      <c r="L187" s="222"/>
      <c r="M187" s="331"/>
      <c r="N187" s="303">
        <f t="shared" si="128"/>
        <v>0</v>
      </c>
      <c r="O187" s="304"/>
      <c r="P187" s="341"/>
      <c r="Q187" s="305"/>
      <c r="R187" s="322" t="s">
        <v>67</v>
      </c>
      <c r="S187" s="326"/>
      <c r="T187" s="327"/>
      <c r="U187" s="327"/>
      <c r="V187" s="327"/>
      <c r="W187" s="327"/>
      <c r="X187" s="327"/>
      <c r="Y187" s="95"/>
      <c r="Z187" s="331"/>
      <c r="AA187" s="303">
        <f t="shared" si="129"/>
        <v>0</v>
      </c>
      <c r="AB187" s="314">
        <f t="shared" si="106"/>
        <v>0</v>
      </c>
      <c r="AC187" s="314"/>
      <c r="AD187" s="314">
        <f t="shared" si="107"/>
        <v>0</v>
      </c>
      <c r="AE187" s="325" t="s">
        <v>148</v>
      </c>
      <c r="AF187" s="15"/>
      <c r="AG187" s="232"/>
      <c r="AH187" s="232"/>
      <c r="AI187" s="232"/>
      <c r="AJ187" s="232"/>
      <c r="AK187" s="232"/>
      <c r="AL187" s="7"/>
      <c r="AM187" s="352"/>
      <c r="AN187" s="22">
        <f t="shared" si="130"/>
        <v>0</v>
      </c>
      <c r="AO187" s="15">
        <f t="shared" si="108"/>
        <v>0</v>
      </c>
      <c r="AP187" s="345"/>
      <c r="AQ187" s="7">
        <f t="shared" si="109"/>
        <v>0</v>
      </c>
      <c r="AR187" s="103"/>
      <c r="AS187" s="101"/>
      <c r="AT187" s="236"/>
      <c r="AU187" s="235"/>
      <c r="AV187" s="92"/>
      <c r="AW187" s="235"/>
      <c r="AX187" s="92"/>
      <c r="AY187" s="235"/>
      <c r="AZ187" s="92"/>
      <c r="BA187" s="17">
        <f t="shared" si="100"/>
        <v>1.8700000000000001E-5</v>
      </c>
      <c r="BB187" s="17">
        <f t="shared" si="101"/>
        <v>0</v>
      </c>
      <c r="BC187" s="17"/>
      <c r="BD187" s="178">
        <v>178</v>
      </c>
      <c r="BE187" s="214">
        <f t="shared" si="110"/>
        <v>2.4999999999999998E-5</v>
      </c>
      <c r="BF187" s="178">
        <f t="shared" si="102"/>
        <v>0</v>
      </c>
      <c r="BG187" s="245">
        <f t="shared" si="103"/>
        <v>1.8700000000000001E-5</v>
      </c>
      <c r="BH187" s="17">
        <f t="shared" si="111"/>
        <v>0</v>
      </c>
      <c r="BI187" s="178">
        <v>178</v>
      </c>
      <c r="BJ187" s="87">
        <f t="shared" si="112"/>
        <v>2.3300000000000001E-5</v>
      </c>
      <c r="BK187" s="215">
        <f t="shared" si="104"/>
        <v>0</v>
      </c>
      <c r="BL187" s="245">
        <f t="shared" si="113"/>
        <v>1.8700000000000001E-5</v>
      </c>
      <c r="BM187" s="17">
        <f t="shared" si="114"/>
        <v>0</v>
      </c>
      <c r="BN187" s="178">
        <v>178</v>
      </c>
      <c r="BO187" s="87">
        <f t="shared" si="115"/>
        <v>2.3300000000000001E-5</v>
      </c>
      <c r="BP187" s="215">
        <f t="shared" si="105"/>
        <v>0</v>
      </c>
      <c r="BR187" s="126"/>
      <c r="BS187" s="126"/>
      <c r="BU187" s="178"/>
      <c r="BV187" s="179" t="str">
        <f t="shared" si="116"/>
        <v/>
      </c>
      <c r="BW187" s="179" t="str">
        <f t="shared" si="117"/>
        <v/>
      </c>
      <c r="BX187" s="179" t="str">
        <f t="shared" si="118"/>
        <v/>
      </c>
      <c r="BY187" s="179" t="str">
        <f t="shared" si="119"/>
        <v/>
      </c>
      <c r="BZ187" s="179" t="str">
        <f t="shared" si="120"/>
        <v/>
      </c>
      <c r="CA187" s="179" t="str">
        <f t="shared" si="121"/>
        <v/>
      </c>
      <c r="CB187" s="179" t="str">
        <f t="shared" si="122"/>
        <v/>
      </c>
      <c r="CC187" s="179" t="str">
        <f t="shared" si="123"/>
        <v/>
      </c>
      <c r="CD187" s="179" t="str">
        <f t="shared" si="124"/>
        <v/>
      </c>
      <c r="CE187" s="179" t="str">
        <f t="shared" si="125"/>
        <v/>
      </c>
      <c r="CF187" s="179" t="str">
        <f t="shared" si="126"/>
        <v/>
      </c>
      <c r="CG187" s="179" t="str">
        <f t="shared" si="127"/>
        <v/>
      </c>
      <c r="CH187" s="166"/>
      <c r="CI187" s="166"/>
      <c r="CJ187" s="166"/>
      <c r="CK187" s="166" t="s">
        <v>150</v>
      </c>
      <c r="CL187" s="166"/>
    </row>
    <row r="188" spans="1:90" ht="14.25" customHeight="1" thickBot="1" x14ac:dyDescent="0.3">
      <c r="A188" s="213">
        <v>178</v>
      </c>
      <c r="B188" s="219"/>
      <c r="C188" s="200"/>
      <c r="D188" s="145"/>
      <c r="E188" s="320" t="s">
        <v>93</v>
      </c>
      <c r="F188" s="209"/>
      <c r="G188" s="313"/>
      <c r="H188" s="313"/>
      <c r="I188" s="313"/>
      <c r="J188" s="313"/>
      <c r="K188" s="313"/>
      <c r="L188" s="313"/>
      <c r="M188" s="339"/>
      <c r="N188" s="233">
        <f t="shared" si="128"/>
        <v>0</v>
      </c>
      <c r="O188" s="306"/>
      <c r="P188" s="342"/>
      <c r="Q188" s="307"/>
      <c r="R188" s="323" t="s">
        <v>67</v>
      </c>
      <c r="S188" s="209"/>
      <c r="T188" s="313"/>
      <c r="U188" s="313"/>
      <c r="V188" s="313"/>
      <c r="W188" s="313"/>
      <c r="X188" s="313"/>
      <c r="Y188" s="125"/>
      <c r="Z188" s="339"/>
      <c r="AA188" s="233">
        <f t="shared" si="129"/>
        <v>0</v>
      </c>
      <c r="AB188" s="314">
        <f t="shared" si="106"/>
        <v>0</v>
      </c>
      <c r="AC188" s="314"/>
      <c r="AD188" s="314">
        <f t="shared" si="107"/>
        <v>0</v>
      </c>
      <c r="AE188" s="323" t="s">
        <v>87</v>
      </c>
      <c r="AF188" s="81"/>
      <c r="AG188" s="335"/>
      <c r="AH188" s="335"/>
      <c r="AI188" s="335"/>
      <c r="AJ188" s="335"/>
      <c r="AK188" s="335"/>
      <c r="AL188" s="336"/>
      <c r="AM188" s="353"/>
      <c r="AN188" s="22">
        <f t="shared" si="130"/>
        <v>0</v>
      </c>
      <c r="AO188" s="209">
        <f t="shared" si="108"/>
        <v>0</v>
      </c>
      <c r="AP188" s="339"/>
      <c r="AQ188" s="125">
        <f t="shared" si="109"/>
        <v>0</v>
      </c>
      <c r="AR188" s="104"/>
      <c r="AS188" s="217"/>
      <c r="AT188" s="216"/>
      <c r="AU188" s="230"/>
      <c r="AV188" s="220"/>
      <c r="AW188" s="230"/>
      <c r="AX188" s="220"/>
      <c r="AY188" s="230"/>
      <c r="AZ188" s="220"/>
      <c r="BA188" s="17">
        <f t="shared" si="100"/>
        <v>1.88E-5</v>
      </c>
      <c r="BB188" s="17">
        <f t="shared" si="101"/>
        <v>0</v>
      </c>
      <c r="BC188" s="17"/>
      <c r="BD188" s="178">
        <v>179</v>
      </c>
      <c r="BE188" s="214">
        <f t="shared" si="110"/>
        <v>2.4899999999999999E-5</v>
      </c>
      <c r="BF188" s="178">
        <f t="shared" si="102"/>
        <v>0</v>
      </c>
      <c r="BG188" s="245">
        <f t="shared" si="103"/>
        <v>1.88E-5</v>
      </c>
      <c r="BH188" s="17">
        <f t="shared" si="111"/>
        <v>0</v>
      </c>
      <c r="BI188" s="178">
        <v>179</v>
      </c>
      <c r="BJ188" s="87">
        <f t="shared" si="112"/>
        <v>2.3199999999999998E-5</v>
      </c>
      <c r="BK188" s="215">
        <f t="shared" si="104"/>
        <v>0</v>
      </c>
      <c r="BL188" s="245">
        <f t="shared" si="113"/>
        <v>1.88E-5</v>
      </c>
      <c r="BM188" s="17">
        <f t="shared" si="114"/>
        <v>0</v>
      </c>
      <c r="BN188" s="178">
        <v>179</v>
      </c>
      <c r="BO188" s="87">
        <f t="shared" si="115"/>
        <v>2.3199999999999998E-5</v>
      </c>
      <c r="BP188" s="215">
        <f t="shared" si="105"/>
        <v>0</v>
      </c>
      <c r="BR188" s="126"/>
      <c r="BS188" s="126"/>
      <c r="BU188" s="178"/>
      <c r="BV188" s="179" t="str">
        <f t="shared" si="116"/>
        <v/>
      </c>
      <c r="BW188" s="179" t="str">
        <f t="shared" si="117"/>
        <v/>
      </c>
      <c r="BX188" s="179" t="str">
        <f t="shared" si="118"/>
        <v/>
      </c>
      <c r="BY188" s="179" t="str">
        <f t="shared" si="119"/>
        <v/>
      </c>
      <c r="BZ188" s="179" t="str">
        <f t="shared" si="120"/>
        <v/>
      </c>
      <c r="CA188" s="179" t="str">
        <f t="shared" si="121"/>
        <v/>
      </c>
      <c r="CB188" s="179" t="str">
        <f t="shared" si="122"/>
        <v/>
      </c>
      <c r="CC188" s="179" t="str">
        <f t="shared" si="123"/>
        <v/>
      </c>
      <c r="CD188" s="179" t="str">
        <f t="shared" si="124"/>
        <v/>
      </c>
      <c r="CE188" s="179" t="str">
        <f t="shared" si="125"/>
        <v/>
      </c>
      <c r="CF188" s="179" t="str">
        <f t="shared" si="126"/>
        <v/>
      </c>
      <c r="CG188" s="179" t="str">
        <f t="shared" si="127"/>
        <v/>
      </c>
      <c r="CH188" s="166"/>
      <c r="CI188" s="166"/>
      <c r="CJ188" s="166"/>
      <c r="CK188" s="166" t="s">
        <v>150</v>
      </c>
      <c r="CL188" s="166"/>
    </row>
    <row r="189" spans="1:90" ht="14.25" customHeight="1" thickBot="1" x14ac:dyDescent="0.3">
      <c r="A189" s="211">
        <v>179</v>
      </c>
      <c r="B189" s="88"/>
      <c r="C189" s="201"/>
      <c r="D189" s="94"/>
      <c r="E189" s="321" t="s">
        <v>93</v>
      </c>
      <c r="F189" s="96"/>
      <c r="G189" s="100"/>
      <c r="H189" s="100"/>
      <c r="I189" s="100"/>
      <c r="J189" s="100"/>
      <c r="K189" s="100"/>
      <c r="L189" s="100"/>
      <c r="M189" s="210"/>
      <c r="N189" s="234">
        <f t="shared" si="128"/>
        <v>0</v>
      </c>
      <c r="O189" s="308"/>
      <c r="P189" s="343"/>
      <c r="Q189" s="309"/>
      <c r="R189" s="324" t="s">
        <v>67</v>
      </c>
      <c r="S189" s="96"/>
      <c r="T189" s="100"/>
      <c r="U189" s="100"/>
      <c r="V189" s="100"/>
      <c r="W189" s="100"/>
      <c r="X189" s="100"/>
      <c r="Y189" s="97"/>
      <c r="Z189" s="210"/>
      <c r="AA189" s="234">
        <f t="shared" si="129"/>
        <v>0</v>
      </c>
      <c r="AB189" s="314">
        <f t="shared" si="106"/>
        <v>0</v>
      </c>
      <c r="AC189" s="314"/>
      <c r="AD189" s="314">
        <f t="shared" si="107"/>
        <v>0</v>
      </c>
      <c r="AE189" s="324" t="s">
        <v>87</v>
      </c>
      <c r="AF189" s="82"/>
      <c r="AG189" s="337"/>
      <c r="AH189" s="337"/>
      <c r="AI189" s="337"/>
      <c r="AJ189" s="337"/>
      <c r="AK189" s="337"/>
      <c r="AL189" s="338"/>
      <c r="AM189" s="354"/>
      <c r="AN189" s="91">
        <f t="shared" si="130"/>
        <v>0</v>
      </c>
      <c r="AO189" s="96">
        <f t="shared" si="108"/>
        <v>0</v>
      </c>
      <c r="AP189" s="210"/>
      <c r="AQ189" s="97">
        <f t="shared" si="109"/>
        <v>0</v>
      </c>
      <c r="AR189" s="105"/>
      <c r="AS189" s="102"/>
      <c r="AT189" s="237"/>
      <c r="AU189" s="231"/>
      <c r="AV189" s="93"/>
      <c r="AW189" s="231"/>
      <c r="AX189" s="93"/>
      <c r="AY189" s="231"/>
      <c r="AZ189" s="93"/>
      <c r="BA189" s="17">
        <f t="shared" si="100"/>
        <v>1.8899999999999999E-5</v>
      </c>
      <c r="BB189" s="17">
        <f t="shared" si="101"/>
        <v>0</v>
      </c>
      <c r="BC189" s="17"/>
      <c r="BD189" s="178">
        <v>180</v>
      </c>
      <c r="BE189" s="214">
        <f t="shared" si="110"/>
        <v>2.48E-5</v>
      </c>
      <c r="BF189" s="178">
        <f t="shared" si="102"/>
        <v>0</v>
      </c>
      <c r="BG189" s="245">
        <f t="shared" si="103"/>
        <v>1.8899999999999999E-5</v>
      </c>
      <c r="BH189" s="17">
        <f t="shared" si="111"/>
        <v>0</v>
      </c>
      <c r="BI189" s="178">
        <v>180</v>
      </c>
      <c r="BJ189" s="87">
        <f t="shared" si="112"/>
        <v>2.3099999999999999E-5</v>
      </c>
      <c r="BK189" s="215">
        <f t="shared" si="104"/>
        <v>0</v>
      </c>
      <c r="BL189" s="245">
        <f t="shared" si="113"/>
        <v>1.8899999999999999E-5</v>
      </c>
      <c r="BM189" s="17">
        <f t="shared" si="114"/>
        <v>0</v>
      </c>
      <c r="BN189" s="178">
        <v>180</v>
      </c>
      <c r="BO189" s="87">
        <f t="shared" si="115"/>
        <v>2.3099999999999999E-5</v>
      </c>
      <c r="BP189" s="215">
        <f t="shared" si="105"/>
        <v>0</v>
      </c>
      <c r="BR189" s="126"/>
      <c r="BS189" s="126"/>
      <c r="BU189" s="178"/>
      <c r="BV189" s="179" t="str">
        <f t="shared" si="116"/>
        <v/>
      </c>
      <c r="BW189" s="179" t="str">
        <f t="shared" si="117"/>
        <v/>
      </c>
      <c r="BX189" s="179" t="str">
        <f t="shared" si="118"/>
        <v/>
      </c>
      <c r="BY189" s="179" t="str">
        <f t="shared" si="119"/>
        <v/>
      </c>
      <c r="BZ189" s="179" t="str">
        <f t="shared" si="120"/>
        <v/>
      </c>
      <c r="CA189" s="179" t="str">
        <f t="shared" si="121"/>
        <v/>
      </c>
      <c r="CB189" s="179" t="str">
        <f t="shared" si="122"/>
        <v/>
      </c>
      <c r="CC189" s="179" t="str">
        <f t="shared" si="123"/>
        <v/>
      </c>
      <c r="CD189" s="179" t="str">
        <f t="shared" si="124"/>
        <v/>
      </c>
      <c r="CE189" s="179" t="str">
        <f t="shared" si="125"/>
        <v/>
      </c>
      <c r="CF189" s="179" t="str">
        <f t="shared" si="126"/>
        <v/>
      </c>
      <c r="CG189" s="179" t="str">
        <f t="shared" si="127"/>
        <v/>
      </c>
      <c r="CH189" s="166"/>
      <c r="CI189" s="166"/>
      <c r="CJ189" s="166"/>
      <c r="CK189" s="166" t="s">
        <v>150</v>
      </c>
      <c r="CL189" s="166"/>
    </row>
    <row r="190" spans="1:90" ht="14.25" customHeight="1" thickBot="1" x14ac:dyDescent="0.3">
      <c r="A190" s="213">
        <v>180</v>
      </c>
      <c r="B190" s="89"/>
      <c r="C190" s="199"/>
      <c r="D190" s="146"/>
      <c r="E190" s="319" t="s">
        <v>93</v>
      </c>
      <c r="F190" s="221"/>
      <c r="G190" s="222"/>
      <c r="H190" s="222"/>
      <c r="I190" s="222"/>
      <c r="J190" s="222"/>
      <c r="K190" s="222"/>
      <c r="L190" s="222"/>
      <c r="M190" s="331"/>
      <c r="N190" s="303">
        <f t="shared" si="128"/>
        <v>0</v>
      </c>
      <c r="O190" s="304"/>
      <c r="P190" s="341"/>
      <c r="Q190" s="305"/>
      <c r="R190" s="322" t="s">
        <v>67</v>
      </c>
      <c r="S190" s="326"/>
      <c r="T190" s="327"/>
      <c r="U190" s="327"/>
      <c r="V190" s="327"/>
      <c r="W190" s="327"/>
      <c r="X190" s="327"/>
      <c r="Y190" s="95"/>
      <c r="Z190" s="331"/>
      <c r="AA190" s="303">
        <f t="shared" si="129"/>
        <v>0</v>
      </c>
      <c r="AB190" s="314">
        <f t="shared" si="106"/>
        <v>0</v>
      </c>
      <c r="AC190" s="314"/>
      <c r="AD190" s="314">
        <f t="shared" si="107"/>
        <v>0</v>
      </c>
      <c r="AE190" s="325" t="s">
        <v>148</v>
      </c>
      <c r="AF190" s="15"/>
      <c r="AG190" s="232"/>
      <c r="AH190" s="232"/>
      <c r="AI190" s="232"/>
      <c r="AJ190" s="232"/>
      <c r="AK190" s="232"/>
      <c r="AL190" s="7"/>
      <c r="AM190" s="352"/>
      <c r="AN190" s="22">
        <f t="shared" si="130"/>
        <v>0</v>
      </c>
      <c r="AO190" s="15">
        <f t="shared" si="108"/>
        <v>0</v>
      </c>
      <c r="AP190" s="345"/>
      <c r="AQ190" s="7">
        <f t="shared" si="109"/>
        <v>0</v>
      </c>
      <c r="AR190" s="103"/>
      <c r="AS190" s="101"/>
      <c r="AT190" s="236"/>
      <c r="AU190" s="235"/>
      <c r="AV190" s="92"/>
      <c r="AW190" s="235"/>
      <c r="AX190" s="92"/>
      <c r="AY190" s="235"/>
      <c r="AZ190" s="92"/>
      <c r="BA190" s="17">
        <f t="shared" si="100"/>
        <v>1.8999999999999998E-5</v>
      </c>
      <c r="BB190" s="17">
        <f t="shared" si="101"/>
        <v>0</v>
      </c>
      <c r="BC190" s="17"/>
      <c r="BD190" s="178">
        <v>181</v>
      </c>
      <c r="BE190" s="214">
        <f t="shared" si="110"/>
        <v>2.4699999999999997E-5</v>
      </c>
      <c r="BF190" s="178">
        <f t="shared" si="102"/>
        <v>0</v>
      </c>
      <c r="BG190" s="245">
        <f t="shared" si="103"/>
        <v>1.8999999999999998E-5</v>
      </c>
      <c r="BH190" s="17">
        <f t="shared" si="111"/>
        <v>0</v>
      </c>
      <c r="BI190" s="178">
        <v>181</v>
      </c>
      <c r="BJ190" s="87">
        <f t="shared" si="112"/>
        <v>2.3E-5</v>
      </c>
      <c r="BK190" s="215">
        <f t="shared" si="104"/>
        <v>0</v>
      </c>
      <c r="BL190" s="245">
        <f t="shared" si="113"/>
        <v>1.8999999999999998E-5</v>
      </c>
      <c r="BM190" s="17">
        <f t="shared" si="114"/>
        <v>0</v>
      </c>
      <c r="BN190" s="178">
        <v>181</v>
      </c>
      <c r="BO190" s="87">
        <f t="shared" si="115"/>
        <v>2.3E-5</v>
      </c>
      <c r="BP190" s="215">
        <f t="shared" si="105"/>
        <v>0</v>
      </c>
      <c r="BR190" s="126"/>
      <c r="BS190" s="126"/>
      <c r="BU190" s="178"/>
      <c r="BV190" s="179" t="str">
        <f t="shared" si="116"/>
        <v/>
      </c>
      <c r="BW190" s="179" t="str">
        <f t="shared" si="117"/>
        <v/>
      </c>
      <c r="BX190" s="179" t="str">
        <f t="shared" si="118"/>
        <v/>
      </c>
      <c r="BY190" s="179" t="str">
        <f t="shared" si="119"/>
        <v/>
      </c>
      <c r="BZ190" s="179" t="str">
        <f t="shared" si="120"/>
        <v/>
      </c>
      <c r="CA190" s="179" t="str">
        <f t="shared" si="121"/>
        <v/>
      </c>
      <c r="CB190" s="179" t="str">
        <f t="shared" si="122"/>
        <v/>
      </c>
      <c r="CC190" s="179" t="str">
        <f t="shared" si="123"/>
        <v/>
      </c>
      <c r="CD190" s="179" t="str">
        <f t="shared" si="124"/>
        <v/>
      </c>
      <c r="CE190" s="179" t="str">
        <f t="shared" si="125"/>
        <v/>
      </c>
      <c r="CF190" s="179" t="str">
        <f t="shared" si="126"/>
        <v/>
      </c>
      <c r="CG190" s="179" t="str">
        <f t="shared" si="127"/>
        <v/>
      </c>
      <c r="CH190" s="166"/>
      <c r="CI190" s="166"/>
      <c r="CJ190" s="166"/>
      <c r="CK190" s="166" t="s">
        <v>150</v>
      </c>
      <c r="CL190" s="166"/>
    </row>
    <row r="191" spans="1:90" ht="14.25" customHeight="1" x14ac:dyDescent="0.25">
      <c r="A191" s="211">
        <v>181</v>
      </c>
      <c r="B191" s="219"/>
      <c r="C191" s="200"/>
      <c r="D191" s="145"/>
      <c r="E191" s="320" t="s">
        <v>93</v>
      </c>
      <c r="F191" s="209"/>
      <c r="G191" s="313"/>
      <c r="H191" s="313"/>
      <c r="I191" s="313"/>
      <c r="J191" s="313"/>
      <c r="K191" s="313"/>
      <c r="L191" s="313"/>
      <c r="M191" s="339"/>
      <c r="N191" s="233">
        <f t="shared" si="128"/>
        <v>0</v>
      </c>
      <c r="O191" s="306"/>
      <c r="P191" s="342"/>
      <c r="Q191" s="307"/>
      <c r="R191" s="323" t="s">
        <v>67</v>
      </c>
      <c r="S191" s="209"/>
      <c r="T191" s="313"/>
      <c r="U191" s="313"/>
      <c r="V191" s="313"/>
      <c r="W191" s="313"/>
      <c r="X191" s="313"/>
      <c r="Y191" s="125"/>
      <c r="Z191" s="339"/>
      <c r="AA191" s="233">
        <f t="shared" si="129"/>
        <v>0</v>
      </c>
      <c r="AB191" s="314">
        <f t="shared" si="106"/>
        <v>0</v>
      </c>
      <c r="AC191" s="314"/>
      <c r="AD191" s="314">
        <f t="shared" si="107"/>
        <v>0</v>
      </c>
      <c r="AE191" s="323" t="s">
        <v>87</v>
      </c>
      <c r="AF191" s="81"/>
      <c r="AG191" s="335"/>
      <c r="AH191" s="335"/>
      <c r="AI191" s="335"/>
      <c r="AJ191" s="335"/>
      <c r="AK191" s="335"/>
      <c r="AL191" s="336"/>
      <c r="AM191" s="353"/>
      <c r="AN191" s="22">
        <f t="shared" si="130"/>
        <v>0</v>
      </c>
      <c r="AO191" s="209">
        <f t="shared" si="108"/>
        <v>0</v>
      </c>
      <c r="AP191" s="339"/>
      <c r="AQ191" s="125">
        <f t="shared" si="109"/>
        <v>0</v>
      </c>
      <c r="AR191" s="104"/>
      <c r="AS191" s="217"/>
      <c r="AT191" s="216"/>
      <c r="AU191" s="230"/>
      <c r="AV191" s="220"/>
      <c r="AW191" s="230"/>
      <c r="AX191" s="220"/>
      <c r="AY191" s="230"/>
      <c r="AZ191" s="220"/>
      <c r="BA191" s="17">
        <f t="shared" si="100"/>
        <v>1.91E-5</v>
      </c>
      <c r="BB191" s="17">
        <f t="shared" si="101"/>
        <v>0</v>
      </c>
      <c r="BC191" s="17"/>
      <c r="BD191" s="178">
        <v>182</v>
      </c>
      <c r="BE191" s="214">
        <f t="shared" si="110"/>
        <v>2.4599999999999998E-5</v>
      </c>
      <c r="BF191" s="178">
        <f t="shared" si="102"/>
        <v>0</v>
      </c>
      <c r="BG191" s="245">
        <f t="shared" si="103"/>
        <v>1.91E-5</v>
      </c>
      <c r="BH191" s="17">
        <f t="shared" si="111"/>
        <v>0</v>
      </c>
      <c r="BI191" s="178">
        <v>182</v>
      </c>
      <c r="BJ191" s="87">
        <f t="shared" si="112"/>
        <v>2.2899999999999998E-5</v>
      </c>
      <c r="BK191" s="215">
        <f t="shared" si="104"/>
        <v>0</v>
      </c>
      <c r="BL191" s="245">
        <f t="shared" si="113"/>
        <v>1.91E-5</v>
      </c>
      <c r="BM191" s="17">
        <f t="shared" si="114"/>
        <v>0</v>
      </c>
      <c r="BN191" s="178">
        <v>182</v>
      </c>
      <c r="BO191" s="87">
        <f t="shared" si="115"/>
        <v>2.2899999999999998E-5</v>
      </c>
      <c r="BP191" s="215">
        <f t="shared" si="105"/>
        <v>0</v>
      </c>
      <c r="BR191" s="126"/>
      <c r="BS191" s="126"/>
      <c r="BU191" s="178"/>
      <c r="BV191" s="179" t="str">
        <f t="shared" si="116"/>
        <v/>
      </c>
      <c r="BW191" s="179" t="str">
        <f t="shared" si="117"/>
        <v/>
      </c>
      <c r="BX191" s="179" t="str">
        <f t="shared" si="118"/>
        <v/>
      </c>
      <c r="BY191" s="179" t="str">
        <f t="shared" si="119"/>
        <v/>
      </c>
      <c r="BZ191" s="179" t="str">
        <f t="shared" si="120"/>
        <v/>
      </c>
      <c r="CA191" s="179" t="str">
        <f t="shared" si="121"/>
        <v/>
      </c>
      <c r="CB191" s="179" t="str">
        <f t="shared" si="122"/>
        <v/>
      </c>
      <c r="CC191" s="179" t="str">
        <f t="shared" si="123"/>
        <v/>
      </c>
      <c r="CD191" s="179" t="str">
        <f t="shared" si="124"/>
        <v/>
      </c>
      <c r="CE191" s="179" t="str">
        <f t="shared" si="125"/>
        <v/>
      </c>
      <c r="CF191" s="179" t="str">
        <f t="shared" si="126"/>
        <v/>
      </c>
      <c r="CG191" s="179" t="str">
        <f t="shared" si="127"/>
        <v/>
      </c>
      <c r="CH191" s="166"/>
      <c r="CI191" s="166"/>
      <c r="CJ191" s="166"/>
      <c r="CK191" s="166" t="s">
        <v>150</v>
      </c>
      <c r="CL191" s="166"/>
    </row>
    <row r="192" spans="1:90" ht="14.25" customHeight="1" thickBot="1" x14ac:dyDescent="0.3">
      <c r="A192" s="213">
        <v>182</v>
      </c>
      <c r="B192" s="88"/>
      <c r="C192" s="201"/>
      <c r="D192" s="94"/>
      <c r="E192" s="321" t="s">
        <v>93</v>
      </c>
      <c r="F192" s="96"/>
      <c r="G192" s="100"/>
      <c r="H192" s="100"/>
      <c r="I192" s="100"/>
      <c r="J192" s="100"/>
      <c r="K192" s="100"/>
      <c r="L192" s="100"/>
      <c r="M192" s="210"/>
      <c r="N192" s="234">
        <f t="shared" si="128"/>
        <v>0</v>
      </c>
      <c r="O192" s="308"/>
      <c r="P192" s="343"/>
      <c r="Q192" s="309"/>
      <c r="R192" s="324" t="s">
        <v>67</v>
      </c>
      <c r="S192" s="96"/>
      <c r="T192" s="100"/>
      <c r="U192" s="100"/>
      <c r="V192" s="100"/>
      <c r="W192" s="100"/>
      <c r="X192" s="100"/>
      <c r="Y192" s="97"/>
      <c r="Z192" s="210"/>
      <c r="AA192" s="234">
        <f t="shared" si="129"/>
        <v>0</v>
      </c>
      <c r="AB192" s="314">
        <f t="shared" si="106"/>
        <v>0</v>
      </c>
      <c r="AC192" s="314"/>
      <c r="AD192" s="314">
        <f t="shared" si="107"/>
        <v>0</v>
      </c>
      <c r="AE192" s="324" t="s">
        <v>87</v>
      </c>
      <c r="AF192" s="82"/>
      <c r="AG192" s="337"/>
      <c r="AH192" s="337"/>
      <c r="AI192" s="337"/>
      <c r="AJ192" s="337"/>
      <c r="AK192" s="337"/>
      <c r="AL192" s="338"/>
      <c r="AM192" s="354"/>
      <c r="AN192" s="91">
        <f t="shared" si="130"/>
        <v>0</v>
      </c>
      <c r="AO192" s="96">
        <f t="shared" si="108"/>
        <v>0</v>
      </c>
      <c r="AP192" s="210"/>
      <c r="AQ192" s="97">
        <f t="shared" si="109"/>
        <v>0</v>
      </c>
      <c r="AR192" s="105"/>
      <c r="AS192" s="102"/>
      <c r="AT192" s="237"/>
      <c r="AU192" s="231"/>
      <c r="AV192" s="93"/>
      <c r="AW192" s="231"/>
      <c r="AX192" s="93"/>
      <c r="AY192" s="231"/>
      <c r="AZ192" s="93"/>
      <c r="BA192" s="17">
        <f t="shared" si="100"/>
        <v>1.9199999999999999E-5</v>
      </c>
      <c r="BB192" s="17">
        <f t="shared" si="101"/>
        <v>0</v>
      </c>
      <c r="BC192" s="17"/>
      <c r="BD192" s="178">
        <v>183</v>
      </c>
      <c r="BE192" s="214">
        <f t="shared" si="110"/>
        <v>2.4499999999999999E-5</v>
      </c>
      <c r="BF192" s="178">
        <f t="shared" si="102"/>
        <v>0</v>
      </c>
      <c r="BG192" s="245">
        <f t="shared" si="103"/>
        <v>1.9199999999999999E-5</v>
      </c>
      <c r="BH192" s="17">
        <f t="shared" si="111"/>
        <v>0</v>
      </c>
      <c r="BI192" s="178">
        <v>183</v>
      </c>
      <c r="BJ192" s="87">
        <f t="shared" si="112"/>
        <v>2.2799999999999999E-5</v>
      </c>
      <c r="BK192" s="215">
        <f t="shared" si="104"/>
        <v>0</v>
      </c>
      <c r="BL192" s="245">
        <f t="shared" si="113"/>
        <v>1.9199999999999999E-5</v>
      </c>
      <c r="BM192" s="17">
        <f t="shared" si="114"/>
        <v>0</v>
      </c>
      <c r="BN192" s="178">
        <v>183</v>
      </c>
      <c r="BO192" s="87">
        <f t="shared" si="115"/>
        <v>2.2799999999999999E-5</v>
      </c>
      <c r="BP192" s="215">
        <f t="shared" si="105"/>
        <v>0</v>
      </c>
      <c r="BR192" s="126"/>
      <c r="BS192" s="126"/>
      <c r="BU192" s="178"/>
      <c r="BV192" s="179" t="str">
        <f t="shared" si="116"/>
        <v/>
      </c>
      <c r="BW192" s="179" t="str">
        <f t="shared" si="117"/>
        <v/>
      </c>
      <c r="BX192" s="179" t="str">
        <f t="shared" si="118"/>
        <v/>
      </c>
      <c r="BY192" s="179" t="str">
        <f t="shared" si="119"/>
        <v/>
      </c>
      <c r="BZ192" s="179" t="str">
        <f t="shared" si="120"/>
        <v/>
      </c>
      <c r="CA192" s="179" t="str">
        <f t="shared" si="121"/>
        <v/>
      </c>
      <c r="CB192" s="179" t="str">
        <f t="shared" si="122"/>
        <v/>
      </c>
      <c r="CC192" s="179" t="str">
        <f t="shared" si="123"/>
        <v/>
      </c>
      <c r="CD192" s="179" t="str">
        <f t="shared" si="124"/>
        <v/>
      </c>
      <c r="CE192" s="179" t="str">
        <f t="shared" si="125"/>
        <v/>
      </c>
      <c r="CF192" s="179" t="str">
        <f t="shared" si="126"/>
        <v/>
      </c>
      <c r="CG192" s="179" t="str">
        <f t="shared" si="127"/>
        <v/>
      </c>
      <c r="CH192" s="166"/>
      <c r="CI192" s="166"/>
      <c r="CJ192" s="166"/>
      <c r="CK192" s="166" t="s">
        <v>150</v>
      </c>
      <c r="CL192" s="166"/>
    </row>
    <row r="193" spans="1:90" ht="14.25" customHeight="1" x14ac:dyDescent="0.25">
      <c r="A193" s="211">
        <v>183</v>
      </c>
      <c r="B193" s="89"/>
      <c r="C193" s="199"/>
      <c r="D193" s="146"/>
      <c r="E193" s="319" t="s">
        <v>93</v>
      </c>
      <c r="F193" s="221"/>
      <c r="G193" s="222"/>
      <c r="H193" s="222"/>
      <c r="I193" s="222"/>
      <c r="J193" s="222"/>
      <c r="K193" s="222"/>
      <c r="L193" s="222"/>
      <c r="M193" s="331"/>
      <c r="N193" s="303">
        <f t="shared" si="128"/>
        <v>0</v>
      </c>
      <c r="O193" s="304"/>
      <c r="P193" s="341"/>
      <c r="Q193" s="305"/>
      <c r="R193" s="322" t="s">
        <v>67</v>
      </c>
      <c r="S193" s="326"/>
      <c r="T193" s="327"/>
      <c r="U193" s="327"/>
      <c r="V193" s="327"/>
      <c r="W193" s="327"/>
      <c r="X193" s="327"/>
      <c r="Y193" s="95"/>
      <c r="Z193" s="331"/>
      <c r="AA193" s="303">
        <f t="shared" si="129"/>
        <v>0</v>
      </c>
      <c r="AB193" s="314">
        <f t="shared" si="106"/>
        <v>0</v>
      </c>
      <c r="AC193" s="314"/>
      <c r="AD193" s="314">
        <f t="shared" si="107"/>
        <v>0</v>
      </c>
      <c r="AE193" s="325" t="s">
        <v>148</v>
      </c>
      <c r="AF193" s="15"/>
      <c r="AG193" s="232"/>
      <c r="AH193" s="232"/>
      <c r="AI193" s="232"/>
      <c r="AJ193" s="232"/>
      <c r="AK193" s="232"/>
      <c r="AL193" s="7"/>
      <c r="AM193" s="352"/>
      <c r="AN193" s="22">
        <f t="shared" si="130"/>
        <v>0</v>
      </c>
      <c r="AO193" s="15">
        <f t="shared" si="108"/>
        <v>0</v>
      </c>
      <c r="AP193" s="345"/>
      <c r="AQ193" s="7">
        <f t="shared" si="109"/>
        <v>0</v>
      </c>
      <c r="AR193" s="103"/>
      <c r="AS193" s="101"/>
      <c r="AT193" s="236"/>
      <c r="AU193" s="235"/>
      <c r="AV193" s="92"/>
      <c r="AW193" s="235"/>
      <c r="AX193" s="92"/>
      <c r="AY193" s="235"/>
      <c r="AZ193" s="92"/>
      <c r="BA193" s="17">
        <f t="shared" si="100"/>
        <v>1.9299999999999998E-5</v>
      </c>
      <c r="BB193" s="17">
        <f t="shared" si="101"/>
        <v>0</v>
      </c>
      <c r="BC193" s="17"/>
      <c r="BD193" s="178">
        <v>184</v>
      </c>
      <c r="BE193" s="214">
        <f t="shared" si="110"/>
        <v>2.44E-5</v>
      </c>
      <c r="BF193" s="178">
        <f t="shared" si="102"/>
        <v>0</v>
      </c>
      <c r="BG193" s="245">
        <f t="shared" si="103"/>
        <v>1.9299999999999998E-5</v>
      </c>
      <c r="BH193" s="17">
        <f t="shared" si="111"/>
        <v>0</v>
      </c>
      <c r="BI193" s="178">
        <v>184</v>
      </c>
      <c r="BJ193" s="87">
        <f t="shared" si="112"/>
        <v>2.27E-5</v>
      </c>
      <c r="BK193" s="215">
        <f t="shared" si="104"/>
        <v>0</v>
      </c>
      <c r="BL193" s="245">
        <f t="shared" si="113"/>
        <v>1.9299999999999998E-5</v>
      </c>
      <c r="BM193" s="17">
        <f t="shared" si="114"/>
        <v>0</v>
      </c>
      <c r="BN193" s="178">
        <v>184</v>
      </c>
      <c r="BO193" s="87">
        <f t="shared" si="115"/>
        <v>2.27E-5</v>
      </c>
      <c r="BP193" s="215">
        <f t="shared" si="105"/>
        <v>0</v>
      </c>
      <c r="BR193" s="126"/>
      <c r="BS193" s="126"/>
      <c r="BU193" s="178"/>
      <c r="BV193" s="179" t="str">
        <f t="shared" si="116"/>
        <v/>
      </c>
      <c r="BW193" s="179" t="str">
        <f t="shared" si="117"/>
        <v/>
      </c>
      <c r="BX193" s="179" t="str">
        <f t="shared" si="118"/>
        <v/>
      </c>
      <c r="BY193" s="179" t="str">
        <f t="shared" si="119"/>
        <v/>
      </c>
      <c r="BZ193" s="179" t="str">
        <f t="shared" si="120"/>
        <v/>
      </c>
      <c r="CA193" s="179" t="str">
        <f t="shared" si="121"/>
        <v/>
      </c>
      <c r="CB193" s="179" t="str">
        <f t="shared" si="122"/>
        <v/>
      </c>
      <c r="CC193" s="179" t="str">
        <f t="shared" si="123"/>
        <v/>
      </c>
      <c r="CD193" s="179" t="str">
        <f t="shared" si="124"/>
        <v/>
      </c>
      <c r="CE193" s="179" t="str">
        <f t="shared" si="125"/>
        <v/>
      </c>
      <c r="CF193" s="179" t="str">
        <f t="shared" si="126"/>
        <v/>
      </c>
      <c r="CG193" s="179" t="str">
        <f t="shared" si="127"/>
        <v/>
      </c>
      <c r="CH193" s="166"/>
      <c r="CI193" s="166"/>
      <c r="CJ193" s="166"/>
      <c r="CK193" s="166" t="s">
        <v>150</v>
      </c>
      <c r="CL193" s="166"/>
    </row>
    <row r="194" spans="1:90" ht="14.25" customHeight="1" thickBot="1" x14ac:dyDescent="0.3">
      <c r="A194" s="213">
        <v>184</v>
      </c>
      <c r="B194" s="219"/>
      <c r="C194" s="200"/>
      <c r="D194" s="145"/>
      <c r="E194" s="320" t="s">
        <v>93</v>
      </c>
      <c r="F194" s="209"/>
      <c r="G194" s="313"/>
      <c r="H194" s="313"/>
      <c r="I194" s="313"/>
      <c r="J194" s="313"/>
      <c r="K194" s="313"/>
      <c r="L194" s="313"/>
      <c r="M194" s="339"/>
      <c r="N194" s="233">
        <f t="shared" si="128"/>
        <v>0</v>
      </c>
      <c r="O194" s="306"/>
      <c r="P194" s="342"/>
      <c r="Q194" s="307"/>
      <c r="R194" s="323" t="s">
        <v>67</v>
      </c>
      <c r="S194" s="209"/>
      <c r="T194" s="313"/>
      <c r="U194" s="313"/>
      <c r="V194" s="313"/>
      <c r="W194" s="313"/>
      <c r="X194" s="313"/>
      <c r="Y194" s="125"/>
      <c r="Z194" s="339"/>
      <c r="AA194" s="233">
        <f t="shared" si="129"/>
        <v>0</v>
      </c>
      <c r="AB194" s="314">
        <f t="shared" si="106"/>
        <v>0</v>
      </c>
      <c r="AC194" s="314"/>
      <c r="AD194" s="314">
        <f t="shared" si="107"/>
        <v>0</v>
      </c>
      <c r="AE194" s="323" t="s">
        <v>87</v>
      </c>
      <c r="AF194" s="81"/>
      <c r="AG194" s="335"/>
      <c r="AH194" s="335"/>
      <c r="AI194" s="335"/>
      <c r="AJ194" s="335"/>
      <c r="AK194" s="335"/>
      <c r="AL194" s="336"/>
      <c r="AM194" s="353"/>
      <c r="AN194" s="22">
        <f t="shared" si="130"/>
        <v>0</v>
      </c>
      <c r="AO194" s="209">
        <f t="shared" si="108"/>
        <v>0</v>
      </c>
      <c r="AP194" s="339"/>
      <c r="AQ194" s="125">
        <f t="shared" si="109"/>
        <v>0</v>
      </c>
      <c r="AR194" s="104"/>
      <c r="AS194" s="217"/>
      <c r="AT194" s="216"/>
      <c r="AU194" s="230"/>
      <c r="AV194" s="220"/>
      <c r="AW194" s="230"/>
      <c r="AX194" s="220"/>
      <c r="AY194" s="230"/>
      <c r="AZ194" s="220"/>
      <c r="BA194" s="17">
        <f t="shared" si="100"/>
        <v>1.9400000000000001E-5</v>
      </c>
      <c r="BB194" s="17">
        <f t="shared" si="101"/>
        <v>0</v>
      </c>
      <c r="BC194" s="17"/>
      <c r="BD194" s="178">
        <v>185</v>
      </c>
      <c r="BE194" s="214">
        <f t="shared" si="110"/>
        <v>2.4299999999999998E-5</v>
      </c>
      <c r="BF194" s="178">
        <f t="shared" si="102"/>
        <v>0</v>
      </c>
      <c r="BG194" s="245">
        <f t="shared" si="103"/>
        <v>1.9400000000000001E-5</v>
      </c>
      <c r="BH194" s="17">
        <f t="shared" si="111"/>
        <v>0</v>
      </c>
      <c r="BI194" s="178">
        <v>185</v>
      </c>
      <c r="BJ194" s="87">
        <f t="shared" si="112"/>
        <v>2.26E-5</v>
      </c>
      <c r="BK194" s="215">
        <f t="shared" si="104"/>
        <v>0</v>
      </c>
      <c r="BL194" s="245">
        <f t="shared" si="113"/>
        <v>1.9400000000000001E-5</v>
      </c>
      <c r="BM194" s="17">
        <f t="shared" si="114"/>
        <v>0</v>
      </c>
      <c r="BN194" s="178">
        <v>185</v>
      </c>
      <c r="BO194" s="87">
        <f t="shared" si="115"/>
        <v>2.26E-5</v>
      </c>
      <c r="BP194" s="215">
        <f t="shared" si="105"/>
        <v>0</v>
      </c>
      <c r="BR194" s="126"/>
      <c r="BS194" s="126"/>
      <c r="BU194" s="178"/>
      <c r="BV194" s="179" t="str">
        <f t="shared" si="116"/>
        <v/>
      </c>
      <c r="BW194" s="179" t="str">
        <f t="shared" si="117"/>
        <v/>
      </c>
      <c r="BX194" s="179" t="str">
        <f t="shared" si="118"/>
        <v/>
      </c>
      <c r="BY194" s="179" t="str">
        <f t="shared" si="119"/>
        <v/>
      </c>
      <c r="BZ194" s="179" t="str">
        <f t="shared" si="120"/>
        <v/>
      </c>
      <c r="CA194" s="179" t="str">
        <f t="shared" si="121"/>
        <v/>
      </c>
      <c r="CB194" s="179" t="str">
        <f t="shared" si="122"/>
        <v/>
      </c>
      <c r="CC194" s="179" t="str">
        <f t="shared" si="123"/>
        <v/>
      </c>
      <c r="CD194" s="179" t="str">
        <f t="shared" si="124"/>
        <v/>
      </c>
      <c r="CE194" s="179" t="str">
        <f t="shared" si="125"/>
        <v/>
      </c>
      <c r="CF194" s="179" t="str">
        <f t="shared" si="126"/>
        <v/>
      </c>
      <c r="CG194" s="179" t="str">
        <f t="shared" si="127"/>
        <v/>
      </c>
      <c r="CH194" s="166"/>
      <c r="CI194" s="166"/>
      <c r="CJ194" s="166"/>
      <c r="CK194" s="166" t="s">
        <v>150</v>
      </c>
      <c r="CL194" s="166"/>
    </row>
    <row r="195" spans="1:90" ht="14.25" customHeight="1" thickBot="1" x14ac:dyDescent="0.3">
      <c r="A195" s="211">
        <v>185</v>
      </c>
      <c r="B195" s="88"/>
      <c r="C195" s="201"/>
      <c r="D195" s="94"/>
      <c r="E195" s="321" t="s">
        <v>93</v>
      </c>
      <c r="F195" s="96"/>
      <c r="G195" s="100"/>
      <c r="H195" s="100"/>
      <c r="I195" s="100"/>
      <c r="J195" s="100"/>
      <c r="K195" s="100"/>
      <c r="L195" s="100"/>
      <c r="M195" s="210"/>
      <c r="N195" s="234">
        <f t="shared" si="128"/>
        <v>0</v>
      </c>
      <c r="O195" s="308"/>
      <c r="P195" s="343"/>
      <c r="Q195" s="309"/>
      <c r="R195" s="324" t="s">
        <v>67</v>
      </c>
      <c r="S195" s="96"/>
      <c r="T195" s="100"/>
      <c r="U195" s="100"/>
      <c r="V195" s="100"/>
      <c r="W195" s="100"/>
      <c r="X195" s="100"/>
      <c r="Y195" s="97"/>
      <c r="Z195" s="210"/>
      <c r="AA195" s="234">
        <f t="shared" si="129"/>
        <v>0</v>
      </c>
      <c r="AB195" s="314">
        <f t="shared" si="106"/>
        <v>0</v>
      </c>
      <c r="AC195" s="314"/>
      <c r="AD195" s="314">
        <f t="shared" si="107"/>
        <v>0</v>
      </c>
      <c r="AE195" s="324" t="s">
        <v>87</v>
      </c>
      <c r="AF195" s="82"/>
      <c r="AG195" s="337"/>
      <c r="AH195" s="337"/>
      <c r="AI195" s="337"/>
      <c r="AJ195" s="337"/>
      <c r="AK195" s="337"/>
      <c r="AL195" s="338"/>
      <c r="AM195" s="354"/>
      <c r="AN195" s="91">
        <f t="shared" si="130"/>
        <v>0</v>
      </c>
      <c r="AO195" s="96">
        <f t="shared" si="108"/>
        <v>0</v>
      </c>
      <c r="AP195" s="210"/>
      <c r="AQ195" s="97">
        <f t="shared" si="109"/>
        <v>0</v>
      </c>
      <c r="AR195" s="105"/>
      <c r="AS195" s="102"/>
      <c r="AT195" s="237"/>
      <c r="AU195" s="231"/>
      <c r="AV195" s="93"/>
      <c r="AW195" s="231"/>
      <c r="AX195" s="93"/>
      <c r="AY195" s="231"/>
      <c r="AZ195" s="93"/>
      <c r="BA195" s="17">
        <f t="shared" si="100"/>
        <v>1.95E-5</v>
      </c>
      <c r="BB195" s="17">
        <f t="shared" si="101"/>
        <v>0</v>
      </c>
      <c r="BC195" s="17"/>
      <c r="BD195" s="178">
        <v>186</v>
      </c>
      <c r="BE195" s="214">
        <f t="shared" si="110"/>
        <v>2.4199999999999999E-5</v>
      </c>
      <c r="BF195" s="178">
        <f t="shared" si="102"/>
        <v>0</v>
      </c>
      <c r="BG195" s="245">
        <f t="shared" si="103"/>
        <v>1.95E-5</v>
      </c>
      <c r="BH195" s="17">
        <f t="shared" si="111"/>
        <v>0</v>
      </c>
      <c r="BI195" s="178">
        <v>186</v>
      </c>
      <c r="BJ195" s="87">
        <f t="shared" si="112"/>
        <v>2.2499999999999998E-5</v>
      </c>
      <c r="BK195" s="215">
        <f t="shared" si="104"/>
        <v>0</v>
      </c>
      <c r="BL195" s="245">
        <f t="shared" si="113"/>
        <v>1.95E-5</v>
      </c>
      <c r="BM195" s="17">
        <f t="shared" si="114"/>
        <v>0</v>
      </c>
      <c r="BN195" s="178">
        <v>186</v>
      </c>
      <c r="BO195" s="87">
        <f t="shared" si="115"/>
        <v>2.2499999999999998E-5</v>
      </c>
      <c r="BP195" s="215">
        <f t="shared" si="105"/>
        <v>0</v>
      </c>
      <c r="BR195" s="126"/>
      <c r="BS195" s="126"/>
      <c r="BU195" s="178"/>
      <c r="BV195" s="179" t="str">
        <f t="shared" si="116"/>
        <v/>
      </c>
      <c r="BW195" s="179" t="str">
        <f t="shared" si="117"/>
        <v/>
      </c>
      <c r="BX195" s="179" t="str">
        <f t="shared" si="118"/>
        <v/>
      </c>
      <c r="BY195" s="179" t="str">
        <f t="shared" si="119"/>
        <v/>
      </c>
      <c r="BZ195" s="179" t="str">
        <f t="shared" si="120"/>
        <v/>
      </c>
      <c r="CA195" s="179" t="str">
        <f t="shared" si="121"/>
        <v/>
      </c>
      <c r="CB195" s="179" t="str">
        <f t="shared" si="122"/>
        <v/>
      </c>
      <c r="CC195" s="179" t="str">
        <f t="shared" si="123"/>
        <v/>
      </c>
      <c r="CD195" s="179" t="str">
        <f t="shared" si="124"/>
        <v/>
      </c>
      <c r="CE195" s="179" t="str">
        <f t="shared" si="125"/>
        <v/>
      </c>
      <c r="CF195" s="179" t="str">
        <f t="shared" si="126"/>
        <v/>
      </c>
      <c r="CG195" s="179" t="str">
        <f t="shared" si="127"/>
        <v/>
      </c>
      <c r="CH195" s="166"/>
      <c r="CI195" s="166"/>
      <c r="CJ195" s="166"/>
      <c r="CK195" s="166" t="s">
        <v>150</v>
      </c>
      <c r="CL195" s="166"/>
    </row>
    <row r="196" spans="1:90" ht="14.25" customHeight="1" thickBot="1" x14ac:dyDescent="0.3">
      <c r="A196" s="213">
        <v>186</v>
      </c>
      <c r="B196" s="89"/>
      <c r="C196" s="199"/>
      <c r="D196" s="146"/>
      <c r="E196" s="319" t="s">
        <v>93</v>
      </c>
      <c r="F196" s="221"/>
      <c r="G196" s="222"/>
      <c r="H196" s="222"/>
      <c r="I196" s="222"/>
      <c r="J196" s="222"/>
      <c r="K196" s="222"/>
      <c r="L196" s="222"/>
      <c r="M196" s="331"/>
      <c r="N196" s="303">
        <f t="shared" si="128"/>
        <v>0</v>
      </c>
      <c r="O196" s="304"/>
      <c r="P196" s="341"/>
      <c r="Q196" s="305"/>
      <c r="R196" s="322" t="s">
        <v>67</v>
      </c>
      <c r="S196" s="326"/>
      <c r="T196" s="327"/>
      <c r="U196" s="327"/>
      <c r="V196" s="327"/>
      <c r="W196" s="327"/>
      <c r="X196" s="327"/>
      <c r="Y196" s="95"/>
      <c r="Z196" s="331"/>
      <c r="AA196" s="303">
        <f t="shared" si="129"/>
        <v>0</v>
      </c>
      <c r="AB196" s="314">
        <f t="shared" si="106"/>
        <v>0</v>
      </c>
      <c r="AC196" s="314"/>
      <c r="AD196" s="314">
        <f t="shared" si="107"/>
        <v>0</v>
      </c>
      <c r="AE196" s="325" t="s">
        <v>148</v>
      </c>
      <c r="AF196" s="15"/>
      <c r="AG196" s="232"/>
      <c r="AH196" s="232"/>
      <c r="AI196" s="232"/>
      <c r="AJ196" s="232"/>
      <c r="AK196" s="232"/>
      <c r="AL196" s="7"/>
      <c r="AM196" s="352"/>
      <c r="AN196" s="22">
        <f t="shared" si="130"/>
        <v>0</v>
      </c>
      <c r="AO196" s="15">
        <f t="shared" si="108"/>
        <v>0</v>
      </c>
      <c r="AP196" s="345"/>
      <c r="AQ196" s="7">
        <f t="shared" si="109"/>
        <v>0</v>
      </c>
      <c r="AR196" s="103"/>
      <c r="AS196" s="101"/>
      <c r="AT196" s="236"/>
      <c r="AU196" s="235"/>
      <c r="AV196" s="92"/>
      <c r="AW196" s="235"/>
      <c r="AX196" s="92"/>
      <c r="AY196" s="235"/>
      <c r="AZ196" s="92"/>
      <c r="BA196" s="17">
        <f t="shared" si="100"/>
        <v>1.9599999999999999E-5</v>
      </c>
      <c r="BB196" s="17">
        <f t="shared" si="101"/>
        <v>0</v>
      </c>
      <c r="BC196" s="17"/>
      <c r="BD196" s="178">
        <v>187</v>
      </c>
      <c r="BE196" s="214">
        <f t="shared" si="110"/>
        <v>2.41E-5</v>
      </c>
      <c r="BF196" s="178">
        <f t="shared" si="102"/>
        <v>0</v>
      </c>
      <c r="BG196" s="245">
        <f t="shared" si="103"/>
        <v>1.9599999999999999E-5</v>
      </c>
      <c r="BH196" s="17">
        <f t="shared" si="111"/>
        <v>0</v>
      </c>
      <c r="BI196" s="178">
        <v>187</v>
      </c>
      <c r="BJ196" s="87">
        <f t="shared" si="112"/>
        <v>2.2399999999999999E-5</v>
      </c>
      <c r="BK196" s="215">
        <f t="shared" si="104"/>
        <v>0</v>
      </c>
      <c r="BL196" s="245">
        <f t="shared" si="113"/>
        <v>1.9599999999999999E-5</v>
      </c>
      <c r="BM196" s="17">
        <f t="shared" si="114"/>
        <v>0</v>
      </c>
      <c r="BN196" s="178">
        <v>187</v>
      </c>
      <c r="BO196" s="87">
        <f t="shared" si="115"/>
        <v>2.2399999999999999E-5</v>
      </c>
      <c r="BP196" s="215">
        <f t="shared" si="105"/>
        <v>0</v>
      </c>
      <c r="BR196" s="126"/>
      <c r="BS196" s="126"/>
      <c r="BU196" s="178"/>
      <c r="BV196" s="179" t="str">
        <f t="shared" si="116"/>
        <v/>
      </c>
      <c r="BW196" s="179" t="str">
        <f t="shared" si="117"/>
        <v/>
      </c>
      <c r="BX196" s="179" t="str">
        <f t="shared" si="118"/>
        <v/>
      </c>
      <c r="BY196" s="179" t="str">
        <f t="shared" si="119"/>
        <v/>
      </c>
      <c r="BZ196" s="179" t="str">
        <f t="shared" si="120"/>
        <v/>
      </c>
      <c r="CA196" s="179" t="str">
        <f t="shared" si="121"/>
        <v/>
      </c>
      <c r="CB196" s="179" t="str">
        <f t="shared" si="122"/>
        <v/>
      </c>
      <c r="CC196" s="179" t="str">
        <f t="shared" si="123"/>
        <v/>
      </c>
      <c r="CD196" s="179" t="str">
        <f t="shared" si="124"/>
        <v/>
      </c>
      <c r="CE196" s="179" t="str">
        <f t="shared" si="125"/>
        <v/>
      </c>
      <c r="CF196" s="179" t="str">
        <f t="shared" si="126"/>
        <v/>
      </c>
      <c r="CG196" s="179" t="str">
        <f t="shared" si="127"/>
        <v/>
      </c>
      <c r="CH196" s="166"/>
      <c r="CI196" s="166"/>
      <c r="CJ196" s="166"/>
      <c r="CK196" s="166" t="s">
        <v>150</v>
      </c>
      <c r="CL196" s="166"/>
    </row>
    <row r="197" spans="1:90" ht="14.25" customHeight="1" x14ac:dyDescent="0.25">
      <c r="A197" s="211">
        <v>187</v>
      </c>
      <c r="B197" s="219"/>
      <c r="C197" s="200"/>
      <c r="D197" s="145"/>
      <c r="E197" s="320" t="s">
        <v>93</v>
      </c>
      <c r="F197" s="209"/>
      <c r="G197" s="313"/>
      <c r="H197" s="313"/>
      <c r="I197" s="313"/>
      <c r="J197" s="313"/>
      <c r="K197" s="313"/>
      <c r="L197" s="313"/>
      <c r="M197" s="339"/>
      <c r="N197" s="233">
        <f t="shared" si="128"/>
        <v>0</v>
      </c>
      <c r="O197" s="306"/>
      <c r="P197" s="342"/>
      <c r="Q197" s="307"/>
      <c r="R197" s="323" t="s">
        <v>67</v>
      </c>
      <c r="S197" s="209"/>
      <c r="T197" s="313"/>
      <c r="U197" s="313"/>
      <c r="V197" s="313"/>
      <c r="W197" s="313"/>
      <c r="X197" s="313"/>
      <c r="Y197" s="125"/>
      <c r="Z197" s="339"/>
      <c r="AA197" s="233">
        <f t="shared" si="129"/>
        <v>0</v>
      </c>
      <c r="AB197" s="314">
        <f t="shared" si="106"/>
        <v>0</v>
      </c>
      <c r="AC197" s="314"/>
      <c r="AD197" s="314">
        <f t="shared" si="107"/>
        <v>0</v>
      </c>
      <c r="AE197" s="323" t="s">
        <v>87</v>
      </c>
      <c r="AF197" s="81"/>
      <c r="AG197" s="335"/>
      <c r="AH197" s="335"/>
      <c r="AI197" s="335"/>
      <c r="AJ197" s="335"/>
      <c r="AK197" s="335"/>
      <c r="AL197" s="336"/>
      <c r="AM197" s="353"/>
      <c r="AN197" s="22">
        <f t="shared" si="130"/>
        <v>0</v>
      </c>
      <c r="AO197" s="209">
        <f t="shared" si="108"/>
        <v>0</v>
      </c>
      <c r="AP197" s="339"/>
      <c r="AQ197" s="125">
        <f t="shared" si="109"/>
        <v>0</v>
      </c>
      <c r="AR197" s="104"/>
      <c r="AS197" s="217"/>
      <c r="AT197" s="216"/>
      <c r="AU197" s="230"/>
      <c r="AV197" s="220"/>
      <c r="AW197" s="230"/>
      <c r="AX197" s="220"/>
      <c r="AY197" s="230"/>
      <c r="AZ197" s="220"/>
      <c r="BA197" s="17">
        <f t="shared" si="100"/>
        <v>1.9699999999999998E-5</v>
      </c>
      <c r="BB197" s="17">
        <f t="shared" si="101"/>
        <v>0</v>
      </c>
      <c r="BC197" s="17"/>
      <c r="BD197" s="178">
        <v>188</v>
      </c>
      <c r="BE197" s="214">
        <f t="shared" si="110"/>
        <v>2.4000000000000001E-5</v>
      </c>
      <c r="BF197" s="178">
        <f t="shared" si="102"/>
        <v>0</v>
      </c>
      <c r="BG197" s="245">
        <f t="shared" si="103"/>
        <v>1.9699999999999998E-5</v>
      </c>
      <c r="BH197" s="17">
        <f t="shared" si="111"/>
        <v>0</v>
      </c>
      <c r="BI197" s="178">
        <v>188</v>
      </c>
      <c r="BJ197" s="87">
        <f t="shared" si="112"/>
        <v>2.23E-5</v>
      </c>
      <c r="BK197" s="215">
        <f t="shared" si="104"/>
        <v>0</v>
      </c>
      <c r="BL197" s="245">
        <f t="shared" si="113"/>
        <v>1.9699999999999998E-5</v>
      </c>
      <c r="BM197" s="17">
        <f t="shared" si="114"/>
        <v>0</v>
      </c>
      <c r="BN197" s="178">
        <v>188</v>
      </c>
      <c r="BO197" s="87">
        <f t="shared" si="115"/>
        <v>2.23E-5</v>
      </c>
      <c r="BP197" s="215">
        <f t="shared" si="105"/>
        <v>0</v>
      </c>
      <c r="BR197" s="126"/>
      <c r="BS197" s="126"/>
      <c r="BU197" s="178"/>
      <c r="BV197" s="179" t="str">
        <f t="shared" si="116"/>
        <v/>
      </c>
      <c r="BW197" s="179" t="str">
        <f t="shared" si="117"/>
        <v/>
      </c>
      <c r="BX197" s="179" t="str">
        <f t="shared" si="118"/>
        <v/>
      </c>
      <c r="BY197" s="179" t="str">
        <f t="shared" si="119"/>
        <v/>
      </c>
      <c r="BZ197" s="179" t="str">
        <f t="shared" si="120"/>
        <v/>
      </c>
      <c r="CA197" s="179" t="str">
        <f t="shared" si="121"/>
        <v/>
      </c>
      <c r="CB197" s="179" t="str">
        <f t="shared" si="122"/>
        <v/>
      </c>
      <c r="CC197" s="179" t="str">
        <f t="shared" si="123"/>
        <v/>
      </c>
      <c r="CD197" s="179" t="str">
        <f t="shared" si="124"/>
        <v/>
      </c>
      <c r="CE197" s="179" t="str">
        <f t="shared" si="125"/>
        <v/>
      </c>
      <c r="CF197" s="179" t="str">
        <f t="shared" si="126"/>
        <v/>
      </c>
      <c r="CG197" s="179" t="str">
        <f t="shared" si="127"/>
        <v/>
      </c>
      <c r="CH197" s="166"/>
      <c r="CI197" s="166"/>
      <c r="CJ197" s="166"/>
      <c r="CK197" s="166" t="s">
        <v>150</v>
      </c>
      <c r="CL197" s="166"/>
    </row>
    <row r="198" spans="1:90" ht="14.25" customHeight="1" thickBot="1" x14ac:dyDescent="0.3">
      <c r="A198" s="213">
        <v>188</v>
      </c>
      <c r="B198" s="88"/>
      <c r="C198" s="201"/>
      <c r="D198" s="94"/>
      <c r="E198" s="321" t="s">
        <v>93</v>
      </c>
      <c r="F198" s="96"/>
      <c r="G198" s="100"/>
      <c r="H198" s="100"/>
      <c r="I198" s="100"/>
      <c r="J198" s="100"/>
      <c r="K198" s="100"/>
      <c r="L198" s="100"/>
      <c r="M198" s="210"/>
      <c r="N198" s="234">
        <f t="shared" si="128"/>
        <v>0</v>
      </c>
      <c r="O198" s="308"/>
      <c r="P198" s="343"/>
      <c r="Q198" s="309"/>
      <c r="R198" s="324" t="s">
        <v>67</v>
      </c>
      <c r="S198" s="96"/>
      <c r="T198" s="100"/>
      <c r="U198" s="100"/>
      <c r="V198" s="100"/>
      <c r="W198" s="100"/>
      <c r="X198" s="100"/>
      <c r="Y198" s="97"/>
      <c r="Z198" s="210"/>
      <c r="AA198" s="234">
        <f t="shared" si="129"/>
        <v>0</v>
      </c>
      <c r="AB198" s="314">
        <f t="shared" si="106"/>
        <v>0</v>
      </c>
      <c r="AC198" s="314"/>
      <c r="AD198" s="314">
        <f t="shared" si="107"/>
        <v>0</v>
      </c>
      <c r="AE198" s="324" t="s">
        <v>87</v>
      </c>
      <c r="AF198" s="82"/>
      <c r="AG198" s="337"/>
      <c r="AH198" s="337"/>
      <c r="AI198" s="337"/>
      <c r="AJ198" s="337"/>
      <c r="AK198" s="337"/>
      <c r="AL198" s="338"/>
      <c r="AM198" s="354"/>
      <c r="AN198" s="91">
        <f t="shared" si="130"/>
        <v>0</v>
      </c>
      <c r="AO198" s="96">
        <f t="shared" si="108"/>
        <v>0</v>
      </c>
      <c r="AP198" s="210"/>
      <c r="AQ198" s="97">
        <f t="shared" si="109"/>
        <v>0</v>
      </c>
      <c r="AR198" s="105"/>
      <c r="AS198" s="102"/>
      <c r="AT198" s="237"/>
      <c r="AU198" s="231"/>
      <c r="AV198" s="93"/>
      <c r="AW198" s="231"/>
      <c r="AX198" s="93"/>
      <c r="AY198" s="231"/>
      <c r="AZ198" s="93"/>
      <c r="BA198" s="17">
        <f t="shared" si="100"/>
        <v>1.98E-5</v>
      </c>
      <c r="BB198" s="17">
        <f t="shared" si="101"/>
        <v>0</v>
      </c>
      <c r="BC198" s="17"/>
      <c r="BD198" s="178">
        <v>189</v>
      </c>
      <c r="BE198" s="214">
        <f t="shared" si="110"/>
        <v>2.3899999999999998E-5</v>
      </c>
      <c r="BF198" s="178">
        <f t="shared" si="102"/>
        <v>0</v>
      </c>
      <c r="BG198" s="245">
        <f t="shared" si="103"/>
        <v>1.98E-5</v>
      </c>
      <c r="BH198" s="17">
        <f t="shared" si="111"/>
        <v>0</v>
      </c>
      <c r="BI198" s="178">
        <v>189</v>
      </c>
      <c r="BJ198" s="87">
        <f t="shared" si="112"/>
        <v>2.2199999999999998E-5</v>
      </c>
      <c r="BK198" s="215">
        <f t="shared" si="104"/>
        <v>0</v>
      </c>
      <c r="BL198" s="245">
        <f t="shared" si="113"/>
        <v>1.98E-5</v>
      </c>
      <c r="BM198" s="17">
        <f t="shared" si="114"/>
        <v>0</v>
      </c>
      <c r="BN198" s="178">
        <v>189</v>
      </c>
      <c r="BO198" s="87">
        <f t="shared" si="115"/>
        <v>2.2199999999999998E-5</v>
      </c>
      <c r="BP198" s="215">
        <f t="shared" si="105"/>
        <v>0</v>
      </c>
      <c r="BR198" s="126"/>
      <c r="BS198" s="126"/>
      <c r="BU198" s="178"/>
      <c r="BV198" s="179" t="str">
        <f t="shared" si="116"/>
        <v/>
      </c>
      <c r="BW198" s="179" t="str">
        <f t="shared" si="117"/>
        <v/>
      </c>
      <c r="BX198" s="179" t="str">
        <f t="shared" si="118"/>
        <v/>
      </c>
      <c r="BY198" s="179" t="str">
        <f t="shared" si="119"/>
        <v/>
      </c>
      <c r="BZ198" s="179" t="str">
        <f t="shared" si="120"/>
        <v/>
      </c>
      <c r="CA198" s="179" t="str">
        <f t="shared" si="121"/>
        <v/>
      </c>
      <c r="CB198" s="179" t="str">
        <f t="shared" si="122"/>
        <v/>
      </c>
      <c r="CC198" s="179" t="str">
        <f t="shared" si="123"/>
        <v/>
      </c>
      <c r="CD198" s="179" t="str">
        <f t="shared" si="124"/>
        <v/>
      </c>
      <c r="CE198" s="179" t="str">
        <f t="shared" si="125"/>
        <v/>
      </c>
      <c r="CF198" s="179" t="str">
        <f t="shared" si="126"/>
        <v/>
      </c>
      <c r="CG198" s="179" t="str">
        <f t="shared" si="127"/>
        <v/>
      </c>
      <c r="CH198" s="166"/>
      <c r="CI198" s="166"/>
      <c r="CJ198" s="166"/>
      <c r="CK198" s="166" t="s">
        <v>150</v>
      </c>
      <c r="CL198" s="166"/>
    </row>
    <row r="199" spans="1:90" ht="14.25" customHeight="1" x14ac:dyDescent="0.25">
      <c r="A199" s="211">
        <v>189</v>
      </c>
      <c r="B199" s="89"/>
      <c r="C199" s="199"/>
      <c r="D199" s="146"/>
      <c r="E199" s="319" t="s">
        <v>93</v>
      </c>
      <c r="F199" s="221"/>
      <c r="G199" s="222"/>
      <c r="H199" s="222"/>
      <c r="I199" s="222"/>
      <c r="J199" s="222"/>
      <c r="K199" s="222"/>
      <c r="L199" s="222"/>
      <c r="M199" s="331"/>
      <c r="N199" s="303">
        <f t="shared" si="128"/>
        <v>0</v>
      </c>
      <c r="O199" s="304"/>
      <c r="P199" s="341"/>
      <c r="Q199" s="305"/>
      <c r="R199" s="322" t="s">
        <v>67</v>
      </c>
      <c r="S199" s="326"/>
      <c r="T199" s="327"/>
      <c r="U199" s="327"/>
      <c r="V199" s="327"/>
      <c r="W199" s="327"/>
      <c r="X199" s="327"/>
      <c r="Y199" s="95"/>
      <c r="Z199" s="331"/>
      <c r="AA199" s="303">
        <f t="shared" si="129"/>
        <v>0</v>
      </c>
      <c r="AB199" s="314">
        <f t="shared" si="106"/>
        <v>0</v>
      </c>
      <c r="AC199" s="314"/>
      <c r="AD199" s="314">
        <f t="shared" si="107"/>
        <v>0</v>
      </c>
      <c r="AE199" s="325" t="s">
        <v>148</v>
      </c>
      <c r="AF199" s="15"/>
      <c r="AG199" s="232"/>
      <c r="AH199" s="232"/>
      <c r="AI199" s="232"/>
      <c r="AJ199" s="232"/>
      <c r="AK199" s="232"/>
      <c r="AL199" s="7"/>
      <c r="AM199" s="352"/>
      <c r="AN199" s="22">
        <f t="shared" si="130"/>
        <v>0</v>
      </c>
      <c r="AO199" s="15">
        <f t="shared" si="108"/>
        <v>0</v>
      </c>
      <c r="AP199" s="345"/>
      <c r="AQ199" s="7">
        <f t="shared" si="109"/>
        <v>0</v>
      </c>
      <c r="AR199" s="103"/>
      <c r="AS199" s="101"/>
      <c r="AT199" s="236"/>
      <c r="AU199" s="235"/>
      <c r="AV199" s="92"/>
      <c r="AW199" s="235"/>
      <c r="AX199" s="92"/>
      <c r="AY199" s="235"/>
      <c r="AZ199" s="92"/>
      <c r="BA199" s="17">
        <f t="shared" si="100"/>
        <v>1.9899999999999999E-5</v>
      </c>
      <c r="BB199" s="17">
        <f t="shared" si="101"/>
        <v>0</v>
      </c>
      <c r="BC199" s="17"/>
      <c r="BD199" s="178">
        <v>190</v>
      </c>
      <c r="BE199" s="214">
        <f t="shared" si="110"/>
        <v>2.3799999999999999E-5</v>
      </c>
      <c r="BF199" s="178">
        <f t="shared" si="102"/>
        <v>0</v>
      </c>
      <c r="BG199" s="245">
        <f t="shared" si="103"/>
        <v>1.9899999999999999E-5</v>
      </c>
      <c r="BH199" s="17">
        <f t="shared" si="111"/>
        <v>0</v>
      </c>
      <c r="BI199" s="178">
        <v>190</v>
      </c>
      <c r="BJ199" s="87">
        <f t="shared" si="112"/>
        <v>2.2099999999999998E-5</v>
      </c>
      <c r="BK199" s="215">
        <f t="shared" si="104"/>
        <v>0</v>
      </c>
      <c r="BL199" s="245">
        <f t="shared" si="113"/>
        <v>1.9899999999999999E-5</v>
      </c>
      <c r="BM199" s="17">
        <f t="shared" si="114"/>
        <v>0</v>
      </c>
      <c r="BN199" s="178">
        <v>190</v>
      </c>
      <c r="BO199" s="87">
        <f t="shared" si="115"/>
        <v>2.2099999999999998E-5</v>
      </c>
      <c r="BP199" s="215">
        <f t="shared" si="105"/>
        <v>0</v>
      </c>
      <c r="BR199" s="126"/>
      <c r="BS199" s="126"/>
      <c r="BU199" s="178"/>
      <c r="BV199" s="179" t="str">
        <f t="shared" si="116"/>
        <v/>
      </c>
      <c r="BW199" s="179" t="str">
        <f t="shared" si="117"/>
        <v/>
      </c>
      <c r="BX199" s="179" t="str">
        <f t="shared" si="118"/>
        <v/>
      </c>
      <c r="BY199" s="179" t="str">
        <f t="shared" si="119"/>
        <v/>
      </c>
      <c r="BZ199" s="179" t="str">
        <f t="shared" si="120"/>
        <v/>
      </c>
      <c r="CA199" s="179" t="str">
        <f t="shared" si="121"/>
        <v/>
      </c>
      <c r="CB199" s="179" t="str">
        <f t="shared" si="122"/>
        <v/>
      </c>
      <c r="CC199" s="179" t="str">
        <f t="shared" si="123"/>
        <v/>
      </c>
      <c r="CD199" s="179" t="str">
        <f t="shared" si="124"/>
        <v/>
      </c>
      <c r="CE199" s="179" t="str">
        <f t="shared" si="125"/>
        <v/>
      </c>
      <c r="CF199" s="179" t="str">
        <f t="shared" si="126"/>
        <v/>
      </c>
      <c r="CG199" s="179" t="str">
        <f t="shared" si="127"/>
        <v/>
      </c>
      <c r="CH199" s="166"/>
      <c r="CI199" s="166"/>
      <c r="CJ199" s="166"/>
      <c r="CK199" s="166" t="s">
        <v>150</v>
      </c>
      <c r="CL199" s="166"/>
    </row>
    <row r="200" spans="1:90" ht="14.25" customHeight="1" thickBot="1" x14ac:dyDescent="0.3">
      <c r="A200" s="213">
        <v>190</v>
      </c>
      <c r="B200" s="219"/>
      <c r="C200" s="200"/>
      <c r="D200" s="145"/>
      <c r="E200" s="320" t="s">
        <v>93</v>
      </c>
      <c r="F200" s="209"/>
      <c r="G200" s="313"/>
      <c r="H200" s="313"/>
      <c r="I200" s="313"/>
      <c r="J200" s="313"/>
      <c r="K200" s="313"/>
      <c r="L200" s="313"/>
      <c r="M200" s="339"/>
      <c r="N200" s="233">
        <f t="shared" si="128"/>
        <v>0</v>
      </c>
      <c r="O200" s="306"/>
      <c r="P200" s="342"/>
      <c r="Q200" s="307"/>
      <c r="R200" s="323" t="s">
        <v>67</v>
      </c>
      <c r="S200" s="209"/>
      <c r="T200" s="313"/>
      <c r="U200" s="313"/>
      <c r="V200" s="313"/>
      <c r="W200" s="313"/>
      <c r="X200" s="313"/>
      <c r="Y200" s="125"/>
      <c r="Z200" s="339"/>
      <c r="AA200" s="233">
        <f t="shared" si="129"/>
        <v>0</v>
      </c>
      <c r="AB200" s="314">
        <f t="shared" si="106"/>
        <v>0</v>
      </c>
      <c r="AC200" s="314"/>
      <c r="AD200" s="314">
        <f t="shared" si="107"/>
        <v>0</v>
      </c>
      <c r="AE200" s="323" t="s">
        <v>87</v>
      </c>
      <c r="AF200" s="81"/>
      <c r="AG200" s="335"/>
      <c r="AH200" s="335"/>
      <c r="AI200" s="335"/>
      <c r="AJ200" s="335"/>
      <c r="AK200" s="335"/>
      <c r="AL200" s="336"/>
      <c r="AM200" s="353"/>
      <c r="AN200" s="22">
        <f t="shared" si="130"/>
        <v>0</v>
      </c>
      <c r="AO200" s="209">
        <f t="shared" si="108"/>
        <v>0</v>
      </c>
      <c r="AP200" s="339"/>
      <c r="AQ200" s="125">
        <f t="shared" si="109"/>
        <v>0</v>
      </c>
      <c r="AR200" s="104"/>
      <c r="AS200" s="217"/>
      <c r="AT200" s="216"/>
      <c r="AU200" s="230"/>
      <c r="AV200" s="220"/>
      <c r="AW200" s="230"/>
      <c r="AX200" s="220"/>
      <c r="AY200" s="230"/>
      <c r="AZ200" s="220"/>
      <c r="BA200" s="17">
        <f t="shared" si="100"/>
        <v>1.9999999999999998E-5</v>
      </c>
      <c r="BB200" s="17">
        <f t="shared" si="101"/>
        <v>0</v>
      </c>
      <c r="BC200" s="17"/>
      <c r="BD200" s="178">
        <v>191</v>
      </c>
      <c r="BE200" s="214">
        <f t="shared" si="110"/>
        <v>2.37E-5</v>
      </c>
      <c r="BF200" s="178">
        <f t="shared" si="102"/>
        <v>0</v>
      </c>
      <c r="BG200" s="245">
        <f t="shared" si="103"/>
        <v>1.9999999999999998E-5</v>
      </c>
      <c r="BH200" s="17">
        <f t="shared" si="111"/>
        <v>0</v>
      </c>
      <c r="BI200" s="178">
        <v>191</v>
      </c>
      <c r="BJ200" s="87">
        <f t="shared" si="112"/>
        <v>2.1999999999999999E-5</v>
      </c>
      <c r="BK200" s="215">
        <f t="shared" si="104"/>
        <v>0</v>
      </c>
      <c r="BL200" s="245">
        <f t="shared" si="113"/>
        <v>1.9999999999999998E-5</v>
      </c>
      <c r="BM200" s="17">
        <f t="shared" si="114"/>
        <v>0</v>
      </c>
      <c r="BN200" s="178">
        <v>191</v>
      </c>
      <c r="BO200" s="87">
        <f t="shared" si="115"/>
        <v>2.1999999999999999E-5</v>
      </c>
      <c r="BP200" s="215">
        <f t="shared" si="105"/>
        <v>0</v>
      </c>
      <c r="BR200" s="126"/>
      <c r="BS200" s="126"/>
      <c r="BU200" s="178"/>
      <c r="BV200" s="179" t="str">
        <f t="shared" si="116"/>
        <v/>
      </c>
      <c r="BW200" s="179" t="str">
        <f t="shared" si="117"/>
        <v/>
      </c>
      <c r="BX200" s="179" t="str">
        <f t="shared" si="118"/>
        <v/>
      </c>
      <c r="BY200" s="179" t="str">
        <f t="shared" si="119"/>
        <v/>
      </c>
      <c r="BZ200" s="179" t="str">
        <f t="shared" si="120"/>
        <v/>
      </c>
      <c r="CA200" s="179" t="str">
        <f t="shared" si="121"/>
        <v/>
      </c>
      <c r="CB200" s="179" t="str">
        <f t="shared" si="122"/>
        <v/>
      </c>
      <c r="CC200" s="179" t="str">
        <f t="shared" si="123"/>
        <v/>
      </c>
      <c r="CD200" s="179" t="str">
        <f t="shared" si="124"/>
        <v/>
      </c>
      <c r="CE200" s="179" t="str">
        <f t="shared" si="125"/>
        <v/>
      </c>
      <c r="CF200" s="179" t="str">
        <f t="shared" si="126"/>
        <v/>
      </c>
      <c r="CG200" s="179" t="str">
        <f t="shared" si="127"/>
        <v/>
      </c>
      <c r="CH200" s="166"/>
      <c r="CI200" s="166"/>
      <c r="CJ200" s="166"/>
      <c r="CK200" s="166" t="s">
        <v>150</v>
      </c>
      <c r="CL200" s="166"/>
    </row>
    <row r="201" spans="1:90" ht="14.25" customHeight="1" thickBot="1" x14ac:dyDescent="0.3">
      <c r="A201" s="211">
        <v>191</v>
      </c>
      <c r="B201" s="88"/>
      <c r="C201" s="201"/>
      <c r="D201" s="94"/>
      <c r="E201" s="321" t="s">
        <v>93</v>
      </c>
      <c r="F201" s="96"/>
      <c r="G201" s="100"/>
      <c r="H201" s="100"/>
      <c r="I201" s="100"/>
      <c r="J201" s="100"/>
      <c r="K201" s="100"/>
      <c r="L201" s="100"/>
      <c r="M201" s="210"/>
      <c r="N201" s="234">
        <f t="shared" si="128"/>
        <v>0</v>
      </c>
      <c r="O201" s="308"/>
      <c r="P201" s="343"/>
      <c r="Q201" s="309"/>
      <c r="R201" s="324" t="s">
        <v>67</v>
      </c>
      <c r="S201" s="96"/>
      <c r="T201" s="100"/>
      <c r="U201" s="100"/>
      <c r="V201" s="100"/>
      <c r="W201" s="100"/>
      <c r="X201" s="100"/>
      <c r="Y201" s="97"/>
      <c r="Z201" s="210"/>
      <c r="AA201" s="234">
        <f t="shared" si="129"/>
        <v>0</v>
      </c>
      <c r="AB201" s="314">
        <f t="shared" si="106"/>
        <v>0</v>
      </c>
      <c r="AC201" s="314"/>
      <c r="AD201" s="314">
        <f t="shared" si="107"/>
        <v>0</v>
      </c>
      <c r="AE201" s="324" t="s">
        <v>87</v>
      </c>
      <c r="AF201" s="82"/>
      <c r="AG201" s="337"/>
      <c r="AH201" s="337"/>
      <c r="AI201" s="337"/>
      <c r="AJ201" s="337"/>
      <c r="AK201" s="337"/>
      <c r="AL201" s="338"/>
      <c r="AM201" s="354"/>
      <c r="AN201" s="91">
        <f t="shared" si="130"/>
        <v>0</v>
      </c>
      <c r="AO201" s="96">
        <f t="shared" si="108"/>
        <v>0</v>
      </c>
      <c r="AP201" s="210"/>
      <c r="AQ201" s="97">
        <f t="shared" si="109"/>
        <v>0</v>
      </c>
      <c r="AR201" s="105"/>
      <c r="AS201" s="102"/>
      <c r="AT201" s="237"/>
      <c r="AU201" s="231"/>
      <c r="AV201" s="93"/>
      <c r="AW201" s="231"/>
      <c r="AX201" s="93"/>
      <c r="AY201" s="231"/>
      <c r="AZ201" s="93"/>
      <c r="BA201" s="17">
        <f t="shared" si="100"/>
        <v>2.0100000000000001E-5</v>
      </c>
      <c r="BB201" s="17">
        <f t="shared" si="101"/>
        <v>0</v>
      </c>
      <c r="BC201" s="17"/>
      <c r="BD201" s="178">
        <v>192</v>
      </c>
      <c r="BE201" s="214">
        <f t="shared" si="110"/>
        <v>2.3599999999999998E-5</v>
      </c>
      <c r="BF201" s="178">
        <f t="shared" si="102"/>
        <v>0</v>
      </c>
      <c r="BG201" s="245">
        <f t="shared" si="103"/>
        <v>2.0100000000000001E-5</v>
      </c>
      <c r="BH201" s="17">
        <f t="shared" si="111"/>
        <v>0</v>
      </c>
      <c r="BI201" s="178">
        <v>192</v>
      </c>
      <c r="BJ201" s="87">
        <f t="shared" si="112"/>
        <v>2.19E-5</v>
      </c>
      <c r="BK201" s="215">
        <f t="shared" si="104"/>
        <v>0</v>
      </c>
      <c r="BL201" s="245">
        <f t="shared" si="113"/>
        <v>2.0100000000000001E-5</v>
      </c>
      <c r="BM201" s="17">
        <f t="shared" si="114"/>
        <v>0</v>
      </c>
      <c r="BN201" s="178">
        <v>192</v>
      </c>
      <c r="BO201" s="87">
        <f t="shared" si="115"/>
        <v>2.19E-5</v>
      </c>
      <c r="BP201" s="215">
        <f t="shared" si="105"/>
        <v>0</v>
      </c>
      <c r="BR201" s="126"/>
      <c r="BS201" s="126"/>
      <c r="BU201" s="178"/>
      <c r="BV201" s="179" t="str">
        <f t="shared" si="116"/>
        <v/>
      </c>
      <c r="BW201" s="179" t="str">
        <f t="shared" si="117"/>
        <v/>
      </c>
      <c r="BX201" s="179" t="str">
        <f t="shared" si="118"/>
        <v/>
      </c>
      <c r="BY201" s="179" t="str">
        <f t="shared" si="119"/>
        <v/>
      </c>
      <c r="BZ201" s="179" t="str">
        <f t="shared" si="120"/>
        <v/>
      </c>
      <c r="CA201" s="179" t="str">
        <f t="shared" si="121"/>
        <v/>
      </c>
      <c r="CB201" s="179" t="str">
        <f t="shared" si="122"/>
        <v/>
      </c>
      <c r="CC201" s="179" t="str">
        <f t="shared" si="123"/>
        <v/>
      </c>
      <c r="CD201" s="179" t="str">
        <f t="shared" si="124"/>
        <v/>
      </c>
      <c r="CE201" s="179" t="str">
        <f t="shared" si="125"/>
        <v/>
      </c>
      <c r="CF201" s="179" t="str">
        <f t="shared" si="126"/>
        <v/>
      </c>
      <c r="CG201" s="179" t="str">
        <f t="shared" si="127"/>
        <v/>
      </c>
      <c r="CH201" s="166"/>
      <c r="CI201" s="166"/>
      <c r="CJ201" s="166"/>
      <c r="CK201" s="166" t="s">
        <v>150</v>
      </c>
      <c r="CL201" s="166"/>
    </row>
    <row r="202" spans="1:90" ht="14.25" customHeight="1" thickBot="1" x14ac:dyDescent="0.3">
      <c r="A202" s="213">
        <v>192</v>
      </c>
      <c r="B202" s="89"/>
      <c r="C202" s="199"/>
      <c r="D202" s="146"/>
      <c r="E202" s="319" t="s">
        <v>93</v>
      </c>
      <c r="F202" s="221"/>
      <c r="G202" s="222"/>
      <c r="H202" s="222"/>
      <c r="I202" s="222"/>
      <c r="J202" s="222"/>
      <c r="K202" s="222"/>
      <c r="L202" s="222"/>
      <c r="M202" s="331"/>
      <c r="N202" s="303">
        <f t="shared" si="128"/>
        <v>0</v>
      </c>
      <c r="O202" s="304"/>
      <c r="P202" s="341"/>
      <c r="Q202" s="305"/>
      <c r="R202" s="322" t="s">
        <v>67</v>
      </c>
      <c r="S202" s="326"/>
      <c r="T202" s="327"/>
      <c r="U202" s="327"/>
      <c r="V202" s="327"/>
      <c r="W202" s="327"/>
      <c r="X202" s="327"/>
      <c r="Y202" s="95"/>
      <c r="Z202" s="331"/>
      <c r="AA202" s="303">
        <f t="shared" si="129"/>
        <v>0</v>
      </c>
      <c r="AB202" s="314">
        <f t="shared" si="106"/>
        <v>0</v>
      </c>
      <c r="AC202" s="314"/>
      <c r="AD202" s="314">
        <f t="shared" si="107"/>
        <v>0</v>
      </c>
      <c r="AE202" s="325" t="s">
        <v>148</v>
      </c>
      <c r="AF202" s="15"/>
      <c r="AG202" s="232"/>
      <c r="AH202" s="232"/>
      <c r="AI202" s="232"/>
      <c r="AJ202" s="232"/>
      <c r="AK202" s="232"/>
      <c r="AL202" s="7"/>
      <c r="AM202" s="352"/>
      <c r="AN202" s="22">
        <f t="shared" si="130"/>
        <v>0</v>
      </c>
      <c r="AO202" s="15">
        <f t="shared" si="108"/>
        <v>0</v>
      </c>
      <c r="AP202" s="345"/>
      <c r="AQ202" s="7">
        <f t="shared" si="109"/>
        <v>0</v>
      </c>
      <c r="AR202" s="103"/>
      <c r="AS202" s="101"/>
      <c r="AT202" s="236"/>
      <c r="AU202" s="235"/>
      <c r="AV202" s="92"/>
      <c r="AW202" s="235"/>
      <c r="AX202" s="92"/>
      <c r="AY202" s="235"/>
      <c r="AZ202" s="92"/>
      <c r="BA202" s="17">
        <f t="shared" ref="BA202:BA265" si="131">N202+ROW()*0.0000001</f>
        <v>2.02E-5</v>
      </c>
      <c r="BB202" s="17">
        <f t="shared" ref="BB202:BB265" si="132">B202</f>
        <v>0</v>
      </c>
      <c r="BC202" s="17"/>
      <c r="BD202" s="178">
        <v>193</v>
      </c>
      <c r="BE202" s="214">
        <f t="shared" si="110"/>
        <v>2.3499999999999999E-5</v>
      </c>
      <c r="BF202" s="178">
        <f t="shared" ref="BF202:BF265" si="133">IFERROR(VLOOKUP(BE202,الترتيب1,2,0),"")</f>
        <v>0</v>
      </c>
      <c r="BG202" s="245">
        <f t="shared" ref="BG202:BG265" si="134">AA202+ROW()*0.0000001</f>
        <v>2.02E-5</v>
      </c>
      <c r="BH202" s="17">
        <f t="shared" si="111"/>
        <v>0</v>
      </c>
      <c r="BI202" s="178">
        <v>193</v>
      </c>
      <c r="BJ202" s="87">
        <f t="shared" si="112"/>
        <v>2.1799999999999998E-5</v>
      </c>
      <c r="BK202" s="215">
        <f t="shared" ref="BK202:BK265" si="135">IFERROR(VLOOKUP(BJ202,الترتيب2,2,0),"")</f>
        <v>0</v>
      </c>
      <c r="BL202" s="245">
        <f t="shared" si="113"/>
        <v>2.02E-5</v>
      </c>
      <c r="BM202" s="17">
        <f t="shared" si="114"/>
        <v>0</v>
      </c>
      <c r="BN202" s="178">
        <v>193</v>
      </c>
      <c r="BO202" s="87">
        <f t="shared" si="115"/>
        <v>2.1799999999999998E-5</v>
      </c>
      <c r="BP202" s="215">
        <f t="shared" ref="BP202:BP265" si="136">IFERROR(VLOOKUP(BO202,الترتيب3,2,0),"")</f>
        <v>0</v>
      </c>
      <c r="BR202" s="126"/>
      <c r="BS202" s="126"/>
      <c r="BU202" s="178"/>
      <c r="BV202" s="179" t="str">
        <f t="shared" si="116"/>
        <v/>
      </c>
      <c r="BW202" s="179" t="str">
        <f t="shared" si="117"/>
        <v/>
      </c>
      <c r="BX202" s="179" t="str">
        <f t="shared" si="118"/>
        <v/>
      </c>
      <c r="BY202" s="179" t="str">
        <f t="shared" si="119"/>
        <v/>
      </c>
      <c r="BZ202" s="179" t="str">
        <f t="shared" si="120"/>
        <v/>
      </c>
      <c r="CA202" s="179" t="str">
        <f t="shared" si="121"/>
        <v/>
      </c>
      <c r="CB202" s="179" t="str">
        <f t="shared" si="122"/>
        <v/>
      </c>
      <c r="CC202" s="179" t="str">
        <f t="shared" si="123"/>
        <v/>
      </c>
      <c r="CD202" s="179" t="str">
        <f t="shared" si="124"/>
        <v/>
      </c>
      <c r="CE202" s="179" t="str">
        <f t="shared" si="125"/>
        <v/>
      </c>
      <c r="CF202" s="179" t="str">
        <f t="shared" si="126"/>
        <v/>
      </c>
      <c r="CG202" s="179" t="str">
        <f t="shared" si="127"/>
        <v/>
      </c>
      <c r="CH202" s="166"/>
      <c r="CI202" s="166"/>
      <c r="CJ202" s="166"/>
      <c r="CK202" s="166" t="s">
        <v>150</v>
      </c>
      <c r="CL202" s="166"/>
    </row>
    <row r="203" spans="1:90" ht="14.25" customHeight="1" x14ac:dyDescent="0.25">
      <c r="A203" s="211">
        <v>193</v>
      </c>
      <c r="B203" s="219"/>
      <c r="C203" s="200"/>
      <c r="D203" s="145"/>
      <c r="E203" s="320" t="s">
        <v>93</v>
      </c>
      <c r="F203" s="209"/>
      <c r="G203" s="313"/>
      <c r="H203" s="313"/>
      <c r="I203" s="313"/>
      <c r="J203" s="313"/>
      <c r="K203" s="313"/>
      <c r="L203" s="313"/>
      <c r="M203" s="339"/>
      <c r="N203" s="233">
        <f t="shared" si="128"/>
        <v>0</v>
      </c>
      <c r="O203" s="306"/>
      <c r="P203" s="342"/>
      <c r="Q203" s="307"/>
      <c r="R203" s="323" t="s">
        <v>67</v>
      </c>
      <c r="S203" s="209"/>
      <c r="T203" s="313"/>
      <c r="U203" s="313"/>
      <c r="V203" s="313"/>
      <c r="W203" s="313"/>
      <c r="X203" s="313"/>
      <c r="Y203" s="125"/>
      <c r="Z203" s="339"/>
      <c r="AA203" s="233">
        <f t="shared" si="129"/>
        <v>0</v>
      </c>
      <c r="AB203" s="314">
        <f t="shared" ref="AB203:AB266" si="137">O203</f>
        <v>0</v>
      </c>
      <c r="AC203" s="314"/>
      <c r="AD203" s="314">
        <f t="shared" ref="AD203:AD266" si="138">Q203</f>
        <v>0</v>
      </c>
      <c r="AE203" s="323" t="s">
        <v>87</v>
      </c>
      <c r="AF203" s="81"/>
      <c r="AG203" s="335"/>
      <c r="AH203" s="335"/>
      <c r="AI203" s="335"/>
      <c r="AJ203" s="335"/>
      <c r="AK203" s="335"/>
      <c r="AL203" s="336"/>
      <c r="AM203" s="353"/>
      <c r="AN203" s="22">
        <f t="shared" si="130"/>
        <v>0</v>
      </c>
      <c r="AO203" s="209">
        <f t="shared" ref="AO203:AO266" si="139">AB203</f>
        <v>0</v>
      </c>
      <c r="AP203" s="339"/>
      <c r="AQ203" s="125">
        <f t="shared" ref="AQ203:AQ266" si="140">AD203</f>
        <v>0</v>
      </c>
      <c r="AR203" s="104"/>
      <c r="AS203" s="217"/>
      <c r="AT203" s="216"/>
      <c r="AU203" s="230"/>
      <c r="AV203" s="220"/>
      <c r="AW203" s="230"/>
      <c r="AX203" s="220"/>
      <c r="AY203" s="230"/>
      <c r="AZ203" s="220"/>
      <c r="BA203" s="17">
        <f t="shared" si="131"/>
        <v>2.0299999999999999E-5</v>
      </c>
      <c r="BB203" s="17">
        <f t="shared" si="132"/>
        <v>0</v>
      </c>
      <c r="BC203" s="17"/>
      <c r="BD203" s="178">
        <v>194</v>
      </c>
      <c r="BE203" s="214">
        <f t="shared" ref="BE203:BE266" si="141">IFERROR(LARGE($BA$11:$BA$410,BD203),"")</f>
        <v>2.34E-5</v>
      </c>
      <c r="BF203" s="178">
        <f t="shared" si="133"/>
        <v>0</v>
      </c>
      <c r="BG203" s="245">
        <f t="shared" si="134"/>
        <v>2.0299999999999999E-5</v>
      </c>
      <c r="BH203" s="17">
        <f t="shared" ref="BH203:BH266" si="142">BB203</f>
        <v>0</v>
      </c>
      <c r="BI203" s="178">
        <v>194</v>
      </c>
      <c r="BJ203" s="87">
        <f t="shared" ref="BJ203:BJ266" si="143">IFERROR(LARGE($BG$11:$BG$410,BI203),"")</f>
        <v>2.1699999999999999E-5</v>
      </c>
      <c r="BK203" s="215">
        <f t="shared" si="135"/>
        <v>0</v>
      </c>
      <c r="BL203" s="245">
        <f t="shared" ref="BL203:BL266" si="144">AN203+ROW()*0.0000001</f>
        <v>2.0299999999999999E-5</v>
      </c>
      <c r="BM203" s="17">
        <f t="shared" ref="BM203:BM266" si="145">BH203</f>
        <v>0</v>
      </c>
      <c r="BN203" s="178">
        <v>194</v>
      </c>
      <c r="BO203" s="87">
        <f t="shared" ref="BO203:BO266" si="146">IFERROR(LARGE($BL$11:$BL$410,BN203),"")</f>
        <v>2.1699999999999999E-5</v>
      </c>
      <c r="BP203" s="215">
        <f t="shared" si="136"/>
        <v>0</v>
      </c>
      <c r="BR203" s="126"/>
      <c r="BS203" s="126"/>
      <c r="BU203" s="178"/>
      <c r="BV203" s="179" t="str">
        <f t="shared" ref="BV203:BV266" si="147">MID($BT203,12,1)</f>
        <v/>
      </c>
      <c r="BW203" s="179" t="str">
        <f t="shared" ref="BW203:BW266" si="148">MID($BT203,11,1)</f>
        <v/>
      </c>
      <c r="BX203" s="179" t="str">
        <f t="shared" ref="BX203:BX266" si="149">MID($BT203,10,1)</f>
        <v/>
      </c>
      <c r="BY203" s="179" t="str">
        <f t="shared" ref="BY203:BY266" si="150">MID($BT203,9,1)</f>
        <v/>
      </c>
      <c r="BZ203" s="179" t="str">
        <f t="shared" ref="BZ203:BZ266" si="151">MID($BT203,8,1)</f>
        <v/>
      </c>
      <c r="CA203" s="179" t="str">
        <f t="shared" ref="CA203:CA266" si="152">MID($BT203,7,1)</f>
        <v/>
      </c>
      <c r="CB203" s="179" t="str">
        <f t="shared" ref="CB203:CB266" si="153">MID($BT203,6,1)</f>
        <v/>
      </c>
      <c r="CC203" s="179" t="str">
        <f t="shared" ref="CC203:CC266" si="154">MID($BT203,5,1)</f>
        <v/>
      </c>
      <c r="CD203" s="179" t="str">
        <f t="shared" ref="CD203:CD266" si="155">MID($BT203,4,1)</f>
        <v/>
      </c>
      <c r="CE203" s="179" t="str">
        <f t="shared" ref="CE203:CE266" si="156">MID($BT203,3,1)</f>
        <v/>
      </c>
      <c r="CF203" s="179" t="str">
        <f t="shared" ref="CF203:CF266" si="157">MID($BT203,2,1)</f>
        <v/>
      </c>
      <c r="CG203" s="179" t="str">
        <f t="shared" ref="CG203:CG266" si="158">MID($BT203,1,1)</f>
        <v/>
      </c>
      <c r="CH203" s="166"/>
      <c r="CI203" s="166"/>
      <c r="CJ203" s="166"/>
      <c r="CK203" s="166" t="s">
        <v>150</v>
      </c>
      <c r="CL203" s="166"/>
    </row>
    <row r="204" spans="1:90" ht="14.25" customHeight="1" thickBot="1" x14ac:dyDescent="0.3">
      <c r="A204" s="213">
        <v>194</v>
      </c>
      <c r="B204" s="88"/>
      <c r="C204" s="201"/>
      <c r="D204" s="94"/>
      <c r="E204" s="321" t="s">
        <v>93</v>
      </c>
      <c r="F204" s="96"/>
      <c r="G204" s="100"/>
      <c r="H204" s="100"/>
      <c r="I204" s="100"/>
      <c r="J204" s="100"/>
      <c r="K204" s="100"/>
      <c r="L204" s="100"/>
      <c r="M204" s="210"/>
      <c r="N204" s="234">
        <f t="shared" si="128"/>
        <v>0</v>
      </c>
      <c r="O204" s="308"/>
      <c r="P204" s="343"/>
      <c r="Q204" s="309"/>
      <c r="R204" s="324" t="s">
        <v>67</v>
      </c>
      <c r="S204" s="96"/>
      <c r="T204" s="100"/>
      <c r="U204" s="100"/>
      <c r="V204" s="100"/>
      <c r="W204" s="100"/>
      <c r="X204" s="100"/>
      <c r="Y204" s="97"/>
      <c r="Z204" s="210"/>
      <c r="AA204" s="234">
        <f t="shared" si="129"/>
        <v>0</v>
      </c>
      <c r="AB204" s="314">
        <f t="shared" si="137"/>
        <v>0</v>
      </c>
      <c r="AC204" s="314"/>
      <c r="AD204" s="314">
        <f t="shared" si="138"/>
        <v>0</v>
      </c>
      <c r="AE204" s="324" t="s">
        <v>87</v>
      </c>
      <c r="AF204" s="82"/>
      <c r="AG204" s="337"/>
      <c r="AH204" s="337"/>
      <c r="AI204" s="337"/>
      <c r="AJ204" s="337"/>
      <c r="AK204" s="337"/>
      <c r="AL204" s="338"/>
      <c r="AM204" s="354"/>
      <c r="AN204" s="91">
        <f t="shared" si="130"/>
        <v>0</v>
      </c>
      <c r="AO204" s="96">
        <f t="shared" si="139"/>
        <v>0</v>
      </c>
      <c r="AP204" s="210"/>
      <c r="AQ204" s="97">
        <f t="shared" si="140"/>
        <v>0</v>
      </c>
      <c r="AR204" s="105"/>
      <c r="AS204" s="102"/>
      <c r="AT204" s="237"/>
      <c r="AU204" s="231"/>
      <c r="AV204" s="93"/>
      <c r="AW204" s="231"/>
      <c r="AX204" s="93"/>
      <c r="AY204" s="231"/>
      <c r="AZ204" s="93"/>
      <c r="BA204" s="17">
        <f t="shared" si="131"/>
        <v>2.0399999999999998E-5</v>
      </c>
      <c r="BB204" s="17">
        <f t="shared" si="132"/>
        <v>0</v>
      </c>
      <c r="BC204" s="17"/>
      <c r="BD204" s="178">
        <v>195</v>
      </c>
      <c r="BE204" s="214">
        <f t="shared" si="141"/>
        <v>2.3300000000000001E-5</v>
      </c>
      <c r="BF204" s="178">
        <f t="shared" si="133"/>
        <v>0</v>
      </c>
      <c r="BG204" s="245">
        <f t="shared" si="134"/>
        <v>2.0399999999999998E-5</v>
      </c>
      <c r="BH204" s="17">
        <f t="shared" si="142"/>
        <v>0</v>
      </c>
      <c r="BI204" s="178">
        <v>195</v>
      </c>
      <c r="BJ204" s="87">
        <f t="shared" si="143"/>
        <v>2.16E-5</v>
      </c>
      <c r="BK204" s="215">
        <f t="shared" si="135"/>
        <v>0</v>
      </c>
      <c r="BL204" s="245">
        <f t="shared" si="144"/>
        <v>2.0399999999999998E-5</v>
      </c>
      <c r="BM204" s="17">
        <f t="shared" si="145"/>
        <v>0</v>
      </c>
      <c r="BN204" s="178">
        <v>195</v>
      </c>
      <c r="BO204" s="87">
        <f t="shared" si="146"/>
        <v>2.16E-5</v>
      </c>
      <c r="BP204" s="215">
        <f t="shared" si="136"/>
        <v>0</v>
      </c>
      <c r="BR204" s="126"/>
      <c r="BS204" s="126"/>
      <c r="BU204" s="178"/>
      <c r="BV204" s="179" t="str">
        <f t="shared" si="147"/>
        <v/>
      </c>
      <c r="BW204" s="179" t="str">
        <f t="shared" si="148"/>
        <v/>
      </c>
      <c r="BX204" s="179" t="str">
        <f t="shared" si="149"/>
        <v/>
      </c>
      <c r="BY204" s="179" t="str">
        <f t="shared" si="150"/>
        <v/>
      </c>
      <c r="BZ204" s="179" t="str">
        <f t="shared" si="151"/>
        <v/>
      </c>
      <c r="CA204" s="179" t="str">
        <f t="shared" si="152"/>
        <v/>
      </c>
      <c r="CB204" s="179" t="str">
        <f t="shared" si="153"/>
        <v/>
      </c>
      <c r="CC204" s="179" t="str">
        <f t="shared" si="154"/>
        <v/>
      </c>
      <c r="CD204" s="179" t="str">
        <f t="shared" si="155"/>
        <v/>
      </c>
      <c r="CE204" s="179" t="str">
        <f t="shared" si="156"/>
        <v/>
      </c>
      <c r="CF204" s="179" t="str">
        <f t="shared" si="157"/>
        <v/>
      </c>
      <c r="CG204" s="179" t="str">
        <f t="shared" si="158"/>
        <v/>
      </c>
      <c r="CH204" s="166"/>
      <c r="CI204" s="166"/>
      <c r="CJ204" s="166"/>
      <c r="CK204" s="166" t="s">
        <v>150</v>
      </c>
      <c r="CL204" s="166"/>
    </row>
    <row r="205" spans="1:90" ht="14.25" customHeight="1" x14ac:dyDescent="0.25">
      <c r="A205" s="211">
        <v>195</v>
      </c>
      <c r="B205" s="89"/>
      <c r="C205" s="199"/>
      <c r="D205" s="146"/>
      <c r="E205" s="319" t="s">
        <v>93</v>
      </c>
      <c r="F205" s="221"/>
      <c r="G205" s="222"/>
      <c r="H205" s="222"/>
      <c r="I205" s="222"/>
      <c r="J205" s="222"/>
      <c r="K205" s="222"/>
      <c r="L205" s="222"/>
      <c r="M205" s="331"/>
      <c r="N205" s="303">
        <f t="shared" ref="N205:N268" si="159">SUM(F205:L205)</f>
        <v>0</v>
      </c>
      <c r="O205" s="304"/>
      <c r="P205" s="341"/>
      <c r="Q205" s="305"/>
      <c r="R205" s="322" t="s">
        <v>67</v>
      </c>
      <c r="S205" s="326"/>
      <c r="T205" s="327"/>
      <c r="U205" s="327"/>
      <c r="V205" s="327"/>
      <c r="W205" s="327"/>
      <c r="X205" s="327"/>
      <c r="Y205" s="95"/>
      <c r="Z205" s="331"/>
      <c r="AA205" s="303">
        <f t="shared" ref="AA205:AA268" si="160">SUM(S205:Y205)</f>
        <v>0</v>
      </c>
      <c r="AB205" s="314">
        <f t="shared" si="137"/>
        <v>0</v>
      </c>
      <c r="AC205" s="314"/>
      <c r="AD205" s="314">
        <f t="shared" si="138"/>
        <v>0</v>
      </c>
      <c r="AE205" s="325" t="s">
        <v>148</v>
      </c>
      <c r="AF205" s="15"/>
      <c r="AG205" s="232"/>
      <c r="AH205" s="232"/>
      <c r="AI205" s="232"/>
      <c r="AJ205" s="232"/>
      <c r="AK205" s="232"/>
      <c r="AL205" s="7"/>
      <c r="AM205" s="352"/>
      <c r="AN205" s="22">
        <f t="shared" ref="AN205:AN268" si="161">SUM(AF205:AL205)</f>
        <v>0</v>
      </c>
      <c r="AO205" s="15">
        <f t="shared" si="139"/>
        <v>0</v>
      </c>
      <c r="AP205" s="345"/>
      <c r="AQ205" s="7">
        <f t="shared" si="140"/>
        <v>0</v>
      </c>
      <c r="AR205" s="103"/>
      <c r="AS205" s="101"/>
      <c r="AT205" s="236"/>
      <c r="AU205" s="235"/>
      <c r="AV205" s="92"/>
      <c r="AW205" s="235"/>
      <c r="AX205" s="92"/>
      <c r="AY205" s="235"/>
      <c r="AZ205" s="92"/>
      <c r="BA205" s="17">
        <f t="shared" si="131"/>
        <v>2.05E-5</v>
      </c>
      <c r="BB205" s="17">
        <f t="shared" si="132"/>
        <v>0</v>
      </c>
      <c r="BC205" s="17"/>
      <c r="BD205" s="178">
        <v>196</v>
      </c>
      <c r="BE205" s="214">
        <f t="shared" si="141"/>
        <v>2.3199999999999998E-5</v>
      </c>
      <c r="BF205" s="178">
        <f t="shared" si="133"/>
        <v>0</v>
      </c>
      <c r="BG205" s="245">
        <f t="shared" si="134"/>
        <v>2.05E-5</v>
      </c>
      <c r="BH205" s="17">
        <f t="shared" si="142"/>
        <v>0</v>
      </c>
      <c r="BI205" s="178">
        <v>196</v>
      </c>
      <c r="BJ205" s="87">
        <f t="shared" si="143"/>
        <v>2.1499999999999997E-5</v>
      </c>
      <c r="BK205" s="215">
        <f t="shared" si="135"/>
        <v>0</v>
      </c>
      <c r="BL205" s="245">
        <f t="shared" si="144"/>
        <v>2.05E-5</v>
      </c>
      <c r="BM205" s="17">
        <f t="shared" si="145"/>
        <v>0</v>
      </c>
      <c r="BN205" s="178">
        <v>196</v>
      </c>
      <c r="BO205" s="87">
        <f t="shared" si="146"/>
        <v>2.1499999999999997E-5</v>
      </c>
      <c r="BP205" s="215">
        <f t="shared" si="136"/>
        <v>0</v>
      </c>
      <c r="BR205" s="126"/>
      <c r="BS205" s="126"/>
      <c r="BU205" s="178"/>
      <c r="BV205" s="179" t="str">
        <f t="shared" si="147"/>
        <v/>
      </c>
      <c r="BW205" s="179" t="str">
        <f t="shared" si="148"/>
        <v/>
      </c>
      <c r="BX205" s="179" t="str">
        <f t="shared" si="149"/>
        <v/>
      </c>
      <c r="BY205" s="179" t="str">
        <f t="shared" si="150"/>
        <v/>
      </c>
      <c r="BZ205" s="179" t="str">
        <f t="shared" si="151"/>
        <v/>
      </c>
      <c r="CA205" s="179" t="str">
        <f t="shared" si="152"/>
        <v/>
      </c>
      <c r="CB205" s="179" t="str">
        <f t="shared" si="153"/>
        <v/>
      </c>
      <c r="CC205" s="179" t="str">
        <f t="shared" si="154"/>
        <v/>
      </c>
      <c r="CD205" s="179" t="str">
        <f t="shared" si="155"/>
        <v/>
      </c>
      <c r="CE205" s="179" t="str">
        <f t="shared" si="156"/>
        <v/>
      </c>
      <c r="CF205" s="179" t="str">
        <f t="shared" si="157"/>
        <v/>
      </c>
      <c r="CG205" s="179" t="str">
        <f t="shared" si="158"/>
        <v/>
      </c>
      <c r="CH205" s="166"/>
      <c r="CI205" s="166"/>
      <c r="CJ205" s="166"/>
      <c r="CK205" s="166" t="s">
        <v>150</v>
      </c>
      <c r="CL205" s="166"/>
    </row>
    <row r="206" spans="1:90" ht="14.25" customHeight="1" thickBot="1" x14ac:dyDescent="0.3">
      <c r="A206" s="213">
        <v>196</v>
      </c>
      <c r="B206" s="219"/>
      <c r="C206" s="200"/>
      <c r="D206" s="145"/>
      <c r="E206" s="320" t="s">
        <v>93</v>
      </c>
      <c r="F206" s="209"/>
      <c r="G206" s="313"/>
      <c r="H206" s="313"/>
      <c r="I206" s="313"/>
      <c r="J206" s="313"/>
      <c r="K206" s="313"/>
      <c r="L206" s="313"/>
      <c r="M206" s="339"/>
      <c r="N206" s="233">
        <f t="shared" si="159"/>
        <v>0</v>
      </c>
      <c r="O206" s="306"/>
      <c r="P206" s="342"/>
      <c r="Q206" s="307"/>
      <c r="R206" s="323" t="s">
        <v>67</v>
      </c>
      <c r="S206" s="209"/>
      <c r="T206" s="313"/>
      <c r="U206" s="313"/>
      <c r="V206" s="313"/>
      <c r="W206" s="313"/>
      <c r="X206" s="313"/>
      <c r="Y206" s="125"/>
      <c r="Z206" s="339"/>
      <c r="AA206" s="233">
        <f t="shared" si="160"/>
        <v>0</v>
      </c>
      <c r="AB206" s="314">
        <f t="shared" si="137"/>
        <v>0</v>
      </c>
      <c r="AC206" s="314"/>
      <c r="AD206" s="314">
        <f t="shared" si="138"/>
        <v>0</v>
      </c>
      <c r="AE206" s="323" t="s">
        <v>87</v>
      </c>
      <c r="AF206" s="81"/>
      <c r="AG206" s="335"/>
      <c r="AH206" s="335"/>
      <c r="AI206" s="335"/>
      <c r="AJ206" s="335"/>
      <c r="AK206" s="335"/>
      <c r="AL206" s="336"/>
      <c r="AM206" s="353"/>
      <c r="AN206" s="22">
        <f t="shared" si="161"/>
        <v>0</v>
      </c>
      <c r="AO206" s="209">
        <f t="shared" si="139"/>
        <v>0</v>
      </c>
      <c r="AP206" s="339"/>
      <c r="AQ206" s="125">
        <f t="shared" si="140"/>
        <v>0</v>
      </c>
      <c r="AR206" s="104"/>
      <c r="AS206" s="217"/>
      <c r="AT206" s="216"/>
      <c r="AU206" s="230"/>
      <c r="AV206" s="220"/>
      <c r="AW206" s="230"/>
      <c r="AX206" s="220"/>
      <c r="AY206" s="230"/>
      <c r="AZ206" s="220"/>
      <c r="BA206" s="17">
        <f t="shared" si="131"/>
        <v>2.0599999999999999E-5</v>
      </c>
      <c r="BB206" s="17">
        <f t="shared" si="132"/>
        <v>0</v>
      </c>
      <c r="BC206" s="17"/>
      <c r="BD206" s="178">
        <v>197</v>
      </c>
      <c r="BE206" s="214">
        <f t="shared" si="141"/>
        <v>2.3099999999999999E-5</v>
      </c>
      <c r="BF206" s="178">
        <f t="shared" si="133"/>
        <v>0</v>
      </c>
      <c r="BG206" s="245">
        <f t="shared" si="134"/>
        <v>2.0599999999999999E-5</v>
      </c>
      <c r="BH206" s="17">
        <f t="shared" si="142"/>
        <v>0</v>
      </c>
      <c r="BI206" s="178">
        <v>197</v>
      </c>
      <c r="BJ206" s="87">
        <f t="shared" si="143"/>
        <v>2.1399999999999998E-5</v>
      </c>
      <c r="BK206" s="215">
        <f t="shared" si="135"/>
        <v>0</v>
      </c>
      <c r="BL206" s="245">
        <f t="shared" si="144"/>
        <v>2.0599999999999999E-5</v>
      </c>
      <c r="BM206" s="17">
        <f t="shared" si="145"/>
        <v>0</v>
      </c>
      <c r="BN206" s="178">
        <v>197</v>
      </c>
      <c r="BO206" s="87">
        <f t="shared" si="146"/>
        <v>2.1399999999999998E-5</v>
      </c>
      <c r="BP206" s="215">
        <f t="shared" si="136"/>
        <v>0</v>
      </c>
      <c r="BR206" s="126"/>
      <c r="BS206" s="126"/>
      <c r="BU206" s="178"/>
      <c r="BV206" s="179" t="str">
        <f t="shared" si="147"/>
        <v/>
      </c>
      <c r="BW206" s="179" t="str">
        <f t="shared" si="148"/>
        <v/>
      </c>
      <c r="BX206" s="179" t="str">
        <f t="shared" si="149"/>
        <v/>
      </c>
      <c r="BY206" s="179" t="str">
        <f t="shared" si="150"/>
        <v/>
      </c>
      <c r="BZ206" s="179" t="str">
        <f t="shared" si="151"/>
        <v/>
      </c>
      <c r="CA206" s="179" t="str">
        <f t="shared" si="152"/>
        <v/>
      </c>
      <c r="CB206" s="179" t="str">
        <f t="shared" si="153"/>
        <v/>
      </c>
      <c r="CC206" s="179" t="str">
        <f t="shared" si="154"/>
        <v/>
      </c>
      <c r="CD206" s="179" t="str">
        <f t="shared" si="155"/>
        <v/>
      </c>
      <c r="CE206" s="179" t="str">
        <f t="shared" si="156"/>
        <v/>
      </c>
      <c r="CF206" s="179" t="str">
        <f t="shared" si="157"/>
        <v/>
      </c>
      <c r="CG206" s="179" t="str">
        <f t="shared" si="158"/>
        <v/>
      </c>
      <c r="CH206" s="166"/>
      <c r="CI206" s="166"/>
      <c r="CJ206" s="166"/>
      <c r="CK206" s="166" t="s">
        <v>150</v>
      </c>
      <c r="CL206" s="166"/>
    </row>
    <row r="207" spans="1:90" ht="14.25" customHeight="1" thickBot="1" x14ac:dyDescent="0.3">
      <c r="A207" s="211">
        <v>197</v>
      </c>
      <c r="B207" s="88"/>
      <c r="C207" s="201"/>
      <c r="D207" s="94"/>
      <c r="E207" s="321" t="s">
        <v>93</v>
      </c>
      <c r="F207" s="96"/>
      <c r="G207" s="100"/>
      <c r="H207" s="100"/>
      <c r="I207" s="100"/>
      <c r="J207" s="100"/>
      <c r="K207" s="100"/>
      <c r="L207" s="100"/>
      <c r="M207" s="210"/>
      <c r="N207" s="234">
        <f t="shared" si="159"/>
        <v>0</v>
      </c>
      <c r="O207" s="308"/>
      <c r="P207" s="343"/>
      <c r="Q207" s="309"/>
      <c r="R207" s="324" t="s">
        <v>67</v>
      </c>
      <c r="S207" s="96"/>
      <c r="T207" s="100"/>
      <c r="U207" s="100"/>
      <c r="V207" s="100"/>
      <c r="W207" s="100"/>
      <c r="X207" s="100"/>
      <c r="Y207" s="97"/>
      <c r="Z207" s="210"/>
      <c r="AA207" s="234">
        <f t="shared" si="160"/>
        <v>0</v>
      </c>
      <c r="AB207" s="314">
        <f t="shared" si="137"/>
        <v>0</v>
      </c>
      <c r="AC207" s="314"/>
      <c r="AD207" s="314">
        <f t="shared" si="138"/>
        <v>0</v>
      </c>
      <c r="AE207" s="324" t="s">
        <v>87</v>
      </c>
      <c r="AF207" s="82"/>
      <c r="AG207" s="337"/>
      <c r="AH207" s="337"/>
      <c r="AI207" s="337"/>
      <c r="AJ207" s="337"/>
      <c r="AK207" s="337"/>
      <c r="AL207" s="338"/>
      <c r="AM207" s="354"/>
      <c r="AN207" s="91">
        <f t="shared" si="161"/>
        <v>0</v>
      </c>
      <c r="AO207" s="96">
        <f t="shared" si="139"/>
        <v>0</v>
      </c>
      <c r="AP207" s="210"/>
      <c r="AQ207" s="97">
        <f t="shared" si="140"/>
        <v>0</v>
      </c>
      <c r="AR207" s="105"/>
      <c r="AS207" s="102"/>
      <c r="AT207" s="237"/>
      <c r="AU207" s="231"/>
      <c r="AV207" s="93"/>
      <c r="AW207" s="231"/>
      <c r="AX207" s="93"/>
      <c r="AY207" s="231"/>
      <c r="AZ207" s="93"/>
      <c r="BA207" s="17">
        <f t="shared" si="131"/>
        <v>2.0699999999999998E-5</v>
      </c>
      <c r="BB207" s="17">
        <f t="shared" si="132"/>
        <v>0</v>
      </c>
      <c r="BC207" s="17"/>
      <c r="BD207" s="178">
        <v>198</v>
      </c>
      <c r="BE207" s="214">
        <f t="shared" si="141"/>
        <v>2.3E-5</v>
      </c>
      <c r="BF207" s="178">
        <f t="shared" si="133"/>
        <v>0</v>
      </c>
      <c r="BG207" s="245">
        <f t="shared" si="134"/>
        <v>2.0699999999999998E-5</v>
      </c>
      <c r="BH207" s="17">
        <f t="shared" si="142"/>
        <v>0</v>
      </c>
      <c r="BI207" s="178">
        <v>198</v>
      </c>
      <c r="BJ207" s="87">
        <f t="shared" si="143"/>
        <v>2.1299999999999999E-5</v>
      </c>
      <c r="BK207" s="215">
        <f t="shared" si="135"/>
        <v>0</v>
      </c>
      <c r="BL207" s="245">
        <f t="shared" si="144"/>
        <v>2.0699999999999998E-5</v>
      </c>
      <c r="BM207" s="17">
        <f t="shared" si="145"/>
        <v>0</v>
      </c>
      <c r="BN207" s="178">
        <v>198</v>
      </c>
      <c r="BO207" s="87">
        <f t="shared" si="146"/>
        <v>2.1299999999999999E-5</v>
      </c>
      <c r="BP207" s="215">
        <f t="shared" si="136"/>
        <v>0</v>
      </c>
      <c r="BR207" s="126"/>
      <c r="BS207" s="126"/>
      <c r="BU207" s="178"/>
      <c r="BV207" s="179" t="str">
        <f t="shared" si="147"/>
        <v/>
      </c>
      <c r="BW207" s="179" t="str">
        <f t="shared" si="148"/>
        <v/>
      </c>
      <c r="BX207" s="179" t="str">
        <f t="shared" si="149"/>
        <v/>
      </c>
      <c r="BY207" s="179" t="str">
        <f t="shared" si="150"/>
        <v/>
      </c>
      <c r="BZ207" s="179" t="str">
        <f t="shared" si="151"/>
        <v/>
      </c>
      <c r="CA207" s="179" t="str">
        <f t="shared" si="152"/>
        <v/>
      </c>
      <c r="CB207" s="179" t="str">
        <f t="shared" si="153"/>
        <v/>
      </c>
      <c r="CC207" s="179" t="str">
        <f t="shared" si="154"/>
        <v/>
      </c>
      <c r="CD207" s="179" t="str">
        <f t="shared" si="155"/>
        <v/>
      </c>
      <c r="CE207" s="179" t="str">
        <f t="shared" si="156"/>
        <v/>
      </c>
      <c r="CF207" s="179" t="str">
        <f t="shared" si="157"/>
        <v/>
      </c>
      <c r="CG207" s="179" t="str">
        <f t="shared" si="158"/>
        <v/>
      </c>
      <c r="CH207" s="166"/>
      <c r="CI207" s="166"/>
      <c r="CJ207" s="166"/>
      <c r="CK207" s="166" t="s">
        <v>150</v>
      </c>
      <c r="CL207" s="166"/>
    </row>
    <row r="208" spans="1:90" ht="14.25" customHeight="1" thickBot="1" x14ac:dyDescent="0.3">
      <c r="A208" s="213">
        <v>198</v>
      </c>
      <c r="B208" s="89"/>
      <c r="C208" s="199"/>
      <c r="D208" s="146"/>
      <c r="E208" s="319" t="s">
        <v>93</v>
      </c>
      <c r="F208" s="221"/>
      <c r="G208" s="222"/>
      <c r="H208" s="222"/>
      <c r="I208" s="222"/>
      <c r="J208" s="222"/>
      <c r="K208" s="222"/>
      <c r="L208" s="222"/>
      <c r="M208" s="331"/>
      <c r="N208" s="303">
        <f t="shared" si="159"/>
        <v>0</v>
      </c>
      <c r="O208" s="304"/>
      <c r="P208" s="341"/>
      <c r="Q208" s="305"/>
      <c r="R208" s="322" t="s">
        <v>67</v>
      </c>
      <c r="S208" s="326"/>
      <c r="T208" s="327"/>
      <c r="U208" s="327"/>
      <c r="V208" s="327"/>
      <c r="W208" s="327"/>
      <c r="X208" s="327"/>
      <c r="Y208" s="95"/>
      <c r="Z208" s="331"/>
      <c r="AA208" s="303">
        <f t="shared" si="160"/>
        <v>0</v>
      </c>
      <c r="AB208" s="314">
        <f t="shared" si="137"/>
        <v>0</v>
      </c>
      <c r="AC208" s="314"/>
      <c r="AD208" s="314">
        <f t="shared" si="138"/>
        <v>0</v>
      </c>
      <c r="AE208" s="325" t="s">
        <v>148</v>
      </c>
      <c r="AF208" s="15"/>
      <c r="AG208" s="232"/>
      <c r="AH208" s="232"/>
      <c r="AI208" s="232"/>
      <c r="AJ208" s="232"/>
      <c r="AK208" s="232"/>
      <c r="AL208" s="7"/>
      <c r="AM208" s="352"/>
      <c r="AN208" s="22">
        <f t="shared" si="161"/>
        <v>0</v>
      </c>
      <c r="AO208" s="15">
        <f t="shared" si="139"/>
        <v>0</v>
      </c>
      <c r="AP208" s="345"/>
      <c r="AQ208" s="7">
        <f t="shared" si="140"/>
        <v>0</v>
      </c>
      <c r="AR208" s="103"/>
      <c r="AS208" s="101"/>
      <c r="AT208" s="236"/>
      <c r="AU208" s="235"/>
      <c r="AV208" s="92"/>
      <c r="AW208" s="235"/>
      <c r="AX208" s="92"/>
      <c r="AY208" s="235"/>
      <c r="AZ208" s="92"/>
      <c r="BA208" s="17">
        <f t="shared" si="131"/>
        <v>2.0799999999999997E-5</v>
      </c>
      <c r="BB208" s="17">
        <f t="shared" si="132"/>
        <v>0</v>
      </c>
      <c r="BC208" s="17"/>
      <c r="BD208" s="178">
        <v>199</v>
      </c>
      <c r="BE208" s="214">
        <f t="shared" si="141"/>
        <v>2.2899999999999998E-5</v>
      </c>
      <c r="BF208" s="178">
        <f t="shared" si="133"/>
        <v>0</v>
      </c>
      <c r="BG208" s="245">
        <f t="shared" si="134"/>
        <v>2.0799999999999997E-5</v>
      </c>
      <c r="BH208" s="17">
        <f t="shared" si="142"/>
        <v>0</v>
      </c>
      <c r="BI208" s="178">
        <v>199</v>
      </c>
      <c r="BJ208" s="87">
        <f t="shared" si="143"/>
        <v>2.12E-5</v>
      </c>
      <c r="BK208" s="215">
        <f t="shared" si="135"/>
        <v>0</v>
      </c>
      <c r="BL208" s="245">
        <f t="shared" si="144"/>
        <v>2.0799999999999997E-5</v>
      </c>
      <c r="BM208" s="17">
        <f t="shared" si="145"/>
        <v>0</v>
      </c>
      <c r="BN208" s="178">
        <v>199</v>
      </c>
      <c r="BO208" s="87">
        <f t="shared" si="146"/>
        <v>2.12E-5</v>
      </c>
      <c r="BP208" s="215">
        <f t="shared" si="136"/>
        <v>0</v>
      </c>
      <c r="BR208" s="126"/>
      <c r="BS208" s="126"/>
      <c r="BU208" s="178"/>
      <c r="BV208" s="179" t="str">
        <f t="shared" si="147"/>
        <v/>
      </c>
      <c r="BW208" s="179" t="str">
        <f t="shared" si="148"/>
        <v/>
      </c>
      <c r="BX208" s="179" t="str">
        <f t="shared" si="149"/>
        <v/>
      </c>
      <c r="BY208" s="179" t="str">
        <f t="shared" si="150"/>
        <v/>
      </c>
      <c r="BZ208" s="179" t="str">
        <f t="shared" si="151"/>
        <v/>
      </c>
      <c r="CA208" s="179" t="str">
        <f t="shared" si="152"/>
        <v/>
      </c>
      <c r="CB208" s="179" t="str">
        <f t="shared" si="153"/>
        <v/>
      </c>
      <c r="CC208" s="179" t="str">
        <f t="shared" si="154"/>
        <v/>
      </c>
      <c r="CD208" s="179" t="str">
        <f t="shared" si="155"/>
        <v/>
      </c>
      <c r="CE208" s="179" t="str">
        <f t="shared" si="156"/>
        <v/>
      </c>
      <c r="CF208" s="179" t="str">
        <f t="shared" si="157"/>
        <v/>
      </c>
      <c r="CG208" s="179" t="str">
        <f t="shared" si="158"/>
        <v/>
      </c>
      <c r="CH208" s="166"/>
      <c r="CI208" s="166"/>
      <c r="CJ208" s="166"/>
      <c r="CK208" s="166" t="s">
        <v>150</v>
      </c>
      <c r="CL208" s="166"/>
    </row>
    <row r="209" spans="1:90" ht="14.25" customHeight="1" x14ac:dyDescent="0.25">
      <c r="A209" s="211">
        <v>199</v>
      </c>
      <c r="B209" s="219"/>
      <c r="C209" s="200"/>
      <c r="D209" s="145"/>
      <c r="E209" s="320" t="s">
        <v>93</v>
      </c>
      <c r="F209" s="209"/>
      <c r="G209" s="313"/>
      <c r="H209" s="313"/>
      <c r="I209" s="313"/>
      <c r="J209" s="313"/>
      <c r="K209" s="313"/>
      <c r="L209" s="313"/>
      <c r="M209" s="339"/>
      <c r="N209" s="233">
        <f t="shared" si="159"/>
        <v>0</v>
      </c>
      <c r="O209" s="306"/>
      <c r="P209" s="342"/>
      <c r="Q209" s="307"/>
      <c r="R209" s="323" t="s">
        <v>67</v>
      </c>
      <c r="S209" s="209"/>
      <c r="T209" s="313"/>
      <c r="U209" s="313"/>
      <c r="V209" s="313"/>
      <c r="W209" s="313"/>
      <c r="X209" s="313"/>
      <c r="Y209" s="125"/>
      <c r="Z209" s="339"/>
      <c r="AA209" s="233">
        <f t="shared" si="160"/>
        <v>0</v>
      </c>
      <c r="AB209" s="314">
        <f t="shared" si="137"/>
        <v>0</v>
      </c>
      <c r="AC209" s="314"/>
      <c r="AD209" s="314">
        <f t="shared" si="138"/>
        <v>0</v>
      </c>
      <c r="AE209" s="323" t="s">
        <v>87</v>
      </c>
      <c r="AF209" s="81"/>
      <c r="AG209" s="335"/>
      <c r="AH209" s="335"/>
      <c r="AI209" s="335"/>
      <c r="AJ209" s="335"/>
      <c r="AK209" s="335"/>
      <c r="AL209" s="336"/>
      <c r="AM209" s="353"/>
      <c r="AN209" s="22">
        <f t="shared" si="161"/>
        <v>0</v>
      </c>
      <c r="AO209" s="209">
        <f t="shared" si="139"/>
        <v>0</v>
      </c>
      <c r="AP209" s="339"/>
      <c r="AQ209" s="125">
        <f t="shared" si="140"/>
        <v>0</v>
      </c>
      <c r="AR209" s="104"/>
      <c r="AS209" s="217"/>
      <c r="AT209" s="216"/>
      <c r="AU209" s="230"/>
      <c r="AV209" s="220"/>
      <c r="AW209" s="230"/>
      <c r="AX209" s="220"/>
      <c r="AY209" s="230"/>
      <c r="AZ209" s="220"/>
      <c r="BA209" s="17">
        <f t="shared" si="131"/>
        <v>2.09E-5</v>
      </c>
      <c r="BB209" s="17">
        <f t="shared" si="132"/>
        <v>0</v>
      </c>
      <c r="BC209" s="17"/>
      <c r="BD209" s="178">
        <v>200</v>
      </c>
      <c r="BE209" s="214">
        <f t="shared" si="141"/>
        <v>2.2799999999999999E-5</v>
      </c>
      <c r="BF209" s="178">
        <f t="shared" si="133"/>
        <v>0</v>
      </c>
      <c r="BG209" s="245">
        <f t="shared" si="134"/>
        <v>2.09E-5</v>
      </c>
      <c r="BH209" s="17">
        <f t="shared" si="142"/>
        <v>0</v>
      </c>
      <c r="BI209" s="178">
        <v>200</v>
      </c>
      <c r="BJ209" s="87">
        <f t="shared" si="143"/>
        <v>2.1099999999999998E-5</v>
      </c>
      <c r="BK209" s="215">
        <f t="shared" si="135"/>
        <v>0</v>
      </c>
      <c r="BL209" s="245">
        <f t="shared" si="144"/>
        <v>2.09E-5</v>
      </c>
      <c r="BM209" s="17">
        <f t="shared" si="145"/>
        <v>0</v>
      </c>
      <c r="BN209" s="178">
        <v>200</v>
      </c>
      <c r="BO209" s="87">
        <f t="shared" si="146"/>
        <v>2.1099999999999998E-5</v>
      </c>
      <c r="BP209" s="215">
        <f t="shared" si="136"/>
        <v>0</v>
      </c>
      <c r="BR209" s="126"/>
      <c r="BS209" s="126"/>
      <c r="BU209" s="178"/>
      <c r="BV209" s="179" t="str">
        <f t="shared" si="147"/>
        <v/>
      </c>
      <c r="BW209" s="179" t="str">
        <f t="shared" si="148"/>
        <v/>
      </c>
      <c r="BX209" s="179" t="str">
        <f t="shared" si="149"/>
        <v/>
      </c>
      <c r="BY209" s="179" t="str">
        <f t="shared" si="150"/>
        <v/>
      </c>
      <c r="BZ209" s="179" t="str">
        <f t="shared" si="151"/>
        <v/>
      </c>
      <c r="CA209" s="179" t="str">
        <f t="shared" si="152"/>
        <v/>
      </c>
      <c r="CB209" s="179" t="str">
        <f t="shared" si="153"/>
        <v/>
      </c>
      <c r="CC209" s="179" t="str">
        <f t="shared" si="154"/>
        <v/>
      </c>
      <c r="CD209" s="179" t="str">
        <f t="shared" si="155"/>
        <v/>
      </c>
      <c r="CE209" s="179" t="str">
        <f t="shared" si="156"/>
        <v/>
      </c>
      <c r="CF209" s="179" t="str">
        <f t="shared" si="157"/>
        <v/>
      </c>
      <c r="CG209" s="179" t="str">
        <f t="shared" si="158"/>
        <v/>
      </c>
      <c r="CH209" s="166"/>
      <c r="CI209" s="166"/>
      <c r="CJ209" s="166"/>
      <c r="CK209" s="166" t="s">
        <v>150</v>
      </c>
      <c r="CL209" s="166"/>
    </row>
    <row r="210" spans="1:90" ht="14.25" customHeight="1" thickBot="1" x14ac:dyDescent="0.3">
      <c r="A210" s="213">
        <v>200</v>
      </c>
      <c r="B210" s="88"/>
      <c r="C210" s="201"/>
      <c r="D210" s="94"/>
      <c r="E210" s="321" t="s">
        <v>93</v>
      </c>
      <c r="F210" s="96"/>
      <c r="G210" s="100"/>
      <c r="H210" s="100"/>
      <c r="I210" s="100"/>
      <c r="J210" s="100"/>
      <c r="K210" s="100"/>
      <c r="L210" s="100"/>
      <c r="M210" s="210"/>
      <c r="N210" s="234">
        <f t="shared" si="159"/>
        <v>0</v>
      </c>
      <c r="O210" s="308"/>
      <c r="P210" s="343"/>
      <c r="Q210" s="309"/>
      <c r="R210" s="324" t="s">
        <v>67</v>
      </c>
      <c r="S210" s="96"/>
      <c r="T210" s="100"/>
      <c r="U210" s="100"/>
      <c r="V210" s="100"/>
      <c r="W210" s="100"/>
      <c r="X210" s="100"/>
      <c r="Y210" s="97"/>
      <c r="Z210" s="210"/>
      <c r="AA210" s="234">
        <f t="shared" si="160"/>
        <v>0</v>
      </c>
      <c r="AB210" s="314">
        <f t="shared" si="137"/>
        <v>0</v>
      </c>
      <c r="AC210" s="314"/>
      <c r="AD210" s="314">
        <f t="shared" si="138"/>
        <v>0</v>
      </c>
      <c r="AE210" s="324" t="s">
        <v>87</v>
      </c>
      <c r="AF210" s="82"/>
      <c r="AG210" s="337"/>
      <c r="AH210" s="337"/>
      <c r="AI210" s="337"/>
      <c r="AJ210" s="337"/>
      <c r="AK210" s="337"/>
      <c r="AL210" s="338"/>
      <c r="AM210" s="354"/>
      <c r="AN210" s="91">
        <f t="shared" si="161"/>
        <v>0</v>
      </c>
      <c r="AO210" s="96">
        <f t="shared" si="139"/>
        <v>0</v>
      </c>
      <c r="AP210" s="210"/>
      <c r="AQ210" s="97">
        <f t="shared" si="140"/>
        <v>0</v>
      </c>
      <c r="AR210" s="105"/>
      <c r="AS210" s="102"/>
      <c r="AT210" s="237"/>
      <c r="AU210" s="231"/>
      <c r="AV210" s="93"/>
      <c r="AW210" s="231"/>
      <c r="AX210" s="93"/>
      <c r="AY210" s="231"/>
      <c r="AZ210" s="93"/>
      <c r="BA210" s="17">
        <f t="shared" si="131"/>
        <v>2.0999999999999999E-5</v>
      </c>
      <c r="BB210" s="17">
        <f t="shared" si="132"/>
        <v>0</v>
      </c>
      <c r="BC210" s="17"/>
      <c r="BD210" s="178">
        <v>201</v>
      </c>
      <c r="BE210" s="214">
        <f t="shared" si="141"/>
        <v>2.27E-5</v>
      </c>
      <c r="BF210" s="178">
        <f t="shared" si="133"/>
        <v>0</v>
      </c>
      <c r="BG210" s="245">
        <f t="shared" si="134"/>
        <v>2.0999999999999999E-5</v>
      </c>
      <c r="BH210" s="17">
        <f t="shared" si="142"/>
        <v>0</v>
      </c>
      <c r="BI210" s="178">
        <v>201</v>
      </c>
      <c r="BJ210" s="87">
        <f t="shared" si="143"/>
        <v>2.0999999999999999E-5</v>
      </c>
      <c r="BK210" s="215">
        <f t="shared" si="135"/>
        <v>0</v>
      </c>
      <c r="BL210" s="245">
        <f t="shared" si="144"/>
        <v>2.0999999999999999E-5</v>
      </c>
      <c r="BM210" s="17">
        <f t="shared" si="145"/>
        <v>0</v>
      </c>
      <c r="BN210" s="178">
        <v>201</v>
      </c>
      <c r="BO210" s="87">
        <f t="shared" si="146"/>
        <v>2.0999999999999999E-5</v>
      </c>
      <c r="BP210" s="215">
        <f t="shared" si="136"/>
        <v>0</v>
      </c>
      <c r="BR210" s="126"/>
      <c r="BS210" s="126"/>
      <c r="BU210" s="178"/>
      <c r="BV210" s="179" t="str">
        <f t="shared" si="147"/>
        <v/>
      </c>
      <c r="BW210" s="179" t="str">
        <f t="shared" si="148"/>
        <v/>
      </c>
      <c r="BX210" s="179" t="str">
        <f t="shared" si="149"/>
        <v/>
      </c>
      <c r="BY210" s="179" t="str">
        <f t="shared" si="150"/>
        <v/>
      </c>
      <c r="BZ210" s="179" t="str">
        <f t="shared" si="151"/>
        <v/>
      </c>
      <c r="CA210" s="179" t="str">
        <f t="shared" si="152"/>
        <v/>
      </c>
      <c r="CB210" s="179" t="str">
        <f t="shared" si="153"/>
        <v/>
      </c>
      <c r="CC210" s="179" t="str">
        <f t="shared" si="154"/>
        <v/>
      </c>
      <c r="CD210" s="179" t="str">
        <f t="shared" si="155"/>
        <v/>
      </c>
      <c r="CE210" s="179" t="str">
        <f t="shared" si="156"/>
        <v/>
      </c>
      <c r="CF210" s="179" t="str">
        <f t="shared" si="157"/>
        <v/>
      </c>
      <c r="CG210" s="179" t="str">
        <f t="shared" si="158"/>
        <v/>
      </c>
      <c r="CH210" s="166"/>
      <c r="CI210" s="166"/>
      <c r="CJ210" s="166"/>
      <c r="CK210" s="166" t="s">
        <v>150</v>
      </c>
      <c r="CL210" s="166"/>
    </row>
    <row r="211" spans="1:90" ht="14.25" customHeight="1" x14ac:dyDescent="0.25">
      <c r="A211" s="211">
        <v>201</v>
      </c>
      <c r="B211" s="89"/>
      <c r="C211" s="199"/>
      <c r="D211" s="146"/>
      <c r="E211" s="319" t="s">
        <v>93</v>
      </c>
      <c r="F211" s="221"/>
      <c r="G211" s="222"/>
      <c r="H211" s="222"/>
      <c r="I211" s="222"/>
      <c r="J211" s="222"/>
      <c r="K211" s="222"/>
      <c r="L211" s="222"/>
      <c r="M211" s="331"/>
      <c r="N211" s="303">
        <f t="shared" si="159"/>
        <v>0</v>
      </c>
      <c r="O211" s="304"/>
      <c r="P211" s="341"/>
      <c r="Q211" s="305"/>
      <c r="R211" s="322" t="s">
        <v>67</v>
      </c>
      <c r="S211" s="326"/>
      <c r="T211" s="327"/>
      <c r="U211" s="327"/>
      <c r="V211" s="327"/>
      <c r="W211" s="327"/>
      <c r="X211" s="327"/>
      <c r="Y211" s="95"/>
      <c r="Z211" s="331"/>
      <c r="AA211" s="303">
        <f t="shared" si="160"/>
        <v>0</v>
      </c>
      <c r="AB211" s="314">
        <f t="shared" si="137"/>
        <v>0</v>
      </c>
      <c r="AC211" s="314"/>
      <c r="AD211" s="314">
        <f t="shared" si="138"/>
        <v>0</v>
      </c>
      <c r="AE211" s="325" t="s">
        <v>148</v>
      </c>
      <c r="AF211" s="15"/>
      <c r="AG211" s="232"/>
      <c r="AH211" s="232"/>
      <c r="AI211" s="232"/>
      <c r="AJ211" s="232"/>
      <c r="AK211" s="232"/>
      <c r="AL211" s="7"/>
      <c r="AM211" s="352"/>
      <c r="AN211" s="22">
        <f t="shared" si="161"/>
        <v>0</v>
      </c>
      <c r="AO211" s="15">
        <f t="shared" si="139"/>
        <v>0</v>
      </c>
      <c r="AP211" s="345"/>
      <c r="AQ211" s="7">
        <f t="shared" si="140"/>
        <v>0</v>
      </c>
      <c r="AR211" s="103"/>
      <c r="AS211" s="101"/>
      <c r="AT211" s="236"/>
      <c r="AU211" s="235"/>
      <c r="AV211" s="92"/>
      <c r="AW211" s="235"/>
      <c r="AX211" s="92"/>
      <c r="AY211" s="235"/>
      <c r="AZ211" s="92"/>
      <c r="BA211" s="17">
        <f t="shared" si="131"/>
        <v>2.1099999999999998E-5</v>
      </c>
      <c r="BB211" s="17">
        <f t="shared" si="132"/>
        <v>0</v>
      </c>
      <c r="BC211" s="17"/>
      <c r="BD211" s="178">
        <v>202</v>
      </c>
      <c r="BE211" s="214">
        <f t="shared" si="141"/>
        <v>2.26E-5</v>
      </c>
      <c r="BF211" s="178">
        <f t="shared" si="133"/>
        <v>0</v>
      </c>
      <c r="BG211" s="245">
        <f t="shared" si="134"/>
        <v>2.1099999999999998E-5</v>
      </c>
      <c r="BH211" s="17">
        <f t="shared" si="142"/>
        <v>0</v>
      </c>
      <c r="BI211" s="178">
        <v>202</v>
      </c>
      <c r="BJ211" s="87">
        <f t="shared" si="143"/>
        <v>2.09E-5</v>
      </c>
      <c r="BK211" s="215">
        <f t="shared" si="135"/>
        <v>0</v>
      </c>
      <c r="BL211" s="245">
        <f t="shared" si="144"/>
        <v>2.1099999999999998E-5</v>
      </c>
      <c r="BM211" s="17">
        <f t="shared" si="145"/>
        <v>0</v>
      </c>
      <c r="BN211" s="178">
        <v>202</v>
      </c>
      <c r="BO211" s="87">
        <f t="shared" si="146"/>
        <v>2.09E-5</v>
      </c>
      <c r="BP211" s="215">
        <f t="shared" si="136"/>
        <v>0</v>
      </c>
      <c r="BR211" s="126"/>
      <c r="BS211" s="126"/>
      <c r="BU211" s="178"/>
      <c r="BV211" s="179" t="str">
        <f t="shared" si="147"/>
        <v/>
      </c>
      <c r="BW211" s="179" t="str">
        <f t="shared" si="148"/>
        <v/>
      </c>
      <c r="BX211" s="179" t="str">
        <f t="shared" si="149"/>
        <v/>
      </c>
      <c r="BY211" s="179" t="str">
        <f t="shared" si="150"/>
        <v/>
      </c>
      <c r="BZ211" s="179" t="str">
        <f t="shared" si="151"/>
        <v/>
      </c>
      <c r="CA211" s="179" t="str">
        <f t="shared" si="152"/>
        <v/>
      </c>
      <c r="CB211" s="179" t="str">
        <f t="shared" si="153"/>
        <v/>
      </c>
      <c r="CC211" s="179" t="str">
        <f t="shared" si="154"/>
        <v/>
      </c>
      <c r="CD211" s="179" t="str">
        <f t="shared" si="155"/>
        <v/>
      </c>
      <c r="CE211" s="179" t="str">
        <f t="shared" si="156"/>
        <v/>
      </c>
      <c r="CF211" s="179" t="str">
        <f t="shared" si="157"/>
        <v/>
      </c>
      <c r="CG211" s="179" t="str">
        <f t="shared" si="158"/>
        <v/>
      </c>
      <c r="CH211" s="166"/>
      <c r="CI211" s="166"/>
      <c r="CJ211" s="166"/>
      <c r="CK211" s="166" t="s">
        <v>150</v>
      </c>
      <c r="CL211" s="166"/>
    </row>
    <row r="212" spans="1:90" ht="14.25" customHeight="1" thickBot="1" x14ac:dyDescent="0.3">
      <c r="A212" s="213">
        <v>202</v>
      </c>
      <c r="B212" s="219"/>
      <c r="C212" s="200"/>
      <c r="D212" s="145"/>
      <c r="E212" s="320" t="s">
        <v>93</v>
      </c>
      <c r="F212" s="209"/>
      <c r="G212" s="313"/>
      <c r="H212" s="313"/>
      <c r="I212" s="313"/>
      <c r="J212" s="313"/>
      <c r="K212" s="313"/>
      <c r="L212" s="313"/>
      <c r="M212" s="339"/>
      <c r="N212" s="233">
        <f t="shared" si="159"/>
        <v>0</v>
      </c>
      <c r="O212" s="306"/>
      <c r="P212" s="342"/>
      <c r="Q212" s="307"/>
      <c r="R212" s="323" t="s">
        <v>67</v>
      </c>
      <c r="S212" s="209"/>
      <c r="T212" s="313"/>
      <c r="U212" s="313"/>
      <c r="V212" s="313"/>
      <c r="W212" s="313"/>
      <c r="X212" s="313"/>
      <c r="Y212" s="125"/>
      <c r="Z212" s="339"/>
      <c r="AA212" s="233">
        <f t="shared" si="160"/>
        <v>0</v>
      </c>
      <c r="AB212" s="314">
        <f t="shared" si="137"/>
        <v>0</v>
      </c>
      <c r="AC212" s="314"/>
      <c r="AD212" s="314">
        <f t="shared" si="138"/>
        <v>0</v>
      </c>
      <c r="AE212" s="323" t="s">
        <v>87</v>
      </c>
      <c r="AF212" s="81"/>
      <c r="AG212" s="335"/>
      <c r="AH212" s="335"/>
      <c r="AI212" s="335"/>
      <c r="AJ212" s="335"/>
      <c r="AK212" s="335"/>
      <c r="AL212" s="336"/>
      <c r="AM212" s="353"/>
      <c r="AN212" s="22">
        <f t="shared" si="161"/>
        <v>0</v>
      </c>
      <c r="AO212" s="209">
        <f t="shared" si="139"/>
        <v>0</v>
      </c>
      <c r="AP212" s="339"/>
      <c r="AQ212" s="125">
        <f t="shared" si="140"/>
        <v>0</v>
      </c>
      <c r="AR212" s="104"/>
      <c r="AS212" s="217"/>
      <c r="AT212" s="216"/>
      <c r="AU212" s="230"/>
      <c r="AV212" s="220"/>
      <c r="AW212" s="230"/>
      <c r="AX212" s="220"/>
      <c r="AY212" s="230"/>
      <c r="AZ212" s="220"/>
      <c r="BA212" s="17">
        <f t="shared" si="131"/>
        <v>2.12E-5</v>
      </c>
      <c r="BB212" s="17">
        <f t="shared" si="132"/>
        <v>0</v>
      </c>
      <c r="BC212" s="17"/>
      <c r="BD212" s="178">
        <v>203</v>
      </c>
      <c r="BE212" s="214">
        <f t="shared" si="141"/>
        <v>2.2499999999999998E-5</v>
      </c>
      <c r="BF212" s="178">
        <f t="shared" si="133"/>
        <v>0</v>
      </c>
      <c r="BG212" s="245">
        <f t="shared" si="134"/>
        <v>2.12E-5</v>
      </c>
      <c r="BH212" s="17">
        <f t="shared" si="142"/>
        <v>0</v>
      </c>
      <c r="BI212" s="178">
        <v>203</v>
      </c>
      <c r="BJ212" s="87">
        <f t="shared" si="143"/>
        <v>2.0799999999999997E-5</v>
      </c>
      <c r="BK212" s="215">
        <f t="shared" si="135"/>
        <v>0</v>
      </c>
      <c r="BL212" s="245">
        <f t="shared" si="144"/>
        <v>2.12E-5</v>
      </c>
      <c r="BM212" s="17">
        <f t="shared" si="145"/>
        <v>0</v>
      </c>
      <c r="BN212" s="178">
        <v>203</v>
      </c>
      <c r="BO212" s="87">
        <f t="shared" si="146"/>
        <v>2.0799999999999997E-5</v>
      </c>
      <c r="BP212" s="215">
        <f t="shared" si="136"/>
        <v>0</v>
      </c>
      <c r="BR212" s="126"/>
      <c r="BS212" s="126"/>
      <c r="BU212" s="178"/>
      <c r="BV212" s="179" t="str">
        <f t="shared" si="147"/>
        <v/>
      </c>
      <c r="BW212" s="179" t="str">
        <f t="shared" si="148"/>
        <v/>
      </c>
      <c r="BX212" s="179" t="str">
        <f t="shared" si="149"/>
        <v/>
      </c>
      <c r="BY212" s="179" t="str">
        <f t="shared" si="150"/>
        <v/>
      </c>
      <c r="BZ212" s="179" t="str">
        <f t="shared" si="151"/>
        <v/>
      </c>
      <c r="CA212" s="179" t="str">
        <f t="shared" si="152"/>
        <v/>
      </c>
      <c r="CB212" s="179" t="str">
        <f t="shared" si="153"/>
        <v/>
      </c>
      <c r="CC212" s="179" t="str">
        <f t="shared" si="154"/>
        <v/>
      </c>
      <c r="CD212" s="179" t="str">
        <f t="shared" si="155"/>
        <v/>
      </c>
      <c r="CE212" s="179" t="str">
        <f t="shared" si="156"/>
        <v/>
      </c>
      <c r="CF212" s="179" t="str">
        <f t="shared" si="157"/>
        <v/>
      </c>
      <c r="CG212" s="179" t="str">
        <f t="shared" si="158"/>
        <v/>
      </c>
      <c r="CH212" s="166"/>
      <c r="CI212" s="166"/>
      <c r="CJ212" s="166"/>
      <c r="CK212" s="166" t="s">
        <v>150</v>
      </c>
      <c r="CL212" s="166"/>
    </row>
    <row r="213" spans="1:90" ht="14.25" customHeight="1" thickBot="1" x14ac:dyDescent="0.3">
      <c r="A213" s="211">
        <v>203</v>
      </c>
      <c r="B213" s="88"/>
      <c r="C213" s="201"/>
      <c r="D213" s="94"/>
      <c r="E213" s="321" t="s">
        <v>93</v>
      </c>
      <c r="F213" s="96"/>
      <c r="G213" s="100"/>
      <c r="H213" s="100"/>
      <c r="I213" s="100"/>
      <c r="J213" s="100"/>
      <c r="K213" s="100"/>
      <c r="L213" s="100"/>
      <c r="M213" s="210"/>
      <c r="N213" s="234">
        <f t="shared" si="159"/>
        <v>0</v>
      </c>
      <c r="O213" s="308"/>
      <c r="P213" s="343"/>
      <c r="Q213" s="309"/>
      <c r="R213" s="324" t="s">
        <v>67</v>
      </c>
      <c r="S213" s="96"/>
      <c r="T213" s="100"/>
      <c r="U213" s="100"/>
      <c r="V213" s="100"/>
      <c r="W213" s="100"/>
      <c r="X213" s="100"/>
      <c r="Y213" s="97"/>
      <c r="Z213" s="210"/>
      <c r="AA213" s="234">
        <f t="shared" si="160"/>
        <v>0</v>
      </c>
      <c r="AB213" s="314">
        <f t="shared" si="137"/>
        <v>0</v>
      </c>
      <c r="AC213" s="314"/>
      <c r="AD213" s="314">
        <f t="shared" si="138"/>
        <v>0</v>
      </c>
      <c r="AE213" s="324" t="s">
        <v>87</v>
      </c>
      <c r="AF213" s="82"/>
      <c r="AG213" s="337"/>
      <c r="AH213" s="337"/>
      <c r="AI213" s="337"/>
      <c r="AJ213" s="337"/>
      <c r="AK213" s="337"/>
      <c r="AL213" s="338"/>
      <c r="AM213" s="354"/>
      <c r="AN213" s="91">
        <f t="shared" si="161"/>
        <v>0</v>
      </c>
      <c r="AO213" s="96">
        <f t="shared" si="139"/>
        <v>0</v>
      </c>
      <c r="AP213" s="210"/>
      <c r="AQ213" s="97">
        <f t="shared" si="140"/>
        <v>0</v>
      </c>
      <c r="AR213" s="105"/>
      <c r="AS213" s="102"/>
      <c r="AT213" s="237"/>
      <c r="AU213" s="231"/>
      <c r="AV213" s="93"/>
      <c r="AW213" s="231"/>
      <c r="AX213" s="93"/>
      <c r="AY213" s="231"/>
      <c r="AZ213" s="93"/>
      <c r="BA213" s="17">
        <f t="shared" si="131"/>
        <v>2.1299999999999999E-5</v>
      </c>
      <c r="BB213" s="17">
        <f t="shared" si="132"/>
        <v>0</v>
      </c>
      <c r="BC213" s="17"/>
      <c r="BD213" s="178">
        <v>204</v>
      </c>
      <c r="BE213" s="214">
        <f t="shared" si="141"/>
        <v>2.2399999999999999E-5</v>
      </c>
      <c r="BF213" s="178">
        <f t="shared" si="133"/>
        <v>0</v>
      </c>
      <c r="BG213" s="245">
        <f t="shared" si="134"/>
        <v>2.1299999999999999E-5</v>
      </c>
      <c r="BH213" s="17">
        <f t="shared" si="142"/>
        <v>0</v>
      </c>
      <c r="BI213" s="178">
        <v>204</v>
      </c>
      <c r="BJ213" s="87">
        <f t="shared" si="143"/>
        <v>2.0699999999999998E-5</v>
      </c>
      <c r="BK213" s="215">
        <f t="shared" si="135"/>
        <v>0</v>
      </c>
      <c r="BL213" s="245">
        <f t="shared" si="144"/>
        <v>2.1299999999999999E-5</v>
      </c>
      <c r="BM213" s="17">
        <f t="shared" si="145"/>
        <v>0</v>
      </c>
      <c r="BN213" s="178">
        <v>204</v>
      </c>
      <c r="BO213" s="87">
        <f t="shared" si="146"/>
        <v>2.0699999999999998E-5</v>
      </c>
      <c r="BP213" s="215">
        <f t="shared" si="136"/>
        <v>0</v>
      </c>
      <c r="BR213" s="126"/>
      <c r="BS213" s="126"/>
      <c r="BU213" s="178"/>
      <c r="BV213" s="179" t="str">
        <f t="shared" si="147"/>
        <v/>
      </c>
      <c r="BW213" s="179" t="str">
        <f t="shared" si="148"/>
        <v/>
      </c>
      <c r="BX213" s="179" t="str">
        <f t="shared" si="149"/>
        <v/>
      </c>
      <c r="BY213" s="179" t="str">
        <f t="shared" si="150"/>
        <v/>
      </c>
      <c r="BZ213" s="179" t="str">
        <f t="shared" si="151"/>
        <v/>
      </c>
      <c r="CA213" s="179" t="str">
        <f t="shared" si="152"/>
        <v/>
      </c>
      <c r="CB213" s="179" t="str">
        <f t="shared" si="153"/>
        <v/>
      </c>
      <c r="CC213" s="179" t="str">
        <f t="shared" si="154"/>
        <v/>
      </c>
      <c r="CD213" s="179" t="str">
        <f t="shared" si="155"/>
        <v/>
      </c>
      <c r="CE213" s="179" t="str">
        <f t="shared" si="156"/>
        <v/>
      </c>
      <c r="CF213" s="179" t="str">
        <f t="shared" si="157"/>
        <v/>
      </c>
      <c r="CG213" s="179" t="str">
        <f t="shared" si="158"/>
        <v/>
      </c>
      <c r="CH213" s="166"/>
      <c r="CI213" s="166"/>
      <c r="CJ213" s="166"/>
      <c r="CK213" s="166" t="s">
        <v>150</v>
      </c>
      <c r="CL213" s="166"/>
    </row>
    <row r="214" spans="1:90" ht="14.25" customHeight="1" thickBot="1" x14ac:dyDescent="0.3">
      <c r="A214" s="213">
        <v>204</v>
      </c>
      <c r="B214" s="89"/>
      <c r="C214" s="199"/>
      <c r="D214" s="146"/>
      <c r="E214" s="319" t="s">
        <v>93</v>
      </c>
      <c r="F214" s="221"/>
      <c r="G214" s="222"/>
      <c r="H214" s="222"/>
      <c r="I214" s="222"/>
      <c r="J214" s="222"/>
      <c r="K214" s="222"/>
      <c r="L214" s="222"/>
      <c r="M214" s="331"/>
      <c r="N214" s="303">
        <f t="shared" si="159"/>
        <v>0</v>
      </c>
      <c r="O214" s="304"/>
      <c r="P214" s="341"/>
      <c r="Q214" s="305"/>
      <c r="R214" s="322" t="s">
        <v>67</v>
      </c>
      <c r="S214" s="326"/>
      <c r="T214" s="327"/>
      <c r="U214" s="327"/>
      <c r="V214" s="327"/>
      <c r="W214" s="327"/>
      <c r="X214" s="327"/>
      <c r="Y214" s="95"/>
      <c r="Z214" s="331"/>
      <c r="AA214" s="303">
        <f t="shared" si="160"/>
        <v>0</v>
      </c>
      <c r="AB214" s="314">
        <f t="shared" si="137"/>
        <v>0</v>
      </c>
      <c r="AC214" s="314"/>
      <c r="AD214" s="314">
        <f t="shared" si="138"/>
        <v>0</v>
      </c>
      <c r="AE214" s="325" t="s">
        <v>148</v>
      </c>
      <c r="AF214" s="15"/>
      <c r="AG214" s="232"/>
      <c r="AH214" s="232"/>
      <c r="AI214" s="232"/>
      <c r="AJ214" s="232"/>
      <c r="AK214" s="232"/>
      <c r="AL214" s="7"/>
      <c r="AM214" s="352"/>
      <c r="AN214" s="22">
        <f t="shared" si="161"/>
        <v>0</v>
      </c>
      <c r="AO214" s="15">
        <f t="shared" si="139"/>
        <v>0</v>
      </c>
      <c r="AP214" s="345"/>
      <c r="AQ214" s="7">
        <f t="shared" si="140"/>
        <v>0</v>
      </c>
      <c r="AR214" s="103"/>
      <c r="AS214" s="101"/>
      <c r="AT214" s="236"/>
      <c r="AU214" s="235"/>
      <c r="AV214" s="92"/>
      <c r="AW214" s="235"/>
      <c r="AX214" s="92"/>
      <c r="AY214" s="235"/>
      <c r="AZ214" s="92"/>
      <c r="BA214" s="17">
        <f t="shared" si="131"/>
        <v>2.1399999999999998E-5</v>
      </c>
      <c r="BB214" s="17">
        <f t="shared" si="132"/>
        <v>0</v>
      </c>
      <c r="BC214" s="17"/>
      <c r="BD214" s="178">
        <v>205</v>
      </c>
      <c r="BE214" s="214">
        <f t="shared" si="141"/>
        <v>2.23E-5</v>
      </c>
      <c r="BF214" s="178">
        <f t="shared" si="133"/>
        <v>0</v>
      </c>
      <c r="BG214" s="245">
        <f t="shared" si="134"/>
        <v>2.1399999999999998E-5</v>
      </c>
      <c r="BH214" s="17">
        <f t="shared" si="142"/>
        <v>0</v>
      </c>
      <c r="BI214" s="178">
        <v>205</v>
      </c>
      <c r="BJ214" s="87">
        <f t="shared" si="143"/>
        <v>2.0599999999999999E-5</v>
      </c>
      <c r="BK214" s="215">
        <f t="shared" si="135"/>
        <v>0</v>
      </c>
      <c r="BL214" s="245">
        <f t="shared" si="144"/>
        <v>2.1399999999999998E-5</v>
      </c>
      <c r="BM214" s="17">
        <f t="shared" si="145"/>
        <v>0</v>
      </c>
      <c r="BN214" s="178">
        <v>205</v>
      </c>
      <c r="BO214" s="87">
        <f t="shared" si="146"/>
        <v>2.0599999999999999E-5</v>
      </c>
      <c r="BP214" s="215">
        <f t="shared" si="136"/>
        <v>0</v>
      </c>
      <c r="BR214" s="126"/>
      <c r="BS214" s="126"/>
      <c r="BU214" s="178"/>
      <c r="BV214" s="179" t="str">
        <f t="shared" si="147"/>
        <v/>
      </c>
      <c r="BW214" s="179" t="str">
        <f t="shared" si="148"/>
        <v/>
      </c>
      <c r="BX214" s="179" t="str">
        <f t="shared" si="149"/>
        <v/>
      </c>
      <c r="BY214" s="179" t="str">
        <f t="shared" si="150"/>
        <v/>
      </c>
      <c r="BZ214" s="179" t="str">
        <f t="shared" si="151"/>
        <v/>
      </c>
      <c r="CA214" s="179" t="str">
        <f t="shared" si="152"/>
        <v/>
      </c>
      <c r="CB214" s="179" t="str">
        <f t="shared" si="153"/>
        <v/>
      </c>
      <c r="CC214" s="179" t="str">
        <f t="shared" si="154"/>
        <v/>
      </c>
      <c r="CD214" s="179" t="str">
        <f t="shared" si="155"/>
        <v/>
      </c>
      <c r="CE214" s="179" t="str">
        <f t="shared" si="156"/>
        <v/>
      </c>
      <c r="CF214" s="179" t="str">
        <f t="shared" si="157"/>
        <v/>
      </c>
      <c r="CG214" s="179" t="str">
        <f t="shared" si="158"/>
        <v/>
      </c>
      <c r="CH214" s="166"/>
      <c r="CI214" s="166"/>
      <c r="CJ214" s="166"/>
      <c r="CK214" s="166" t="s">
        <v>150</v>
      </c>
      <c r="CL214" s="166"/>
    </row>
    <row r="215" spans="1:90" ht="14.25" customHeight="1" x14ac:dyDescent="0.25">
      <c r="A215" s="211">
        <v>205</v>
      </c>
      <c r="B215" s="219"/>
      <c r="C215" s="200"/>
      <c r="D215" s="145"/>
      <c r="E215" s="320" t="s">
        <v>93</v>
      </c>
      <c r="F215" s="209"/>
      <c r="G215" s="313"/>
      <c r="H215" s="313"/>
      <c r="I215" s="313"/>
      <c r="J215" s="313"/>
      <c r="K215" s="313"/>
      <c r="L215" s="313"/>
      <c r="M215" s="339"/>
      <c r="N215" s="233">
        <f t="shared" si="159"/>
        <v>0</v>
      </c>
      <c r="O215" s="306"/>
      <c r="P215" s="342"/>
      <c r="Q215" s="307"/>
      <c r="R215" s="323" t="s">
        <v>67</v>
      </c>
      <c r="S215" s="209"/>
      <c r="T215" s="313"/>
      <c r="U215" s="313"/>
      <c r="V215" s="313"/>
      <c r="W215" s="313"/>
      <c r="X215" s="313"/>
      <c r="Y215" s="125"/>
      <c r="Z215" s="339"/>
      <c r="AA215" s="233">
        <f t="shared" si="160"/>
        <v>0</v>
      </c>
      <c r="AB215" s="314">
        <f t="shared" si="137"/>
        <v>0</v>
      </c>
      <c r="AC215" s="314"/>
      <c r="AD215" s="314">
        <f t="shared" si="138"/>
        <v>0</v>
      </c>
      <c r="AE215" s="323" t="s">
        <v>87</v>
      </c>
      <c r="AF215" s="81"/>
      <c r="AG215" s="335"/>
      <c r="AH215" s="335"/>
      <c r="AI215" s="335"/>
      <c r="AJ215" s="335"/>
      <c r="AK215" s="335"/>
      <c r="AL215" s="336"/>
      <c r="AM215" s="353"/>
      <c r="AN215" s="22">
        <f t="shared" si="161"/>
        <v>0</v>
      </c>
      <c r="AO215" s="209">
        <f t="shared" si="139"/>
        <v>0</v>
      </c>
      <c r="AP215" s="339"/>
      <c r="AQ215" s="125">
        <f t="shared" si="140"/>
        <v>0</v>
      </c>
      <c r="AR215" s="104"/>
      <c r="AS215" s="217"/>
      <c r="AT215" s="216"/>
      <c r="AU215" s="230"/>
      <c r="AV215" s="220"/>
      <c r="AW215" s="230"/>
      <c r="AX215" s="220"/>
      <c r="AY215" s="230"/>
      <c r="AZ215" s="220"/>
      <c r="BA215" s="17">
        <f t="shared" si="131"/>
        <v>2.1499999999999997E-5</v>
      </c>
      <c r="BB215" s="17">
        <f t="shared" si="132"/>
        <v>0</v>
      </c>
      <c r="BC215" s="17"/>
      <c r="BD215" s="178">
        <v>206</v>
      </c>
      <c r="BE215" s="214">
        <f t="shared" si="141"/>
        <v>2.2199999999999998E-5</v>
      </c>
      <c r="BF215" s="178">
        <f t="shared" si="133"/>
        <v>0</v>
      </c>
      <c r="BG215" s="245">
        <f t="shared" si="134"/>
        <v>2.1499999999999997E-5</v>
      </c>
      <c r="BH215" s="17">
        <f t="shared" si="142"/>
        <v>0</v>
      </c>
      <c r="BI215" s="178">
        <v>206</v>
      </c>
      <c r="BJ215" s="87">
        <f t="shared" si="143"/>
        <v>2.05E-5</v>
      </c>
      <c r="BK215" s="215">
        <f t="shared" si="135"/>
        <v>0</v>
      </c>
      <c r="BL215" s="245">
        <f t="shared" si="144"/>
        <v>2.1499999999999997E-5</v>
      </c>
      <c r="BM215" s="17">
        <f t="shared" si="145"/>
        <v>0</v>
      </c>
      <c r="BN215" s="178">
        <v>206</v>
      </c>
      <c r="BO215" s="87">
        <f t="shared" si="146"/>
        <v>2.05E-5</v>
      </c>
      <c r="BP215" s="215">
        <f t="shared" si="136"/>
        <v>0</v>
      </c>
      <c r="BR215" s="126"/>
      <c r="BS215" s="126"/>
      <c r="BU215" s="178"/>
      <c r="BV215" s="179" t="str">
        <f t="shared" si="147"/>
        <v/>
      </c>
      <c r="BW215" s="179" t="str">
        <f t="shared" si="148"/>
        <v/>
      </c>
      <c r="BX215" s="179" t="str">
        <f t="shared" si="149"/>
        <v/>
      </c>
      <c r="BY215" s="179" t="str">
        <f t="shared" si="150"/>
        <v/>
      </c>
      <c r="BZ215" s="179" t="str">
        <f t="shared" si="151"/>
        <v/>
      </c>
      <c r="CA215" s="179" t="str">
        <f t="shared" si="152"/>
        <v/>
      </c>
      <c r="CB215" s="179" t="str">
        <f t="shared" si="153"/>
        <v/>
      </c>
      <c r="CC215" s="179" t="str">
        <f t="shared" si="154"/>
        <v/>
      </c>
      <c r="CD215" s="179" t="str">
        <f t="shared" si="155"/>
        <v/>
      </c>
      <c r="CE215" s="179" t="str">
        <f t="shared" si="156"/>
        <v/>
      </c>
      <c r="CF215" s="179" t="str">
        <f t="shared" si="157"/>
        <v/>
      </c>
      <c r="CG215" s="179" t="str">
        <f t="shared" si="158"/>
        <v/>
      </c>
      <c r="CH215" s="166"/>
      <c r="CI215" s="166"/>
      <c r="CJ215" s="166"/>
      <c r="CK215" s="166" t="s">
        <v>150</v>
      </c>
      <c r="CL215" s="166"/>
    </row>
    <row r="216" spans="1:90" ht="14.25" customHeight="1" thickBot="1" x14ac:dyDescent="0.3">
      <c r="A216" s="213">
        <v>206</v>
      </c>
      <c r="B216" s="88"/>
      <c r="C216" s="201"/>
      <c r="D216" s="94"/>
      <c r="E216" s="321" t="s">
        <v>93</v>
      </c>
      <c r="F216" s="96"/>
      <c r="G216" s="100"/>
      <c r="H216" s="100"/>
      <c r="I216" s="100"/>
      <c r="J216" s="100"/>
      <c r="K216" s="100"/>
      <c r="L216" s="100"/>
      <c r="M216" s="210"/>
      <c r="N216" s="234">
        <f t="shared" si="159"/>
        <v>0</v>
      </c>
      <c r="O216" s="308"/>
      <c r="P216" s="343"/>
      <c r="Q216" s="309"/>
      <c r="R216" s="324" t="s">
        <v>67</v>
      </c>
      <c r="S216" s="96"/>
      <c r="T216" s="100"/>
      <c r="U216" s="100"/>
      <c r="V216" s="100"/>
      <c r="W216" s="100"/>
      <c r="X216" s="100"/>
      <c r="Y216" s="97"/>
      <c r="Z216" s="210"/>
      <c r="AA216" s="234">
        <f t="shared" si="160"/>
        <v>0</v>
      </c>
      <c r="AB216" s="314">
        <f t="shared" si="137"/>
        <v>0</v>
      </c>
      <c r="AC216" s="314"/>
      <c r="AD216" s="314">
        <f t="shared" si="138"/>
        <v>0</v>
      </c>
      <c r="AE216" s="324" t="s">
        <v>87</v>
      </c>
      <c r="AF216" s="82"/>
      <c r="AG216" s="337"/>
      <c r="AH216" s="337"/>
      <c r="AI216" s="337"/>
      <c r="AJ216" s="337"/>
      <c r="AK216" s="337"/>
      <c r="AL216" s="338"/>
      <c r="AM216" s="354"/>
      <c r="AN216" s="91">
        <f t="shared" si="161"/>
        <v>0</v>
      </c>
      <c r="AO216" s="96">
        <f t="shared" si="139"/>
        <v>0</v>
      </c>
      <c r="AP216" s="210"/>
      <c r="AQ216" s="97">
        <f t="shared" si="140"/>
        <v>0</v>
      </c>
      <c r="AR216" s="105"/>
      <c r="AS216" s="102"/>
      <c r="AT216" s="237"/>
      <c r="AU216" s="231"/>
      <c r="AV216" s="93"/>
      <c r="AW216" s="231"/>
      <c r="AX216" s="93"/>
      <c r="AY216" s="231"/>
      <c r="AZ216" s="93"/>
      <c r="BA216" s="17">
        <f t="shared" si="131"/>
        <v>2.16E-5</v>
      </c>
      <c r="BB216" s="17">
        <f t="shared" si="132"/>
        <v>0</v>
      </c>
      <c r="BC216" s="17"/>
      <c r="BD216" s="178">
        <v>207</v>
      </c>
      <c r="BE216" s="214">
        <f t="shared" si="141"/>
        <v>2.2099999999999998E-5</v>
      </c>
      <c r="BF216" s="178">
        <f t="shared" si="133"/>
        <v>0</v>
      </c>
      <c r="BG216" s="245">
        <f t="shared" si="134"/>
        <v>2.16E-5</v>
      </c>
      <c r="BH216" s="17">
        <f t="shared" si="142"/>
        <v>0</v>
      </c>
      <c r="BI216" s="178">
        <v>207</v>
      </c>
      <c r="BJ216" s="87">
        <f t="shared" si="143"/>
        <v>2.0399999999999998E-5</v>
      </c>
      <c r="BK216" s="215">
        <f t="shared" si="135"/>
        <v>0</v>
      </c>
      <c r="BL216" s="245">
        <f t="shared" si="144"/>
        <v>2.16E-5</v>
      </c>
      <c r="BM216" s="17">
        <f t="shared" si="145"/>
        <v>0</v>
      </c>
      <c r="BN216" s="178">
        <v>207</v>
      </c>
      <c r="BO216" s="87">
        <f t="shared" si="146"/>
        <v>2.0399999999999998E-5</v>
      </c>
      <c r="BP216" s="215">
        <f t="shared" si="136"/>
        <v>0</v>
      </c>
      <c r="BR216" s="126"/>
      <c r="BS216" s="126"/>
      <c r="BU216" s="178"/>
      <c r="BV216" s="179" t="str">
        <f t="shared" si="147"/>
        <v/>
      </c>
      <c r="BW216" s="179" t="str">
        <f t="shared" si="148"/>
        <v/>
      </c>
      <c r="BX216" s="179" t="str">
        <f t="shared" si="149"/>
        <v/>
      </c>
      <c r="BY216" s="179" t="str">
        <f t="shared" si="150"/>
        <v/>
      </c>
      <c r="BZ216" s="179" t="str">
        <f t="shared" si="151"/>
        <v/>
      </c>
      <c r="CA216" s="179" t="str">
        <f t="shared" si="152"/>
        <v/>
      </c>
      <c r="CB216" s="179" t="str">
        <f t="shared" si="153"/>
        <v/>
      </c>
      <c r="CC216" s="179" t="str">
        <f t="shared" si="154"/>
        <v/>
      </c>
      <c r="CD216" s="179" t="str">
        <f t="shared" si="155"/>
        <v/>
      </c>
      <c r="CE216" s="179" t="str">
        <f t="shared" si="156"/>
        <v/>
      </c>
      <c r="CF216" s="179" t="str">
        <f t="shared" si="157"/>
        <v/>
      </c>
      <c r="CG216" s="179" t="str">
        <f t="shared" si="158"/>
        <v/>
      </c>
      <c r="CH216" s="166"/>
      <c r="CI216" s="166"/>
      <c r="CJ216" s="166"/>
      <c r="CK216" s="166" t="s">
        <v>150</v>
      </c>
      <c r="CL216" s="166"/>
    </row>
    <row r="217" spans="1:90" ht="14.25" customHeight="1" x14ac:dyDescent="0.25">
      <c r="A217" s="211">
        <v>207</v>
      </c>
      <c r="B217" s="89"/>
      <c r="C217" s="199"/>
      <c r="D217" s="146"/>
      <c r="E217" s="319" t="s">
        <v>93</v>
      </c>
      <c r="F217" s="221"/>
      <c r="G217" s="222"/>
      <c r="H217" s="222"/>
      <c r="I217" s="222"/>
      <c r="J217" s="222"/>
      <c r="K217" s="222"/>
      <c r="L217" s="222"/>
      <c r="M217" s="331"/>
      <c r="N217" s="303">
        <f t="shared" si="159"/>
        <v>0</v>
      </c>
      <c r="O217" s="304"/>
      <c r="P217" s="341"/>
      <c r="Q217" s="305"/>
      <c r="R217" s="322" t="s">
        <v>67</v>
      </c>
      <c r="S217" s="326"/>
      <c r="T217" s="327"/>
      <c r="U217" s="327"/>
      <c r="V217" s="327"/>
      <c r="W217" s="327"/>
      <c r="X217" s="327"/>
      <c r="Y217" s="95"/>
      <c r="Z217" s="331"/>
      <c r="AA217" s="303">
        <f t="shared" si="160"/>
        <v>0</v>
      </c>
      <c r="AB217" s="314">
        <f t="shared" si="137"/>
        <v>0</v>
      </c>
      <c r="AC217" s="314"/>
      <c r="AD217" s="314">
        <f t="shared" si="138"/>
        <v>0</v>
      </c>
      <c r="AE217" s="325" t="s">
        <v>148</v>
      </c>
      <c r="AF217" s="15"/>
      <c r="AG217" s="232"/>
      <c r="AH217" s="232"/>
      <c r="AI217" s="232"/>
      <c r="AJ217" s="232"/>
      <c r="AK217" s="232"/>
      <c r="AL217" s="7"/>
      <c r="AM217" s="352"/>
      <c r="AN217" s="22">
        <f t="shared" si="161"/>
        <v>0</v>
      </c>
      <c r="AO217" s="15">
        <f t="shared" si="139"/>
        <v>0</v>
      </c>
      <c r="AP217" s="345"/>
      <c r="AQ217" s="7">
        <f t="shared" si="140"/>
        <v>0</v>
      </c>
      <c r="AR217" s="103"/>
      <c r="AS217" s="101"/>
      <c r="AT217" s="236"/>
      <c r="AU217" s="235"/>
      <c r="AV217" s="92"/>
      <c r="AW217" s="235"/>
      <c r="AX217" s="92"/>
      <c r="AY217" s="235"/>
      <c r="AZ217" s="92"/>
      <c r="BA217" s="17">
        <f t="shared" si="131"/>
        <v>2.1699999999999999E-5</v>
      </c>
      <c r="BB217" s="17">
        <f t="shared" si="132"/>
        <v>0</v>
      </c>
      <c r="BC217" s="17"/>
      <c r="BD217" s="178">
        <v>208</v>
      </c>
      <c r="BE217" s="214">
        <f t="shared" si="141"/>
        <v>2.1999999999999999E-5</v>
      </c>
      <c r="BF217" s="178">
        <f t="shared" si="133"/>
        <v>0</v>
      </c>
      <c r="BG217" s="245">
        <f t="shared" si="134"/>
        <v>2.1699999999999999E-5</v>
      </c>
      <c r="BH217" s="17">
        <f t="shared" si="142"/>
        <v>0</v>
      </c>
      <c r="BI217" s="178">
        <v>208</v>
      </c>
      <c r="BJ217" s="87">
        <f t="shared" si="143"/>
        <v>2.0299999999999999E-5</v>
      </c>
      <c r="BK217" s="215">
        <f t="shared" si="135"/>
        <v>0</v>
      </c>
      <c r="BL217" s="245">
        <f t="shared" si="144"/>
        <v>2.1699999999999999E-5</v>
      </c>
      <c r="BM217" s="17">
        <f t="shared" si="145"/>
        <v>0</v>
      </c>
      <c r="BN217" s="178">
        <v>208</v>
      </c>
      <c r="BO217" s="87">
        <f t="shared" si="146"/>
        <v>2.0299999999999999E-5</v>
      </c>
      <c r="BP217" s="215">
        <f t="shared" si="136"/>
        <v>0</v>
      </c>
      <c r="BR217" s="126"/>
      <c r="BS217" s="126"/>
      <c r="BU217" s="178"/>
      <c r="BV217" s="179" t="str">
        <f t="shared" si="147"/>
        <v/>
      </c>
      <c r="BW217" s="179" t="str">
        <f t="shared" si="148"/>
        <v/>
      </c>
      <c r="BX217" s="179" t="str">
        <f t="shared" si="149"/>
        <v/>
      </c>
      <c r="BY217" s="179" t="str">
        <f t="shared" si="150"/>
        <v/>
      </c>
      <c r="BZ217" s="179" t="str">
        <f t="shared" si="151"/>
        <v/>
      </c>
      <c r="CA217" s="179" t="str">
        <f t="shared" si="152"/>
        <v/>
      </c>
      <c r="CB217" s="179" t="str">
        <f t="shared" si="153"/>
        <v/>
      </c>
      <c r="CC217" s="179" t="str">
        <f t="shared" si="154"/>
        <v/>
      </c>
      <c r="CD217" s="179" t="str">
        <f t="shared" si="155"/>
        <v/>
      </c>
      <c r="CE217" s="179" t="str">
        <f t="shared" si="156"/>
        <v/>
      </c>
      <c r="CF217" s="179" t="str">
        <f t="shared" si="157"/>
        <v/>
      </c>
      <c r="CG217" s="179" t="str">
        <f t="shared" si="158"/>
        <v/>
      </c>
      <c r="CH217" s="166"/>
      <c r="CI217" s="166"/>
      <c r="CJ217" s="166"/>
      <c r="CK217" s="166" t="s">
        <v>150</v>
      </c>
      <c r="CL217" s="166"/>
    </row>
    <row r="218" spans="1:90" ht="14.25" customHeight="1" thickBot="1" x14ac:dyDescent="0.3">
      <c r="A218" s="213">
        <v>208</v>
      </c>
      <c r="B218" s="219"/>
      <c r="C218" s="200"/>
      <c r="D218" s="145"/>
      <c r="E218" s="320" t="s">
        <v>93</v>
      </c>
      <c r="F218" s="209"/>
      <c r="G218" s="313"/>
      <c r="H218" s="313"/>
      <c r="I218" s="313"/>
      <c r="J218" s="313"/>
      <c r="K218" s="313"/>
      <c r="L218" s="313"/>
      <c r="M218" s="339"/>
      <c r="N218" s="233">
        <f t="shared" si="159"/>
        <v>0</v>
      </c>
      <c r="O218" s="306"/>
      <c r="P218" s="342"/>
      <c r="Q218" s="307"/>
      <c r="R218" s="323" t="s">
        <v>67</v>
      </c>
      <c r="S218" s="209"/>
      <c r="T218" s="313"/>
      <c r="U218" s="313"/>
      <c r="V218" s="313"/>
      <c r="W218" s="313"/>
      <c r="X218" s="313"/>
      <c r="Y218" s="125"/>
      <c r="Z218" s="339"/>
      <c r="AA218" s="233">
        <f t="shared" si="160"/>
        <v>0</v>
      </c>
      <c r="AB218" s="314">
        <f t="shared" si="137"/>
        <v>0</v>
      </c>
      <c r="AC218" s="314"/>
      <c r="AD218" s="314">
        <f t="shared" si="138"/>
        <v>0</v>
      </c>
      <c r="AE218" s="323" t="s">
        <v>87</v>
      </c>
      <c r="AF218" s="81"/>
      <c r="AG218" s="335"/>
      <c r="AH218" s="335"/>
      <c r="AI218" s="335"/>
      <c r="AJ218" s="335"/>
      <c r="AK218" s="335"/>
      <c r="AL218" s="336"/>
      <c r="AM218" s="353"/>
      <c r="AN218" s="22">
        <f t="shared" si="161"/>
        <v>0</v>
      </c>
      <c r="AO218" s="209">
        <f t="shared" si="139"/>
        <v>0</v>
      </c>
      <c r="AP218" s="339"/>
      <c r="AQ218" s="125">
        <f t="shared" si="140"/>
        <v>0</v>
      </c>
      <c r="AR218" s="104"/>
      <c r="AS218" s="217"/>
      <c r="AT218" s="216"/>
      <c r="AU218" s="230"/>
      <c r="AV218" s="220"/>
      <c r="AW218" s="230"/>
      <c r="AX218" s="220"/>
      <c r="AY218" s="230"/>
      <c r="AZ218" s="220"/>
      <c r="BA218" s="17">
        <f t="shared" si="131"/>
        <v>2.1799999999999998E-5</v>
      </c>
      <c r="BB218" s="17">
        <f t="shared" si="132"/>
        <v>0</v>
      </c>
      <c r="BC218" s="17"/>
      <c r="BD218" s="178">
        <v>209</v>
      </c>
      <c r="BE218" s="214">
        <f t="shared" si="141"/>
        <v>2.19E-5</v>
      </c>
      <c r="BF218" s="178">
        <f t="shared" si="133"/>
        <v>0</v>
      </c>
      <c r="BG218" s="245">
        <f t="shared" si="134"/>
        <v>2.1799999999999998E-5</v>
      </c>
      <c r="BH218" s="17">
        <f t="shared" si="142"/>
        <v>0</v>
      </c>
      <c r="BI218" s="178">
        <v>209</v>
      </c>
      <c r="BJ218" s="87">
        <f t="shared" si="143"/>
        <v>2.02E-5</v>
      </c>
      <c r="BK218" s="215">
        <f t="shared" si="135"/>
        <v>0</v>
      </c>
      <c r="BL218" s="245">
        <f t="shared" si="144"/>
        <v>2.1799999999999998E-5</v>
      </c>
      <c r="BM218" s="17">
        <f t="shared" si="145"/>
        <v>0</v>
      </c>
      <c r="BN218" s="178">
        <v>209</v>
      </c>
      <c r="BO218" s="87">
        <f t="shared" si="146"/>
        <v>2.02E-5</v>
      </c>
      <c r="BP218" s="215">
        <f t="shared" si="136"/>
        <v>0</v>
      </c>
      <c r="BR218" s="126"/>
      <c r="BS218" s="126"/>
      <c r="BU218" s="178"/>
      <c r="BV218" s="179" t="str">
        <f t="shared" si="147"/>
        <v/>
      </c>
      <c r="BW218" s="179" t="str">
        <f t="shared" si="148"/>
        <v/>
      </c>
      <c r="BX218" s="179" t="str">
        <f t="shared" si="149"/>
        <v/>
      </c>
      <c r="BY218" s="179" t="str">
        <f t="shared" si="150"/>
        <v/>
      </c>
      <c r="BZ218" s="179" t="str">
        <f t="shared" si="151"/>
        <v/>
      </c>
      <c r="CA218" s="179" t="str">
        <f t="shared" si="152"/>
        <v/>
      </c>
      <c r="CB218" s="179" t="str">
        <f t="shared" si="153"/>
        <v/>
      </c>
      <c r="CC218" s="179" t="str">
        <f t="shared" si="154"/>
        <v/>
      </c>
      <c r="CD218" s="179" t="str">
        <f t="shared" si="155"/>
        <v/>
      </c>
      <c r="CE218" s="179" t="str">
        <f t="shared" si="156"/>
        <v/>
      </c>
      <c r="CF218" s="179" t="str">
        <f t="shared" si="157"/>
        <v/>
      </c>
      <c r="CG218" s="179" t="str">
        <f t="shared" si="158"/>
        <v/>
      </c>
      <c r="CH218" s="166"/>
      <c r="CI218" s="166"/>
      <c r="CJ218" s="166"/>
      <c r="CK218" s="166" t="s">
        <v>150</v>
      </c>
      <c r="CL218" s="166"/>
    </row>
    <row r="219" spans="1:90" ht="14.25" customHeight="1" thickBot="1" x14ac:dyDescent="0.3">
      <c r="A219" s="211">
        <v>209</v>
      </c>
      <c r="B219" s="88"/>
      <c r="C219" s="201"/>
      <c r="D219" s="94"/>
      <c r="E219" s="321" t="s">
        <v>93</v>
      </c>
      <c r="F219" s="96"/>
      <c r="G219" s="100"/>
      <c r="H219" s="100"/>
      <c r="I219" s="100"/>
      <c r="J219" s="100"/>
      <c r="K219" s="100"/>
      <c r="L219" s="100"/>
      <c r="M219" s="210"/>
      <c r="N219" s="234">
        <f t="shared" si="159"/>
        <v>0</v>
      </c>
      <c r="O219" s="308"/>
      <c r="P219" s="343"/>
      <c r="Q219" s="309"/>
      <c r="R219" s="324" t="s">
        <v>67</v>
      </c>
      <c r="S219" s="96"/>
      <c r="T219" s="100"/>
      <c r="U219" s="100"/>
      <c r="V219" s="100"/>
      <c r="W219" s="100"/>
      <c r="X219" s="100"/>
      <c r="Y219" s="97"/>
      <c r="Z219" s="210"/>
      <c r="AA219" s="234">
        <f t="shared" si="160"/>
        <v>0</v>
      </c>
      <c r="AB219" s="314">
        <f t="shared" si="137"/>
        <v>0</v>
      </c>
      <c r="AC219" s="314"/>
      <c r="AD219" s="314">
        <f t="shared" si="138"/>
        <v>0</v>
      </c>
      <c r="AE219" s="324" t="s">
        <v>87</v>
      </c>
      <c r="AF219" s="82"/>
      <c r="AG219" s="337"/>
      <c r="AH219" s="337"/>
      <c r="AI219" s="337"/>
      <c r="AJ219" s="337"/>
      <c r="AK219" s="337"/>
      <c r="AL219" s="338"/>
      <c r="AM219" s="354"/>
      <c r="AN219" s="91">
        <f t="shared" si="161"/>
        <v>0</v>
      </c>
      <c r="AO219" s="96">
        <f t="shared" si="139"/>
        <v>0</v>
      </c>
      <c r="AP219" s="210"/>
      <c r="AQ219" s="97">
        <f t="shared" si="140"/>
        <v>0</v>
      </c>
      <c r="AR219" s="105"/>
      <c r="AS219" s="102"/>
      <c r="AT219" s="237"/>
      <c r="AU219" s="231"/>
      <c r="AV219" s="93"/>
      <c r="AW219" s="231"/>
      <c r="AX219" s="93"/>
      <c r="AY219" s="231"/>
      <c r="AZ219" s="93"/>
      <c r="BA219" s="17">
        <f t="shared" si="131"/>
        <v>2.19E-5</v>
      </c>
      <c r="BB219" s="17">
        <f t="shared" si="132"/>
        <v>0</v>
      </c>
      <c r="BC219" s="17"/>
      <c r="BD219" s="178">
        <v>210</v>
      </c>
      <c r="BE219" s="214">
        <f t="shared" si="141"/>
        <v>2.1799999999999998E-5</v>
      </c>
      <c r="BF219" s="178">
        <f t="shared" si="133"/>
        <v>0</v>
      </c>
      <c r="BG219" s="245">
        <f t="shared" si="134"/>
        <v>2.19E-5</v>
      </c>
      <c r="BH219" s="17">
        <f t="shared" si="142"/>
        <v>0</v>
      </c>
      <c r="BI219" s="178">
        <v>210</v>
      </c>
      <c r="BJ219" s="87">
        <f t="shared" si="143"/>
        <v>2.0100000000000001E-5</v>
      </c>
      <c r="BK219" s="215">
        <f t="shared" si="135"/>
        <v>0</v>
      </c>
      <c r="BL219" s="245">
        <f t="shared" si="144"/>
        <v>2.19E-5</v>
      </c>
      <c r="BM219" s="17">
        <f t="shared" si="145"/>
        <v>0</v>
      </c>
      <c r="BN219" s="178">
        <v>210</v>
      </c>
      <c r="BO219" s="87">
        <f t="shared" si="146"/>
        <v>2.0100000000000001E-5</v>
      </c>
      <c r="BP219" s="215">
        <f t="shared" si="136"/>
        <v>0</v>
      </c>
      <c r="BR219" s="126"/>
      <c r="BS219" s="126"/>
      <c r="BU219" s="178"/>
      <c r="BV219" s="179" t="str">
        <f t="shared" si="147"/>
        <v/>
      </c>
      <c r="BW219" s="179" t="str">
        <f t="shared" si="148"/>
        <v/>
      </c>
      <c r="BX219" s="179" t="str">
        <f t="shared" si="149"/>
        <v/>
      </c>
      <c r="BY219" s="179" t="str">
        <f t="shared" si="150"/>
        <v/>
      </c>
      <c r="BZ219" s="179" t="str">
        <f t="shared" si="151"/>
        <v/>
      </c>
      <c r="CA219" s="179" t="str">
        <f t="shared" si="152"/>
        <v/>
      </c>
      <c r="CB219" s="179" t="str">
        <f t="shared" si="153"/>
        <v/>
      </c>
      <c r="CC219" s="179" t="str">
        <f t="shared" si="154"/>
        <v/>
      </c>
      <c r="CD219" s="179" t="str">
        <f t="shared" si="155"/>
        <v/>
      </c>
      <c r="CE219" s="179" t="str">
        <f t="shared" si="156"/>
        <v/>
      </c>
      <c r="CF219" s="179" t="str">
        <f t="shared" si="157"/>
        <v/>
      </c>
      <c r="CG219" s="179" t="str">
        <f t="shared" si="158"/>
        <v/>
      </c>
      <c r="CH219" s="166"/>
      <c r="CI219" s="166"/>
      <c r="CJ219" s="166"/>
      <c r="CK219" s="166" t="s">
        <v>150</v>
      </c>
      <c r="CL219" s="166"/>
    </row>
    <row r="220" spans="1:90" ht="14.25" customHeight="1" thickBot="1" x14ac:dyDescent="0.3">
      <c r="A220" s="213">
        <v>210</v>
      </c>
      <c r="B220" s="89"/>
      <c r="C220" s="199"/>
      <c r="D220" s="146"/>
      <c r="E220" s="319" t="s">
        <v>93</v>
      </c>
      <c r="F220" s="221"/>
      <c r="G220" s="222"/>
      <c r="H220" s="222"/>
      <c r="I220" s="222"/>
      <c r="J220" s="222"/>
      <c r="K220" s="222"/>
      <c r="L220" s="222"/>
      <c r="M220" s="331"/>
      <c r="N220" s="303">
        <f t="shared" si="159"/>
        <v>0</v>
      </c>
      <c r="O220" s="304"/>
      <c r="P220" s="341"/>
      <c r="Q220" s="305"/>
      <c r="R220" s="322" t="s">
        <v>67</v>
      </c>
      <c r="S220" s="326"/>
      <c r="T220" s="327"/>
      <c r="U220" s="327"/>
      <c r="V220" s="327"/>
      <c r="W220" s="327"/>
      <c r="X220" s="327"/>
      <c r="Y220" s="95"/>
      <c r="Z220" s="331"/>
      <c r="AA220" s="303">
        <f t="shared" si="160"/>
        <v>0</v>
      </c>
      <c r="AB220" s="314">
        <f t="shared" si="137"/>
        <v>0</v>
      </c>
      <c r="AC220" s="314"/>
      <c r="AD220" s="314">
        <f t="shared" si="138"/>
        <v>0</v>
      </c>
      <c r="AE220" s="325" t="s">
        <v>148</v>
      </c>
      <c r="AF220" s="15"/>
      <c r="AG220" s="232"/>
      <c r="AH220" s="232"/>
      <c r="AI220" s="232"/>
      <c r="AJ220" s="232"/>
      <c r="AK220" s="232"/>
      <c r="AL220" s="7"/>
      <c r="AM220" s="352"/>
      <c r="AN220" s="22">
        <f t="shared" si="161"/>
        <v>0</v>
      </c>
      <c r="AO220" s="15">
        <f t="shared" si="139"/>
        <v>0</v>
      </c>
      <c r="AP220" s="345"/>
      <c r="AQ220" s="7">
        <f t="shared" si="140"/>
        <v>0</v>
      </c>
      <c r="AR220" s="103"/>
      <c r="AS220" s="101"/>
      <c r="AT220" s="236"/>
      <c r="AU220" s="235"/>
      <c r="AV220" s="92"/>
      <c r="AW220" s="235"/>
      <c r="AX220" s="92"/>
      <c r="AY220" s="235"/>
      <c r="AZ220" s="92"/>
      <c r="BA220" s="17">
        <f t="shared" si="131"/>
        <v>2.1999999999999999E-5</v>
      </c>
      <c r="BB220" s="17">
        <f t="shared" si="132"/>
        <v>0</v>
      </c>
      <c r="BC220" s="17"/>
      <c r="BD220" s="178">
        <v>211</v>
      </c>
      <c r="BE220" s="214">
        <f t="shared" si="141"/>
        <v>2.1699999999999999E-5</v>
      </c>
      <c r="BF220" s="178">
        <f t="shared" si="133"/>
        <v>0</v>
      </c>
      <c r="BG220" s="245">
        <f t="shared" si="134"/>
        <v>2.1999999999999999E-5</v>
      </c>
      <c r="BH220" s="17">
        <f t="shared" si="142"/>
        <v>0</v>
      </c>
      <c r="BI220" s="178">
        <v>211</v>
      </c>
      <c r="BJ220" s="87">
        <f t="shared" si="143"/>
        <v>1.9999999999999998E-5</v>
      </c>
      <c r="BK220" s="215">
        <f t="shared" si="135"/>
        <v>0</v>
      </c>
      <c r="BL220" s="245">
        <f t="shared" si="144"/>
        <v>2.1999999999999999E-5</v>
      </c>
      <c r="BM220" s="17">
        <f t="shared" si="145"/>
        <v>0</v>
      </c>
      <c r="BN220" s="178">
        <v>211</v>
      </c>
      <c r="BO220" s="87">
        <f t="shared" si="146"/>
        <v>1.9999999999999998E-5</v>
      </c>
      <c r="BP220" s="215">
        <f t="shared" si="136"/>
        <v>0</v>
      </c>
      <c r="BR220" s="126"/>
      <c r="BS220" s="126"/>
      <c r="BU220" s="178"/>
      <c r="BV220" s="179" t="str">
        <f t="shared" si="147"/>
        <v/>
      </c>
      <c r="BW220" s="179" t="str">
        <f t="shared" si="148"/>
        <v/>
      </c>
      <c r="BX220" s="179" t="str">
        <f t="shared" si="149"/>
        <v/>
      </c>
      <c r="BY220" s="179" t="str">
        <f t="shared" si="150"/>
        <v/>
      </c>
      <c r="BZ220" s="179" t="str">
        <f t="shared" si="151"/>
        <v/>
      </c>
      <c r="CA220" s="179" t="str">
        <f t="shared" si="152"/>
        <v/>
      </c>
      <c r="CB220" s="179" t="str">
        <f t="shared" si="153"/>
        <v/>
      </c>
      <c r="CC220" s="179" t="str">
        <f t="shared" si="154"/>
        <v/>
      </c>
      <c r="CD220" s="179" t="str">
        <f t="shared" si="155"/>
        <v/>
      </c>
      <c r="CE220" s="179" t="str">
        <f t="shared" si="156"/>
        <v/>
      </c>
      <c r="CF220" s="179" t="str">
        <f t="shared" si="157"/>
        <v/>
      </c>
      <c r="CG220" s="179" t="str">
        <f t="shared" si="158"/>
        <v/>
      </c>
      <c r="CH220" s="166"/>
      <c r="CI220" s="166"/>
      <c r="CJ220" s="166"/>
      <c r="CK220" s="166" t="s">
        <v>150</v>
      </c>
      <c r="CL220" s="166"/>
    </row>
    <row r="221" spans="1:90" ht="14.25" customHeight="1" x14ac:dyDescent="0.25">
      <c r="A221" s="211">
        <v>211</v>
      </c>
      <c r="B221" s="219"/>
      <c r="C221" s="200"/>
      <c r="D221" s="145"/>
      <c r="E221" s="320" t="s">
        <v>93</v>
      </c>
      <c r="F221" s="209"/>
      <c r="G221" s="313"/>
      <c r="H221" s="313"/>
      <c r="I221" s="313"/>
      <c r="J221" s="313"/>
      <c r="K221" s="313"/>
      <c r="L221" s="313"/>
      <c r="M221" s="339"/>
      <c r="N221" s="233">
        <f t="shared" si="159"/>
        <v>0</v>
      </c>
      <c r="O221" s="306"/>
      <c r="P221" s="342"/>
      <c r="Q221" s="307"/>
      <c r="R221" s="323" t="s">
        <v>67</v>
      </c>
      <c r="S221" s="209"/>
      <c r="T221" s="313"/>
      <c r="U221" s="313"/>
      <c r="V221" s="313"/>
      <c r="W221" s="313"/>
      <c r="X221" s="313"/>
      <c r="Y221" s="125"/>
      <c r="Z221" s="339"/>
      <c r="AA221" s="233">
        <f t="shared" si="160"/>
        <v>0</v>
      </c>
      <c r="AB221" s="314">
        <f t="shared" si="137"/>
        <v>0</v>
      </c>
      <c r="AC221" s="314"/>
      <c r="AD221" s="314">
        <f t="shared" si="138"/>
        <v>0</v>
      </c>
      <c r="AE221" s="323" t="s">
        <v>87</v>
      </c>
      <c r="AF221" s="81"/>
      <c r="AG221" s="335"/>
      <c r="AH221" s="335"/>
      <c r="AI221" s="335"/>
      <c r="AJ221" s="335"/>
      <c r="AK221" s="335"/>
      <c r="AL221" s="336"/>
      <c r="AM221" s="353"/>
      <c r="AN221" s="22">
        <f t="shared" si="161"/>
        <v>0</v>
      </c>
      <c r="AO221" s="209">
        <f t="shared" si="139"/>
        <v>0</v>
      </c>
      <c r="AP221" s="339"/>
      <c r="AQ221" s="125">
        <f t="shared" si="140"/>
        <v>0</v>
      </c>
      <c r="AR221" s="104"/>
      <c r="AS221" s="217"/>
      <c r="AT221" s="216"/>
      <c r="AU221" s="230"/>
      <c r="AV221" s="220"/>
      <c r="AW221" s="230"/>
      <c r="AX221" s="220"/>
      <c r="AY221" s="230"/>
      <c r="AZ221" s="220"/>
      <c r="BA221" s="17">
        <f t="shared" si="131"/>
        <v>2.2099999999999998E-5</v>
      </c>
      <c r="BB221" s="17">
        <f t="shared" si="132"/>
        <v>0</v>
      </c>
      <c r="BC221" s="17"/>
      <c r="BD221" s="178">
        <v>212</v>
      </c>
      <c r="BE221" s="214">
        <f t="shared" si="141"/>
        <v>2.16E-5</v>
      </c>
      <c r="BF221" s="178">
        <f t="shared" si="133"/>
        <v>0</v>
      </c>
      <c r="BG221" s="245">
        <f t="shared" si="134"/>
        <v>2.2099999999999998E-5</v>
      </c>
      <c r="BH221" s="17">
        <f t="shared" si="142"/>
        <v>0</v>
      </c>
      <c r="BI221" s="178">
        <v>212</v>
      </c>
      <c r="BJ221" s="87">
        <f t="shared" si="143"/>
        <v>1.9899999999999999E-5</v>
      </c>
      <c r="BK221" s="215">
        <f t="shared" si="135"/>
        <v>0</v>
      </c>
      <c r="BL221" s="245">
        <f t="shared" si="144"/>
        <v>2.2099999999999998E-5</v>
      </c>
      <c r="BM221" s="17">
        <f t="shared" si="145"/>
        <v>0</v>
      </c>
      <c r="BN221" s="178">
        <v>212</v>
      </c>
      <c r="BO221" s="87">
        <f t="shared" si="146"/>
        <v>1.9899999999999999E-5</v>
      </c>
      <c r="BP221" s="215">
        <f t="shared" si="136"/>
        <v>0</v>
      </c>
      <c r="BR221" s="126"/>
      <c r="BS221" s="126"/>
      <c r="BU221" s="178"/>
      <c r="BV221" s="179" t="str">
        <f t="shared" si="147"/>
        <v/>
      </c>
      <c r="BW221" s="179" t="str">
        <f t="shared" si="148"/>
        <v/>
      </c>
      <c r="BX221" s="179" t="str">
        <f t="shared" si="149"/>
        <v/>
      </c>
      <c r="BY221" s="179" t="str">
        <f t="shared" si="150"/>
        <v/>
      </c>
      <c r="BZ221" s="179" t="str">
        <f t="shared" si="151"/>
        <v/>
      </c>
      <c r="CA221" s="179" t="str">
        <f t="shared" si="152"/>
        <v/>
      </c>
      <c r="CB221" s="179" t="str">
        <f t="shared" si="153"/>
        <v/>
      </c>
      <c r="CC221" s="179" t="str">
        <f t="shared" si="154"/>
        <v/>
      </c>
      <c r="CD221" s="179" t="str">
        <f t="shared" si="155"/>
        <v/>
      </c>
      <c r="CE221" s="179" t="str">
        <f t="shared" si="156"/>
        <v/>
      </c>
      <c r="CF221" s="179" t="str">
        <f t="shared" si="157"/>
        <v/>
      </c>
      <c r="CG221" s="179" t="str">
        <f t="shared" si="158"/>
        <v/>
      </c>
      <c r="CH221" s="166"/>
      <c r="CI221" s="166"/>
      <c r="CJ221" s="166"/>
      <c r="CK221" s="166" t="s">
        <v>150</v>
      </c>
      <c r="CL221" s="166"/>
    </row>
    <row r="222" spans="1:90" ht="14.25" customHeight="1" thickBot="1" x14ac:dyDescent="0.3">
      <c r="A222" s="213">
        <v>212</v>
      </c>
      <c r="B222" s="88"/>
      <c r="C222" s="201"/>
      <c r="D222" s="94"/>
      <c r="E222" s="321" t="s">
        <v>93</v>
      </c>
      <c r="F222" s="96"/>
      <c r="G222" s="100"/>
      <c r="H222" s="100"/>
      <c r="I222" s="100"/>
      <c r="J222" s="100"/>
      <c r="K222" s="100"/>
      <c r="L222" s="100"/>
      <c r="M222" s="210"/>
      <c r="N222" s="234">
        <f t="shared" si="159"/>
        <v>0</v>
      </c>
      <c r="O222" s="308"/>
      <c r="P222" s="343"/>
      <c r="Q222" s="309"/>
      <c r="R222" s="324" t="s">
        <v>67</v>
      </c>
      <c r="S222" s="96"/>
      <c r="T222" s="100"/>
      <c r="U222" s="100"/>
      <c r="V222" s="100"/>
      <c r="W222" s="100"/>
      <c r="X222" s="100"/>
      <c r="Y222" s="97"/>
      <c r="Z222" s="210"/>
      <c r="AA222" s="234">
        <f t="shared" si="160"/>
        <v>0</v>
      </c>
      <c r="AB222" s="314">
        <f t="shared" si="137"/>
        <v>0</v>
      </c>
      <c r="AC222" s="314"/>
      <c r="AD222" s="314">
        <f t="shared" si="138"/>
        <v>0</v>
      </c>
      <c r="AE222" s="324" t="s">
        <v>87</v>
      </c>
      <c r="AF222" s="82"/>
      <c r="AG222" s="337"/>
      <c r="AH222" s="337"/>
      <c r="AI222" s="337"/>
      <c r="AJ222" s="337"/>
      <c r="AK222" s="337"/>
      <c r="AL222" s="338"/>
      <c r="AM222" s="354"/>
      <c r="AN222" s="91">
        <f t="shared" si="161"/>
        <v>0</v>
      </c>
      <c r="AO222" s="96">
        <f t="shared" si="139"/>
        <v>0</v>
      </c>
      <c r="AP222" s="210"/>
      <c r="AQ222" s="97">
        <f t="shared" si="140"/>
        <v>0</v>
      </c>
      <c r="AR222" s="105"/>
      <c r="AS222" s="102"/>
      <c r="AT222" s="237"/>
      <c r="AU222" s="231"/>
      <c r="AV222" s="93"/>
      <c r="AW222" s="231"/>
      <c r="AX222" s="93"/>
      <c r="AY222" s="231"/>
      <c r="AZ222" s="93"/>
      <c r="BA222" s="17">
        <f t="shared" si="131"/>
        <v>2.2199999999999998E-5</v>
      </c>
      <c r="BB222" s="17">
        <f t="shared" si="132"/>
        <v>0</v>
      </c>
      <c r="BC222" s="17"/>
      <c r="BD222" s="178">
        <v>213</v>
      </c>
      <c r="BE222" s="214">
        <f t="shared" si="141"/>
        <v>2.1499999999999997E-5</v>
      </c>
      <c r="BF222" s="178">
        <f t="shared" si="133"/>
        <v>0</v>
      </c>
      <c r="BG222" s="245">
        <f t="shared" si="134"/>
        <v>2.2199999999999998E-5</v>
      </c>
      <c r="BH222" s="17">
        <f t="shared" si="142"/>
        <v>0</v>
      </c>
      <c r="BI222" s="178">
        <v>213</v>
      </c>
      <c r="BJ222" s="87">
        <f t="shared" si="143"/>
        <v>1.98E-5</v>
      </c>
      <c r="BK222" s="215">
        <f t="shared" si="135"/>
        <v>0</v>
      </c>
      <c r="BL222" s="245">
        <f t="shared" si="144"/>
        <v>2.2199999999999998E-5</v>
      </c>
      <c r="BM222" s="17">
        <f t="shared" si="145"/>
        <v>0</v>
      </c>
      <c r="BN222" s="178">
        <v>213</v>
      </c>
      <c r="BO222" s="87">
        <f t="shared" si="146"/>
        <v>1.98E-5</v>
      </c>
      <c r="BP222" s="215">
        <f t="shared" si="136"/>
        <v>0</v>
      </c>
      <c r="BR222" s="126"/>
      <c r="BS222" s="126"/>
      <c r="BU222" s="178"/>
      <c r="BV222" s="179" t="str">
        <f t="shared" si="147"/>
        <v/>
      </c>
      <c r="BW222" s="179" t="str">
        <f t="shared" si="148"/>
        <v/>
      </c>
      <c r="BX222" s="179" t="str">
        <f t="shared" si="149"/>
        <v/>
      </c>
      <c r="BY222" s="179" t="str">
        <f t="shared" si="150"/>
        <v/>
      </c>
      <c r="BZ222" s="179" t="str">
        <f t="shared" si="151"/>
        <v/>
      </c>
      <c r="CA222" s="179" t="str">
        <f t="shared" si="152"/>
        <v/>
      </c>
      <c r="CB222" s="179" t="str">
        <f t="shared" si="153"/>
        <v/>
      </c>
      <c r="CC222" s="179" t="str">
        <f t="shared" si="154"/>
        <v/>
      </c>
      <c r="CD222" s="179" t="str">
        <f t="shared" si="155"/>
        <v/>
      </c>
      <c r="CE222" s="179" t="str">
        <f t="shared" si="156"/>
        <v/>
      </c>
      <c r="CF222" s="179" t="str">
        <f t="shared" si="157"/>
        <v/>
      </c>
      <c r="CG222" s="179" t="str">
        <f t="shared" si="158"/>
        <v/>
      </c>
      <c r="CH222" s="166"/>
      <c r="CI222" s="166"/>
      <c r="CJ222" s="166"/>
      <c r="CK222" s="166" t="s">
        <v>150</v>
      </c>
      <c r="CL222" s="166"/>
    </row>
    <row r="223" spans="1:90" ht="14.25" customHeight="1" x14ac:dyDescent="0.25">
      <c r="A223" s="211">
        <v>213</v>
      </c>
      <c r="B223" s="89"/>
      <c r="C223" s="199"/>
      <c r="D223" s="146"/>
      <c r="E223" s="319" t="s">
        <v>93</v>
      </c>
      <c r="F223" s="221"/>
      <c r="G223" s="222"/>
      <c r="H223" s="222"/>
      <c r="I223" s="222"/>
      <c r="J223" s="222"/>
      <c r="K223" s="222"/>
      <c r="L223" s="222"/>
      <c r="M223" s="331"/>
      <c r="N223" s="303">
        <f t="shared" si="159"/>
        <v>0</v>
      </c>
      <c r="O223" s="304"/>
      <c r="P223" s="341"/>
      <c r="Q223" s="305"/>
      <c r="R223" s="322" t="s">
        <v>67</v>
      </c>
      <c r="S223" s="326"/>
      <c r="T223" s="327"/>
      <c r="U223" s="327"/>
      <c r="V223" s="327"/>
      <c r="W223" s="327"/>
      <c r="X223" s="327"/>
      <c r="Y223" s="95"/>
      <c r="Z223" s="331"/>
      <c r="AA223" s="303">
        <f t="shared" si="160"/>
        <v>0</v>
      </c>
      <c r="AB223" s="314">
        <f t="shared" si="137"/>
        <v>0</v>
      </c>
      <c r="AC223" s="314"/>
      <c r="AD223" s="314">
        <f t="shared" si="138"/>
        <v>0</v>
      </c>
      <c r="AE223" s="325" t="s">
        <v>148</v>
      </c>
      <c r="AF223" s="15"/>
      <c r="AG223" s="232"/>
      <c r="AH223" s="232"/>
      <c r="AI223" s="232"/>
      <c r="AJ223" s="232"/>
      <c r="AK223" s="232"/>
      <c r="AL223" s="7"/>
      <c r="AM223" s="352"/>
      <c r="AN223" s="22">
        <f t="shared" si="161"/>
        <v>0</v>
      </c>
      <c r="AO223" s="15">
        <f t="shared" si="139"/>
        <v>0</v>
      </c>
      <c r="AP223" s="345"/>
      <c r="AQ223" s="7">
        <f t="shared" si="140"/>
        <v>0</v>
      </c>
      <c r="AR223" s="103"/>
      <c r="AS223" s="101"/>
      <c r="AT223" s="236"/>
      <c r="AU223" s="235"/>
      <c r="AV223" s="92"/>
      <c r="AW223" s="235"/>
      <c r="AX223" s="92"/>
      <c r="AY223" s="235"/>
      <c r="AZ223" s="92"/>
      <c r="BA223" s="17">
        <f t="shared" si="131"/>
        <v>2.23E-5</v>
      </c>
      <c r="BB223" s="17">
        <f t="shared" si="132"/>
        <v>0</v>
      </c>
      <c r="BC223" s="17"/>
      <c r="BD223" s="178">
        <v>214</v>
      </c>
      <c r="BE223" s="214">
        <f t="shared" si="141"/>
        <v>2.1399999999999998E-5</v>
      </c>
      <c r="BF223" s="178">
        <f t="shared" si="133"/>
        <v>0</v>
      </c>
      <c r="BG223" s="245">
        <f t="shared" si="134"/>
        <v>2.23E-5</v>
      </c>
      <c r="BH223" s="17">
        <f t="shared" si="142"/>
        <v>0</v>
      </c>
      <c r="BI223" s="178">
        <v>214</v>
      </c>
      <c r="BJ223" s="87">
        <f t="shared" si="143"/>
        <v>1.9699999999999998E-5</v>
      </c>
      <c r="BK223" s="215">
        <f t="shared" si="135"/>
        <v>0</v>
      </c>
      <c r="BL223" s="245">
        <f t="shared" si="144"/>
        <v>2.23E-5</v>
      </c>
      <c r="BM223" s="17">
        <f t="shared" si="145"/>
        <v>0</v>
      </c>
      <c r="BN223" s="178">
        <v>214</v>
      </c>
      <c r="BO223" s="87">
        <f t="shared" si="146"/>
        <v>1.9699999999999998E-5</v>
      </c>
      <c r="BP223" s="215">
        <f t="shared" si="136"/>
        <v>0</v>
      </c>
      <c r="BR223" s="126"/>
      <c r="BS223" s="126"/>
      <c r="BU223" s="178"/>
      <c r="BV223" s="179" t="str">
        <f t="shared" si="147"/>
        <v/>
      </c>
      <c r="BW223" s="179" t="str">
        <f t="shared" si="148"/>
        <v/>
      </c>
      <c r="BX223" s="179" t="str">
        <f t="shared" si="149"/>
        <v/>
      </c>
      <c r="BY223" s="179" t="str">
        <f t="shared" si="150"/>
        <v/>
      </c>
      <c r="BZ223" s="179" t="str">
        <f t="shared" si="151"/>
        <v/>
      </c>
      <c r="CA223" s="179" t="str">
        <f t="shared" si="152"/>
        <v/>
      </c>
      <c r="CB223" s="179" t="str">
        <f t="shared" si="153"/>
        <v/>
      </c>
      <c r="CC223" s="179" t="str">
        <f t="shared" si="154"/>
        <v/>
      </c>
      <c r="CD223" s="179" t="str">
        <f t="shared" si="155"/>
        <v/>
      </c>
      <c r="CE223" s="179" t="str">
        <f t="shared" si="156"/>
        <v/>
      </c>
      <c r="CF223" s="179" t="str">
        <f t="shared" si="157"/>
        <v/>
      </c>
      <c r="CG223" s="179" t="str">
        <f t="shared" si="158"/>
        <v/>
      </c>
      <c r="CH223" s="166"/>
      <c r="CI223" s="166"/>
      <c r="CJ223" s="166"/>
      <c r="CK223" s="166" t="s">
        <v>150</v>
      </c>
      <c r="CL223" s="166"/>
    </row>
    <row r="224" spans="1:90" ht="14.25" customHeight="1" thickBot="1" x14ac:dyDescent="0.3">
      <c r="A224" s="213">
        <v>214</v>
      </c>
      <c r="B224" s="219"/>
      <c r="C224" s="200"/>
      <c r="D224" s="145"/>
      <c r="E224" s="320" t="s">
        <v>93</v>
      </c>
      <c r="F224" s="209"/>
      <c r="G224" s="313"/>
      <c r="H224" s="313"/>
      <c r="I224" s="313"/>
      <c r="J224" s="313"/>
      <c r="K224" s="313"/>
      <c r="L224" s="313"/>
      <c r="M224" s="339"/>
      <c r="N224" s="233">
        <f t="shared" si="159"/>
        <v>0</v>
      </c>
      <c r="O224" s="306"/>
      <c r="P224" s="342"/>
      <c r="Q224" s="307"/>
      <c r="R224" s="323" t="s">
        <v>67</v>
      </c>
      <c r="S224" s="209"/>
      <c r="T224" s="313"/>
      <c r="U224" s="313"/>
      <c r="V224" s="313"/>
      <c r="W224" s="313"/>
      <c r="X224" s="313"/>
      <c r="Y224" s="125"/>
      <c r="Z224" s="339"/>
      <c r="AA224" s="233">
        <f t="shared" si="160"/>
        <v>0</v>
      </c>
      <c r="AB224" s="314">
        <f t="shared" si="137"/>
        <v>0</v>
      </c>
      <c r="AC224" s="314"/>
      <c r="AD224" s="314">
        <f t="shared" si="138"/>
        <v>0</v>
      </c>
      <c r="AE224" s="323" t="s">
        <v>87</v>
      </c>
      <c r="AF224" s="81"/>
      <c r="AG224" s="335"/>
      <c r="AH224" s="335"/>
      <c r="AI224" s="335"/>
      <c r="AJ224" s="335"/>
      <c r="AK224" s="335"/>
      <c r="AL224" s="336"/>
      <c r="AM224" s="353"/>
      <c r="AN224" s="22">
        <f t="shared" si="161"/>
        <v>0</v>
      </c>
      <c r="AO224" s="209">
        <f t="shared" si="139"/>
        <v>0</v>
      </c>
      <c r="AP224" s="339"/>
      <c r="AQ224" s="125">
        <f t="shared" si="140"/>
        <v>0</v>
      </c>
      <c r="AR224" s="104"/>
      <c r="AS224" s="217"/>
      <c r="AT224" s="216"/>
      <c r="AU224" s="230"/>
      <c r="AV224" s="220"/>
      <c r="AW224" s="230"/>
      <c r="AX224" s="220"/>
      <c r="AY224" s="230"/>
      <c r="AZ224" s="220"/>
      <c r="BA224" s="17">
        <f t="shared" si="131"/>
        <v>2.2399999999999999E-5</v>
      </c>
      <c r="BB224" s="17">
        <f t="shared" si="132"/>
        <v>0</v>
      </c>
      <c r="BC224" s="17"/>
      <c r="BD224" s="178">
        <v>215</v>
      </c>
      <c r="BE224" s="214">
        <f t="shared" si="141"/>
        <v>2.1299999999999999E-5</v>
      </c>
      <c r="BF224" s="178">
        <f t="shared" si="133"/>
        <v>0</v>
      </c>
      <c r="BG224" s="245">
        <f t="shared" si="134"/>
        <v>2.2399999999999999E-5</v>
      </c>
      <c r="BH224" s="17">
        <f t="shared" si="142"/>
        <v>0</v>
      </c>
      <c r="BI224" s="178">
        <v>215</v>
      </c>
      <c r="BJ224" s="87">
        <f t="shared" si="143"/>
        <v>1.9599999999999999E-5</v>
      </c>
      <c r="BK224" s="215">
        <f t="shared" si="135"/>
        <v>0</v>
      </c>
      <c r="BL224" s="245">
        <f t="shared" si="144"/>
        <v>2.2399999999999999E-5</v>
      </c>
      <c r="BM224" s="17">
        <f t="shared" si="145"/>
        <v>0</v>
      </c>
      <c r="BN224" s="178">
        <v>215</v>
      </c>
      <c r="BO224" s="87">
        <f t="shared" si="146"/>
        <v>1.9599999999999999E-5</v>
      </c>
      <c r="BP224" s="215">
        <f t="shared" si="136"/>
        <v>0</v>
      </c>
      <c r="BR224" s="126"/>
      <c r="BS224" s="126"/>
      <c r="BU224" s="178"/>
      <c r="BV224" s="179" t="str">
        <f t="shared" si="147"/>
        <v/>
      </c>
      <c r="BW224" s="179" t="str">
        <f t="shared" si="148"/>
        <v/>
      </c>
      <c r="BX224" s="179" t="str">
        <f t="shared" si="149"/>
        <v/>
      </c>
      <c r="BY224" s="179" t="str">
        <f t="shared" si="150"/>
        <v/>
      </c>
      <c r="BZ224" s="179" t="str">
        <f t="shared" si="151"/>
        <v/>
      </c>
      <c r="CA224" s="179" t="str">
        <f t="shared" si="152"/>
        <v/>
      </c>
      <c r="CB224" s="179" t="str">
        <f t="shared" si="153"/>
        <v/>
      </c>
      <c r="CC224" s="179" t="str">
        <f t="shared" si="154"/>
        <v/>
      </c>
      <c r="CD224" s="179" t="str">
        <f t="shared" si="155"/>
        <v/>
      </c>
      <c r="CE224" s="179" t="str">
        <f t="shared" si="156"/>
        <v/>
      </c>
      <c r="CF224" s="179" t="str">
        <f t="shared" si="157"/>
        <v/>
      </c>
      <c r="CG224" s="179" t="str">
        <f t="shared" si="158"/>
        <v/>
      </c>
      <c r="CH224" s="166"/>
      <c r="CI224" s="166"/>
      <c r="CJ224" s="166"/>
      <c r="CK224" s="166" t="s">
        <v>150</v>
      </c>
      <c r="CL224" s="166"/>
    </row>
    <row r="225" spans="1:90" ht="14.25" customHeight="1" thickBot="1" x14ac:dyDescent="0.3">
      <c r="A225" s="211">
        <v>215</v>
      </c>
      <c r="B225" s="88"/>
      <c r="C225" s="201"/>
      <c r="D225" s="94"/>
      <c r="E225" s="321" t="s">
        <v>93</v>
      </c>
      <c r="F225" s="96"/>
      <c r="G225" s="100"/>
      <c r="H225" s="100"/>
      <c r="I225" s="100"/>
      <c r="J225" s="100"/>
      <c r="K225" s="100"/>
      <c r="L225" s="100"/>
      <c r="M225" s="210"/>
      <c r="N225" s="234">
        <f t="shared" si="159"/>
        <v>0</v>
      </c>
      <c r="O225" s="308"/>
      <c r="P225" s="343"/>
      <c r="Q225" s="309"/>
      <c r="R225" s="324" t="s">
        <v>67</v>
      </c>
      <c r="S225" s="96"/>
      <c r="T225" s="100"/>
      <c r="U225" s="100"/>
      <c r="V225" s="100"/>
      <c r="W225" s="100"/>
      <c r="X225" s="100"/>
      <c r="Y225" s="97"/>
      <c r="Z225" s="210"/>
      <c r="AA225" s="234">
        <f t="shared" si="160"/>
        <v>0</v>
      </c>
      <c r="AB225" s="314">
        <f t="shared" si="137"/>
        <v>0</v>
      </c>
      <c r="AC225" s="314"/>
      <c r="AD225" s="314">
        <f t="shared" si="138"/>
        <v>0</v>
      </c>
      <c r="AE225" s="324" t="s">
        <v>87</v>
      </c>
      <c r="AF225" s="82"/>
      <c r="AG225" s="337"/>
      <c r="AH225" s="337"/>
      <c r="AI225" s="337"/>
      <c r="AJ225" s="337"/>
      <c r="AK225" s="337"/>
      <c r="AL225" s="338"/>
      <c r="AM225" s="354"/>
      <c r="AN225" s="91">
        <f t="shared" si="161"/>
        <v>0</v>
      </c>
      <c r="AO225" s="96">
        <f t="shared" si="139"/>
        <v>0</v>
      </c>
      <c r="AP225" s="210"/>
      <c r="AQ225" s="97">
        <f t="shared" si="140"/>
        <v>0</v>
      </c>
      <c r="AR225" s="105"/>
      <c r="AS225" s="102"/>
      <c r="AT225" s="237"/>
      <c r="AU225" s="231"/>
      <c r="AV225" s="93"/>
      <c r="AW225" s="231"/>
      <c r="AX225" s="93"/>
      <c r="AY225" s="231"/>
      <c r="AZ225" s="93"/>
      <c r="BA225" s="17">
        <f t="shared" si="131"/>
        <v>2.2499999999999998E-5</v>
      </c>
      <c r="BB225" s="17">
        <f t="shared" si="132"/>
        <v>0</v>
      </c>
      <c r="BC225" s="17"/>
      <c r="BD225" s="178">
        <v>216</v>
      </c>
      <c r="BE225" s="214">
        <f t="shared" si="141"/>
        <v>2.12E-5</v>
      </c>
      <c r="BF225" s="178">
        <f t="shared" si="133"/>
        <v>0</v>
      </c>
      <c r="BG225" s="245">
        <f t="shared" si="134"/>
        <v>2.2499999999999998E-5</v>
      </c>
      <c r="BH225" s="17">
        <f t="shared" si="142"/>
        <v>0</v>
      </c>
      <c r="BI225" s="178">
        <v>216</v>
      </c>
      <c r="BJ225" s="87">
        <f t="shared" si="143"/>
        <v>1.95E-5</v>
      </c>
      <c r="BK225" s="215">
        <f t="shared" si="135"/>
        <v>0</v>
      </c>
      <c r="BL225" s="245">
        <f t="shared" si="144"/>
        <v>2.2499999999999998E-5</v>
      </c>
      <c r="BM225" s="17">
        <f t="shared" si="145"/>
        <v>0</v>
      </c>
      <c r="BN225" s="178">
        <v>216</v>
      </c>
      <c r="BO225" s="87">
        <f t="shared" si="146"/>
        <v>1.95E-5</v>
      </c>
      <c r="BP225" s="215">
        <f t="shared" si="136"/>
        <v>0</v>
      </c>
      <c r="BR225" s="126"/>
      <c r="BS225" s="126"/>
      <c r="BU225" s="178"/>
      <c r="BV225" s="179" t="str">
        <f t="shared" si="147"/>
        <v/>
      </c>
      <c r="BW225" s="179" t="str">
        <f t="shared" si="148"/>
        <v/>
      </c>
      <c r="BX225" s="179" t="str">
        <f t="shared" si="149"/>
        <v/>
      </c>
      <c r="BY225" s="179" t="str">
        <f t="shared" si="150"/>
        <v/>
      </c>
      <c r="BZ225" s="179" t="str">
        <f t="shared" si="151"/>
        <v/>
      </c>
      <c r="CA225" s="179" t="str">
        <f t="shared" si="152"/>
        <v/>
      </c>
      <c r="CB225" s="179" t="str">
        <f t="shared" si="153"/>
        <v/>
      </c>
      <c r="CC225" s="179" t="str">
        <f t="shared" si="154"/>
        <v/>
      </c>
      <c r="CD225" s="179" t="str">
        <f t="shared" si="155"/>
        <v/>
      </c>
      <c r="CE225" s="179" t="str">
        <f t="shared" si="156"/>
        <v/>
      </c>
      <c r="CF225" s="179" t="str">
        <f t="shared" si="157"/>
        <v/>
      </c>
      <c r="CG225" s="179" t="str">
        <f t="shared" si="158"/>
        <v/>
      </c>
      <c r="CH225" s="166"/>
      <c r="CI225" s="166"/>
      <c r="CJ225" s="166"/>
      <c r="CK225" s="166" t="s">
        <v>150</v>
      </c>
      <c r="CL225" s="166"/>
    </row>
    <row r="226" spans="1:90" ht="14.25" customHeight="1" thickBot="1" x14ac:dyDescent="0.3">
      <c r="A226" s="213">
        <v>216</v>
      </c>
      <c r="B226" s="89"/>
      <c r="C226" s="199"/>
      <c r="D226" s="146"/>
      <c r="E226" s="319" t="s">
        <v>93</v>
      </c>
      <c r="F226" s="221"/>
      <c r="G226" s="222"/>
      <c r="H226" s="222"/>
      <c r="I226" s="222"/>
      <c r="J226" s="222"/>
      <c r="K226" s="222"/>
      <c r="L226" s="222"/>
      <c r="M226" s="331"/>
      <c r="N226" s="303">
        <f t="shared" si="159"/>
        <v>0</v>
      </c>
      <c r="O226" s="304"/>
      <c r="P226" s="341"/>
      <c r="Q226" s="305"/>
      <c r="R226" s="322" t="s">
        <v>67</v>
      </c>
      <c r="S226" s="326"/>
      <c r="T226" s="327"/>
      <c r="U226" s="327"/>
      <c r="V226" s="327"/>
      <c r="W226" s="327"/>
      <c r="X226" s="327"/>
      <c r="Y226" s="95"/>
      <c r="Z226" s="331"/>
      <c r="AA226" s="303">
        <f t="shared" si="160"/>
        <v>0</v>
      </c>
      <c r="AB226" s="314">
        <f t="shared" si="137"/>
        <v>0</v>
      </c>
      <c r="AC226" s="314"/>
      <c r="AD226" s="314">
        <f t="shared" si="138"/>
        <v>0</v>
      </c>
      <c r="AE226" s="325" t="s">
        <v>148</v>
      </c>
      <c r="AF226" s="15"/>
      <c r="AG226" s="232"/>
      <c r="AH226" s="232"/>
      <c r="AI226" s="232"/>
      <c r="AJ226" s="232"/>
      <c r="AK226" s="232"/>
      <c r="AL226" s="7"/>
      <c r="AM226" s="352"/>
      <c r="AN226" s="22">
        <f t="shared" si="161"/>
        <v>0</v>
      </c>
      <c r="AO226" s="15">
        <f t="shared" si="139"/>
        <v>0</v>
      </c>
      <c r="AP226" s="345"/>
      <c r="AQ226" s="7">
        <f t="shared" si="140"/>
        <v>0</v>
      </c>
      <c r="AR226" s="103"/>
      <c r="AS226" s="101"/>
      <c r="AT226" s="236"/>
      <c r="AU226" s="235"/>
      <c r="AV226" s="92"/>
      <c r="AW226" s="235"/>
      <c r="AX226" s="92"/>
      <c r="AY226" s="235"/>
      <c r="AZ226" s="92"/>
      <c r="BA226" s="17">
        <f t="shared" si="131"/>
        <v>2.26E-5</v>
      </c>
      <c r="BB226" s="17">
        <f t="shared" si="132"/>
        <v>0</v>
      </c>
      <c r="BC226" s="17"/>
      <c r="BD226" s="178">
        <v>217</v>
      </c>
      <c r="BE226" s="214">
        <f t="shared" si="141"/>
        <v>2.1099999999999998E-5</v>
      </c>
      <c r="BF226" s="178">
        <f t="shared" si="133"/>
        <v>0</v>
      </c>
      <c r="BG226" s="245">
        <f t="shared" si="134"/>
        <v>2.26E-5</v>
      </c>
      <c r="BH226" s="17">
        <f t="shared" si="142"/>
        <v>0</v>
      </c>
      <c r="BI226" s="178">
        <v>217</v>
      </c>
      <c r="BJ226" s="87">
        <f t="shared" si="143"/>
        <v>1.9400000000000001E-5</v>
      </c>
      <c r="BK226" s="215">
        <f t="shared" si="135"/>
        <v>0</v>
      </c>
      <c r="BL226" s="245">
        <f t="shared" si="144"/>
        <v>2.26E-5</v>
      </c>
      <c r="BM226" s="17">
        <f t="shared" si="145"/>
        <v>0</v>
      </c>
      <c r="BN226" s="178">
        <v>217</v>
      </c>
      <c r="BO226" s="87">
        <f t="shared" si="146"/>
        <v>1.9400000000000001E-5</v>
      </c>
      <c r="BP226" s="215">
        <f t="shared" si="136"/>
        <v>0</v>
      </c>
      <c r="BR226" s="126"/>
      <c r="BS226" s="126"/>
      <c r="BU226" s="178"/>
      <c r="BV226" s="179" t="str">
        <f t="shared" si="147"/>
        <v/>
      </c>
      <c r="BW226" s="179" t="str">
        <f t="shared" si="148"/>
        <v/>
      </c>
      <c r="BX226" s="179" t="str">
        <f t="shared" si="149"/>
        <v/>
      </c>
      <c r="BY226" s="179" t="str">
        <f t="shared" si="150"/>
        <v/>
      </c>
      <c r="BZ226" s="179" t="str">
        <f t="shared" si="151"/>
        <v/>
      </c>
      <c r="CA226" s="179" t="str">
        <f t="shared" si="152"/>
        <v/>
      </c>
      <c r="CB226" s="179" t="str">
        <f t="shared" si="153"/>
        <v/>
      </c>
      <c r="CC226" s="179" t="str">
        <f t="shared" si="154"/>
        <v/>
      </c>
      <c r="CD226" s="179" t="str">
        <f t="shared" si="155"/>
        <v/>
      </c>
      <c r="CE226" s="179" t="str">
        <f t="shared" si="156"/>
        <v/>
      </c>
      <c r="CF226" s="179" t="str">
        <f t="shared" si="157"/>
        <v/>
      </c>
      <c r="CG226" s="179" t="str">
        <f t="shared" si="158"/>
        <v/>
      </c>
      <c r="CH226" s="166"/>
      <c r="CI226" s="166"/>
      <c r="CJ226" s="166"/>
      <c r="CK226" s="166" t="s">
        <v>150</v>
      </c>
      <c r="CL226" s="166"/>
    </row>
    <row r="227" spans="1:90" ht="14.25" customHeight="1" x14ac:dyDescent="0.25">
      <c r="A227" s="211">
        <v>217</v>
      </c>
      <c r="B227" s="219"/>
      <c r="C227" s="200"/>
      <c r="D227" s="145"/>
      <c r="E227" s="320" t="s">
        <v>93</v>
      </c>
      <c r="F227" s="209"/>
      <c r="G227" s="313"/>
      <c r="H227" s="313"/>
      <c r="I227" s="313"/>
      <c r="J227" s="313"/>
      <c r="K227" s="313"/>
      <c r="L227" s="313"/>
      <c r="M227" s="339"/>
      <c r="N227" s="233">
        <f t="shared" si="159"/>
        <v>0</v>
      </c>
      <c r="O227" s="306"/>
      <c r="P227" s="342"/>
      <c r="Q227" s="307"/>
      <c r="R227" s="323" t="s">
        <v>67</v>
      </c>
      <c r="S227" s="209"/>
      <c r="T227" s="313"/>
      <c r="U227" s="313"/>
      <c r="V227" s="313"/>
      <c r="W227" s="313"/>
      <c r="X227" s="313"/>
      <c r="Y227" s="125"/>
      <c r="Z227" s="339"/>
      <c r="AA227" s="233">
        <f t="shared" si="160"/>
        <v>0</v>
      </c>
      <c r="AB227" s="314">
        <f t="shared" si="137"/>
        <v>0</v>
      </c>
      <c r="AC227" s="314"/>
      <c r="AD227" s="314">
        <f t="shared" si="138"/>
        <v>0</v>
      </c>
      <c r="AE227" s="323" t="s">
        <v>87</v>
      </c>
      <c r="AF227" s="81"/>
      <c r="AG227" s="335"/>
      <c r="AH227" s="335"/>
      <c r="AI227" s="335"/>
      <c r="AJ227" s="335"/>
      <c r="AK227" s="335"/>
      <c r="AL227" s="336"/>
      <c r="AM227" s="353"/>
      <c r="AN227" s="22">
        <f t="shared" si="161"/>
        <v>0</v>
      </c>
      <c r="AO227" s="209">
        <f t="shared" si="139"/>
        <v>0</v>
      </c>
      <c r="AP227" s="339"/>
      <c r="AQ227" s="125">
        <f t="shared" si="140"/>
        <v>0</v>
      </c>
      <c r="AR227" s="104"/>
      <c r="AS227" s="217"/>
      <c r="AT227" s="216"/>
      <c r="AU227" s="230"/>
      <c r="AV227" s="220"/>
      <c r="AW227" s="230"/>
      <c r="AX227" s="220"/>
      <c r="AY227" s="230"/>
      <c r="AZ227" s="220"/>
      <c r="BA227" s="17">
        <f t="shared" si="131"/>
        <v>2.27E-5</v>
      </c>
      <c r="BB227" s="17">
        <f t="shared" si="132"/>
        <v>0</v>
      </c>
      <c r="BC227" s="17"/>
      <c r="BD227" s="178">
        <v>218</v>
      </c>
      <c r="BE227" s="214">
        <f t="shared" si="141"/>
        <v>2.0999999999999999E-5</v>
      </c>
      <c r="BF227" s="178">
        <f t="shared" si="133"/>
        <v>0</v>
      </c>
      <c r="BG227" s="245">
        <f t="shared" si="134"/>
        <v>2.27E-5</v>
      </c>
      <c r="BH227" s="17">
        <f t="shared" si="142"/>
        <v>0</v>
      </c>
      <c r="BI227" s="178">
        <v>218</v>
      </c>
      <c r="BJ227" s="87">
        <f t="shared" si="143"/>
        <v>1.9299999999999998E-5</v>
      </c>
      <c r="BK227" s="215">
        <f t="shared" si="135"/>
        <v>0</v>
      </c>
      <c r="BL227" s="245">
        <f t="shared" si="144"/>
        <v>2.27E-5</v>
      </c>
      <c r="BM227" s="17">
        <f t="shared" si="145"/>
        <v>0</v>
      </c>
      <c r="BN227" s="178">
        <v>218</v>
      </c>
      <c r="BO227" s="87">
        <f t="shared" si="146"/>
        <v>1.9299999999999998E-5</v>
      </c>
      <c r="BP227" s="215">
        <f t="shared" si="136"/>
        <v>0</v>
      </c>
      <c r="BR227" s="126"/>
      <c r="BS227" s="126"/>
      <c r="BU227" s="178"/>
      <c r="BV227" s="179" t="str">
        <f t="shared" si="147"/>
        <v/>
      </c>
      <c r="BW227" s="179" t="str">
        <f t="shared" si="148"/>
        <v/>
      </c>
      <c r="BX227" s="179" t="str">
        <f t="shared" si="149"/>
        <v/>
      </c>
      <c r="BY227" s="179" t="str">
        <f t="shared" si="150"/>
        <v/>
      </c>
      <c r="BZ227" s="179" t="str">
        <f t="shared" si="151"/>
        <v/>
      </c>
      <c r="CA227" s="179" t="str">
        <f t="shared" si="152"/>
        <v/>
      </c>
      <c r="CB227" s="179" t="str">
        <f t="shared" si="153"/>
        <v/>
      </c>
      <c r="CC227" s="179" t="str">
        <f t="shared" si="154"/>
        <v/>
      </c>
      <c r="CD227" s="179" t="str">
        <f t="shared" si="155"/>
        <v/>
      </c>
      <c r="CE227" s="179" t="str">
        <f t="shared" si="156"/>
        <v/>
      </c>
      <c r="CF227" s="179" t="str">
        <f t="shared" si="157"/>
        <v/>
      </c>
      <c r="CG227" s="179" t="str">
        <f t="shared" si="158"/>
        <v/>
      </c>
      <c r="CH227" s="166"/>
      <c r="CI227" s="166"/>
      <c r="CJ227" s="166"/>
      <c r="CK227" s="166" t="s">
        <v>150</v>
      </c>
      <c r="CL227" s="166"/>
    </row>
    <row r="228" spans="1:90" ht="14.25" customHeight="1" thickBot="1" x14ac:dyDescent="0.3">
      <c r="A228" s="213">
        <v>218</v>
      </c>
      <c r="B228" s="88"/>
      <c r="C228" s="201"/>
      <c r="D228" s="94"/>
      <c r="E228" s="321" t="s">
        <v>93</v>
      </c>
      <c r="F228" s="96"/>
      <c r="G228" s="100"/>
      <c r="H228" s="100"/>
      <c r="I228" s="100"/>
      <c r="J228" s="100"/>
      <c r="K228" s="100"/>
      <c r="L228" s="100"/>
      <c r="M228" s="210"/>
      <c r="N228" s="234">
        <f t="shared" si="159"/>
        <v>0</v>
      </c>
      <c r="O228" s="308"/>
      <c r="P228" s="343"/>
      <c r="Q228" s="309"/>
      <c r="R228" s="324" t="s">
        <v>67</v>
      </c>
      <c r="S228" s="96"/>
      <c r="T228" s="100"/>
      <c r="U228" s="100"/>
      <c r="V228" s="100"/>
      <c r="W228" s="100"/>
      <c r="X228" s="100"/>
      <c r="Y228" s="97"/>
      <c r="Z228" s="210"/>
      <c r="AA228" s="234">
        <f t="shared" si="160"/>
        <v>0</v>
      </c>
      <c r="AB228" s="314">
        <f t="shared" si="137"/>
        <v>0</v>
      </c>
      <c r="AC228" s="314"/>
      <c r="AD228" s="314">
        <f t="shared" si="138"/>
        <v>0</v>
      </c>
      <c r="AE228" s="324" t="s">
        <v>87</v>
      </c>
      <c r="AF228" s="82"/>
      <c r="AG228" s="337"/>
      <c r="AH228" s="337"/>
      <c r="AI228" s="337"/>
      <c r="AJ228" s="337"/>
      <c r="AK228" s="337"/>
      <c r="AL228" s="338"/>
      <c r="AM228" s="354"/>
      <c r="AN228" s="91">
        <f t="shared" si="161"/>
        <v>0</v>
      </c>
      <c r="AO228" s="96">
        <f t="shared" si="139"/>
        <v>0</v>
      </c>
      <c r="AP228" s="210"/>
      <c r="AQ228" s="97">
        <f t="shared" si="140"/>
        <v>0</v>
      </c>
      <c r="AR228" s="105"/>
      <c r="AS228" s="102"/>
      <c r="AT228" s="237"/>
      <c r="AU228" s="231"/>
      <c r="AV228" s="93"/>
      <c r="AW228" s="231"/>
      <c r="AX228" s="93"/>
      <c r="AY228" s="231"/>
      <c r="AZ228" s="93"/>
      <c r="BA228" s="17">
        <f t="shared" si="131"/>
        <v>2.2799999999999999E-5</v>
      </c>
      <c r="BB228" s="17">
        <f t="shared" si="132"/>
        <v>0</v>
      </c>
      <c r="BC228" s="17"/>
      <c r="BD228" s="178">
        <v>219</v>
      </c>
      <c r="BE228" s="214">
        <f t="shared" si="141"/>
        <v>2.09E-5</v>
      </c>
      <c r="BF228" s="178">
        <f t="shared" si="133"/>
        <v>0</v>
      </c>
      <c r="BG228" s="245">
        <f t="shared" si="134"/>
        <v>2.2799999999999999E-5</v>
      </c>
      <c r="BH228" s="17">
        <f t="shared" si="142"/>
        <v>0</v>
      </c>
      <c r="BI228" s="178">
        <v>219</v>
      </c>
      <c r="BJ228" s="87">
        <f t="shared" si="143"/>
        <v>1.9199999999999999E-5</v>
      </c>
      <c r="BK228" s="215">
        <f t="shared" si="135"/>
        <v>0</v>
      </c>
      <c r="BL228" s="245">
        <f t="shared" si="144"/>
        <v>2.2799999999999999E-5</v>
      </c>
      <c r="BM228" s="17">
        <f t="shared" si="145"/>
        <v>0</v>
      </c>
      <c r="BN228" s="178">
        <v>219</v>
      </c>
      <c r="BO228" s="87">
        <f t="shared" si="146"/>
        <v>1.9199999999999999E-5</v>
      </c>
      <c r="BP228" s="215">
        <f t="shared" si="136"/>
        <v>0</v>
      </c>
      <c r="BR228" s="126"/>
      <c r="BS228" s="126"/>
      <c r="BU228" s="178"/>
      <c r="BV228" s="179" t="str">
        <f t="shared" si="147"/>
        <v/>
      </c>
      <c r="BW228" s="179" t="str">
        <f t="shared" si="148"/>
        <v/>
      </c>
      <c r="BX228" s="179" t="str">
        <f t="shared" si="149"/>
        <v/>
      </c>
      <c r="BY228" s="179" t="str">
        <f t="shared" si="150"/>
        <v/>
      </c>
      <c r="BZ228" s="179" t="str">
        <f t="shared" si="151"/>
        <v/>
      </c>
      <c r="CA228" s="179" t="str">
        <f t="shared" si="152"/>
        <v/>
      </c>
      <c r="CB228" s="179" t="str">
        <f t="shared" si="153"/>
        <v/>
      </c>
      <c r="CC228" s="179" t="str">
        <f t="shared" si="154"/>
        <v/>
      </c>
      <c r="CD228" s="179" t="str">
        <f t="shared" si="155"/>
        <v/>
      </c>
      <c r="CE228" s="179" t="str">
        <f t="shared" si="156"/>
        <v/>
      </c>
      <c r="CF228" s="179" t="str">
        <f t="shared" si="157"/>
        <v/>
      </c>
      <c r="CG228" s="179" t="str">
        <f t="shared" si="158"/>
        <v/>
      </c>
      <c r="CH228" s="166"/>
      <c r="CI228" s="166"/>
      <c r="CJ228" s="166"/>
      <c r="CK228" s="166" t="s">
        <v>150</v>
      </c>
      <c r="CL228" s="166"/>
    </row>
    <row r="229" spans="1:90" ht="14.25" customHeight="1" x14ac:dyDescent="0.25">
      <c r="A229" s="211">
        <v>219</v>
      </c>
      <c r="B229" s="89"/>
      <c r="C229" s="199"/>
      <c r="D229" s="146"/>
      <c r="E229" s="319" t="s">
        <v>93</v>
      </c>
      <c r="F229" s="221"/>
      <c r="G229" s="222"/>
      <c r="H229" s="222"/>
      <c r="I229" s="222"/>
      <c r="J229" s="222"/>
      <c r="K229" s="222"/>
      <c r="L229" s="222"/>
      <c r="M229" s="331"/>
      <c r="N229" s="303">
        <f t="shared" si="159"/>
        <v>0</v>
      </c>
      <c r="O229" s="304"/>
      <c r="P229" s="341"/>
      <c r="Q229" s="305"/>
      <c r="R229" s="322" t="s">
        <v>67</v>
      </c>
      <c r="S229" s="326"/>
      <c r="T229" s="327"/>
      <c r="U229" s="327"/>
      <c r="V229" s="327"/>
      <c r="W229" s="327"/>
      <c r="X229" s="327"/>
      <c r="Y229" s="95"/>
      <c r="Z229" s="331"/>
      <c r="AA229" s="303">
        <f t="shared" si="160"/>
        <v>0</v>
      </c>
      <c r="AB229" s="314">
        <f t="shared" si="137"/>
        <v>0</v>
      </c>
      <c r="AC229" s="314"/>
      <c r="AD229" s="314">
        <f t="shared" si="138"/>
        <v>0</v>
      </c>
      <c r="AE229" s="325" t="s">
        <v>148</v>
      </c>
      <c r="AF229" s="15"/>
      <c r="AG229" s="232"/>
      <c r="AH229" s="232"/>
      <c r="AI229" s="232"/>
      <c r="AJ229" s="232"/>
      <c r="AK229" s="232"/>
      <c r="AL229" s="7"/>
      <c r="AM229" s="352"/>
      <c r="AN229" s="22">
        <f t="shared" si="161"/>
        <v>0</v>
      </c>
      <c r="AO229" s="15">
        <f t="shared" si="139"/>
        <v>0</v>
      </c>
      <c r="AP229" s="345"/>
      <c r="AQ229" s="7">
        <f t="shared" si="140"/>
        <v>0</v>
      </c>
      <c r="AR229" s="103"/>
      <c r="AS229" s="101"/>
      <c r="AT229" s="236"/>
      <c r="AU229" s="235"/>
      <c r="AV229" s="92"/>
      <c r="AW229" s="235"/>
      <c r="AX229" s="92"/>
      <c r="AY229" s="235"/>
      <c r="AZ229" s="92"/>
      <c r="BA229" s="17">
        <f t="shared" si="131"/>
        <v>2.2899999999999998E-5</v>
      </c>
      <c r="BB229" s="17">
        <f t="shared" si="132"/>
        <v>0</v>
      </c>
      <c r="BC229" s="17"/>
      <c r="BD229" s="178">
        <v>220</v>
      </c>
      <c r="BE229" s="214">
        <f t="shared" si="141"/>
        <v>2.0799999999999997E-5</v>
      </c>
      <c r="BF229" s="178">
        <f t="shared" si="133"/>
        <v>0</v>
      </c>
      <c r="BG229" s="245">
        <f t="shared" si="134"/>
        <v>2.2899999999999998E-5</v>
      </c>
      <c r="BH229" s="17">
        <f t="shared" si="142"/>
        <v>0</v>
      </c>
      <c r="BI229" s="178">
        <v>220</v>
      </c>
      <c r="BJ229" s="87">
        <f t="shared" si="143"/>
        <v>1.91E-5</v>
      </c>
      <c r="BK229" s="215">
        <f t="shared" si="135"/>
        <v>0</v>
      </c>
      <c r="BL229" s="245">
        <f t="shared" si="144"/>
        <v>2.2899999999999998E-5</v>
      </c>
      <c r="BM229" s="17">
        <f t="shared" si="145"/>
        <v>0</v>
      </c>
      <c r="BN229" s="178">
        <v>220</v>
      </c>
      <c r="BO229" s="87">
        <f t="shared" si="146"/>
        <v>1.91E-5</v>
      </c>
      <c r="BP229" s="215">
        <f t="shared" si="136"/>
        <v>0</v>
      </c>
      <c r="BR229" s="126"/>
      <c r="BS229" s="126"/>
      <c r="BU229" s="178"/>
      <c r="BV229" s="179" t="str">
        <f t="shared" si="147"/>
        <v/>
      </c>
      <c r="BW229" s="179" t="str">
        <f t="shared" si="148"/>
        <v/>
      </c>
      <c r="BX229" s="179" t="str">
        <f t="shared" si="149"/>
        <v/>
      </c>
      <c r="BY229" s="179" t="str">
        <f t="shared" si="150"/>
        <v/>
      </c>
      <c r="BZ229" s="179" t="str">
        <f t="shared" si="151"/>
        <v/>
      </c>
      <c r="CA229" s="179" t="str">
        <f t="shared" si="152"/>
        <v/>
      </c>
      <c r="CB229" s="179" t="str">
        <f t="shared" si="153"/>
        <v/>
      </c>
      <c r="CC229" s="179" t="str">
        <f t="shared" si="154"/>
        <v/>
      </c>
      <c r="CD229" s="179" t="str">
        <f t="shared" si="155"/>
        <v/>
      </c>
      <c r="CE229" s="179" t="str">
        <f t="shared" si="156"/>
        <v/>
      </c>
      <c r="CF229" s="179" t="str">
        <f t="shared" si="157"/>
        <v/>
      </c>
      <c r="CG229" s="179" t="str">
        <f t="shared" si="158"/>
        <v/>
      </c>
      <c r="CH229" s="166"/>
      <c r="CI229" s="166"/>
      <c r="CJ229" s="166"/>
      <c r="CK229" s="166" t="s">
        <v>150</v>
      </c>
      <c r="CL229" s="166"/>
    </row>
    <row r="230" spans="1:90" ht="14.25" customHeight="1" thickBot="1" x14ac:dyDescent="0.3">
      <c r="A230" s="213">
        <v>220</v>
      </c>
      <c r="B230" s="219"/>
      <c r="C230" s="200"/>
      <c r="D230" s="145"/>
      <c r="E230" s="320" t="s">
        <v>93</v>
      </c>
      <c r="F230" s="209"/>
      <c r="G230" s="313"/>
      <c r="H230" s="313"/>
      <c r="I230" s="313"/>
      <c r="J230" s="313"/>
      <c r="K230" s="313"/>
      <c r="L230" s="313"/>
      <c r="M230" s="339"/>
      <c r="N230" s="233">
        <f t="shared" si="159"/>
        <v>0</v>
      </c>
      <c r="O230" s="306"/>
      <c r="P230" s="342"/>
      <c r="Q230" s="307"/>
      <c r="R230" s="323" t="s">
        <v>67</v>
      </c>
      <c r="S230" s="209"/>
      <c r="T230" s="313"/>
      <c r="U230" s="313"/>
      <c r="V230" s="313"/>
      <c r="W230" s="313"/>
      <c r="X230" s="313"/>
      <c r="Y230" s="125"/>
      <c r="Z230" s="339"/>
      <c r="AA230" s="233">
        <f t="shared" si="160"/>
        <v>0</v>
      </c>
      <c r="AB230" s="314">
        <f t="shared" si="137"/>
        <v>0</v>
      </c>
      <c r="AC230" s="314"/>
      <c r="AD230" s="314">
        <f t="shared" si="138"/>
        <v>0</v>
      </c>
      <c r="AE230" s="323" t="s">
        <v>87</v>
      </c>
      <c r="AF230" s="81"/>
      <c r="AG230" s="335"/>
      <c r="AH230" s="335"/>
      <c r="AI230" s="335"/>
      <c r="AJ230" s="335"/>
      <c r="AK230" s="335"/>
      <c r="AL230" s="336"/>
      <c r="AM230" s="353"/>
      <c r="AN230" s="22">
        <f t="shared" si="161"/>
        <v>0</v>
      </c>
      <c r="AO230" s="209">
        <f t="shared" si="139"/>
        <v>0</v>
      </c>
      <c r="AP230" s="339"/>
      <c r="AQ230" s="125">
        <f t="shared" si="140"/>
        <v>0</v>
      </c>
      <c r="AR230" s="104"/>
      <c r="AS230" s="217"/>
      <c r="AT230" s="216"/>
      <c r="AU230" s="230"/>
      <c r="AV230" s="220"/>
      <c r="AW230" s="230"/>
      <c r="AX230" s="220"/>
      <c r="AY230" s="230"/>
      <c r="AZ230" s="220"/>
      <c r="BA230" s="17">
        <f t="shared" si="131"/>
        <v>2.3E-5</v>
      </c>
      <c r="BB230" s="17">
        <f t="shared" si="132"/>
        <v>0</v>
      </c>
      <c r="BC230" s="17"/>
      <c r="BD230" s="178">
        <v>221</v>
      </c>
      <c r="BE230" s="214">
        <f t="shared" si="141"/>
        <v>2.0699999999999998E-5</v>
      </c>
      <c r="BF230" s="178">
        <f t="shared" si="133"/>
        <v>0</v>
      </c>
      <c r="BG230" s="245">
        <f t="shared" si="134"/>
        <v>2.3E-5</v>
      </c>
      <c r="BH230" s="17">
        <f t="shared" si="142"/>
        <v>0</v>
      </c>
      <c r="BI230" s="178">
        <v>221</v>
      </c>
      <c r="BJ230" s="87">
        <f t="shared" si="143"/>
        <v>1.8999999999999998E-5</v>
      </c>
      <c r="BK230" s="215">
        <f t="shared" si="135"/>
        <v>0</v>
      </c>
      <c r="BL230" s="245">
        <f t="shared" si="144"/>
        <v>2.3E-5</v>
      </c>
      <c r="BM230" s="17">
        <f t="shared" si="145"/>
        <v>0</v>
      </c>
      <c r="BN230" s="178">
        <v>221</v>
      </c>
      <c r="BO230" s="87">
        <f t="shared" si="146"/>
        <v>1.8999999999999998E-5</v>
      </c>
      <c r="BP230" s="215">
        <f t="shared" si="136"/>
        <v>0</v>
      </c>
      <c r="BR230" s="126"/>
      <c r="BS230" s="126"/>
      <c r="BU230" s="178"/>
      <c r="BV230" s="179" t="str">
        <f t="shared" si="147"/>
        <v/>
      </c>
      <c r="BW230" s="179" t="str">
        <f t="shared" si="148"/>
        <v/>
      </c>
      <c r="BX230" s="179" t="str">
        <f t="shared" si="149"/>
        <v/>
      </c>
      <c r="BY230" s="179" t="str">
        <f t="shared" si="150"/>
        <v/>
      </c>
      <c r="BZ230" s="179" t="str">
        <f t="shared" si="151"/>
        <v/>
      </c>
      <c r="CA230" s="179" t="str">
        <f t="shared" si="152"/>
        <v/>
      </c>
      <c r="CB230" s="179" t="str">
        <f t="shared" si="153"/>
        <v/>
      </c>
      <c r="CC230" s="179" t="str">
        <f t="shared" si="154"/>
        <v/>
      </c>
      <c r="CD230" s="179" t="str">
        <f t="shared" si="155"/>
        <v/>
      </c>
      <c r="CE230" s="179" t="str">
        <f t="shared" si="156"/>
        <v/>
      </c>
      <c r="CF230" s="179" t="str">
        <f t="shared" si="157"/>
        <v/>
      </c>
      <c r="CG230" s="179" t="str">
        <f t="shared" si="158"/>
        <v/>
      </c>
      <c r="CH230" s="166"/>
      <c r="CI230" s="166"/>
      <c r="CJ230" s="166"/>
      <c r="CK230" s="166" t="s">
        <v>150</v>
      </c>
      <c r="CL230" s="166"/>
    </row>
    <row r="231" spans="1:90" ht="14.25" customHeight="1" thickBot="1" x14ac:dyDescent="0.3">
      <c r="A231" s="211">
        <v>221</v>
      </c>
      <c r="B231" s="88"/>
      <c r="C231" s="201"/>
      <c r="D231" s="94"/>
      <c r="E231" s="321" t="s">
        <v>93</v>
      </c>
      <c r="F231" s="96"/>
      <c r="G231" s="100"/>
      <c r="H231" s="100"/>
      <c r="I231" s="100"/>
      <c r="J231" s="100"/>
      <c r="K231" s="100"/>
      <c r="L231" s="100"/>
      <c r="M231" s="210"/>
      <c r="N231" s="234">
        <f t="shared" si="159"/>
        <v>0</v>
      </c>
      <c r="O231" s="308"/>
      <c r="P231" s="343"/>
      <c r="Q231" s="309"/>
      <c r="R231" s="324" t="s">
        <v>67</v>
      </c>
      <c r="S231" s="96"/>
      <c r="T231" s="100"/>
      <c r="U231" s="100"/>
      <c r="V231" s="100"/>
      <c r="W231" s="100"/>
      <c r="X231" s="100"/>
      <c r="Y231" s="97"/>
      <c r="Z231" s="210"/>
      <c r="AA231" s="234">
        <f t="shared" si="160"/>
        <v>0</v>
      </c>
      <c r="AB231" s="314">
        <f t="shared" si="137"/>
        <v>0</v>
      </c>
      <c r="AC231" s="314"/>
      <c r="AD231" s="314">
        <f t="shared" si="138"/>
        <v>0</v>
      </c>
      <c r="AE231" s="324" t="s">
        <v>87</v>
      </c>
      <c r="AF231" s="82"/>
      <c r="AG231" s="337"/>
      <c r="AH231" s="337"/>
      <c r="AI231" s="337"/>
      <c r="AJ231" s="337"/>
      <c r="AK231" s="337"/>
      <c r="AL231" s="338"/>
      <c r="AM231" s="354"/>
      <c r="AN231" s="91">
        <f t="shared" si="161"/>
        <v>0</v>
      </c>
      <c r="AO231" s="96">
        <f t="shared" si="139"/>
        <v>0</v>
      </c>
      <c r="AP231" s="210"/>
      <c r="AQ231" s="97">
        <f t="shared" si="140"/>
        <v>0</v>
      </c>
      <c r="AR231" s="105"/>
      <c r="AS231" s="102"/>
      <c r="AT231" s="237"/>
      <c r="AU231" s="231"/>
      <c r="AV231" s="93"/>
      <c r="AW231" s="231"/>
      <c r="AX231" s="93"/>
      <c r="AY231" s="231"/>
      <c r="AZ231" s="93"/>
      <c r="BA231" s="17">
        <f t="shared" si="131"/>
        <v>2.3099999999999999E-5</v>
      </c>
      <c r="BB231" s="17">
        <f t="shared" si="132"/>
        <v>0</v>
      </c>
      <c r="BC231" s="17"/>
      <c r="BD231" s="178">
        <v>222</v>
      </c>
      <c r="BE231" s="214">
        <f t="shared" si="141"/>
        <v>2.0599999999999999E-5</v>
      </c>
      <c r="BF231" s="178">
        <f t="shared" si="133"/>
        <v>0</v>
      </c>
      <c r="BG231" s="245">
        <f t="shared" si="134"/>
        <v>2.3099999999999999E-5</v>
      </c>
      <c r="BH231" s="17">
        <f t="shared" si="142"/>
        <v>0</v>
      </c>
      <c r="BI231" s="178">
        <v>222</v>
      </c>
      <c r="BJ231" s="87">
        <f t="shared" si="143"/>
        <v>1.8899999999999999E-5</v>
      </c>
      <c r="BK231" s="215">
        <f t="shared" si="135"/>
        <v>0</v>
      </c>
      <c r="BL231" s="245">
        <f t="shared" si="144"/>
        <v>2.3099999999999999E-5</v>
      </c>
      <c r="BM231" s="17">
        <f t="shared" si="145"/>
        <v>0</v>
      </c>
      <c r="BN231" s="178">
        <v>222</v>
      </c>
      <c r="BO231" s="87">
        <f t="shared" si="146"/>
        <v>1.8899999999999999E-5</v>
      </c>
      <c r="BP231" s="215">
        <f t="shared" si="136"/>
        <v>0</v>
      </c>
      <c r="BR231" s="126"/>
      <c r="BS231" s="126"/>
      <c r="BU231" s="178"/>
      <c r="BV231" s="179" t="str">
        <f t="shared" si="147"/>
        <v/>
      </c>
      <c r="BW231" s="179" t="str">
        <f t="shared" si="148"/>
        <v/>
      </c>
      <c r="BX231" s="179" t="str">
        <f t="shared" si="149"/>
        <v/>
      </c>
      <c r="BY231" s="179" t="str">
        <f t="shared" si="150"/>
        <v/>
      </c>
      <c r="BZ231" s="179" t="str">
        <f t="shared" si="151"/>
        <v/>
      </c>
      <c r="CA231" s="179" t="str">
        <f t="shared" si="152"/>
        <v/>
      </c>
      <c r="CB231" s="179" t="str">
        <f t="shared" si="153"/>
        <v/>
      </c>
      <c r="CC231" s="179" t="str">
        <f t="shared" si="154"/>
        <v/>
      </c>
      <c r="CD231" s="179" t="str">
        <f t="shared" si="155"/>
        <v/>
      </c>
      <c r="CE231" s="179" t="str">
        <f t="shared" si="156"/>
        <v/>
      </c>
      <c r="CF231" s="179" t="str">
        <f t="shared" si="157"/>
        <v/>
      </c>
      <c r="CG231" s="179" t="str">
        <f t="shared" si="158"/>
        <v/>
      </c>
      <c r="CH231" s="166"/>
      <c r="CI231" s="166"/>
      <c r="CJ231" s="166"/>
      <c r="CK231" s="166" t="s">
        <v>150</v>
      </c>
      <c r="CL231" s="166"/>
    </row>
    <row r="232" spans="1:90" ht="14.25" customHeight="1" thickBot="1" x14ac:dyDescent="0.3">
      <c r="A232" s="213">
        <v>222</v>
      </c>
      <c r="B232" s="89"/>
      <c r="C232" s="199"/>
      <c r="D232" s="146"/>
      <c r="E232" s="319" t="s">
        <v>93</v>
      </c>
      <c r="F232" s="221"/>
      <c r="G232" s="222"/>
      <c r="H232" s="222"/>
      <c r="I232" s="222"/>
      <c r="J232" s="222"/>
      <c r="K232" s="222"/>
      <c r="L232" s="222"/>
      <c r="M232" s="331"/>
      <c r="N232" s="303">
        <f t="shared" si="159"/>
        <v>0</v>
      </c>
      <c r="O232" s="304"/>
      <c r="P232" s="341"/>
      <c r="Q232" s="305"/>
      <c r="R232" s="322" t="s">
        <v>67</v>
      </c>
      <c r="S232" s="326"/>
      <c r="T232" s="327"/>
      <c r="U232" s="327"/>
      <c r="V232" s="327"/>
      <c r="W232" s="327"/>
      <c r="X232" s="327"/>
      <c r="Y232" s="95"/>
      <c r="Z232" s="331"/>
      <c r="AA232" s="303">
        <f t="shared" si="160"/>
        <v>0</v>
      </c>
      <c r="AB232" s="314">
        <f t="shared" si="137"/>
        <v>0</v>
      </c>
      <c r="AC232" s="314"/>
      <c r="AD232" s="314">
        <f t="shared" si="138"/>
        <v>0</v>
      </c>
      <c r="AE232" s="325" t="s">
        <v>148</v>
      </c>
      <c r="AF232" s="15"/>
      <c r="AG232" s="232"/>
      <c r="AH232" s="232"/>
      <c r="AI232" s="232"/>
      <c r="AJ232" s="232"/>
      <c r="AK232" s="232"/>
      <c r="AL232" s="7"/>
      <c r="AM232" s="352"/>
      <c r="AN232" s="22">
        <f t="shared" si="161"/>
        <v>0</v>
      </c>
      <c r="AO232" s="15">
        <f t="shared" si="139"/>
        <v>0</v>
      </c>
      <c r="AP232" s="345"/>
      <c r="AQ232" s="7">
        <f t="shared" si="140"/>
        <v>0</v>
      </c>
      <c r="AR232" s="103"/>
      <c r="AS232" s="101"/>
      <c r="AT232" s="236"/>
      <c r="AU232" s="235"/>
      <c r="AV232" s="92"/>
      <c r="AW232" s="235"/>
      <c r="AX232" s="92"/>
      <c r="AY232" s="235"/>
      <c r="AZ232" s="92"/>
      <c r="BA232" s="17">
        <f t="shared" si="131"/>
        <v>2.3199999999999998E-5</v>
      </c>
      <c r="BB232" s="17">
        <f t="shared" si="132"/>
        <v>0</v>
      </c>
      <c r="BC232" s="17"/>
      <c r="BD232" s="178">
        <v>223</v>
      </c>
      <c r="BE232" s="214">
        <f t="shared" si="141"/>
        <v>2.05E-5</v>
      </c>
      <c r="BF232" s="178">
        <f t="shared" si="133"/>
        <v>0</v>
      </c>
      <c r="BG232" s="245">
        <f t="shared" si="134"/>
        <v>2.3199999999999998E-5</v>
      </c>
      <c r="BH232" s="17">
        <f t="shared" si="142"/>
        <v>0</v>
      </c>
      <c r="BI232" s="178">
        <v>223</v>
      </c>
      <c r="BJ232" s="87">
        <f t="shared" si="143"/>
        <v>1.88E-5</v>
      </c>
      <c r="BK232" s="215">
        <f t="shared" si="135"/>
        <v>0</v>
      </c>
      <c r="BL232" s="245">
        <f t="shared" si="144"/>
        <v>2.3199999999999998E-5</v>
      </c>
      <c r="BM232" s="17">
        <f t="shared" si="145"/>
        <v>0</v>
      </c>
      <c r="BN232" s="178">
        <v>223</v>
      </c>
      <c r="BO232" s="87">
        <f t="shared" si="146"/>
        <v>1.88E-5</v>
      </c>
      <c r="BP232" s="215">
        <f t="shared" si="136"/>
        <v>0</v>
      </c>
      <c r="BR232" s="126"/>
      <c r="BS232" s="126"/>
      <c r="BU232" s="178"/>
      <c r="BV232" s="179" t="str">
        <f t="shared" si="147"/>
        <v/>
      </c>
      <c r="BW232" s="179" t="str">
        <f t="shared" si="148"/>
        <v/>
      </c>
      <c r="BX232" s="179" t="str">
        <f t="shared" si="149"/>
        <v/>
      </c>
      <c r="BY232" s="179" t="str">
        <f t="shared" si="150"/>
        <v/>
      </c>
      <c r="BZ232" s="179" t="str">
        <f t="shared" si="151"/>
        <v/>
      </c>
      <c r="CA232" s="179" t="str">
        <f t="shared" si="152"/>
        <v/>
      </c>
      <c r="CB232" s="179" t="str">
        <f t="shared" si="153"/>
        <v/>
      </c>
      <c r="CC232" s="179" t="str">
        <f t="shared" si="154"/>
        <v/>
      </c>
      <c r="CD232" s="179" t="str">
        <f t="shared" si="155"/>
        <v/>
      </c>
      <c r="CE232" s="179" t="str">
        <f t="shared" si="156"/>
        <v/>
      </c>
      <c r="CF232" s="179" t="str">
        <f t="shared" si="157"/>
        <v/>
      </c>
      <c r="CG232" s="179" t="str">
        <f t="shared" si="158"/>
        <v/>
      </c>
      <c r="CH232" s="166"/>
      <c r="CI232" s="166"/>
      <c r="CJ232" s="166"/>
      <c r="CK232" s="166" t="s">
        <v>150</v>
      </c>
      <c r="CL232" s="166"/>
    </row>
    <row r="233" spans="1:90" ht="14.25" customHeight="1" x14ac:dyDescent="0.25">
      <c r="A233" s="211">
        <v>223</v>
      </c>
      <c r="B233" s="219"/>
      <c r="C233" s="200"/>
      <c r="D233" s="145"/>
      <c r="E233" s="320" t="s">
        <v>93</v>
      </c>
      <c r="F233" s="209"/>
      <c r="G233" s="313"/>
      <c r="H233" s="313"/>
      <c r="I233" s="313"/>
      <c r="J233" s="313"/>
      <c r="K233" s="313"/>
      <c r="L233" s="313"/>
      <c r="M233" s="339"/>
      <c r="N233" s="233">
        <f t="shared" si="159"/>
        <v>0</v>
      </c>
      <c r="O233" s="306"/>
      <c r="P233" s="342"/>
      <c r="Q233" s="307"/>
      <c r="R233" s="323" t="s">
        <v>67</v>
      </c>
      <c r="S233" s="209"/>
      <c r="T233" s="313"/>
      <c r="U233" s="313"/>
      <c r="V233" s="313"/>
      <c r="W233" s="313"/>
      <c r="X233" s="313"/>
      <c r="Y233" s="125"/>
      <c r="Z233" s="339"/>
      <c r="AA233" s="233">
        <f t="shared" si="160"/>
        <v>0</v>
      </c>
      <c r="AB233" s="314">
        <f t="shared" si="137"/>
        <v>0</v>
      </c>
      <c r="AC233" s="314"/>
      <c r="AD233" s="314">
        <f t="shared" si="138"/>
        <v>0</v>
      </c>
      <c r="AE233" s="323" t="s">
        <v>87</v>
      </c>
      <c r="AF233" s="81"/>
      <c r="AG233" s="335"/>
      <c r="AH233" s="335"/>
      <c r="AI233" s="335"/>
      <c r="AJ233" s="335"/>
      <c r="AK233" s="335"/>
      <c r="AL233" s="336"/>
      <c r="AM233" s="353"/>
      <c r="AN233" s="22">
        <f t="shared" si="161"/>
        <v>0</v>
      </c>
      <c r="AO233" s="209">
        <f t="shared" si="139"/>
        <v>0</v>
      </c>
      <c r="AP233" s="339"/>
      <c r="AQ233" s="125">
        <f t="shared" si="140"/>
        <v>0</v>
      </c>
      <c r="AR233" s="104"/>
      <c r="AS233" s="217"/>
      <c r="AT233" s="216"/>
      <c r="AU233" s="230"/>
      <c r="AV233" s="220"/>
      <c r="AW233" s="230"/>
      <c r="AX233" s="220"/>
      <c r="AY233" s="230"/>
      <c r="AZ233" s="220"/>
      <c r="BA233" s="17">
        <f t="shared" si="131"/>
        <v>2.3300000000000001E-5</v>
      </c>
      <c r="BB233" s="17">
        <f t="shared" si="132"/>
        <v>0</v>
      </c>
      <c r="BC233" s="17"/>
      <c r="BD233" s="178">
        <v>224</v>
      </c>
      <c r="BE233" s="214">
        <f t="shared" si="141"/>
        <v>2.0399999999999998E-5</v>
      </c>
      <c r="BF233" s="178">
        <f t="shared" si="133"/>
        <v>0</v>
      </c>
      <c r="BG233" s="245">
        <f t="shared" si="134"/>
        <v>2.3300000000000001E-5</v>
      </c>
      <c r="BH233" s="17">
        <f t="shared" si="142"/>
        <v>0</v>
      </c>
      <c r="BI233" s="178">
        <v>224</v>
      </c>
      <c r="BJ233" s="87">
        <f t="shared" si="143"/>
        <v>1.8700000000000001E-5</v>
      </c>
      <c r="BK233" s="215">
        <f t="shared" si="135"/>
        <v>0</v>
      </c>
      <c r="BL233" s="245">
        <f t="shared" si="144"/>
        <v>2.3300000000000001E-5</v>
      </c>
      <c r="BM233" s="17">
        <f t="shared" si="145"/>
        <v>0</v>
      </c>
      <c r="BN233" s="178">
        <v>224</v>
      </c>
      <c r="BO233" s="87">
        <f t="shared" si="146"/>
        <v>1.8700000000000001E-5</v>
      </c>
      <c r="BP233" s="215">
        <f t="shared" si="136"/>
        <v>0</v>
      </c>
      <c r="BR233" s="126"/>
      <c r="BS233" s="126"/>
      <c r="BU233" s="178"/>
      <c r="BV233" s="179" t="str">
        <f t="shared" si="147"/>
        <v/>
      </c>
      <c r="BW233" s="179" t="str">
        <f t="shared" si="148"/>
        <v/>
      </c>
      <c r="BX233" s="179" t="str">
        <f t="shared" si="149"/>
        <v/>
      </c>
      <c r="BY233" s="179" t="str">
        <f t="shared" si="150"/>
        <v/>
      </c>
      <c r="BZ233" s="179" t="str">
        <f t="shared" si="151"/>
        <v/>
      </c>
      <c r="CA233" s="179" t="str">
        <f t="shared" si="152"/>
        <v/>
      </c>
      <c r="CB233" s="179" t="str">
        <f t="shared" si="153"/>
        <v/>
      </c>
      <c r="CC233" s="179" t="str">
        <f t="shared" si="154"/>
        <v/>
      </c>
      <c r="CD233" s="179" t="str">
        <f t="shared" si="155"/>
        <v/>
      </c>
      <c r="CE233" s="179" t="str">
        <f t="shared" si="156"/>
        <v/>
      </c>
      <c r="CF233" s="179" t="str">
        <f t="shared" si="157"/>
        <v/>
      </c>
      <c r="CG233" s="179" t="str">
        <f t="shared" si="158"/>
        <v/>
      </c>
      <c r="CH233" s="166"/>
      <c r="CI233" s="166"/>
      <c r="CJ233" s="166"/>
      <c r="CK233" s="166" t="s">
        <v>150</v>
      </c>
      <c r="CL233" s="166"/>
    </row>
    <row r="234" spans="1:90" ht="14.25" customHeight="1" thickBot="1" x14ac:dyDescent="0.3">
      <c r="A234" s="213">
        <v>224</v>
      </c>
      <c r="B234" s="88"/>
      <c r="C234" s="201"/>
      <c r="D234" s="94"/>
      <c r="E234" s="321" t="s">
        <v>93</v>
      </c>
      <c r="F234" s="96"/>
      <c r="G234" s="100"/>
      <c r="H234" s="100"/>
      <c r="I234" s="100"/>
      <c r="J234" s="100"/>
      <c r="K234" s="100"/>
      <c r="L234" s="100"/>
      <c r="M234" s="210"/>
      <c r="N234" s="234">
        <f t="shared" si="159"/>
        <v>0</v>
      </c>
      <c r="O234" s="308"/>
      <c r="P234" s="343"/>
      <c r="Q234" s="309"/>
      <c r="R234" s="324" t="s">
        <v>67</v>
      </c>
      <c r="S234" s="96"/>
      <c r="T234" s="100"/>
      <c r="U234" s="100"/>
      <c r="V234" s="100"/>
      <c r="W234" s="100"/>
      <c r="X234" s="100"/>
      <c r="Y234" s="97"/>
      <c r="Z234" s="210"/>
      <c r="AA234" s="234">
        <f t="shared" si="160"/>
        <v>0</v>
      </c>
      <c r="AB234" s="314">
        <f t="shared" si="137"/>
        <v>0</v>
      </c>
      <c r="AC234" s="314"/>
      <c r="AD234" s="314">
        <f t="shared" si="138"/>
        <v>0</v>
      </c>
      <c r="AE234" s="324" t="s">
        <v>87</v>
      </c>
      <c r="AF234" s="82"/>
      <c r="AG234" s="337"/>
      <c r="AH234" s="337"/>
      <c r="AI234" s="337"/>
      <c r="AJ234" s="337"/>
      <c r="AK234" s="337"/>
      <c r="AL234" s="338"/>
      <c r="AM234" s="354"/>
      <c r="AN234" s="91">
        <f t="shared" si="161"/>
        <v>0</v>
      </c>
      <c r="AO234" s="96">
        <f t="shared" si="139"/>
        <v>0</v>
      </c>
      <c r="AP234" s="210"/>
      <c r="AQ234" s="97">
        <f t="shared" si="140"/>
        <v>0</v>
      </c>
      <c r="AR234" s="105"/>
      <c r="AS234" s="102"/>
      <c r="AT234" s="237"/>
      <c r="AU234" s="231"/>
      <c r="AV234" s="93"/>
      <c r="AW234" s="231"/>
      <c r="AX234" s="93"/>
      <c r="AY234" s="231"/>
      <c r="AZ234" s="93"/>
      <c r="BA234" s="17">
        <f t="shared" si="131"/>
        <v>2.34E-5</v>
      </c>
      <c r="BB234" s="17">
        <f t="shared" si="132"/>
        <v>0</v>
      </c>
      <c r="BC234" s="17"/>
      <c r="BD234" s="178">
        <v>225</v>
      </c>
      <c r="BE234" s="214">
        <f t="shared" si="141"/>
        <v>2.0299999999999999E-5</v>
      </c>
      <c r="BF234" s="178">
        <f t="shared" si="133"/>
        <v>0</v>
      </c>
      <c r="BG234" s="245">
        <f t="shared" si="134"/>
        <v>2.34E-5</v>
      </c>
      <c r="BH234" s="17">
        <f t="shared" si="142"/>
        <v>0</v>
      </c>
      <c r="BI234" s="178">
        <v>225</v>
      </c>
      <c r="BJ234" s="87">
        <f t="shared" si="143"/>
        <v>1.8599999999999998E-5</v>
      </c>
      <c r="BK234" s="215">
        <f t="shared" si="135"/>
        <v>0</v>
      </c>
      <c r="BL234" s="245">
        <f t="shared" si="144"/>
        <v>2.34E-5</v>
      </c>
      <c r="BM234" s="17">
        <f t="shared" si="145"/>
        <v>0</v>
      </c>
      <c r="BN234" s="178">
        <v>225</v>
      </c>
      <c r="BO234" s="87">
        <f t="shared" si="146"/>
        <v>1.8599999999999998E-5</v>
      </c>
      <c r="BP234" s="215">
        <f t="shared" si="136"/>
        <v>0</v>
      </c>
      <c r="BR234" s="126"/>
      <c r="BS234" s="126"/>
      <c r="BU234" s="178"/>
      <c r="BV234" s="179" t="str">
        <f t="shared" si="147"/>
        <v/>
      </c>
      <c r="BW234" s="179" t="str">
        <f t="shared" si="148"/>
        <v/>
      </c>
      <c r="BX234" s="179" t="str">
        <f t="shared" si="149"/>
        <v/>
      </c>
      <c r="BY234" s="179" t="str">
        <f t="shared" si="150"/>
        <v/>
      </c>
      <c r="BZ234" s="179" t="str">
        <f t="shared" si="151"/>
        <v/>
      </c>
      <c r="CA234" s="179" t="str">
        <f t="shared" si="152"/>
        <v/>
      </c>
      <c r="CB234" s="179" t="str">
        <f t="shared" si="153"/>
        <v/>
      </c>
      <c r="CC234" s="179" t="str">
        <f t="shared" si="154"/>
        <v/>
      </c>
      <c r="CD234" s="179" t="str">
        <f t="shared" si="155"/>
        <v/>
      </c>
      <c r="CE234" s="179" t="str">
        <f t="shared" si="156"/>
        <v/>
      </c>
      <c r="CF234" s="179" t="str">
        <f t="shared" si="157"/>
        <v/>
      </c>
      <c r="CG234" s="179" t="str">
        <f t="shared" si="158"/>
        <v/>
      </c>
      <c r="CH234" s="166"/>
      <c r="CI234" s="166"/>
      <c r="CJ234" s="166"/>
      <c r="CK234" s="166" t="s">
        <v>150</v>
      </c>
      <c r="CL234" s="166"/>
    </row>
    <row r="235" spans="1:90" ht="14.25" customHeight="1" x14ac:dyDescent="0.25">
      <c r="A235" s="211">
        <v>225</v>
      </c>
      <c r="B235" s="89"/>
      <c r="C235" s="199"/>
      <c r="D235" s="146"/>
      <c r="E235" s="319" t="s">
        <v>93</v>
      </c>
      <c r="F235" s="221"/>
      <c r="G235" s="222"/>
      <c r="H235" s="222"/>
      <c r="I235" s="222"/>
      <c r="J235" s="222"/>
      <c r="K235" s="222"/>
      <c r="L235" s="222"/>
      <c r="M235" s="331"/>
      <c r="N235" s="303">
        <f t="shared" si="159"/>
        <v>0</v>
      </c>
      <c r="O235" s="304"/>
      <c r="P235" s="341"/>
      <c r="Q235" s="305"/>
      <c r="R235" s="322" t="s">
        <v>67</v>
      </c>
      <c r="S235" s="326"/>
      <c r="T235" s="327"/>
      <c r="U235" s="327"/>
      <c r="V235" s="327"/>
      <c r="W235" s="327"/>
      <c r="X235" s="327"/>
      <c r="Y235" s="95"/>
      <c r="Z235" s="331"/>
      <c r="AA235" s="303">
        <f t="shared" si="160"/>
        <v>0</v>
      </c>
      <c r="AB235" s="314">
        <f t="shared" si="137"/>
        <v>0</v>
      </c>
      <c r="AC235" s="314"/>
      <c r="AD235" s="314">
        <f t="shared" si="138"/>
        <v>0</v>
      </c>
      <c r="AE235" s="325" t="s">
        <v>148</v>
      </c>
      <c r="AF235" s="15"/>
      <c r="AG235" s="232"/>
      <c r="AH235" s="232"/>
      <c r="AI235" s="232"/>
      <c r="AJ235" s="232"/>
      <c r="AK235" s="232"/>
      <c r="AL235" s="7"/>
      <c r="AM235" s="352"/>
      <c r="AN235" s="22">
        <f t="shared" si="161"/>
        <v>0</v>
      </c>
      <c r="AO235" s="15">
        <f t="shared" si="139"/>
        <v>0</v>
      </c>
      <c r="AP235" s="345"/>
      <c r="AQ235" s="7">
        <f t="shared" si="140"/>
        <v>0</v>
      </c>
      <c r="AR235" s="103"/>
      <c r="AS235" s="101"/>
      <c r="AT235" s="236"/>
      <c r="AU235" s="235"/>
      <c r="AV235" s="92"/>
      <c r="AW235" s="235"/>
      <c r="AX235" s="92"/>
      <c r="AY235" s="235"/>
      <c r="AZ235" s="92"/>
      <c r="BA235" s="17">
        <f t="shared" si="131"/>
        <v>2.3499999999999999E-5</v>
      </c>
      <c r="BB235" s="17">
        <f t="shared" si="132"/>
        <v>0</v>
      </c>
      <c r="BC235" s="17"/>
      <c r="BD235" s="178">
        <v>226</v>
      </c>
      <c r="BE235" s="214">
        <f t="shared" si="141"/>
        <v>2.02E-5</v>
      </c>
      <c r="BF235" s="178">
        <f t="shared" si="133"/>
        <v>0</v>
      </c>
      <c r="BG235" s="245">
        <f t="shared" si="134"/>
        <v>2.3499999999999999E-5</v>
      </c>
      <c r="BH235" s="17">
        <f t="shared" si="142"/>
        <v>0</v>
      </c>
      <c r="BI235" s="178">
        <v>226</v>
      </c>
      <c r="BJ235" s="87">
        <f t="shared" si="143"/>
        <v>1.8499999999999999E-5</v>
      </c>
      <c r="BK235" s="215">
        <f t="shared" si="135"/>
        <v>0</v>
      </c>
      <c r="BL235" s="245">
        <f t="shared" si="144"/>
        <v>2.3499999999999999E-5</v>
      </c>
      <c r="BM235" s="17">
        <f t="shared" si="145"/>
        <v>0</v>
      </c>
      <c r="BN235" s="178">
        <v>226</v>
      </c>
      <c r="BO235" s="87">
        <f t="shared" si="146"/>
        <v>1.8499999999999999E-5</v>
      </c>
      <c r="BP235" s="215">
        <f t="shared" si="136"/>
        <v>0</v>
      </c>
      <c r="BR235" s="126"/>
      <c r="BS235" s="126"/>
      <c r="BU235" s="178"/>
      <c r="BV235" s="179" t="str">
        <f t="shared" si="147"/>
        <v/>
      </c>
      <c r="BW235" s="179" t="str">
        <f t="shared" si="148"/>
        <v/>
      </c>
      <c r="BX235" s="179" t="str">
        <f t="shared" si="149"/>
        <v/>
      </c>
      <c r="BY235" s="179" t="str">
        <f t="shared" si="150"/>
        <v/>
      </c>
      <c r="BZ235" s="179" t="str">
        <f t="shared" si="151"/>
        <v/>
      </c>
      <c r="CA235" s="179" t="str">
        <f t="shared" si="152"/>
        <v/>
      </c>
      <c r="CB235" s="179" t="str">
        <f t="shared" si="153"/>
        <v/>
      </c>
      <c r="CC235" s="179" t="str">
        <f t="shared" si="154"/>
        <v/>
      </c>
      <c r="CD235" s="179" t="str">
        <f t="shared" si="155"/>
        <v/>
      </c>
      <c r="CE235" s="179" t="str">
        <f t="shared" si="156"/>
        <v/>
      </c>
      <c r="CF235" s="179" t="str">
        <f t="shared" si="157"/>
        <v/>
      </c>
      <c r="CG235" s="179" t="str">
        <f t="shared" si="158"/>
        <v/>
      </c>
      <c r="CH235" s="166"/>
      <c r="CI235" s="166"/>
      <c r="CJ235" s="166"/>
      <c r="CK235" s="166" t="s">
        <v>150</v>
      </c>
      <c r="CL235" s="166"/>
    </row>
    <row r="236" spans="1:90" ht="14.25" customHeight="1" thickBot="1" x14ac:dyDescent="0.3">
      <c r="A236" s="213">
        <v>226</v>
      </c>
      <c r="B236" s="219"/>
      <c r="C236" s="200"/>
      <c r="D236" s="145"/>
      <c r="E236" s="320" t="s">
        <v>93</v>
      </c>
      <c r="F236" s="209"/>
      <c r="G236" s="313"/>
      <c r="H236" s="313"/>
      <c r="I236" s="313"/>
      <c r="J236" s="313"/>
      <c r="K236" s="313"/>
      <c r="L236" s="313"/>
      <c r="M236" s="339"/>
      <c r="N236" s="233">
        <f t="shared" si="159"/>
        <v>0</v>
      </c>
      <c r="O236" s="306"/>
      <c r="P236" s="342"/>
      <c r="Q236" s="307"/>
      <c r="R236" s="323" t="s">
        <v>67</v>
      </c>
      <c r="S236" s="209"/>
      <c r="T236" s="313"/>
      <c r="U236" s="313"/>
      <c r="V236" s="313"/>
      <c r="W236" s="313"/>
      <c r="X236" s="313"/>
      <c r="Y236" s="125"/>
      <c r="Z236" s="339"/>
      <c r="AA236" s="233">
        <f t="shared" si="160"/>
        <v>0</v>
      </c>
      <c r="AB236" s="314">
        <f t="shared" si="137"/>
        <v>0</v>
      </c>
      <c r="AC236" s="314"/>
      <c r="AD236" s="314">
        <f t="shared" si="138"/>
        <v>0</v>
      </c>
      <c r="AE236" s="323" t="s">
        <v>87</v>
      </c>
      <c r="AF236" s="81"/>
      <c r="AG236" s="335"/>
      <c r="AH236" s="335"/>
      <c r="AI236" s="335"/>
      <c r="AJ236" s="335"/>
      <c r="AK236" s="335"/>
      <c r="AL236" s="336"/>
      <c r="AM236" s="353"/>
      <c r="AN236" s="22">
        <f t="shared" si="161"/>
        <v>0</v>
      </c>
      <c r="AO236" s="209">
        <f t="shared" si="139"/>
        <v>0</v>
      </c>
      <c r="AP236" s="339"/>
      <c r="AQ236" s="125">
        <f t="shared" si="140"/>
        <v>0</v>
      </c>
      <c r="AR236" s="104"/>
      <c r="AS236" s="217"/>
      <c r="AT236" s="216"/>
      <c r="AU236" s="230"/>
      <c r="AV236" s="220"/>
      <c r="AW236" s="230"/>
      <c r="AX236" s="220"/>
      <c r="AY236" s="230"/>
      <c r="AZ236" s="220"/>
      <c r="BA236" s="17">
        <f t="shared" si="131"/>
        <v>2.3599999999999998E-5</v>
      </c>
      <c r="BB236" s="17">
        <f t="shared" si="132"/>
        <v>0</v>
      </c>
      <c r="BC236" s="17"/>
      <c r="BD236" s="178">
        <v>227</v>
      </c>
      <c r="BE236" s="214">
        <f t="shared" si="141"/>
        <v>2.0100000000000001E-5</v>
      </c>
      <c r="BF236" s="178">
        <f t="shared" si="133"/>
        <v>0</v>
      </c>
      <c r="BG236" s="245">
        <f t="shared" si="134"/>
        <v>2.3599999999999998E-5</v>
      </c>
      <c r="BH236" s="17">
        <f t="shared" si="142"/>
        <v>0</v>
      </c>
      <c r="BI236" s="178">
        <v>227</v>
      </c>
      <c r="BJ236" s="87">
        <f t="shared" si="143"/>
        <v>1.84E-5</v>
      </c>
      <c r="BK236" s="215">
        <f t="shared" si="135"/>
        <v>0</v>
      </c>
      <c r="BL236" s="245">
        <f t="shared" si="144"/>
        <v>2.3599999999999998E-5</v>
      </c>
      <c r="BM236" s="17">
        <f t="shared" si="145"/>
        <v>0</v>
      </c>
      <c r="BN236" s="178">
        <v>227</v>
      </c>
      <c r="BO236" s="87">
        <f t="shared" si="146"/>
        <v>1.84E-5</v>
      </c>
      <c r="BP236" s="215">
        <f t="shared" si="136"/>
        <v>0</v>
      </c>
      <c r="BR236" s="126"/>
      <c r="BS236" s="126"/>
      <c r="BU236" s="178"/>
      <c r="BV236" s="179" t="str">
        <f t="shared" si="147"/>
        <v/>
      </c>
      <c r="BW236" s="179" t="str">
        <f t="shared" si="148"/>
        <v/>
      </c>
      <c r="BX236" s="179" t="str">
        <f t="shared" si="149"/>
        <v/>
      </c>
      <c r="BY236" s="179" t="str">
        <f t="shared" si="150"/>
        <v/>
      </c>
      <c r="BZ236" s="179" t="str">
        <f t="shared" si="151"/>
        <v/>
      </c>
      <c r="CA236" s="179" t="str">
        <f t="shared" si="152"/>
        <v/>
      </c>
      <c r="CB236" s="179" t="str">
        <f t="shared" si="153"/>
        <v/>
      </c>
      <c r="CC236" s="179" t="str">
        <f t="shared" si="154"/>
        <v/>
      </c>
      <c r="CD236" s="179" t="str">
        <f t="shared" si="155"/>
        <v/>
      </c>
      <c r="CE236" s="179" t="str">
        <f t="shared" si="156"/>
        <v/>
      </c>
      <c r="CF236" s="179" t="str">
        <f t="shared" si="157"/>
        <v/>
      </c>
      <c r="CG236" s="179" t="str">
        <f t="shared" si="158"/>
        <v/>
      </c>
      <c r="CH236" s="166"/>
      <c r="CI236" s="166"/>
      <c r="CJ236" s="166"/>
      <c r="CK236" s="166" t="s">
        <v>150</v>
      </c>
      <c r="CL236" s="166"/>
    </row>
    <row r="237" spans="1:90" ht="14.25" customHeight="1" thickBot="1" x14ac:dyDescent="0.3">
      <c r="A237" s="211">
        <v>227</v>
      </c>
      <c r="B237" s="88"/>
      <c r="C237" s="201"/>
      <c r="D237" s="94"/>
      <c r="E237" s="321" t="s">
        <v>93</v>
      </c>
      <c r="F237" s="96"/>
      <c r="G237" s="100"/>
      <c r="H237" s="100"/>
      <c r="I237" s="100"/>
      <c r="J237" s="100"/>
      <c r="K237" s="100"/>
      <c r="L237" s="100"/>
      <c r="M237" s="210"/>
      <c r="N237" s="234">
        <f t="shared" si="159"/>
        <v>0</v>
      </c>
      <c r="O237" s="308"/>
      <c r="P237" s="343"/>
      <c r="Q237" s="309"/>
      <c r="R237" s="324" t="s">
        <v>67</v>
      </c>
      <c r="S237" s="96"/>
      <c r="T237" s="100"/>
      <c r="U237" s="100"/>
      <c r="V237" s="100"/>
      <c r="W237" s="100"/>
      <c r="X237" s="100"/>
      <c r="Y237" s="97"/>
      <c r="Z237" s="210"/>
      <c r="AA237" s="234">
        <f t="shared" si="160"/>
        <v>0</v>
      </c>
      <c r="AB237" s="314">
        <f t="shared" si="137"/>
        <v>0</v>
      </c>
      <c r="AC237" s="314"/>
      <c r="AD237" s="314">
        <f t="shared" si="138"/>
        <v>0</v>
      </c>
      <c r="AE237" s="324" t="s">
        <v>87</v>
      </c>
      <c r="AF237" s="82"/>
      <c r="AG237" s="337"/>
      <c r="AH237" s="337"/>
      <c r="AI237" s="337"/>
      <c r="AJ237" s="337"/>
      <c r="AK237" s="337"/>
      <c r="AL237" s="338"/>
      <c r="AM237" s="354"/>
      <c r="AN237" s="91">
        <f t="shared" si="161"/>
        <v>0</v>
      </c>
      <c r="AO237" s="96">
        <f t="shared" si="139"/>
        <v>0</v>
      </c>
      <c r="AP237" s="210"/>
      <c r="AQ237" s="97">
        <f t="shared" si="140"/>
        <v>0</v>
      </c>
      <c r="AR237" s="105"/>
      <c r="AS237" s="102"/>
      <c r="AT237" s="237"/>
      <c r="AU237" s="231"/>
      <c r="AV237" s="93"/>
      <c r="AW237" s="231"/>
      <c r="AX237" s="93"/>
      <c r="AY237" s="231"/>
      <c r="AZ237" s="93"/>
      <c r="BA237" s="17">
        <f t="shared" si="131"/>
        <v>2.37E-5</v>
      </c>
      <c r="BB237" s="17">
        <f t="shared" si="132"/>
        <v>0</v>
      </c>
      <c r="BC237" s="17"/>
      <c r="BD237" s="178">
        <v>228</v>
      </c>
      <c r="BE237" s="214">
        <f t="shared" si="141"/>
        <v>1.9999999999999998E-5</v>
      </c>
      <c r="BF237" s="178">
        <f t="shared" si="133"/>
        <v>0</v>
      </c>
      <c r="BG237" s="245">
        <f t="shared" si="134"/>
        <v>2.37E-5</v>
      </c>
      <c r="BH237" s="17">
        <f t="shared" si="142"/>
        <v>0</v>
      </c>
      <c r="BI237" s="178">
        <v>228</v>
      </c>
      <c r="BJ237" s="87">
        <f t="shared" si="143"/>
        <v>1.8299999999999998E-5</v>
      </c>
      <c r="BK237" s="215">
        <f t="shared" si="135"/>
        <v>0</v>
      </c>
      <c r="BL237" s="245">
        <f t="shared" si="144"/>
        <v>2.37E-5</v>
      </c>
      <c r="BM237" s="17">
        <f t="shared" si="145"/>
        <v>0</v>
      </c>
      <c r="BN237" s="178">
        <v>228</v>
      </c>
      <c r="BO237" s="87">
        <f t="shared" si="146"/>
        <v>1.8299999999999998E-5</v>
      </c>
      <c r="BP237" s="215">
        <f t="shared" si="136"/>
        <v>0</v>
      </c>
      <c r="BR237" s="126"/>
      <c r="BS237" s="126"/>
      <c r="BU237" s="178"/>
      <c r="BV237" s="179" t="str">
        <f t="shared" si="147"/>
        <v/>
      </c>
      <c r="BW237" s="179" t="str">
        <f t="shared" si="148"/>
        <v/>
      </c>
      <c r="BX237" s="179" t="str">
        <f t="shared" si="149"/>
        <v/>
      </c>
      <c r="BY237" s="179" t="str">
        <f t="shared" si="150"/>
        <v/>
      </c>
      <c r="BZ237" s="179" t="str">
        <f t="shared" si="151"/>
        <v/>
      </c>
      <c r="CA237" s="179" t="str">
        <f t="shared" si="152"/>
        <v/>
      </c>
      <c r="CB237" s="179" t="str">
        <f t="shared" si="153"/>
        <v/>
      </c>
      <c r="CC237" s="179" t="str">
        <f t="shared" si="154"/>
        <v/>
      </c>
      <c r="CD237" s="179" t="str">
        <f t="shared" si="155"/>
        <v/>
      </c>
      <c r="CE237" s="179" t="str">
        <f t="shared" si="156"/>
        <v/>
      </c>
      <c r="CF237" s="179" t="str">
        <f t="shared" si="157"/>
        <v/>
      </c>
      <c r="CG237" s="179" t="str">
        <f t="shared" si="158"/>
        <v/>
      </c>
      <c r="CH237" s="166"/>
      <c r="CI237" s="166"/>
      <c r="CJ237" s="166"/>
      <c r="CK237" s="166" t="s">
        <v>150</v>
      </c>
      <c r="CL237" s="166"/>
    </row>
    <row r="238" spans="1:90" ht="14.25" customHeight="1" thickBot="1" x14ac:dyDescent="0.3">
      <c r="A238" s="213">
        <v>228</v>
      </c>
      <c r="B238" s="89"/>
      <c r="C238" s="199"/>
      <c r="D238" s="146"/>
      <c r="E238" s="319" t="s">
        <v>93</v>
      </c>
      <c r="F238" s="221"/>
      <c r="G238" s="222"/>
      <c r="H238" s="222"/>
      <c r="I238" s="222"/>
      <c r="J238" s="222"/>
      <c r="K238" s="222"/>
      <c r="L238" s="222"/>
      <c r="M238" s="331"/>
      <c r="N238" s="303">
        <f t="shared" si="159"/>
        <v>0</v>
      </c>
      <c r="O238" s="304"/>
      <c r="P238" s="341"/>
      <c r="Q238" s="305"/>
      <c r="R238" s="322" t="s">
        <v>67</v>
      </c>
      <c r="S238" s="326"/>
      <c r="T238" s="327"/>
      <c r="U238" s="327"/>
      <c r="V238" s="327"/>
      <c r="W238" s="327"/>
      <c r="X238" s="327"/>
      <c r="Y238" s="95"/>
      <c r="Z238" s="331"/>
      <c r="AA238" s="303">
        <f t="shared" si="160"/>
        <v>0</v>
      </c>
      <c r="AB238" s="314">
        <f t="shared" si="137"/>
        <v>0</v>
      </c>
      <c r="AC238" s="314"/>
      <c r="AD238" s="314">
        <f t="shared" si="138"/>
        <v>0</v>
      </c>
      <c r="AE238" s="325" t="s">
        <v>148</v>
      </c>
      <c r="AF238" s="15"/>
      <c r="AG238" s="232"/>
      <c r="AH238" s="232"/>
      <c r="AI238" s="232"/>
      <c r="AJ238" s="232"/>
      <c r="AK238" s="232"/>
      <c r="AL238" s="7"/>
      <c r="AM238" s="352"/>
      <c r="AN238" s="22">
        <f t="shared" si="161"/>
        <v>0</v>
      </c>
      <c r="AO238" s="15">
        <f t="shared" si="139"/>
        <v>0</v>
      </c>
      <c r="AP238" s="345"/>
      <c r="AQ238" s="7">
        <f t="shared" si="140"/>
        <v>0</v>
      </c>
      <c r="AR238" s="103"/>
      <c r="AS238" s="101"/>
      <c r="AT238" s="236"/>
      <c r="AU238" s="235"/>
      <c r="AV238" s="92"/>
      <c r="AW238" s="235"/>
      <c r="AX238" s="92"/>
      <c r="AY238" s="235"/>
      <c r="AZ238" s="92"/>
      <c r="BA238" s="17">
        <f t="shared" si="131"/>
        <v>2.3799999999999999E-5</v>
      </c>
      <c r="BB238" s="17">
        <f t="shared" si="132"/>
        <v>0</v>
      </c>
      <c r="BC238" s="17"/>
      <c r="BD238" s="178">
        <v>229</v>
      </c>
      <c r="BE238" s="214">
        <f t="shared" si="141"/>
        <v>1.9899999999999999E-5</v>
      </c>
      <c r="BF238" s="178">
        <f t="shared" si="133"/>
        <v>0</v>
      </c>
      <c r="BG238" s="245">
        <f t="shared" si="134"/>
        <v>2.3799999999999999E-5</v>
      </c>
      <c r="BH238" s="17">
        <f t="shared" si="142"/>
        <v>0</v>
      </c>
      <c r="BI238" s="178">
        <v>229</v>
      </c>
      <c r="BJ238" s="87">
        <f t="shared" si="143"/>
        <v>1.8199999999999999E-5</v>
      </c>
      <c r="BK238" s="215">
        <f t="shared" si="135"/>
        <v>0</v>
      </c>
      <c r="BL238" s="245">
        <f t="shared" si="144"/>
        <v>2.3799999999999999E-5</v>
      </c>
      <c r="BM238" s="17">
        <f t="shared" si="145"/>
        <v>0</v>
      </c>
      <c r="BN238" s="178">
        <v>229</v>
      </c>
      <c r="BO238" s="87">
        <f t="shared" si="146"/>
        <v>1.8199999999999999E-5</v>
      </c>
      <c r="BP238" s="215">
        <f t="shared" si="136"/>
        <v>0</v>
      </c>
      <c r="BR238" s="126"/>
      <c r="BS238" s="126"/>
      <c r="BU238" s="178"/>
      <c r="BV238" s="179" t="str">
        <f t="shared" si="147"/>
        <v/>
      </c>
      <c r="BW238" s="179" t="str">
        <f t="shared" si="148"/>
        <v/>
      </c>
      <c r="BX238" s="179" t="str">
        <f t="shared" si="149"/>
        <v/>
      </c>
      <c r="BY238" s="179" t="str">
        <f t="shared" si="150"/>
        <v/>
      </c>
      <c r="BZ238" s="179" t="str">
        <f t="shared" si="151"/>
        <v/>
      </c>
      <c r="CA238" s="179" t="str">
        <f t="shared" si="152"/>
        <v/>
      </c>
      <c r="CB238" s="179" t="str">
        <f t="shared" si="153"/>
        <v/>
      </c>
      <c r="CC238" s="179" t="str">
        <f t="shared" si="154"/>
        <v/>
      </c>
      <c r="CD238" s="179" t="str">
        <f t="shared" si="155"/>
        <v/>
      </c>
      <c r="CE238" s="179" t="str">
        <f t="shared" si="156"/>
        <v/>
      </c>
      <c r="CF238" s="179" t="str">
        <f t="shared" si="157"/>
        <v/>
      </c>
      <c r="CG238" s="179" t="str">
        <f t="shared" si="158"/>
        <v/>
      </c>
      <c r="CH238" s="166"/>
      <c r="CI238" s="166"/>
      <c r="CJ238" s="166"/>
      <c r="CK238" s="166" t="s">
        <v>150</v>
      </c>
      <c r="CL238" s="166"/>
    </row>
    <row r="239" spans="1:90" ht="14.25" customHeight="1" x14ac:dyDescent="0.25">
      <c r="A239" s="211">
        <v>229</v>
      </c>
      <c r="B239" s="219"/>
      <c r="C239" s="200"/>
      <c r="D239" s="145"/>
      <c r="E239" s="320" t="s">
        <v>93</v>
      </c>
      <c r="F239" s="209"/>
      <c r="G239" s="313"/>
      <c r="H239" s="313"/>
      <c r="I239" s="313"/>
      <c r="J239" s="313"/>
      <c r="K239" s="313"/>
      <c r="L239" s="313"/>
      <c r="M239" s="339"/>
      <c r="N239" s="233">
        <f t="shared" si="159"/>
        <v>0</v>
      </c>
      <c r="O239" s="306"/>
      <c r="P239" s="342"/>
      <c r="Q239" s="307"/>
      <c r="R239" s="323" t="s">
        <v>67</v>
      </c>
      <c r="S239" s="209"/>
      <c r="T239" s="313"/>
      <c r="U239" s="313"/>
      <c r="V239" s="313"/>
      <c r="W239" s="313"/>
      <c r="X239" s="313"/>
      <c r="Y239" s="125"/>
      <c r="Z239" s="339"/>
      <c r="AA239" s="233">
        <f t="shared" si="160"/>
        <v>0</v>
      </c>
      <c r="AB239" s="314">
        <f t="shared" si="137"/>
        <v>0</v>
      </c>
      <c r="AC239" s="314"/>
      <c r="AD239" s="314">
        <f t="shared" si="138"/>
        <v>0</v>
      </c>
      <c r="AE239" s="323" t="s">
        <v>87</v>
      </c>
      <c r="AF239" s="81"/>
      <c r="AG239" s="335"/>
      <c r="AH239" s="335"/>
      <c r="AI239" s="335"/>
      <c r="AJ239" s="335"/>
      <c r="AK239" s="335"/>
      <c r="AL239" s="336"/>
      <c r="AM239" s="353"/>
      <c r="AN239" s="22">
        <f t="shared" si="161"/>
        <v>0</v>
      </c>
      <c r="AO239" s="209">
        <f t="shared" si="139"/>
        <v>0</v>
      </c>
      <c r="AP239" s="339"/>
      <c r="AQ239" s="125">
        <f t="shared" si="140"/>
        <v>0</v>
      </c>
      <c r="AR239" s="104"/>
      <c r="AS239" s="217"/>
      <c r="AT239" s="216"/>
      <c r="AU239" s="230"/>
      <c r="AV239" s="220"/>
      <c r="AW239" s="230"/>
      <c r="AX239" s="220"/>
      <c r="AY239" s="230"/>
      <c r="AZ239" s="220"/>
      <c r="BA239" s="17">
        <f t="shared" si="131"/>
        <v>2.3899999999999998E-5</v>
      </c>
      <c r="BB239" s="17">
        <f t="shared" si="132"/>
        <v>0</v>
      </c>
      <c r="BC239" s="17"/>
      <c r="BD239" s="178">
        <v>230</v>
      </c>
      <c r="BE239" s="214">
        <f t="shared" si="141"/>
        <v>1.98E-5</v>
      </c>
      <c r="BF239" s="178">
        <f t="shared" si="133"/>
        <v>0</v>
      </c>
      <c r="BG239" s="245">
        <f t="shared" si="134"/>
        <v>2.3899999999999998E-5</v>
      </c>
      <c r="BH239" s="17">
        <f t="shared" si="142"/>
        <v>0</v>
      </c>
      <c r="BI239" s="178">
        <v>230</v>
      </c>
      <c r="BJ239" s="87">
        <f t="shared" si="143"/>
        <v>1.8099999999999999E-5</v>
      </c>
      <c r="BK239" s="215">
        <f t="shared" si="135"/>
        <v>0</v>
      </c>
      <c r="BL239" s="245">
        <f t="shared" si="144"/>
        <v>2.3899999999999998E-5</v>
      </c>
      <c r="BM239" s="17">
        <f t="shared" si="145"/>
        <v>0</v>
      </c>
      <c r="BN239" s="178">
        <v>230</v>
      </c>
      <c r="BO239" s="87">
        <f t="shared" si="146"/>
        <v>1.8099999999999999E-5</v>
      </c>
      <c r="BP239" s="215">
        <f t="shared" si="136"/>
        <v>0</v>
      </c>
      <c r="BR239" s="126"/>
      <c r="BS239" s="126"/>
      <c r="BU239" s="178"/>
      <c r="BV239" s="179" t="str">
        <f t="shared" si="147"/>
        <v/>
      </c>
      <c r="BW239" s="179" t="str">
        <f t="shared" si="148"/>
        <v/>
      </c>
      <c r="BX239" s="179" t="str">
        <f t="shared" si="149"/>
        <v/>
      </c>
      <c r="BY239" s="179" t="str">
        <f t="shared" si="150"/>
        <v/>
      </c>
      <c r="BZ239" s="179" t="str">
        <f t="shared" si="151"/>
        <v/>
      </c>
      <c r="CA239" s="179" t="str">
        <f t="shared" si="152"/>
        <v/>
      </c>
      <c r="CB239" s="179" t="str">
        <f t="shared" si="153"/>
        <v/>
      </c>
      <c r="CC239" s="179" t="str">
        <f t="shared" si="154"/>
        <v/>
      </c>
      <c r="CD239" s="179" t="str">
        <f t="shared" si="155"/>
        <v/>
      </c>
      <c r="CE239" s="179" t="str">
        <f t="shared" si="156"/>
        <v/>
      </c>
      <c r="CF239" s="179" t="str">
        <f t="shared" si="157"/>
        <v/>
      </c>
      <c r="CG239" s="179" t="str">
        <f t="shared" si="158"/>
        <v/>
      </c>
      <c r="CH239" s="166"/>
      <c r="CI239" s="166"/>
      <c r="CJ239" s="166"/>
      <c r="CK239" s="166" t="s">
        <v>150</v>
      </c>
      <c r="CL239" s="166"/>
    </row>
    <row r="240" spans="1:90" ht="14.25" customHeight="1" thickBot="1" x14ac:dyDescent="0.3">
      <c r="A240" s="213">
        <v>230</v>
      </c>
      <c r="B240" s="88"/>
      <c r="C240" s="201"/>
      <c r="D240" s="94"/>
      <c r="E240" s="321" t="s">
        <v>93</v>
      </c>
      <c r="F240" s="96"/>
      <c r="G240" s="100"/>
      <c r="H240" s="100"/>
      <c r="I240" s="100"/>
      <c r="J240" s="100"/>
      <c r="K240" s="100"/>
      <c r="L240" s="100"/>
      <c r="M240" s="210"/>
      <c r="N240" s="234">
        <f t="shared" si="159"/>
        <v>0</v>
      </c>
      <c r="O240" s="308"/>
      <c r="P240" s="343"/>
      <c r="Q240" s="309"/>
      <c r="R240" s="324" t="s">
        <v>67</v>
      </c>
      <c r="S240" s="96"/>
      <c r="T240" s="100"/>
      <c r="U240" s="100"/>
      <c r="V240" s="100"/>
      <c r="W240" s="100"/>
      <c r="X240" s="100"/>
      <c r="Y240" s="97"/>
      <c r="Z240" s="210"/>
      <c r="AA240" s="234">
        <f t="shared" si="160"/>
        <v>0</v>
      </c>
      <c r="AB240" s="314">
        <f t="shared" si="137"/>
        <v>0</v>
      </c>
      <c r="AC240" s="314"/>
      <c r="AD240" s="314">
        <f t="shared" si="138"/>
        <v>0</v>
      </c>
      <c r="AE240" s="324" t="s">
        <v>87</v>
      </c>
      <c r="AF240" s="82"/>
      <c r="AG240" s="337"/>
      <c r="AH240" s="337"/>
      <c r="AI240" s="337"/>
      <c r="AJ240" s="337"/>
      <c r="AK240" s="337"/>
      <c r="AL240" s="338"/>
      <c r="AM240" s="354"/>
      <c r="AN240" s="91">
        <f t="shared" si="161"/>
        <v>0</v>
      </c>
      <c r="AO240" s="96">
        <f t="shared" si="139"/>
        <v>0</v>
      </c>
      <c r="AP240" s="210"/>
      <c r="AQ240" s="97">
        <f t="shared" si="140"/>
        <v>0</v>
      </c>
      <c r="AR240" s="105"/>
      <c r="AS240" s="102"/>
      <c r="AT240" s="237"/>
      <c r="AU240" s="231"/>
      <c r="AV240" s="93"/>
      <c r="AW240" s="231"/>
      <c r="AX240" s="93"/>
      <c r="AY240" s="231"/>
      <c r="AZ240" s="93"/>
      <c r="BA240" s="17">
        <f t="shared" si="131"/>
        <v>2.4000000000000001E-5</v>
      </c>
      <c r="BB240" s="17">
        <f t="shared" si="132"/>
        <v>0</v>
      </c>
      <c r="BC240" s="17"/>
      <c r="BD240" s="178">
        <v>231</v>
      </c>
      <c r="BE240" s="214">
        <f t="shared" si="141"/>
        <v>1.9699999999999998E-5</v>
      </c>
      <c r="BF240" s="178">
        <f t="shared" si="133"/>
        <v>0</v>
      </c>
      <c r="BG240" s="245">
        <f t="shared" si="134"/>
        <v>2.4000000000000001E-5</v>
      </c>
      <c r="BH240" s="17">
        <f t="shared" si="142"/>
        <v>0</v>
      </c>
      <c r="BI240" s="178">
        <v>231</v>
      </c>
      <c r="BJ240" s="87">
        <f t="shared" si="143"/>
        <v>1.8E-5</v>
      </c>
      <c r="BK240" s="215">
        <f t="shared" si="135"/>
        <v>0</v>
      </c>
      <c r="BL240" s="245">
        <f t="shared" si="144"/>
        <v>2.4000000000000001E-5</v>
      </c>
      <c r="BM240" s="17">
        <f t="shared" si="145"/>
        <v>0</v>
      </c>
      <c r="BN240" s="178">
        <v>231</v>
      </c>
      <c r="BO240" s="87">
        <f t="shared" si="146"/>
        <v>1.8E-5</v>
      </c>
      <c r="BP240" s="215">
        <f t="shared" si="136"/>
        <v>0</v>
      </c>
      <c r="BR240" s="126"/>
      <c r="BS240" s="126"/>
      <c r="BU240" s="178"/>
      <c r="BV240" s="179" t="str">
        <f t="shared" si="147"/>
        <v/>
      </c>
      <c r="BW240" s="179" t="str">
        <f t="shared" si="148"/>
        <v/>
      </c>
      <c r="BX240" s="179" t="str">
        <f t="shared" si="149"/>
        <v/>
      </c>
      <c r="BY240" s="179" t="str">
        <f t="shared" si="150"/>
        <v/>
      </c>
      <c r="BZ240" s="179" t="str">
        <f t="shared" si="151"/>
        <v/>
      </c>
      <c r="CA240" s="179" t="str">
        <f t="shared" si="152"/>
        <v/>
      </c>
      <c r="CB240" s="179" t="str">
        <f t="shared" si="153"/>
        <v/>
      </c>
      <c r="CC240" s="179" t="str">
        <f t="shared" si="154"/>
        <v/>
      </c>
      <c r="CD240" s="179" t="str">
        <f t="shared" si="155"/>
        <v/>
      </c>
      <c r="CE240" s="179" t="str">
        <f t="shared" si="156"/>
        <v/>
      </c>
      <c r="CF240" s="179" t="str">
        <f t="shared" si="157"/>
        <v/>
      </c>
      <c r="CG240" s="179" t="str">
        <f t="shared" si="158"/>
        <v/>
      </c>
      <c r="CH240" s="166"/>
      <c r="CI240" s="166"/>
      <c r="CJ240" s="166"/>
      <c r="CK240" s="166" t="s">
        <v>150</v>
      </c>
      <c r="CL240" s="166"/>
    </row>
    <row r="241" spans="1:90" ht="14.25" customHeight="1" x14ac:dyDescent="0.25">
      <c r="A241" s="211">
        <v>231</v>
      </c>
      <c r="B241" s="89"/>
      <c r="C241" s="199"/>
      <c r="D241" s="146"/>
      <c r="E241" s="319" t="s">
        <v>93</v>
      </c>
      <c r="F241" s="221"/>
      <c r="G241" s="222"/>
      <c r="H241" s="222"/>
      <c r="I241" s="222"/>
      <c r="J241" s="222"/>
      <c r="K241" s="222"/>
      <c r="L241" s="222"/>
      <c r="M241" s="331"/>
      <c r="N241" s="303">
        <f t="shared" si="159"/>
        <v>0</v>
      </c>
      <c r="O241" s="304"/>
      <c r="P241" s="341"/>
      <c r="Q241" s="305"/>
      <c r="R241" s="322" t="s">
        <v>67</v>
      </c>
      <c r="S241" s="326"/>
      <c r="T241" s="327"/>
      <c r="U241" s="327"/>
      <c r="V241" s="327"/>
      <c r="W241" s="327"/>
      <c r="X241" s="327"/>
      <c r="Y241" s="95"/>
      <c r="Z241" s="331"/>
      <c r="AA241" s="303">
        <f t="shared" si="160"/>
        <v>0</v>
      </c>
      <c r="AB241" s="314">
        <f t="shared" si="137"/>
        <v>0</v>
      </c>
      <c r="AC241" s="314"/>
      <c r="AD241" s="314">
        <f t="shared" si="138"/>
        <v>0</v>
      </c>
      <c r="AE241" s="325" t="s">
        <v>148</v>
      </c>
      <c r="AF241" s="15"/>
      <c r="AG241" s="232"/>
      <c r="AH241" s="232"/>
      <c r="AI241" s="232"/>
      <c r="AJ241" s="232"/>
      <c r="AK241" s="232"/>
      <c r="AL241" s="7"/>
      <c r="AM241" s="352"/>
      <c r="AN241" s="22">
        <f t="shared" si="161"/>
        <v>0</v>
      </c>
      <c r="AO241" s="15">
        <f t="shared" si="139"/>
        <v>0</v>
      </c>
      <c r="AP241" s="345"/>
      <c r="AQ241" s="7">
        <f t="shared" si="140"/>
        <v>0</v>
      </c>
      <c r="AR241" s="103"/>
      <c r="AS241" s="101"/>
      <c r="AT241" s="236"/>
      <c r="AU241" s="235"/>
      <c r="AV241" s="92"/>
      <c r="AW241" s="235"/>
      <c r="AX241" s="92"/>
      <c r="AY241" s="235"/>
      <c r="AZ241" s="92"/>
      <c r="BA241" s="17">
        <f t="shared" si="131"/>
        <v>2.41E-5</v>
      </c>
      <c r="BB241" s="17">
        <f t="shared" si="132"/>
        <v>0</v>
      </c>
      <c r="BC241" s="17"/>
      <c r="BD241" s="178">
        <v>232</v>
      </c>
      <c r="BE241" s="214">
        <f t="shared" si="141"/>
        <v>1.9599999999999999E-5</v>
      </c>
      <c r="BF241" s="178">
        <f t="shared" si="133"/>
        <v>0</v>
      </c>
      <c r="BG241" s="245">
        <f t="shared" si="134"/>
        <v>2.41E-5</v>
      </c>
      <c r="BH241" s="17">
        <f t="shared" si="142"/>
        <v>0</v>
      </c>
      <c r="BI241" s="178">
        <v>232</v>
      </c>
      <c r="BJ241" s="87">
        <f t="shared" si="143"/>
        <v>1.7899999999999998E-5</v>
      </c>
      <c r="BK241" s="215">
        <f t="shared" si="135"/>
        <v>0</v>
      </c>
      <c r="BL241" s="245">
        <f t="shared" si="144"/>
        <v>2.41E-5</v>
      </c>
      <c r="BM241" s="17">
        <f t="shared" si="145"/>
        <v>0</v>
      </c>
      <c r="BN241" s="178">
        <v>232</v>
      </c>
      <c r="BO241" s="87">
        <f t="shared" si="146"/>
        <v>1.7899999999999998E-5</v>
      </c>
      <c r="BP241" s="215">
        <f t="shared" si="136"/>
        <v>0</v>
      </c>
      <c r="BR241" s="126"/>
      <c r="BS241" s="126"/>
      <c r="BU241" s="178"/>
      <c r="BV241" s="179" t="str">
        <f t="shared" si="147"/>
        <v/>
      </c>
      <c r="BW241" s="179" t="str">
        <f t="shared" si="148"/>
        <v/>
      </c>
      <c r="BX241" s="179" t="str">
        <f t="shared" si="149"/>
        <v/>
      </c>
      <c r="BY241" s="179" t="str">
        <f t="shared" si="150"/>
        <v/>
      </c>
      <c r="BZ241" s="179" t="str">
        <f t="shared" si="151"/>
        <v/>
      </c>
      <c r="CA241" s="179" t="str">
        <f t="shared" si="152"/>
        <v/>
      </c>
      <c r="CB241" s="179" t="str">
        <f t="shared" si="153"/>
        <v/>
      </c>
      <c r="CC241" s="179" t="str">
        <f t="shared" si="154"/>
        <v/>
      </c>
      <c r="CD241" s="179" t="str">
        <f t="shared" si="155"/>
        <v/>
      </c>
      <c r="CE241" s="179" t="str">
        <f t="shared" si="156"/>
        <v/>
      </c>
      <c r="CF241" s="179" t="str">
        <f t="shared" si="157"/>
        <v/>
      </c>
      <c r="CG241" s="179" t="str">
        <f t="shared" si="158"/>
        <v/>
      </c>
      <c r="CH241" s="166"/>
      <c r="CI241" s="166"/>
      <c r="CJ241" s="166"/>
      <c r="CK241" s="166" t="s">
        <v>150</v>
      </c>
      <c r="CL241" s="166"/>
    </row>
    <row r="242" spans="1:90" ht="14.25" customHeight="1" thickBot="1" x14ac:dyDescent="0.3">
      <c r="A242" s="213">
        <v>232</v>
      </c>
      <c r="B242" s="219"/>
      <c r="C242" s="200"/>
      <c r="D242" s="145"/>
      <c r="E242" s="320" t="s">
        <v>93</v>
      </c>
      <c r="F242" s="209"/>
      <c r="G242" s="313"/>
      <c r="H242" s="313"/>
      <c r="I242" s="313"/>
      <c r="J242" s="313"/>
      <c r="K242" s="313"/>
      <c r="L242" s="313"/>
      <c r="M242" s="339"/>
      <c r="N242" s="233">
        <f t="shared" si="159"/>
        <v>0</v>
      </c>
      <c r="O242" s="306"/>
      <c r="P242" s="342"/>
      <c r="Q242" s="307"/>
      <c r="R242" s="323" t="s">
        <v>67</v>
      </c>
      <c r="S242" s="209"/>
      <c r="T242" s="313"/>
      <c r="U242" s="313"/>
      <c r="V242" s="313"/>
      <c r="W242" s="313"/>
      <c r="X242" s="313"/>
      <c r="Y242" s="125"/>
      <c r="Z242" s="339"/>
      <c r="AA242" s="233">
        <f t="shared" si="160"/>
        <v>0</v>
      </c>
      <c r="AB242" s="314">
        <f t="shared" si="137"/>
        <v>0</v>
      </c>
      <c r="AC242" s="314"/>
      <c r="AD242" s="314">
        <f t="shared" si="138"/>
        <v>0</v>
      </c>
      <c r="AE242" s="323" t="s">
        <v>87</v>
      </c>
      <c r="AF242" s="81"/>
      <c r="AG242" s="335"/>
      <c r="AH242" s="335"/>
      <c r="AI242" s="335"/>
      <c r="AJ242" s="335"/>
      <c r="AK242" s="335"/>
      <c r="AL242" s="336"/>
      <c r="AM242" s="353"/>
      <c r="AN242" s="22">
        <f t="shared" si="161"/>
        <v>0</v>
      </c>
      <c r="AO242" s="209">
        <f t="shared" si="139"/>
        <v>0</v>
      </c>
      <c r="AP242" s="339"/>
      <c r="AQ242" s="125">
        <f t="shared" si="140"/>
        <v>0</v>
      </c>
      <c r="AR242" s="104"/>
      <c r="AS242" s="217"/>
      <c r="AT242" s="216"/>
      <c r="AU242" s="230"/>
      <c r="AV242" s="220"/>
      <c r="AW242" s="230"/>
      <c r="AX242" s="220"/>
      <c r="AY242" s="230"/>
      <c r="AZ242" s="220"/>
      <c r="BA242" s="17">
        <f t="shared" si="131"/>
        <v>2.4199999999999999E-5</v>
      </c>
      <c r="BB242" s="17">
        <f t="shared" si="132"/>
        <v>0</v>
      </c>
      <c r="BC242" s="17"/>
      <c r="BD242" s="178">
        <v>233</v>
      </c>
      <c r="BE242" s="214">
        <f t="shared" si="141"/>
        <v>1.95E-5</v>
      </c>
      <c r="BF242" s="178">
        <f t="shared" si="133"/>
        <v>0</v>
      </c>
      <c r="BG242" s="245">
        <f t="shared" si="134"/>
        <v>2.4199999999999999E-5</v>
      </c>
      <c r="BH242" s="17">
        <f t="shared" si="142"/>
        <v>0</v>
      </c>
      <c r="BI242" s="178">
        <v>233</v>
      </c>
      <c r="BJ242" s="87">
        <f t="shared" si="143"/>
        <v>1.7799999999999999E-5</v>
      </c>
      <c r="BK242" s="215">
        <f t="shared" si="135"/>
        <v>0</v>
      </c>
      <c r="BL242" s="245">
        <f t="shared" si="144"/>
        <v>2.4199999999999999E-5</v>
      </c>
      <c r="BM242" s="17">
        <f t="shared" si="145"/>
        <v>0</v>
      </c>
      <c r="BN242" s="178">
        <v>233</v>
      </c>
      <c r="BO242" s="87">
        <f t="shared" si="146"/>
        <v>1.7799999999999999E-5</v>
      </c>
      <c r="BP242" s="215">
        <f t="shared" si="136"/>
        <v>0</v>
      </c>
      <c r="BR242" s="126"/>
      <c r="BS242" s="126"/>
      <c r="BU242" s="178"/>
      <c r="BV242" s="179" t="str">
        <f t="shared" si="147"/>
        <v/>
      </c>
      <c r="BW242" s="179" t="str">
        <f t="shared" si="148"/>
        <v/>
      </c>
      <c r="BX242" s="179" t="str">
        <f t="shared" si="149"/>
        <v/>
      </c>
      <c r="BY242" s="179" t="str">
        <f t="shared" si="150"/>
        <v/>
      </c>
      <c r="BZ242" s="179" t="str">
        <f t="shared" si="151"/>
        <v/>
      </c>
      <c r="CA242" s="179" t="str">
        <f t="shared" si="152"/>
        <v/>
      </c>
      <c r="CB242" s="179" t="str">
        <f t="shared" si="153"/>
        <v/>
      </c>
      <c r="CC242" s="179" t="str">
        <f t="shared" si="154"/>
        <v/>
      </c>
      <c r="CD242" s="179" t="str">
        <f t="shared" si="155"/>
        <v/>
      </c>
      <c r="CE242" s="179" t="str">
        <f t="shared" si="156"/>
        <v/>
      </c>
      <c r="CF242" s="179" t="str">
        <f t="shared" si="157"/>
        <v/>
      </c>
      <c r="CG242" s="179" t="str">
        <f t="shared" si="158"/>
        <v/>
      </c>
      <c r="CH242" s="166"/>
      <c r="CI242" s="166"/>
      <c r="CJ242" s="166"/>
      <c r="CK242" s="166" t="s">
        <v>150</v>
      </c>
      <c r="CL242" s="166"/>
    </row>
    <row r="243" spans="1:90" ht="14.25" customHeight="1" thickBot="1" x14ac:dyDescent="0.3">
      <c r="A243" s="211">
        <v>233</v>
      </c>
      <c r="B243" s="88"/>
      <c r="C243" s="201"/>
      <c r="D243" s="94"/>
      <c r="E243" s="321" t="s">
        <v>93</v>
      </c>
      <c r="F243" s="96"/>
      <c r="G243" s="100"/>
      <c r="H243" s="100"/>
      <c r="I243" s="100"/>
      <c r="J243" s="100"/>
      <c r="K243" s="100"/>
      <c r="L243" s="100"/>
      <c r="M243" s="210"/>
      <c r="N243" s="234">
        <f t="shared" si="159"/>
        <v>0</v>
      </c>
      <c r="O243" s="308"/>
      <c r="P243" s="343"/>
      <c r="Q243" s="309"/>
      <c r="R243" s="324" t="s">
        <v>67</v>
      </c>
      <c r="S243" s="96"/>
      <c r="T243" s="100"/>
      <c r="U243" s="100"/>
      <c r="V243" s="100"/>
      <c r="W243" s="100"/>
      <c r="X243" s="100"/>
      <c r="Y243" s="97"/>
      <c r="Z243" s="210"/>
      <c r="AA243" s="234">
        <f t="shared" si="160"/>
        <v>0</v>
      </c>
      <c r="AB243" s="314">
        <f t="shared" si="137"/>
        <v>0</v>
      </c>
      <c r="AC243" s="314"/>
      <c r="AD243" s="314">
        <f t="shared" si="138"/>
        <v>0</v>
      </c>
      <c r="AE243" s="324" t="s">
        <v>87</v>
      </c>
      <c r="AF243" s="82"/>
      <c r="AG243" s="337"/>
      <c r="AH243" s="337"/>
      <c r="AI243" s="337"/>
      <c r="AJ243" s="337"/>
      <c r="AK243" s="337"/>
      <c r="AL243" s="338"/>
      <c r="AM243" s="354"/>
      <c r="AN243" s="91">
        <f t="shared" si="161"/>
        <v>0</v>
      </c>
      <c r="AO243" s="96">
        <f t="shared" si="139"/>
        <v>0</v>
      </c>
      <c r="AP243" s="210"/>
      <c r="AQ243" s="97">
        <f t="shared" si="140"/>
        <v>0</v>
      </c>
      <c r="AR243" s="105"/>
      <c r="AS243" s="102"/>
      <c r="AT243" s="237"/>
      <c r="AU243" s="231"/>
      <c r="AV243" s="93"/>
      <c r="AW243" s="231"/>
      <c r="AX243" s="93"/>
      <c r="AY243" s="231"/>
      <c r="AZ243" s="93"/>
      <c r="BA243" s="17">
        <f t="shared" si="131"/>
        <v>2.4299999999999998E-5</v>
      </c>
      <c r="BB243" s="17">
        <f t="shared" si="132"/>
        <v>0</v>
      </c>
      <c r="BC243" s="17"/>
      <c r="BD243" s="178">
        <v>234</v>
      </c>
      <c r="BE243" s="214">
        <f t="shared" si="141"/>
        <v>1.9400000000000001E-5</v>
      </c>
      <c r="BF243" s="178">
        <f t="shared" si="133"/>
        <v>0</v>
      </c>
      <c r="BG243" s="245">
        <f t="shared" si="134"/>
        <v>2.4299999999999998E-5</v>
      </c>
      <c r="BH243" s="17">
        <f t="shared" si="142"/>
        <v>0</v>
      </c>
      <c r="BI243" s="178">
        <v>234</v>
      </c>
      <c r="BJ243" s="87">
        <f t="shared" si="143"/>
        <v>1.77E-5</v>
      </c>
      <c r="BK243" s="215">
        <f t="shared" si="135"/>
        <v>0</v>
      </c>
      <c r="BL243" s="245">
        <f t="shared" si="144"/>
        <v>2.4299999999999998E-5</v>
      </c>
      <c r="BM243" s="17">
        <f t="shared" si="145"/>
        <v>0</v>
      </c>
      <c r="BN243" s="178">
        <v>234</v>
      </c>
      <c r="BO243" s="87">
        <f t="shared" si="146"/>
        <v>1.77E-5</v>
      </c>
      <c r="BP243" s="215">
        <f t="shared" si="136"/>
        <v>0</v>
      </c>
      <c r="BR243" s="126"/>
      <c r="BS243" s="126"/>
      <c r="BU243" s="178"/>
      <c r="BV243" s="179" t="str">
        <f t="shared" si="147"/>
        <v/>
      </c>
      <c r="BW243" s="179" t="str">
        <f t="shared" si="148"/>
        <v/>
      </c>
      <c r="BX243" s="179" t="str">
        <f t="shared" si="149"/>
        <v/>
      </c>
      <c r="BY243" s="179" t="str">
        <f t="shared" si="150"/>
        <v/>
      </c>
      <c r="BZ243" s="179" t="str">
        <f t="shared" si="151"/>
        <v/>
      </c>
      <c r="CA243" s="179" t="str">
        <f t="shared" si="152"/>
        <v/>
      </c>
      <c r="CB243" s="179" t="str">
        <f t="shared" si="153"/>
        <v/>
      </c>
      <c r="CC243" s="179" t="str">
        <f t="shared" si="154"/>
        <v/>
      </c>
      <c r="CD243" s="179" t="str">
        <f t="shared" si="155"/>
        <v/>
      </c>
      <c r="CE243" s="179" t="str">
        <f t="shared" si="156"/>
        <v/>
      </c>
      <c r="CF243" s="179" t="str">
        <f t="shared" si="157"/>
        <v/>
      </c>
      <c r="CG243" s="179" t="str">
        <f t="shared" si="158"/>
        <v/>
      </c>
      <c r="CH243" s="166"/>
      <c r="CI243" s="166"/>
      <c r="CJ243" s="166"/>
      <c r="CK243" s="166" t="s">
        <v>150</v>
      </c>
      <c r="CL243" s="166"/>
    </row>
    <row r="244" spans="1:90" ht="14.25" customHeight="1" thickBot="1" x14ac:dyDescent="0.3">
      <c r="A244" s="213">
        <v>234</v>
      </c>
      <c r="B244" s="89"/>
      <c r="C244" s="199"/>
      <c r="D244" s="146"/>
      <c r="E244" s="319" t="s">
        <v>93</v>
      </c>
      <c r="F244" s="221"/>
      <c r="G244" s="222"/>
      <c r="H244" s="222"/>
      <c r="I244" s="222"/>
      <c r="J244" s="222"/>
      <c r="K244" s="222"/>
      <c r="L244" s="222"/>
      <c r="M244" s="331"/>
      <c r="N244" s="303">
        <f t="shared" si="159"/>
        <v>0</v>
      </c>
      <c r="O244" s="304"/>
      <c r="P244" s="341"/>
      <c r="Q244" s="305"/>
      <c r="R244" s="322" t="s">
        <v>67</v>
      </c>
      <c r="S244" s="326"/>
      <c r="T244" s="327"/>
      <c r="U244" s="327"/>
      <c r="V244" s="327"/>
      <c r="W244" s="327"/>
      <c r="X244" s="327"/>
      <c r="Y244" s="95"/>
      <c r="Z244" s="331"/>
      <c r="AA244" s="303">
        <f t="shared" si="160"/>
        <v>0</v>
      </c>
      <c r="AB244" s="314">
        <f t="shared" si="137"/>
        <v>0</v>
      </c>
      <c r="AC244" s="314"/>
      <c r="AD244" s="314">
        <f t="shared" si="138"/>
        <v>0</v>
      </c>
      <c r="AE244" s="325" t="s">
        <v>148</v>
      </c>
      <c r="AF244" s="15"/>
      <c r="AG244" s="232"/>
      <c r="AH244" s="232"/>
      <c r="AI244" s="232"/>
      <c r="AJ244" s="232"/>
      <c r="AK244" s="232"/>
      <c r="AL244" s="7"/>
      <c r="AM244" s="352"/>
      <c r="AN244" s="22">
        <f t="shared" si="161"/>
        <v>0</v>
      </c>
      <c r="AO244" s="15">
        <f t="shared" si="139"/>
        <v>0</v>
      </c>
      <c r="AP244" s="345"/>
      <c r="AQ244" s="7">
        <f t="shared" si="140"/>
        <v>0</v>
      </c>
      <c r="AR244" s="103"/>
      <c r="AS244" s="101"/>
      <c r="AT244" s="236"/>
      <c r="AU244" s="235"/>
      <c r="AV244" s="92"/>
      <c r="AW244" s="235"/>
      <c r="AX244" s="92"/>
      <c r="AY244" s="235"/>
      <c r="AZ244" s="92"/>
      <c r="BA244" s="17">
        <f t="shared" si="131"/>
        <v>2.44E-5</v>
      </c>
      <c r="BB244" s="17">
        <f t="shared" si="132"/>
        <v>0</v>
      </c>
      <c r="BC244" s="17"/>
      <c r="BD244" s="178">
        <v>235</v>
      </c>
      <c r="BE244" s="214">
        <f t="shared" si="141"/>
        <v>1.9299999999999998E-5</v>
      </c>
      <c r="BF244" s="178">
        <f t="shared" si="133"/>
        <v>0</v>
      </c>
      <c r="BG244" s="245">
        <f t="shared" si="134"/>
        <v>2.44E-5</v>
      </c>
      <c r="BH244" s="17">
        <f t="shared" si="142"/>
        <v>0</v>
      </c>
      <c r="BI244" s="178">
        <v>235</v>
      </c>
      <c r="BJ244" s="87">
        <f t="shared" si="143"/>
        <v>1.7600000000000001E-5</v>
      </c>
      <c r="BK244" s="215">
        <f t="shared" si="135"/>
        <v>0</v>
      </c>
      <c r="BL244" s="245">
        <f t="shared" si="144"/>
        <v>2.44E-5</v>
      </c>
      <c r="BM244" s="17">
        <f t="shared" si="145"/>
        <v>0</v>
      </c>
      <c r="BN244" s="178">
        <v>235</v>
      </c>
      <c r="BO244" s="87">
        <f t="shared" si="146"/>
        <v>1.7600000000000001E-5</v>
      </c>
      <c r="BP244" s="215">
        <f t="shared" si="136"/>
        <v>0</v>
      </c>
      <c r="BR244" s="126"/>
      <c r="BS244" s="126"/>
      <c r="BU244" s="178"/>
      <c r="BV244" s="179" t="str">
        <f t="shared" si="147"/>
        <v/>
      </c>
      <c r="BW244" s="179" t="str">
        <f t="shared" si="148"/>
        <v/>
      </c>
      <c r="BX244" s="179" t="str">
        <f t="shared" si="149"/>
        <v/>
      </c>
      <c r="BY244" s="179" t="str">
        <f t="shared" si="150"/>
        <v/>
      </c>
      <c r="BZ244" s="179" t="str">
        <f t="shared" si="151"/>
        <v/>
      </c>
      <c r="CA244" s="179" t="str">
        <f t="shared" si="152"/>
        <v/>
      </c>
      <c r="CB244" s="179" t="str">
        <f t="shared" si="153"/>
        <v/>
      </c>
      <c r="CC244" s="179" t="str">
        <f t="shared" si="154"/>
        <v/>
      </c>
      <c r="CD244" s="179" t="str">
        <f t="shared" si="155"/>
        <v/>
      </c>
      <c r="CE244" s="179" t="str">
        <f t="shared" si="156"/>
        <v/>
      </c>
      <c r="CF244" s="179" t="str">
        <f t="shared" si="157"/>
        <v/>
      </c>
      <c r="CG244" s="179" t="str">
        <f t="shared" si="158"/>
        <v/>
      </c>
      <c r="CH244" s="166"/>
      <c r="CI244" s="166"/>
      <c r="CJ244" s="166"/>
      <c r="CK244" s="166" t="s">
        <v>150</v>
      </c>
      <c r="CL244" s="166"/>
    </row>
    <row r="245" spans="1:90" ht="14.25" customHeight="1" x14ac:dyDescent="0.25">
      <c r="A245" s="211">
        <v>235</v>
      </c>
      <c r="B245" s="219"/>
      <c r="C245" s="200"/>
      <c r="D245" s="145"/>
      <c r="E245" s="320" t="s">
        <v>93</v>
      </c>
      <c r="F245" s="209"/>
      <c r="G245" s="313"/>
      <c r="H245" s="313"/>
      <c r="I245" s="313"/>
      <c r="J245" s="313"/>
      <c r="K245" s="313"/>
      <c r="L245" s="313"/>
      <c r="M245" s="339"/>
      <c r="N245" s="233">
        <f t="shared" si="159"/>
        <v>0</v>
      </c>
      <c r="O245" s="306"/>
      <c r="P245" s="342"/>
      <c r="Q245" s="307"/>
      <c r="R245" s="323" t="s">
        <v>67</v>
      </c>
      <c r="S245" s="209"/>
      <c r="T245" s="313"/>
      <c r="U245" s="313"/>
      <c r="V245" s="313"/>
      <c r="W245" s="313"/>
      <c r="X245" s="313"/>
      <c r="Y245" s="125"/>
      <c r="Z245" s="339"/>
      <c r="AA245" s="233">
        <f t="shared" si="160"/>
        <v>0</v>
      </c>
      <c r="AB245" s="314">
        <f t="shared" si="137"/>
        <v>0</v>
      </c>
      <c r="AC245" s="314"/>
      <c r="AD245" s="314">
        <f t="shared" si="138"/>
        <v>0</v>
      </c>
      <c r="AE245" s="323" t="s">
        <v>87</v>
      </c>
      <c r="AF245" s="81"/>
      <c r="AG245" s="335"/>
      <c r="AH245" s="335"/>
      <c r="AI245" s="335"/>
      <c r="AJ245" s="335"/>
      <c r="AK245" s="335"/>
      <c r="AL245" s="336"/>
      <c r="AM245" s="353"/>
      <c r="AN245" s="22">
        <f t="shared" si="161"/>
        <v>0</v>
      </c>
      <c r="AO245" s="209">
        <f t="shared" si="139"/>
        <v>0</v>
      </c>
      <c r="AP245" s="339"/>
      <c r="AQ245" s="125">
        <f t="shared" si="140"/>
        <v>0</v>
      </c>
      <c r="AR245" s="104"/>
      <c r="AS245" s="217"/>
      <c r="AT245" s="216"/>
      <c r="AU245" s="230"/>
      <c r="AV245" s="220"/>
      <c r="AW245" s="230"/>
      <c r="AX245" s="220"/>
      <c r="AY245" s="230"/>
      <c r="AZ245" s="220"/>
      <c r="BA245" s="17">
        <f t="shared" si="131"/>
        <v>2.4499999999999999E-5</v>
      </c>
      <c r="BB245" s="17">
        <f t="shared" si="132"/>
        <v>0</v>
      </c>
      <c r="BC245" s="17"/>
      <c r="BD245" s="178">
        <v>236</v>
      </c>
      <c r="BE245" s="214">
        <f t="shared" si="141"/>
        <v>1.9199999999999999E-5</v>
      </c>
      <c r="BF245" s="178">
        <f t="shared" si="133"/>
        <v>0</v>
      </c>
      <c r="BG245" s="245">
        <f t="shared" si="134"/>
        <v>2.4499999999999999E-5</v>
      </c>
      <c r="BH245" s="17">
        <f t="shared" si="142"/>
        <v>0</v>
      </c>
      <c r="BI245" s="178">
        <v>236</v>
      </c>
      <c r="BJ245" s="87">
        <f t="shared" si="143"/>
        <v>1.7499999999999998E-5</v>
      </c>
      <c r="BK245" s="215">
        <f t="shared" si="135"/>
        <v>0</v>
      </c>
      <c r="BL245" s="245">
        <f t="shared" si="144"/>
        <v>2.4499999999999999E-5</v>
      </c>
      <c r="BM245" s="17">
        <f t="shared" si="145"/>
        <v>0</v>
      </c>
      <c r="BN245" s="178">
        <v>236</v>
      </c>
      <c r="BO245" s="87">
        <f t="shared" si="146"/>
        <v>1.7499999999999998E-5</v>
      </c>
      <c r="BP245" s="215">
        <f t="shared" si="136"/>
        <v>0</v>
      </c>
      <c r="BR245" s="126"/>
      <c r="BS245" s="126"/>
      <c r="BU245" s="178"/>
      <c r="BV245" s="179" t="str">
        <f t="shared" si="147"/>
        <v/>
      </c>
      <c r="BW245" s="179" t="str">
        <f t="shared" si="148"/>
        <v/>
      </c>
      <c r="BX245" s="179" t="str">
        <f t="shared" si="149"/>
        <v/>
      </c>
      <c r="BY245" s="179" t="str">
        <f t="shared" si="150"/>
        <v/>
      </c>
      <c r="BZ245" s="179" t="str">
        <f t="shared" si="151"/>
        <v/>
      </c>
      <c r="CA245" s="179" t="str">
        <f t="shared" si="152"/>
        <v/>
      </c>
      <c r="CB245" s="179" t="str">
        <f t="shared" si="153"/>
        <v/>
      </c>
      <c r="CC245" s="179" t="str">
        <f t="shared" si="154"/>
        <v/>
      </c>
      <c r="CD245" s="179" t="str">
        <f t="shared" si="155"/>
        <v/>
      </c>
      <c r="CE245" s="179" t="str">
        <f t="shared" si="156"/>
        <v/>
      </c>
      <c r="CF245" s="179" t="str">
        <f t="shared" si="157"/>
        <v/>
      </c>
      <c r="CG245" s="179" t="str">
        <f t="shared" si="158"/>
        <v/>
      </c>
      <c r="CH245" s="166"/>
      <c r="CI245" s="166"/>
      <c r="CJ245" s="166"/>
      <c r="CK245" s="166" t="s">
        <v>150</v>
      </c>
      <c r="CL245" s="166"/>
    </row>
    <row r="246" spans="1:90" ht="14.25" customHeight="1" thickBot="1" x14ac:dyDescent="0.3">
      <c r="A246" s="213">
        <v>236</v>
      </c>
      <c r="B246" s="88"/>
      <c r="C246" s="201"/>
      <c r="D246" s="94"/>
      <c r="E246" s="321" t="s">
        <v>93</v>
      </c>
      <c r="F246" s="96"/>
      <c r="G246" s="100"/>
      <c r="H246" s="100"/>
      <c r="I246" s="100"/>
      <c r="J246" s="100"/>
      <c r="K246" s="100"/>
      <c r="L246" s="100"/>
      <c r="M246" s="210"/>
      <c r="N246" s="234">
        <f t="shared" si="159"/>
        <v>0</v>
      </c>
      <c r="O246" s="308"/>
      <c r="P246" s="343"/>
      <c r="Q246" s="309"/>
      <c r="R246" s="324" t="s">
        <v>67</v>
      </c>
      <c r="S246" s="96"/>
      <c r="T246" s="100"/>
      <c r="U246" s="100"/>
      <c r="V246" s="100"/>
      <c r="W246" s="100"/>
      <c r="X246" s="100"/>
      <c r="Y246" s="97"/>
      <c r="Z246" s="210"/>
      <c r="AA246" s="234">
        <f t="shared" si="160"/>
        <v>0</v>
      </c>
      <c r="AB246" s="314">
        <f t="shared" si="137"/>
        <v>0</v>
      </c>
      <c r="AC246" s="314"/>
      <c r="AD246" s="314">
        <f t="shared" si="138"/>
        <v>0</v>
      </c>
      <c r="AE246" s="324" t="s">
        <v>87</v>
      </c>
      <c r="AF246" s="82"/>
      <c r="AG246" s="337"/>
      <c r="AH246" s="337"/>
      <c r="AI246" s="337"/>
      <c r="AJ246" s="337"/>
      <c r="AK246" s="337"/>
      <c r="AL246" s="338"/>
      <c r="AM246" s="354"/>
      <c r="AN246" s="91">
        <f t="shared" si="161"/>
        <v>0</v>
      </c>
      <c r="AO246" s="96">
        <f t="shared" si="139"/>
        <v>0</v>
      </c>
      <c r="AP246" s="210"/>
      <c r="AQ246" s="97">
        <f t="shared" si="140"/>
        <v>0</v>
      </c>
      <c r="AR246" s="105"/>
      <c r="AS246" s="102"/>
      <c r="AT246" s="237"/>
      <c r="AU246" s="231"/>
      <c r="AV246" s="93"/>
      <c r="AW246" s="231"/>
      <c r="AX246" s="93"/>
      <c r="AY246" s="231"/>
      <c r="AZ246" s="93"/>
      <c r="BA246" s="17">
        <f t="shared" si="131"/>
        <v>2.4599999999999998E-5</v>
      </c>
      <c r="BB246" s="17">
        <f t="shared" si="132"/>
        <v>0</v>
      </c>
      <c r="BC246" s="17"/>
      <c r="BD246" s="178">
        <v>237</v>
      </c>
      <c r="BE246" s="214">
        <f t="shared" si="141"/>
        <v>1.91E-5</v>
      </c>
      <c r="BF246" s="178">
        <f t="shared" si="133"/>
        <v>0</v>
      </c>
      <c r="BG246" s="245">
        <f t="shared" si="134"/>
        <v>2.4599999999999998E-5</v>
      </c>
      <c r="BH246" s="17">
        <f t="shared" si="142"/>
        <v>0</v>
      </c>
      <c r="BI246" s="178">
        <v>237</v>
      </c>
      <c r="BJ246" s="87">
        <f t="shared" si="143"/>
        <v>1.7399999999999999E-5</v>
      </c>
      <c r="BK246" s="215">
        <f t="shared" si="135"/>
        <v>0</v>
      </c>
      <c r="BL246" s="245">
        <f t="shared" si="144"/>
        <v>2.4599999999999998E-5</v>
      </c>
      <c r="BM246" s="17">
        <f t="shared" si="145"/>
        <v>0</v>
      </c>
      <c r="BN246" s="178">
        <v>237</v>
      </c>
      <c r="BO246" s="87">
        <f t="shared" si="146"/>
        <v>1.7399999999999999E-5</v>
      </c>
      <c r="BP246" s="215">
        <f t="shared" si="136"/>
        <v>0</v>
      </c>
      <c r="BR246" s="126"/>
      <c r="BS246" s="126"/>
      <c r="BU246" s="178"/>
      <c r="BV246" s="179" t="str">
        <f t="shared" si="147"/>
        <v/>
      </c>
      <c r="BW246" s="179" t="str">
        <f t="shared" si="148"/>
        <v/>
      </c>
      <c r="BX246" s="179" t="str">
        <f t="shared" si="149"/>
        <v/>
      </c>
      <c r="BY246" s="179" t="str">
        <f t="shared" si="150"/>
        <v/>
      </c>
      <c r="BZ246" s="179" t="str">
        <f t="shared" si="151"/>
        <v/>
      </c>
      <c r="CA246" s="179" t="str">
        <f t="shared" si="152"/>
        <v/>
      </c>
      <c r="CB246" s="179" t="str">
        <f t="shared" si="153"/>
        <v/>
      </c>
      <c r="CC246" s="179" t="str">
        <f t="shared" si="154"/>
        <v/>
      </c>
      <c r="CD246" s="179" t="str">
        <f t="shared" si="155"/>
        <v/>
      </c>
      <c r="CE246" s="179" t="str">
        <f t="shared" si="156"/>
        <v/>
      </c>
      <c r="CF246" s="179" t="str">
        <f t="shared" si="157"/>
        <v/>
      </c>
      <c r="CG246" s="179" t="str">
        <f t="shared" si="158"/>
        <v/>
      </c>
      <c r="CH246" s="166"/>
      <c r="CI246" s="166"/>
      <c r="CJ246" s="166"/>
      <c r="CK246" s="166" t="s">
        <v>150</v>
      </c>
      <c r="CL246" s="166"/>
    </row>
    <row r="247" spans="1:90" ht="14.25" customHeight="1" x14ac:dyDescent="0.25">
      <c r="A247" s="211">
        <v>237</v>
      </c>
      <c r="B247" s="89"/>
      <c r="C247" s="199"/>
      <c r="D247" s="146"/>
      <c r="E247" s="319" t="s">
        <v>93</v>
      </c>
      <c r="F247" s="221"/>
      <c r="G247" s="222"/>
      <c r="H247" s="222"/>
      <c r="I247" s="222"/>
      <c r="J247" s="222"/>
      <c r="K247" s="222"/>
      <c r="L247" s="222"/>
      <c r="M247" s="331"/>
      <c r="N247" s="303">
        <f t="shared" si="159"/>
        <v>0</v>
      </c>
      <c r="O247" s="304"/>
      <c r="P247" s="341"/>
      <c r="Q247" s="305"/>
      <c r="R247" s="322" t="s">
        <v>67</v>
      </c>
      <c r="S247" s="326"/>
      <c r="T247" s="327"/>
      <c r="U247" s="327"/>
      <c r="V247" s="327"/>
      <c r="W247" s="327"/>
      <c r="X247" s="327"/>
      <c r="Y247" s="95"/>
      <c r="Z247" s="331"/>
      <c r="AA247" s="303">
        <f t="shared" si="160"/>
        <v>0</v>
      </c>
      <c r="AB247" s="314">
        <f t="shared" si="137"/>
        <v>0</v>
      </c>
      <c r="AC247" s="314"/>
      <c r="AD247" s="314">
        <f t="shared" si="138"/>
        <v>0</v>
      </c>
      <c r="AE247" s="325" t="s">
        <v>148</v>
      </c>
      <c r="AF247" s="15"/>
      <c r="AG247" s="232"/>
      <c r="AH247" s="232"/>
      <c r="AI247" s="232"/>
      <c r="AJ247" s="232"/>
      <c r="AK247" s="232"/>
      <c r="AL247" s="7"/>
      <c r="AM247" s="352"/>
      <c r="AN247" s="22">
        <f t="shared" si="161"/>
        <v>0</v>
      </c>
      <c r="AO247" s="15">
        <f t="shared" si="139"/>
        <v>0</v>
      </c>
      <c r="AP247" s="345"/>
      <c r="AQ247" s="7">
        <f t="shared" si="140"/>
        <v>0</v>
      </c>
      <c r="AR247" s="103"/>
      <c r="AS247" s="101"/>
      <c r="AT247" s="236"/>
      <c r="AU247" s="235"/>
      <c r="AV247" s="92"/>
      <c r="AW247" s="235"/>
      <c r="AX247" s="92"/>
      <c r="AY247" s="235"/>
      <c r="AZ247" s="92"/>
      <c r="BA247" s="17">
        <f t="shared" si="131"/>
        <v>2.4699999999999997E-5</v>
      </c>
      <c r="BB247" s="17">
        <f t="shared" si="132"/>
        <v>0</v>
      </c>
      <c r="BC247" s="17"/>
      <c r="BD247" s="178">
        <v>238</v>
      </c>
      <c r="BE247" s="214">
        <f t="shared" si="141"/>
        <v>1.8999999999999998E-5</v>
      </c>
      <c r="BF247" s="178">
        <f t="shared" si="133"/>
        <v>0</v>
      </c>
      <c r="BG247" s="245">
        <f t="shared" si="134"/>
        <v>2.4699999999999997E-5</v>
      </c>
      <c r="BH247" s="17">
        <f t="shared" si="142"/>
        <v>0</v>
      </c>
      <c r="BI247" s="178">
        <v>238</v>
      </c>
      <c r="BJ247" s="87">
        <f t="shared" si="143"/>
        <v>1.73E-5</v>
      </c>
      <c r="BK247" s="215">
        <f t="shared" si="135"/>
        <v>0</v>
      </c>
      <c r="BL247" s="245">
        <f t="shared" si="144"/>
        <v>2.4699999999999997E-5</v>
      </c>
      <c r="BM247" s="17">
        <f t="shared" si="145"/>
        <v>0</v>
      </c>
      <c r="BN247" s="178">
        <v>238</v>
      </c>
      <c r="BO247" s="87">
        <f t="shared" si="146"/>
        <v>1.73E-5</v>
      </c>
      <c r="BP247" s="215">
        <f t="shared" si="136"/>
        <v>0</v>
      </c>
      <c r="BR247" s="126"/>
      <c r="BS247" s="126"/>
      <c r="BU247" s="178"/>
      <c r="BV247" s="179" t="str">
        <f t="shared" si="147"/>
        <v/>
      </c>
      <c r="BW247" s="179" t="str">
        <f t="shared" si="148"/>
        <v/>
      </c>
      <c r="BX247" s="179" t="str">
        <f t="shared" si="149"/>
        <v/>
      </c>
      <c r="BY247" s="179" t="str">
        <f t="shared" si="150"/>
        <v/>
      </c>
      <c r="BZ247" s="179" t="str">
        <f t="shared" si="151"/>
        <v/>
      </c>
      <c r="CA247" s="179" t="str">
        <f t="shared" si="152"/>
        <v/>
      </c>
      <c r="CB247" s="179" t="str">
        <f t="shared" si="153"/>
        <v/>
      </c>
      <c r="CC247" s="179" t="str">
        <f t="shared" si="154"/>
        <v/>
      </c>
      <c r="CD247" s="179" t="str">
        <f t="shared" si="155"/>
        <v/>
      </c>
      <c r="CE247" s="179" t="str">
        <f t="shared" si="156"/>
        <v/>
      </c>
      <c r="CF247" s="179" t="str">
        <f t="shared" si="157"/>
        <v/>
      </c>
      <c r="CG247" s="179" t="str">
        <f t="shared" si="158"/>
        <v/>
      </c>
      <c r="CH247" s="166"/>
      <c r="CI247" s="166"/>
      <c r="CJ247" s="166"/>
      <c r="CK247" s="166" t="s">
        <v>150</v>
      </c>
      <c r="CL247" s="166"/>
    </row>
    <row r="248" spans="1:90" ht="14.25" customHeight="1" thickBot="1" x14ac:dyDescent="0.3">
      <c r="A248" s="213">
        <v>238</v>
      </c>
      <c r="B248" s="219"/>
      <c r="C248" s="200"/>
      <c r="D248" s="145"/>
      <c r="E248" s="320" t="s">
        <v>93</v>
      </c>
      <c r="F248" s="209"/>
      <c r="G248" s="313"/>
      <c r="H248" s="313"/>
      <c r="I248" s="313"/>
      <c r="J248" s="313"/>
      <c r="K248" s="313"/>
      <c r="L248" s="313"/>
      <c r="M248" s="339"/>
      <c r="N248" s="233">
        <f t="shared" si="159"/>
        <v>0</v>
      </c>
      <c r="O248" s="306"/>
      <c r="P248" s="342"/>
      <c r="Q248" s="307"/>
      <c r="R248" s="323" t="s">
        <v>67</v>
      </c>
      <c r="S248" s="209"/>
      <c r="T248" s="313"/>
      <c r="U248" s="313"/>
      <c r="V248" s="313"/>
      <c r="W248" s="313"/>
      <c r="X248" s="313"/>
      <c r="Y248" s="125"/>
      <c r="Z248" s="339"/>
      <c r="AA248" s="233">
        <f t="shared" si="160"/>
        <v>0</v>
      </c>
      <c r="AB248" s="314">
        <f t="shared" si="137"/>
        <v>0</v>
      </c>
      <c r="AC248" s="314"/>
      <c r="AD248" s="314">
        <f t="shared" si="138"/>
        <v>0</v>
      </c>
      <c r="AE248" s="323" t="s">
        <v>87</v>
      </c>
      <c r="AF248" s="81"/>
      <c r="AG248" s="335"/>
      <c r="AH248" s="335"/>
      <c r="AI248" s="335"/>
      <c r="AJ248" s="335"/>
      <c r="AK248" s="335"/>
      <c r="AL248" s="336"/>
      <c r="AM248" s="353"/>
      <c r="AN248" s="22">
        <f t="shared" si="161"/>
        <v>0</v>
      </c>
      <c r="AO248" s="209">
        <f t="shared" si="139"/>
        <v>0</v>
      </c>
      <c r="AP248" s="339"/>
      <c r="AQ248" s="125">
        <f t="shared" si="140"/>
        <v>0</v>
      </c>
      <c r="AR248" s="104"/>
      <c r="AS248" s="217"/>
      <c r="AT248" s="216"/>
      <c r="AU248" s="230"/>
      <c r="AV248" s="220"/>
      <c r="AW248" s="230"/>
      <c r="AX248" s="220"/>
      <c r="AY248" s="230"/>
      <c r="AZ248" s="220"/>
      <c r="BA248" s="17">
        <f t="shared" si="131"/>
        <v>2.48E-5</v>
      </c>
      <c r="BB248" s="17">
        <f t="shared" si="132"/>
        <v>0</v>
      </c>
      <c r="BC248" s="17"/>
      <c r="BD248" s="178">
        <v>239</v>
      </c>
      <c r="BE248" s="214">
        <f t="shared" si="141"/>
        <v>1.8899999999999999E-5</v>
      </c>
      <c r="BF248" s="178">
        <f t="shared" si="133"/>
        <v>0</v>
      </c>
      <c r="BG248" s="245">
        <f t="shared" si="134"/>
        <v>2.48E-5</v>
      </c>
      <c r="BH248" s="17">
        <f t="shared" si="142"/>
        <v>0</v>
      </c>
      <c r="BI248" s="178">
        <v>239</v>
      </c>
      <c r="BJ248" s="87">
        <f t="shared" si="143"/>
        <v>1.7199999999999998E-5</v>
      </c>
      <c r="BK248" s="215">
        <f t="shared" si="135"/>
        <v>0</v>
      </c>
      <c r="BL248" s="245">
        <f t="shared" si="144"/>
        <v>2.48E-5</v>
      </c>
      <c r="BM248" s="17">
        <f t="shared" si="145"/>
        <v>0</v>
      </c>
      <c r="BN248" s="178">
        <v>239</v>
      </c>
      <c r="BO248" s="87">
        <f t="shared" si="146"/>
        <v>1.7199999999999998E-5</v>
      </c>
      <c r="BP248" s="215">
        <f t="shared" si="136"/>
        <v>0</v>
      </c>
      <c r="BR248" s="126"/>
      <c r="BS248" s="126"/>
      <c r="BU248" s="178"/>
      <c r="BV248" s="179" t="str">
        <f t="shared" si="147"/>
        <v/>
      </c>
      <c r="BW248" s="179" t="str">
        <f t="shared" si="148"/>
        <v/>
      </c>
      <c r="BX248" s="179" t="str">
        <f t="shared" si="149"/>
        <v/>
      </c>
      <c r="BY248" s="179" t="str">
        <f t="shared" si="150"/>
        <v/>
      </c>
      <c r="BZ248" s="179" t="str">
        <f t="shared" si="151"/>
        <v/>
      </c>
      <c r="CA248" s="179" t="str">
        <f t="shared" si="152"/>
        <v/>
      </c>
      <c r="CB248" s="179" t="str">
        <f t="shared" si="153"/>
        <v/>
      </c>
      <c r="CC248" s="179" t="str">
        <f t="shared" si="154"/>
        <v/>
      </c>
      <c r="CD248" s="179" t="str">
        <f t="shared" si="155"/>
        <v/>
      </c>
      <c r="CE248" s="179" t="str">
        <f t="shared" si="156"/>
        <v/>
      </c>
      <c r="CF248" s="179" t="str">
        <f t="shared" si="157"/>
        <v/>
      </c>
      <c r="CG248" s="179" t="str">
        <f t="shared" si="158"/>
        <v/>
      </c>
      <c r="CH248" s="166"/>
      <c r="CI248" s="166"/>
      <c r="CJ248" s="166"/>
      <c r="CK248" s="166" t="s">
        <v>150</v>
      </c>
      <c r="CL248" s="166"/>
    </row>
    <row r="249" spans="1:90" ht="14.25" customHeight="1" thickBot="1" x14ac:dyDescent="0.3">
      <c r="A249" s="211">
        <v>239</v>
      </c>
      <c r="B249" s="88"/>
      <c r="C249" s="201"/>
      <c r="D249" s="94"/>
      <c r="E249" s="321" t="s">
        <v>93</v>
      </c>
      <c r="F249" s="96"/>
      <c r="G249" s="100"/>
      <c r="H249" s="100"/>
      <c r="I249" s="100"/>
      <c r="J249" s="100"/>
      <c r="K249" s="100"/>
      <c r="L249" s="100"/>
      <c r="M249" s="210"/>
      <c r="N249" s="234">
        <f t="shared" si="159"/>
        <v>0</v>
      </c>
      <c r="O249" s="308"/>
      <c r="P249" s="343"/>
      <c r="Q249" s="309"/>
      <c r="R249" s="324" t="s">
        <v>67</v>
      </c>
      <c r="S249" s="96"/>
      <c r="T249" s="100"/>
      <c r="U249" s="100"/>
      <c r="V249" s="100"/>
      <c r="W249" s="100"/>
      <c r="X249" s="100"/>
      <c r="Y249" s="97"/>
      <c r="Z249" s="210"/>
      <c r="AA249" s="234">
        <f t="shared" si="160"/>
        <v>0</v>
      </c>
      <c r="AB249" s="314">
        <f t="shared" si="137"/>
        <v>0</v>
      </c>
      <c r="AC249" s="314"/>
      <c r="AD249" s="314">
        <f t="shared" si="138"/>
        <v>0</v>
      </c>
      <c r="AE249" s="324" t="s">
        <v>87</v>
      </c>
      <c r="AF249" s="82"/>
      <c r="AG249" s="337"/>
      <c r="AH249" s="337"/>
      <c r="AI249" s="337"/>
      <c r="AJ249" s="337"/>
      <c r="AK249" s="337"/>
      <c r="AL249" s="338"/>
      <c r="AM249" s="354"/>
      <c r="AN249" s="91">
        <f t="shared" si="161"/>
        <v>0</v>
      </c>
      <c r="AO249" s="96">
        <f t="shared" si="139"/>
        <v>0</v>
      </c>
      <c r="AP249" s="210"/>
      <c r="AQ249" s="97">
        <f t="shared" si="140"/>
        <v>0</v>
      </c>
      <c r="AR249" s="105"/>
      <c r="AS249" s="102"/>
      <c r="AT249" s="237"/>
      <c r="AU249" s="231"/>
      <c r="AV249" s="93"/>
      <c r="AW249" s="231"/>
      <c r="AX249" s="93"/>
      <c r="AY249" s="231"/>
      <c r="AZ249" s="93"/>
      <c r="BA249" s="17">
        <f t="shared" si="131"/>
        <v>2.4899999999999999E-5</v>
      </c>
      <c r="BB249" s="17">
        <f t="shared" si="132"/>
        <v>0</v>
      </c>
      <c r="BC249" s="17"/>
      <c r="BD249" s="178">
        <v>240</v>
      </c>
      <c r="BE249" s="214">
        <f t="shared" si="141"/>
        <v>1.88E-5</v>
      </c>
      <c r="BF249" s="178">
        <f t="shared" si="133"/>
        <v>0</v>
      </c>
      <c r="BG249" s="245">
        <f t="shared" si="134"/>
        <v>2.4899999999999999E-5</v>
      </c>
      <c r="BH249" s="17">
        <f t="shared" si="142"/>
        <v>0</v>
      </c>
      <c r="BI249" s="178">
        <v>240</v>
      </c>
      <c r="BJ249" s="87">
        <f t="shared" si="143"/>
        <v>1.7099999999999999E-5</v>
      </c>
      <c r="BK249" s="215">
        <f t="shared" si="135"/>
        <v>0</v>
      </c>
      <c r="BL249" s="245">
        <f t="shared" si="144"/>
        <v>2.4899999999999999E-5</v>
      </c>
      <c r="BM249" s="17">
        <f t="shared" si="145"/>
        <v>0</v>
      </c>
      <c r="BN249" s="178">
        <v>240</v>
      </c>
      <c r="BO249" s="87">
        <f t="shared" si="146"/>
        <v>1.7099999999999999E-5</v>
      </c>
      <c r="BP249" s="215">
        <f t="shared" si="136"/>
        <v>0</v>
      </c>
      <c r="BR249" s="126"/>
      <c r="BS249" s="126"/>
      <c r="BU249" s="178"/>
      <c r="BV249" s="179" t="str">
        <f t="shared" si="147"/>
        <v/>
      </c>
      <c r="BW249" s="179" t="str">
        <f t="shared" si="148"/>
        <v/>
      </c>
      <c r="BX249" s="179" t="str">
        <f t="shared" si="149"/>
        <v/>
      </c>
      <c r="BY249" s="179" t="str">
        <f t="shared" si="150"/>
        <v/>
      </c>
      <c r="BZ249" s="179" t="str">
        <f t="shared" si="151"/>
        <v/>
      </c>
      <c r="CA249" s="179" t="str">
        <f t="shared" si="152"/>
        <v/>
      </c>
      <c r="CB249" s="179" t="str">
        <f t="shared" si="153"/>
        <v/>
      </c>
      <c r="CC249" s="179" t="str">
        <f t="shared" si="154"/>
        <v/>
      </c>
      <c r="CD249" s="179" t="str">
        <f t="shared" si="155"/>
        <v/>
      </c>
      <c r="CE249" s="179" t="str">
        <f t="shared" si="156"/>
        <v/>
      </c>
      <c r="CF249" s="179" t="str">
        <f t="shared" si="157"/>
        <v/>
      </c>
      <c r="CG249" s="179" t="str">
        <f t="shared" si="158"/>
        <v/>
      </c>
      <c r="CH249" s="166"/>
      <c r="CI249" s="166"/>
      <c r="CJ249" s="166"/>
      <c r="CK249" s="166" t="s">
        <v>150</v>
      </c>
      <c r="CL249" s="166"/>
    </row>
    <row r="250" spans="1:90" ht="14.25" customHeight="1" thickBot="1" x14ac:dyDescent="0.3">
      <c r="A250" s="213">
        <v>240</v>
      </c>
      <c r="B250" s="89"/>
      <c r="C250" s="199"/>
      <c r="D250" s="146"/>
      <c r="E250" s="319" t="s">
        <v>93</v>
      </c>
      <c r="F250" s="221"/>
      <c r="G250" s="222"/>
      <c r="H250" s="222"/>
      <c r="I250" s="222"/>
      <c r="J250" s="222"/>
      <c r="K250" s="222"/>
      <c r="L250" s="222"/>
      <c r="M250" s="331"/>
      <c r="N250" s="303">
        <f t="shared" si="159"/>
        <v>0</v>
      </c>
      <c r="O250" s="304"/>
      <c r="P250" s="341"/>
      <c r="Q250" s="305"/>
      <c r="R250" s="322" t="s">
        <v>67</v>
      </c>
      <c r="S250" s="326"/>
      <c r="T250" s="327"/>
      <c r="U250" s="327"/>
      <c r="V250" s="327"/>
      <c r="W250" s="327"/>
      <c r="X250" s="327"/>
      <c r="Y250" s="95"/>
      <c r="Z250" s="331"/>
      <c r="AA250" s="303">
        <f t="shared" si="160"/>
        <v>0</v>
      </c>
      <c r="AB250" s="314">
        <f t="shared" si="137"/>
        <v>0</v>
      </c>
      <c r="AC250" s="314"/>
      <c r="AD250" s="314">
        <f t="shared" si="138"/>
        <v>0</v>
      </c>
      <c r="AE250" s="325" t="s">
        <v>148</v>
      </c>
      <c r="AF250" s="15"/>
      <c r="AG250" s="232"/>
      <c r="AH250" s="232"/>
      <c r="AI250" s="232"/>
      <c r="AJ250" s="232"/>
      <c r="AK250" s="232"/>
      <c r="AL250" s="7"/>
      <c r="AM250" s="352"/>
      <c r="AN250" s="22">
        <f t="shared" si="161"/>
        <v>0</v>
      </c>
      <c r="AO250" s="15">
        <f t="shared" si="139"/>
        <v>0</v>
      </c>
      <c r="AP250" s="345"/>
      <c r="AQ250" s="7">
        <f t="shared" si="140"/>
        <v>0</v>
      </c>
      <c r="AR250" s="103"/>
      <c r="AS250" s="101"/>
      <c r="AT250" s="236"/>
      <c r="AU250" s="235"/>
      <c r="AV250" s="92"/>
      <c r="AW250" s="235"/>
      <c r="AX250" s="92"/>
      <c r="AY250" s="235"/>
      <c r="AZ250" s="92"/>
      <c r="BA250" s="17">
        <f t="shared" si="131"/>
        <v>2.4999999999999998E-5</v>
      </c>
      <c r="BB250" s="17">
        <f t="shared" si="132"/>
        <v>0</v>
      </c>
      <c r="BC250" s="17"/>
      <c r="BD250" s="178">
        <v>241</v>
      </c>
      <c r="BE250" s="214">
        <f t="shared" si="141"/>
        <v>1.8700000000000001E-5</v>
      </c>
      <c r="BF250" s="178">
        <f t="shared" si="133"/>
        <v>0</v>
      </c>
      <c r="BG250" s="245">
        <f t="shared" si="134"/>
        <v>2.4999999999999998E-5</v>
      </c>
      <c r="BH250" s="17">
        <f t="shared" si="142"/>
        <v>0</v>
      </c>
      <c r="BI250" s="178">
        <v>241</v>
      </c>
      <c r="BJ250" s="87">
        <f t="shared" si="143"/>
        <v>1.7E-5</v>
      </c>
      <c r="BK250" s="215">
        <f t="shared" si="135"/>
        <v>0</v>
      </c>
      <c r="BL250" s="245">
        <f t="shared" si="144"/>
        <v>2.4999999999999998E-5</v>
      </c>
      <c r="BM250" s="17">
        <f t="shared" si="145"/>
        <v>0</v>
      </c>
      <c r="BN250" s="178">
        <v>241</v>
      </c>
      <c r="BO250" s="87">
        <f t="shared" si="146"/>
        <v>1.7E-5</v>
      </c>
      <c r="BP250" s="215">
        <f t="shared" si="136"/>
        <v>0</v>
      </c>
      <c r="BR250" s="126"/>
      <c r="BS250" s="126"/>
      <c r="BU250" s="178"/>
      <c r="BV250" s="179" t="str">
        <f t="shared" si="147"/>
        <v/>
      </c>
      <c r="BW250" s="179" t="str">
        <f t="shared" si="148"/>
        <v/>
      </c>
      <c r="BX250" s="179" t="str">
        <f t="shared" si="149"/>
        <v/>
      </c>
      <c r="BY250" s="179" t="str">
        <f t="shared" si="150"/>
        <v/>
      </c>
      <c r="BZ250" s="179" t="str">
        <f t="shared" si="151"/>
        <v/>
      </c>
      <c r="CA250" s="179" t="str">
        <f t="shared" si="152"/>
        <v/>
      </c>
      <c r="CB250" s="179" t="str">
        <f t="shared" si="153"/>
        <v/>
      </c>
      <c r="CC250" s="179" t="str">
        <f t="shared" si="154"/>
        <v/>
      </c>
      <c r="CD250" s="179" t="str">
        <f t="shared" si="155"/>
        <v/>
      </c>
      <c r="CE250" s="179" t="str">
        <f t="shared" si="156"/>
        <v/>
      </c>
      <c r="CF250" s="179" t="str">
        <f t="shared" si="157"/>
        <v/>
      </c>
      <c r="CG250" s="179" t="str">
        <f t="shared" si="158"/>
        <v/>
      </c>
      <c r="CH250" s="166"/>
      <c r="CI250" s="166"/>
      <c r="CJ250" s="166"/>
      <c r="CK250" s="166" t="s">
        <v>150</v>
      </c>
      <c r="CL250" s="166"/>
    </row>
    <row r="251" spans="1:90" ht="14.25" customHeight="1" x14ac:dyDescent="0.25">
      <c r="A251" s="211">
        <v>241</v>
      </c>
      <c r="B251" s="219"/>
      <c r="C251" s="200"/>
      <c r="D251" s="145"/>
      <c r="E251" s="320" t="s">
        <v>93</v>
      </c>
      <c r="F251" s="209"/>
      <c r="G251" s="313"/>
      <c r="H251" s="313"/>
      <c r="I251" s="313"/>
      <c r="J251" s="313"/>
      <c r="K251" s="313"/>
      <c r="L251" s="313"/>
      <c r="M251" s="339"/>
      <c r="N251" s="233">
        <f t="shared" si="159"/>
        <v>0</v>
      </c>
      <c r="O251" s="306"/>
      <c r="P251" s="342"/>
      <c r="Q251" s="307"/>
      <c r="R251" s="323" t="s">
        <v>67</v>
      </c>
      <c r="S251" s="209"/>
      <c r="T251" s="313"/>
      <c r="U251" s="313"/>
      <c r="V251" s="313"/>
      <c r="W251" s="313"/>
      <c r="X251" s="313"/>
      <c r="Y251" s="125"/>
      <c r="Z251" s="339"/>
      <c r="AA251" s="233">
        <f t="shared" si="160"/>
        <v>0</v>
      </c>
      <c r="AB251" s="314">
        <f t="shared" si="137"/>
        <v>0</v>
      </c>
      <c r="AC251" s="314"/>
      <c r="AD251" s="314">
        <f t="shared" si="138"/>
        <v>0</v>
      </c>
      <c r="AE251" s="323" t="s">
        <v>87</v>
      </c>
      <c r="AF251" s="81"/>
      <c r="AG251" s="335"/>
      <c r="AH251" s="335"/>
      <c r="AI251" s="335"/>
      <c r="AJ251" s="335"/>
      <c r="AK251" s="335"/>
      <c r="AL251" s="336"/>
      <c r="AM251" s="353"/>
      <c r="AN251" s="22">
        <f t="shared" si="161"/>
        <v>0</v>
      </c>
      <c r="AO251" s="209">
        <f t="shared" si="139"/>
        <v>0</v>
      </c>
      <c r="AP251" s="339"/>
      <c r="AQ251" s="125">
        <f t="shared" si="140"/>
        <v>0</v>
      </c>
      <c r="AR251" s="104"/>
      <c r="AS251" s="217"/>
      <c r="AT251" s="216"/>
      <c r="AU251" s="230"/>
      <c r="AV251" s="220"/>
      <c r="AW251" s="230"/>
      <c r="AX251" s="220"/>
      <c r="AY251" s="230"/>
      <c r="AZ251" s="220"/>
      <c r="BA251" s="17">
        <f t="shared" si="131"/>
        <v>2.51E-5</v>
      </c>
      <c r="BB251" s="17">
        <f t="shared" si="132"/>
        <v>0</v>
      </c>
      <c r="BC251" s="17"/>
      <c r="BD251" s="178">
        <v>242</v>
      </c>
      <c r="BE251" s="214">
        <f t="shared" si="141"/>
        <v>1.8599999999999998E-5</v>
      </c>
      <c r="BF251" s="178">
        <f t="shared" si="133"/>
        <v>0</v>
      </c>
      <c r="BG251" s="245">
        <f t="shared" si="134"/>
        <v>2.51E-5</v>
      </c>
      <c r="BH251" s="17">
        <f t="shared" si="142"/>
        <v>0</v>
      </c>
      <c r="BI251" s="178">
        <v>242</v>
      </c>
      <c r="BJ251" s="87">
        <f t="shared" si="143"/>
        <v>1.6900000000000001E-5</v>
      </c>
      <c r="BK251" s="215">
        <f t="shared" si="135"/>
        <v>0</v>
      </c>
      <c r="BL251" s="245">
        <f t="shared" si="144"/>
        <v>2.51E-5</v>
      </c>
      <c r="BM251" s="17">
        <f t="shared" si="145"/>
        <v>0</v>
      </c>
      <c r="BN251" s="178">
        <v>242</v>
      </c>
      <c r="BO251" s="87">
        <f t="shared" si="146"/>
        <v>1.6900000000000001E-5</v>
      </c>
      <c r="BP251" s="215">
        <f t="shared" si="136"/>
        <v>0</v>
      </c>
      <c r="BR251" s="126"/>
      <c r="BS251" s="126"/>
      <c r="BU251" s="178"/>
      <c r="BV251" s="179" t="str">
        <f t="shared" si="147"/>
        <v/>
      </c>
      <c r="BW251" s="179" t="str">
        <f t="shared" si="148"/>
        <v/>
      </c>
      <c r="BX251" s="179" t="str">
        <f t="shared" si="149"/>
        <v/>
      </c>
      <c r="BY251" s="179" t="str">
        <f t="shared" si="150"/>
        <v/>
      </c>
      <c r="BZ251" s="179" t="str">
        <f t="shared" si="151"/>
        <v/>
      </c>
      <c r="CA251" s="179" t="str">
        <f t="shared" si="152"/>
        <v/>
      </c>
      <c r="CB251" s="179" t="str">
        <f t="shared" si="153"/>
        <v/>
      </c>
      <c r="CC251" s="179" t="str">
        <f t="shared" si="154"/>
        <v/>
      </c>
      <c r="CD251" s="179" t="str">
        <f t="shared" si="155"/>
        <v/>
      </c>
      <c r="CE251" s="179" t="str">
        <f t="shared" si="156"/>
        <v/>
      </c>
      <c r="CF251" s="179" t="str">
        <f t="shared" si="157"/>
        <v/>
      </c>
      <c r="CG251" s="179" t="str">
        <f t="shared" si="158"/>
        <v/>
      </c>
      <c r="CH251" s="166"/>
      <c r="CI251" s="166"/>
      <c r="CJ251" s="166"/>
      <c r="CK251" s="166" t="s">
        <v>150</v>
      </c>
      <c r="CL251" s="166"/>
    </row>
    <row r="252" spans="1:90" ht="14.25" customHeight="1" thickBot="1" x14ac:dyDescent="0.3">
      <c r="A252" s="213">
        <v>242</v>
      </c>
      <c r="B252" s="88"/>
      <c r="C252" s="201"/>
      <c r="D252" s="94"/>
      <c r="E252" s="321" t="s">
        <v>93</v>
      </c>
      <c r="F252" s="96"/>
      <c r="G252" s="100"/>
      <c r="H252" s="100"/>
      <c r="I252" s="100"/>
      <c r="J252" s="100"/>
      <c r="K252" s="100"/>
      <c r="L252" s="100"/>
      <c r="M252" s="210"/>
      <c r="N252" s="234">
        <f t="shared" si="159"/>
        <v>0</v>
      </c>
      <c r="O252" s="308"/>
      <c r="P252" s="343"/>
      <c r="Q252" s="309"/>
      <c r="R252" s="324" t="s">
        <v>67</v>
      </c>
      <c r="S252" s="96"/>
      <c r="T252" s="100"/>
      <c r="U252" s="100"/>
      <c r="V252" s="100"/>
      <c r="W252" s="100"/>
      <c r="X252" s="100"/>
      <c r="Y252" s="97"/>
      <c r="Z252" s="210"/>
      <c r="AA252" s="234">
        <f t="shared" si="160"/>
        <v>0</v>
      </c>
      <c r="AB252" s="314">
        <f t="shared" si="137"/>
        <v>0</v>
      </c>
      <c r="AC252" s="314"/>
      <c r="AD252" s="314">
        <f t="shared" si="138"/>
        <v>0</v>
      </c>
      <c r="AE252" s="324" t="s">
        <v>87</v>
      </c>
      <c r="AF252" s="82"/>
      <c r="AG252" s="337"/>
      <c r="AH252" s="337"/>
      <c r="AI252" s="337"/>
      <c r="AJ252" s="337"/>
      <c r="AK252" s="337"/>
      <c r="AL252" s="338"/>
      <c r="AM252" s="354"/>
      <c r="AN252" s="91">
        <f t="shared" si="161"/>
        <v>0</v>
      </c>
      <c r="AO252" s="96">
        <f t="shared" si="139"/>
        <v>0</v>
      </c>
      <c r="AP252" s="210"/>
      <c r="AQ252" s="97">
        <f t="shared" si="140"/>
        <v>0</v>
      </c>
      <c r="AR252" s="105"/>
      <c r="AS252" s="102"/>
      <c r="AT252" s="237"/>
      <c r="AU252" s="231"/>
      <c r="AV252" s="93"/>
      <c r="AW252" s="231"/>
      <c r="AX252" s="93"/>
      <c r="AY252" s="231"/>
      <c r="AZ252" s="93"/>
      <c r="BA252" s="17">
        <f t="shared" si="131"/>
        <v>2.5199999999999999E-5</v>
      </c>
      <c r="BB252" s="17">
        <f t="shared" si="132"/>
        <v>0</v>
      </c>
      <c r="BC252" s="17"/>
      <c r="BD252" s="178">
        <v>243</v>
      </c>
      <c r="BE252" s="214">
        <f t="shared" si="141"/>
        <v>1.8499999999999999E-5</v>
      </c>
      <c r="BF252" s="178">
        <f t="shared" si="133"/>
        <v>0</v>
      </c>
      <c r="BG252" s="245">
        <f t="shared" si="134"/>
        <v>2.5199999999999999E-5</v>
      </c>
      <c r="BH252" s="17">
        <f t="shared" si="142"/>
        <v>0</v>
      </c>
      <c r="BI252" s="178">
        <v>243</v>
      </c>
      <c r="BJ252" s="87">
        <f t="shared" si="143"/>
        <v>1.6799999999999998E-5</v>
      </c>
      <c r="BK252" s="215">
        <f t="shared" si="135"/>
        <v>0</v>
      </c>
      <c r="BL252" s="245">
        <f t="shared" si="144"/>
        <v>2.5199999999999999E-5</v>
      </c>
      <c r="BM252" s="17">
        <f t="shared" si="145"/>
        <v>0</v>
      </c>
      <c r="BN252" s="178">
        <v>243</v>
      </c>
      <c r="BO252" s="87">
        <f t="shared" si="146"/>
        <v>1.6799999999999998E-5</v>
      </c>
      <c r="BP252" s="215">
        <f t="shared" si="136"/>
        <v>0</v>
      </c>
      <c r="BR252" s="126"/>
      <c r="BS252" s="126"/>
      <c r="BU252" s="178"/>
      <c r="BV252" s="179" t="str">
        <f t="shared" si="147"/>
        <v/>
      </c>
      <c r="BW252" s="179" t="str">
        <f t="shared" si="148"/>
        <v/>
      </c>
      <c r="BX252" s="179" t="str">
        <f t="shared" si="149"/>
        <v/>
      </c>
      <c r="BY252" s="179" t="str">
        <f t="shared" si="150"/>
        <v/>
      </c>
      <c r="BZ252" s="179" t="str">
        <f t="shared" si="151"/>
        <v/>
      </c>
      <c r="CA252" s="179" t="str">
        <f t="shared" si="152"/>
        <v/>
      </c>
      <c r="CB252" s="179" t="str">
        <f t="shared" si="153"/>
        <v/>
      </c>
      <c r="CC252" s="179" t="str">
        <f t="shared" si="154"/>
        <v/>
      </c>
      <c r="CD252" s="179" t="str">
        <f t="shared" si="155"/>
        <v/>
      </c>
      <c r="CE252" s="179" t="str">
        <f t="shared" si="156"/>
        <v/>
      </c>
      <c r="CF252" s="179" t="str">
        <f t="shared" si="157"/>
        <v/>
      </c>
      <c r="CG252" s="179" t="str">
        <f t="shared" si="158"/>
        <v/>
      </c>
      <c r="CH252" s="166"/>
      <c r="CI252" s="166"/>
      <c r="CJ252" s="166"/>
      <c r="CK252" s="166" t="s">
        <v>150</v>
      </c>
      <c r="CL252" s="166"/>
    </row>
    <row r="253" spans="1:90" ht="14.25" customHeight="1" x14ac:dyDescent="0.25">
      <c r="A253" s="211">
        <v>243</v>
      </c>
      <c r="B253" s="89"/>
      <c r="C253" s="199"/>
      <c r="D253" s="146"/>
      <c r="E253" s="319" t="s">
        <v>93</v>
      </c>
      <c r="F253" s="221"/>
      <c r="G253" s="222"/>
      <c r="H253" s="222"/>
      <c r="I253" s="222"/>
      <c r="J253" s="222"/>
      <c r="K253" s="222"/>
      <c r="L253" s="222"/>
      <c r="M253" s="331"/>
      <c r="N253" s="303">
        <f t="shared" si="159"/>
        <v>0</v>
      </c>
      <c r="O253" s="304"/>
      <c r="P253" s="341"/>
      <c r="Q253" s="305"/>
      <c r="R253" s="322" t="s">
        <v>67</v>
      </c>
      <c r="S253" s="326"/>
      <c r="T253" s="327"/>
      <c r="U253" s="327"/>
      <c r="V253" s="327"/>
      <c r="W253" s="327"/>
      <c r="X253" s="327"/>
      <c r="Y253" s="95"/>
      <c r="Z253" s="331"/>
      <c r="AA253" s="303">
        <f t="shared" si="160"/>
        <v>0</v>
      </c>
      <c r="AB253" s="314">
        <f t="shared" si="137"/>
        <v>0</v>
      </c>
      <c r="AC253" s="314"/>
      <c r="AD253" s="314">
        <f t="shared" si="138"/>
        <v>0</v>
      </c>
      <c r="AE253" s="325" t="s">
        <v>148</v>
      </c>
      <c r="AF253" s="15"/>
      <c r="AG253" s="232"/>
      <c r="AH253" s="232"/>
      <c r="AI253" s="232"/>
      <c r="AJ253" s="232"/>
      <c r="AK253" s="232"/>
      <c r="AL253" s="7"/>
      <c r="AM253" s="352"/>
      <c r="AN253" s="22">
        <f t="shared" si="161"/>
        <v>0</v>
      </c>
      <c r="AO253" s="15">
        <f t="shared" si="139"/>
        <v>0</v>
      </c>
      <c r="AP253" s="345"/>
      <c r="AQ253" s="7">
        <f t="shared" si="140"/>
        <v>0</v>
      </c>
      <c r="AR253" s="103"/>
      <c r="AS253" s="101"/>
      <c r="AT253" s="236"/>
      <c r="AU253" s="235"/>
      <c r="AV253" s="92"/>
      <c r="AW253" s="235"/>
      <c r="AX253" s="92"/>
      <c r="AY253" s="235"/>
      <c r="AZ253" s="92"/>
      <c r="BA253" s="17">
        <f t="shared" si="131"/>
        <v>2.5299999999999998E-5</v>
      </c>
      <c r="BB253" s="17">
        <f t="shared" si="132"/>
        <v>0</v>
      </c>
      <c r="BC253" s="17"/>
      <c r="BD253" s="178">
        <v>244</v>
      </c>
      <c r="BE253" s="214">
        <f t="shared" si="141"/>
        <v>1.84E-5</v>
      </c>
      <c r="BF253" s="178">
        <f t="shared" si="133"/>
        <v>0</v>
      </c>
      <c r="BG253" s="245">
        <f t="shared" si="134"/>
        <v>2.5299999999999998E-5</v>
      </c>
      <c r="BH253" s="17">
        <f t="shared" si="142"/>
        <v>0</v>
      </c>
      <c r="BI253" s="178">
        <v>244</v>
      </c>
      <c r="BJ253" s="87">
        <f t="shared" si="143"/>
        <v>1.6699999999999999E-5</v>
      </c>
      <c r="BK253" s="215">
        <f t="shared" si="135"/>
        <v>0</v>
      </c>
      <c r="BL253" s="245">
        <f t="shared" si="144"/>
        <v>2.5299999999999998E-5</v>
      </c>
      <c r="BM253" s="17">
        <f t="shared" si="145"/>
        <v>0</v>
      </c>
      <c r="BN253" s="178">
        <v>244</v>
      </c>
      <c r="BO253" s="87">
        <f t="shared" si="146"/>
        <v>1.6699999999999999E-5</v>
      </c>
      <c r="BP253" s="215">
        <f t="shared" si="136"/>
        <v>0</v>
      </c>
      <c r="BR253" s="126"/>
      <c r="BS253" s="126"/>
      <c r="BU253" s="178"/>
      <c r="BV253" s="179" t="str">
        <f t="shared" si="147"/>
        <v/>
      </c>
      <c r="BW253" s="179" t="str">
        <f t="shared" si="148"/>
        <v/>
      </c>
      <c r="BX253" s="179" t="str">
        <f t="shared" si="149"/>
        <v/>
      </c>
      <c r="BY253" s="179" t="str">
        <f t="shared" si="150"/>
        <v/>
      </c>
      <c r="BZ253" s="179" t="str">
        <f t="shared" si="151"/>
        <v/>
      </c>
      <c r="CA253" s="179" t="str">
        <f t="shared" si="152"/>
        <v/>
      </c>
      <c r="CB253" s="179" t="str">
        <f t="shared" si="153"/>
        <v/>
      </c>
      <c r="CC253" s="179" t="str">
        <f t="shared" si="154"/>
        <v/>
      </c>
      <c r="CD253" s="179" t="str">
        <f t="shared" si="155"/>
        <v/>
      </c>
      <c r="CE253" s="179" t="str">
        <f t="shared" si="156"/>
        <v/>
      </c>
      <c r="CF253" s="179" t="str">
        <f t="shared" si="157"/>
        <v/>
      </c>
      <c r="CG253" s="179" t="str">
        <f t="shared" si="158"/>
        <v/>
      </c>
      <c r="CH253" s="166"/>
      <c r="CI253" s="166"/>
      <c r="CJ253" s="166"/>
      <c r="CK253" s="166" t="s">
        <v>150</v>
      </c>
      <c r="CL253" s="166"/>
    </row>
    <row r="254" spans="1:90" ht="14.25" customHeight="1" thickBot="1" x14ac:dyDescent="0.3">
      <c r="A254" s="213">
        <v>244</v>
      </c>
      <c r="B254" s="219"/>
      <c r="C254" s="200"/>
      <c r="D254" s="145"/>
      <c r="E254" s="320" t="s">
        <v>93</v>
      </c>
      <c r="F254" s="209"/>
      <c r="G254" s="313"/>
      <c r="H254" s="313"/>
      <c r="I254" s="313"/>
      <c r="J254" s="313"/>
      <c r="K254" s="313"/>
      <c r="L254" s="313"/>
      <c r="M254" s="339"/>
      <c r="N254" s="233">
        <f t="shared" si="159"/>
        <v>0</v>
      </c>
      <c r="O254" s="306"/>
      <c r="P254" s="342"/>
      <c r="Q254" s="307"/>
      <c r="R254" s="323" t="s">
        <v>67</v>
      </c>
      <c r="S254" s="209"/>
      <c r="T254" s="313"/>
      <c r="U254" s="313"/>
      <c r="V254" s="313"/>
      <c r="W254" s="313"/>
      <c r="X254" s="313"/>
      <c r="Y254" s="125"/>
      <c r="Z254" s="339"/>
      <c r="AA254" s="233">
        <f t="shared" si="160"/>
        <v>0</v>
      </c>
      <c r="AB254" s="314">
        <f t="shared" si="137"/>
        <v>0</v>
      </c>
      <c r="AC254" s="314"/>
      <c r="AD254" s="314">
        <f t="shared" si="138"/>
        <v>0</v>
      </c>
      <c r="AE254" s="323" t="s">
        <v>87</v>
      </c>
      <c r="AF254" s="81"/>
      <c r="AG254" s="335"/>
      <c r="AH254" s="335"/>
      <c r="AI254" s="335"/>
      <c r="AJ254" s="335"/>
      <c r="AK254" s="335"/>
      <c r="AL254" s="336"/>
      <c r="AM254" s="353"/>
      <c r="AN254" s="22">
        <f t="shared" si="161"/>
        <v>0</v>
      </c>
      <c r="AO254" s="209">
        <f t="shared" si="139"/>
        <v>0</v>
      </c>
      <c r="AP254" s="339"/>
      <c r="AQ254" s="125">
        <f t="shared" si="140"/>
        <v>0</v>
      </c>
      <c r="AR254" s="104"/>
      <c r="AS254" s="217"/>
      <c r="AT254" s="216"/>
      <c r="AU254" s="230"/>
      <c r="AV254" s="220"/>
      <c r="AW254" s="230"/>
      <c r="AX254" s="220"/>
      <c r="AY254" s="230"/>
      <c r="AZ254" s="220"/>
      <c r="BA254" s="17">
        <f t="shared" si="131"/>
        <v>2.5399999999999997E-5</v>
      </c>
      <c r="BB254" s="17">
        <f t="shared" si="132"/>
        <v>0</v>
      </c>
      <c r="BC254" s="17"/>
      <c r="BD254" s="178">
        <v>245</v>
      </c>
      <c r="BE254" s="214">
        <f t="shared" si="141"/>
        <v>1.8299999999999998E-5</v>
      </c>
      <c r="BF254" s="178">
        <f t="shared" si="133"/>
        <v>0</v>
      </c>
      <c r="BG254" s="245">
        <f t="shared" si="134"/>
        <v>2.5399999999999997E-5</v>
      </c>
      <c r="BH254" s="17">
        <f t="shared" si="142"/>
        <v>0</v>
      </c>
      <c r="BI254" s="178">
        <v>245</v>
      </c>
      <c r="BJ254" s="87">
        <f t="shared" si="143"/>
        <v>1.66E-5</v>
      </c>
      <c r="BK254" s="215">
        <f t="shared" si="135"/>
        <v>0</v>
      </c>
      <c r="BL254" s="245">
        <f t="shared" si="144"/>
        <v>2.5399999999999997E-5</v>
      </c>
      <c r="BM254" s="17">
        <f t="shared" si="145"/>
        <v>0</v>
      </c>
      <c r="BN254" s="178">
        <v>245</v>
      </c>
      <c r="BO254" s="87">
        <f t="shared" si="146"/>
        <v>1.66E-5</v>
      </c>
      <c r="BP254" s="215">
        <f t="shared" si="136"/>
        <v>0</v>
      </c>
      <c r="BR254" s="126"/>
      <c r="BS254" s="126"/>
      <c r="BU254" s="178"/>
      <c r="BV254" s="179" t="str">
        <f t="shared" si="147"/>
        <v/>
      </c>
      <c r="BW254" s="179" t="str">
        <f t="shared" si="148"/>
        <v/>
      </c>
      <c r="BX254" s="179" t="str">
        <f t="shared" si="149"/>
        <v/>
      </c>
      <c r="BY254" s="179" t="str">
        <f t="shared" si="150"/>
        <v/>
      </c>
      <c r="BZ254" s="179" t="str">
        <f t="shared" si="151"/>
        <v/>
      </c>
      <c r="CA254" s="179" t="str">
        <f t="shared" si="152"/>
        <v/>
      </c>
      <c r="CB254" s="179" t="str">
        <f t="shared" si="153"/>
        <v/>
      </c>
      <c r="CC254" s="179" t="str">
        <f t="shared" si="154"/>
        <v/>
      </c>
      <c r="CD254" s="179" t="str">
        <f t="shared" si="155"/>
        <v/>
      </c>
      <c r="CE254" s="179" t="str">
        <f t="shared" si="156"/>
        <v/>
      </c>
      <c r="CF254" s="179" t="str">
        <f t="shared" si="157"/>
        <v/>
      </c>
      <c r="CG254" s="179" t="str">
        <f t="shared" si="158"/>
        <v/>
      </c>
      <c r="CH254" s="166"/>
      <c r="CI254" s="166"/>
      <c r="CJ254" s="166"/>
      <c r="CK254" s="166" t="s">
        <v>150</v>
      </c>
      <c r="CL254" s="166"/>
    </row>
    <row r="255" spans="1:90" ht="14.25" customHeight="1" thickBot="1" x14ac:dyDescent="0.3">
      <c r="A255" s="211">
        <v>245</v>
      </c>
      <c r="B255" s="88"/>
      <c r="C255" s="201"/>
      <c r="D255" s="94"/>
      <c r="E255" s="321" t="s">
        <v>93</v>
      </c>
      <c r="F255" s="96"/>
      <c r="G255" s="100"/>
      <c r="H255" s="100"/>
      <c r="I255" s="100"/>
      <c r="J255" s="100"/>
      <c r="K255" s="100"/>
      <c r="L255" s="100"/>
      <c r="M255" s="210"/>
      <c r="N255" s="234">
        <f t="shared" si="159"/>
        <v>0</v>
      </c>
      <c r="O255" s="308"/>
      <c r="P255" s="343"/>
      <c r="Q255" s="309"/>
      <c r="R255" s="324" t="s">
        <v>67</v>
      </c>
      <c r="S255" s="96"/>
      <c r="T255" s="100"/>
      <c r="U255" s="100"/>
      <c r="V255" s="100"/>
      <c r="W255" s="100"/>
      <c r="X255" s="100"/>
      <c r="Y255" s="97"/>
      <c r="Z255" s="210"/>
      <c r="AA255" s="234">
        <f t="shared" si="160"/>
        <v>0</v>
      </c>
      <c r="AB255" s="314">
        <f t="shared" si="137"/>
        <v>0</v>
      </c>
      <c r="AC255" s="314"/>
      <c r="AD255" s="314">
        <f t="shared" si="138"/>
        <v>0</v>
      </c>
      <c r="AE255" s="324" t="s">
        <v>87</v>
      </c>
      <c r="AF255" s="82"/>
      <c r="AG255" s="337"/>
      <c r="AH255" s="337"/>
      <c r="AI255" s="337"/>
      <c r="AJ255" s="337"/>
      <c r="AK255" s="337"/>
      <c r="AL255" s="338"/>
      <c r="AM255" s="354"/>
      <c r="AN255" s="91">
        <f t="shared" si="161"/>
        <v>0</v>
      </c>
      <c r="AO255" s="96">
        <f t="shared" si="139"/>
        <v>0</v>
      </c>
      <c r="AP255" s="210"/>
      <c r="AQ255" s="97">
        <f t="shared" si="140"/>
        <v>0</v>
      </c>
      <c r="AR255" s="105"/>
      <c r="AS255" s="102"/>
      <c r="AT255" s="237"/>
      <c r="AU255" s="231"/>
      <c r="AV255" s="93"/>
      <c r="AW255" s="231"/>
      <c r="AX255" s="93"/>
      <c r="AY255" s="231"/>
      <c r="AZ255" s="93"/>
      <c r="BA255" s="17">
        <f t="shared" si="131"/>
        <v>2.55E-5</v>
      </c>
      <c r="BB255" s="17">
        <f t="shared" si="132"/>
        <v>0</v>
      </c>
      <c r="BC255" s="17"/>
      <c r="BD255" s="178">
        <v>246</v>
      </c>
      <c r="BE255" s="214">
        <f t="shared" si="141"/>
        <v>1.8199999999999999E-5</v>
      </c>
      <c r="BF255" s="178">
        <f t="shared" si="133"/>
        <v>0</v>
      </c>
      <c r="BG255" s="245">
        <f t="shared" si="134"/>
        <v>2.55E-5</v>
      </c>
      <c r="BH255" s="17">
        <f t="shared" si="142"/>
        <v>0</v>
      </c>
      <c r="BI255" s="178">
        <v>246</v>
      </c>
      <c r="BJ255" s="87">
        <f t="shared" si="143"/>
        <v>1.6499999999999998E-5</v>
      </c>
      <c r="BK255" s="215">
        <f t="shared" si="135"/>
        <v>0</v>
      </c>
      <c r="BL255" s="245">
        <f t="shared" si="144"/>
        <v>2.55E-5</v>
      </c>
      <c r="BM255" s="17">
        <f t="shared" si="145"/>
        <v>0</v>
      </c>
      <c r="BN255" s="178">
        <v>246</v>
      </c>
      <c r="BO255" s="87">
        <f t="shared" si="146"/>
        <v>1.6499999999999998E-5</v>
      </c>
      <c r="BP255" s="215">
        <f t="shared" si="136"/>
        <v>0</v>
      </c>
      <c r="BR255" s="126"/>
      <c r="BS255" s="126"/>
      <c r="BU255" s="178"/>
      <c r="BV255" s="179" t="str">
        <f t="shared" si="147"/>
        <v/>
      </c>
      <c r="BW255" s="179" t="str">
        <f t="shared" si="148"/>
        <v/>
      </c>
      <c r="BX255" s="179" t="str">
        <f t="shared" si="149"/>
        <v/>
      </c>
      <c r="BY255" s="179" t="str">
        <f t="shared" si="150"/>
        <v/>
      </c>
      <c r="BZ255" s="179" t="str">
        <f t="shared" si="151"/>
        <v/>
      </c>
      <c r="CA255" s="179" t="str">
        <f t="shared" si="152"/>
        <v/>
      </c>
      <c r="CB255" s="179" t="str">
        <f t="shared" si="153"/>
        <v/>
      </c>
      <c r="CC255" s="179" t="str">
        <f t="shared" si="154"/>
        <v/>
      </c>
      <c r="CD255" s="179" t="str">
        <f t="shared" si="155"/>
        <v/>
      </c>
      <c r="CE255" s="179" t="str">
        <f t="shared" si="156"/>
        <v/>
      </c>
      <c r="CF255" s="179" t="str">
        <f t="shared" si="157"/>
        <v/>
      </c>
      <c r="CG255" s="179" t="str">
        <f t="shared" si="158"/>
        <v/>
      </c>
      <c r="CH255" s="166"/>
      <c r="CI255" s="166"/>
      <c r="CJ255" s="166"/>
      <c r="CK255" s="166" t="s">
        <v>150</v>
      </c>
      <c r="CL255" s="166"/>
    </row>
    <row r="256" spans="1:90" ht="14.25" customHeight="1" thickBot="1" x14ac:dyDescent="0.3">
      <c r="A256" s="213">
        <v>246</v>
      </c>
      <c r="B256" s="89"/>
      <c r="C256" s="199"/>
      <c r="D256" s="146"/>
      <c r="E256" s="319" t="s">
        <v>93</v>
      </c>
      <c r="F256" s="221"/>
      <c r="G256" s="222"/>
      <c r="H256" s="222"/>
      <c r="I256" s="222"/>
      <c r="J256" s="222"/>
      <c r="K256" s="222"/>
      <c r="L256" s="222"/>
      <c r="M256" s="331"/>
      <c r="N256" s="303">
        <f t="shared" si="159"/>
        <v>0</v>
      </c>
      <c r="O256" s="304"/>
      <c r="P256" s="341"/>
      <c r="Q256" s="305"/>
      <c r="R256" s="322" t="s">
        <v>67</v>
      </c>
      <c r="S256" s="326"/>
      <c r="T256" s="327"/>
      <c r="U256" s="327"/>
      <c r="V256" s="327"/>
      <c r="W256" s="327"/>
      <c r="X256" s="327"/>
      <c r="Y256" s="95"/>
      <c r="Z256" s="331"/>
      <c r="AA256" s="303">
        <f t="shared" si="160"/>
        <v>0</v>
      </c>
      <c r="AB256" s="314">
        <f t="shared" si="137"/>
        <v>0</v>
      </c>
      <c r="AC256" s="314"/>
      <c r="AD256" s="314">
        <f t="shared" si="138"/>
        <v>0</v>
      </c>
      <c r="AE256" s="325" t="s">
        <v>148</v>
      </c>
      <c r="AF256" s="15"/>
      <c r="AG256" s="232"/>
      <c r="AH256" s="232"/>
      <c r="AI256" s="232"/>
      <c r="AJ256" s="232"/>
      <c r="AK256" s="232"/>
      <c r="AL256" s="7"/>
      <c r="AM256" s="352"/>
      <c r="AN256" s="22">
        <f t="shared" si="161"/>
        <v>0</v>
      </c>
      <c r="AO256" s="15">
        <f t="shared" si="139"/>
        <v>0</v>
      </c>
      <c r="AP256" s="345"/>
      <c r="AQ256" s="7">
        <f t="shared" si="140"/>
        <v>0</v>
      </c>
      <c r="AR256" s="103"/>
      <c r="AS256" s="101"/>
      <c r="AT256" s="236"/>
      <c r="AU256" s="235"/>
      <c r="AV256" s="92"/>
      <c r="AW256" s="235"/>
      <c r="AX256" s="92"/>
      <c r="AY256" s="235"/>
      <c r="AZ256" s="92"/>
      <c r="BA256" s="17">
        <f t="shared" si="131"/>
        <v>2.5599999999999999E-5</v>
      </c>
      <c r="BB256" s="17">
        <f t="shared" si="132"/>
        <v>0</v>
      </c>
      <c r="BC256" s="17"/>
      <c r="BD256" s="178">
        <v>247</v>
      </c>
      <c r="BE256" s="214">
        <f t="shared" si="141"/>
        <v>1.8099999999999999E-5</v>
      </c>
      <c r="BF256" s="178">
        <f t="shared" si="133"/>
        <v>0</v>
      </c>
      <c r="BG256" s="245">
        <f t="shared" si="134"/>
        <v>2.5599999999999999E-5</v>
      </c>
      <c r="BH256" s="17">
        <f t="shared" si="142"/>
        <v>0</v>
      </c>
      <c r="BI256" s="178">
        <v>247</v>
      </c>
      <c r="BJ256" s="87">
        <f t="shared" si="143"/>
        <v>1.6399999999999999E-5</v>
      </c>
      <c r="BK256" s="215">
        <f t="shared" si="135"/>
        <v>0</v>
      </c>
      <c r="BL256" s="245">
        <f t="shared" si="144"/>
        <v>2.5599999999999999E-5</v>
      </c>
      <c r="BM256" s="17">
        <f t="shared" si="145"/>
        <v>0</v>
      </c>
      <c r="BN256" s="178">
        <v>247</v>
      </c>
      <c r="BO256" s="87">
        <f t="shared" si="146"/>
        <v>1.6399999999999999E-5</v>
      </c>
      <c r="BP256" s="215">
        <f t="shared" si="136"/>
        <v>0</v>
      </c>
      <c r="BR256" s="126"/>
      <c r="BS256" s="126"/>
      <c r="BU256" s="178"/>
      <c r="BV256" s="179" t="str">
        <f t="shared" si="147"/>
        <v/>
      </c>
      <c r="BW256" s="179" t="str">
        <f t="shared" si="148"/>
        <v/>
      </c>
      <c r="BX256" s="179" t="str">
        <f t="shared" si="149"/>
        <v/>
      </c>
      <c r="BY256" s="179" t="str">
        <f t="shared" si="150"/>
        <v/>
      </c>
      <c r="BZ256" s="179" t="str">
        <f t="shared" si="151"/>
        <v/>
      </c>
      <c r="CA256" s="179" t="str">
        <f t="shared" si="152"/>
        <v/>
      </c>
      <c r="CB256" s="179" t="str">
        <f t="shared" si="153"/>
        <v/>
      </c>
      <c r="CC256" s="179" t="str">
        <f t="shared" si="154"/>
        <v/>
      </c>
      <c r="CD256" s="179" t="str">
        <f t="shared" si="155"/>
        <v/>
      </c>
      <c r="CE256" s="179" t="str">
        <f t="shared" si="156"/>
        <v/>
      </c>
      <c r="CF256" s="179" t="str">
        <f t="shared" si="157"/>
        <v/>
      </c>
      <c r="CG256" s="179" t="str">
        <f t="shared" si="158"/>
        <v/>
      </c>
      <c r="CH256" s="166"/>
      <c r="CI256" s="166"/>
      <c r="CJ256" s="166"/>
      <c r="CK256" s="166" t="s">
        <v>150</v>
      </c>
      <c r="CL256" s="166"/>
    </row>
    <row r="257" spans="1:90" ht="14.25" customHeight="1" x14ac:dyDescent="0.25">
      <c r="A257" s="211">
        <v>247</v>
      </c>
      <c r="B257" s="219"/>
      <c r="C257" s="200"/>
      <c r="D257" s="145"/>
      <c r="E257" s="320" t="s">
        <v>93</v>
      </c>
      <c r="F257" s="209"/>
      <c r="G257" s="313"/>
      <c r="H257" s="313"/>
      <c r="I257" s="313"/>
      <c r="J257" s="313"/>
      <c r="K257" s="313"/>
      <c r="L257" s="313"/>
      <c r="M257" s="339"/>
      <c r="N257" s="233">
        <f t="shared" si="159"/>
        <v>0</v>
      </c>
      <c r="O257" s="306"/>
      <c r="P257" s="342"/>
      <c r="Q257" s="307"/>
      <c r="R257" s="323" t="s">
        <v>67</v>
      </c>
      <c r="S257" s="209"/>
      <c r="T257" s="313"/>
      <c r="U257" s="313"/>
      <c r="V257" s="313"/>
      <c r="W257" s="313"/>
      <c r="X257" s="313"/>
      <c r="Y257" s="125"/>
      <c r="Z257" s="339"/>
      <c r="AA257" s="233">
        <f t="shared" si="160"/>
        <v>0</v>
      </c>
      <c r="AB257" s="314">
        <f t="shared" si="137"/>
        <v>0</v>
      </c>
      <c r="AC257" s="314"/>
      <c r="AD257" s="314">
        <f t="shared" si="138"/>
        <v>0</v>
      </c>
      <c r="AE257" s="323" t="s">
        <v>87</v>
      </c>
      <c r="AF257" s="81"/>
      <c r="AG257" s="335"/>
      <c r="AH257" s="335"/>
      <c r="AI257" s="335"/>
      <c r="AJ257" s="335"/>
      <c r="AK257" s="335"/>
      <c r="AL257" s="336"/>
      <c r="AM257" s="353"/>
      <c r="AN257" s="22">
        <f t="shared" si="161"/>
        <v>0</v>
      </c>
      <c r="AO257" s="209">
        <f t="shared" si="139"/>
        <v>0</v>
      </c>
      <c r="AP257" s="339"/>
      <c r="AQ257" s="125">
        <f t="shared" si="140"/>
        <v>0</v>
      </c>
      <c r="AR257" s="104"/>
      <c r="AS257" s="217"/>
      <c r="AT257" s="216"/>
      <c r="AU257" s="230"/>
      <c r="AV257" s="220"/>
      <c r="AW257" s="230"/>
      <c r="AX257" s="220"/>
      <c r="AY257" s="230"/>
      <c r="AZ257" s="220"/>
      <c r="BA257" s="17">
        <f t="shared" si="131"/>
        <v>2.5699999999999998E-5</v>
      </c>
      <c r="BB257" s="17">
        <f t="shared" si="132"/>
        <v>0</v>
      </c>
      <c r="BC257" s="17"/>
      <c r="BD257" s="178">
        <v>248</v>
      </c>
      <c r="BE257" s="214">
        <f t="shared" si="141"/>
        <v>1.8E-5</v>
      </c>
      <c r="BF257" s="178">
        <f t="shared" si="133"/>
        <v>0</v>
      </c>
      <c r="BG257" s="245">
        <f t="shared" si="134"/>
        <v>2.5699999999999998E-5</v>
      </c>
      <c r="BH257" s="17">
        <f t="shared" si="142"/>
        <v>0</v>
      </c>
      <c r="BI257" s="178">
        <v>248</v>
      </c>
      <c r="BJ257" s="87">
        <f t="shared" si="143"/>
        <v>1.63E-5</v>
      </c>
      <c r="BK257" s="215">
        <f t="shared" si="135"/>
        <v>0</v>
      </c>
      <c r="BL257" s="245">
        <f t="shared" si="144"/>
        <v>2.5699999999999998E-5</v>
      </c>
      <c r="BM257" s="17">
        <f t="shared" si="145"/>
        <v>0</v>
      </c>
      <c r="BN257" s="178">
        <v>248</v>
      </c>
      <c r="BO257" s="87">
        <f t="shared" si="146"/>
        <v>1.63E-5</v>
      </c>
      <c r="BP257" s="215">
        <f t="shared" si="136"/>
        <v>0</v>
      </c>
      <c r="BR257" s="126"/>
      <c r="BS257" s="126"/>
      <c r="BU257" s="178"/>
      <c r="BV257" s="179" t="str">
        <f t="shared" si="147"/>
        <v/>
      </c>
      <c r="BW257" s="179" t="str">
        <f t="shared" si="148"/>
        <v/>
      </c>
      <c r="BX257" s="179" t="str">
        <f t="shared" si="149"/>
        <v/>
      </c>
      <c r="BY257" s="179" t="str">
        <f t="shared" si="150"/>
        <v/>
      </c>
      <c r="BZ257" s="179" t="str">
        <f t="shared" si="151"/>
        <v/>
      </c>
      <c r="CA257" s="179" t="str">
        <f t="shared" si="152"/>
        <v/>
      </c>
      <c r="CB257" s="179" t="str">
        <f t="shared" si="153"/>
        <v/>
      </c>
      <c r="CC257" s="179" t="str">
        <f t="shared" si="154"/>
        <v/>
      </c>
      <c r="CD257" s="179" t="str">
        <f t="shared" si="155"/>
        <v/>
      </c>
      <c r="CE257" s="179" t="str">
        <f t="shared" si="156"/>
        <v/>
      </c>
      <c r="CF257" s="179" t="str">
        <f t="shared" si="157"/>
        <v/>
      </c>
      <c r="CG257" s="179" t="str">
        <f t="shared" si="158"/>
        <v/>
      </c>
      <c r="CH257" s="166"/>
      <c r="CI257" s="166"/>
      <c r="CJ257" s="166"/>
      <c r="CK257" s="166" t="s">
        <v>150</v>
      </c>
      <c r="CL257" s="166"/>
    </row>
    <row r="258" spans="1:90" ht="14.25" customHeight="1" thickBot="1" x14ac:dyDescent="0.3">
      <c r="A258" s="213">
        <v>248</v>
      </c>
      <c r="B258" s="88"/>
      <c r="C258" s="201"/>
      <c r="D258" s="94"/>
      <c r="E258" s="321" t="s">
        <v>93</v>
      </c>
      <c r="F258" s="96"/>
      <c r="G258" s="100"/>
      <c r="H258" s="100"/>
      <c r="I258" s="100"/>
      <c r="J258" s="100"/>
      <c r="K258" s="100"/>
      <c r="L258" s="100"/>
      <c r="M258" s="210"/>
      <c r="N258" s="234">
        <f t="shared" si="159"/>
        <v>0</v>
      </c>
      <c r="O258" s="308"/>
      <c r="P258" s="343"/>
      <c r="Q258" s="309"/>
      <c r="R258" s="324" t="s">
        <v>67</v>
      </c>
      <c r="S258" s="96"/>
      <c r="T258" s="100"/>
      <c r="U258" s="100"/>
      <c r="V258" s="100"/>
      <c r="W258" s="100"/>
      <c r="X258" s="100"/>
      <c r="Y258" s="97"/>
      <c r="Z258" s="210"/>
      <c r="AA258" s="234">
        <f t="shared" si="160"/>
        <v>0</v>
      </c>
      <c r="AB258" s="314">
        <f t="shared" si="137"/>
        <v>0</v>
      </c>
      <c r="AC258" s="314"/>
      <c r="AD258" s="314">
        <f t="shared" si="138"/>
        <v>0</v>
      </c>
      <c r="AE258" s="324" t="s">
        <v>87</v>
      </c>
      <c r="AF258" s="82"/>
      <c r="AG258" s="337"/>
      <c r="AH258" s="337"/>
      <c r="AI258" s="337"/>
      <c r="AJ258" s="337"/>
      <c r="AK258" s="337"/>
      <c r="AL258" s="338"/>
      <c r="AM258" s="354"/>
      <c r="AN258" s="91">
        <f t="shared" si="161"/>
        <v>0</v>
      </c>
      <c r="AO258" s="96">
        <f t="shared" si="139"/>
        <v>0</v>
      </c>
      <c r="AP258" s="210"/>
      <c r="AQ258" s="97">
        <f t="shared" si="140"/>
        <v>0</v>
      </c>
      <c r="AR258" s="105"/>
      <c r="AS258" s="102"/>
      <c r="AT258" s="237"/>
      <c r="AU258" s="231"/>
      <c r="AV258" s="93"/>
      <c r="AW258" s="231"/>
      <c r="AX258" s="93"/>
      <c r="AY258" s="231"/>
      <c r="AZ258" s="93"/>
      <c r="BA258" s="17">
        <f t="shared" si="131"/>
        <v>2.58E-5</v>
      </c>
      <c r="BB258" s="17">
        <f t="shared" si="132"/>
        <v>0</v>
      </c>
      <c r="BC258" s="17"/>
      <c r="BD258" s="178">
        <v>249</v>
      </c>
      <c r="BE258" s="214">
        <f t="shared" si="141"/>
        <v>1.7899999999999998E-5</v>
      </c>
      <c r="BF258" s="178">
        <f t="shared" si="133"/>
        <v>0</v>
      </c>
      <c r="BG258" s="245">
        <f t="shared" si="134"/>
        <v>2.58E-5</v>
      </c>
      <c r="BH258" s="17">
        <f t="shared" si="142"/>
        <v>0</v>
      </c>
      <c r="BI258" s="178">
        <v>249</v>
      </c>
      <c r="BJ258" s="87">
        <f t="shared" si="143"/>
        <v>1.6200000000000001E-5</v>
      </c>
      <c r="BK258" s="215">
        <f t="shared" si="135"/>
        <v>0</v>
      </c>
      <c r="BL258" s="245">
        <f t="shared" si="144"/>
        <v>2.58E-5</v>
      </c>
      <c r="BM258" s="17">
        <f t="shared" si="145"/>
        <v>0</v>
      </c>
      <c r="BN258" s="178">
        <v>249</v>
      </c>
      <c r="BO258" s="87">
        <f t="shared" si="146"/>
        <v>1.6200000000000001E-5</v>
      </c>
      <c r="BP258" s="215">
        <f t="shared" si="136"/>
        <v>0</v>
      </c>
      <c r="BR258" s="126"/>
      <c r="BS258" s="126"/>
      <c r="BU258" s="178"/>
      <c r="BV258" s="179" t="str">
        <f t="shared" si="147"/>
        <v/>
      </c>
      <c r="BW258" s="179" t="str">
        <f t="shared" si="148"/>
        <v/>
      </c>
      <c r="BX258" s="179" t="str">
        <f t="shared" si="149"/>
        <v/>
      </c>
      <c r="BY258" s="179" t="str">
        <f t="shared" si="150"/>
        <v/>
      </c>
      <c r="BZ258" s="179" t="str">
        <f t="shared" si="151"/>
        <v/>
      </c>
      <c r="CA258" s="179" t="str">
        <f t="shared" si="152"/>
        <v/>
      </c>
      <c r="CB258" s="179" t="str">
        <f t="shared" si="153"/>
        <v/>
      </c>
      <c r="CC258" s="179" t="str">
        <f t="shared" si="154"/>
        <v/>
      </c>
      <c r="CD258" s="179" t="str">
        <f t="shared" si="155"/>
        <v/>
      </c>
      <c r="CE258" s="179" t="str">
        <f t="shared" si="156"/>
        <v/>
      </c>
      <c r="CF258" s="179" t="str">
        <f t="shared" si="157"/>
        <v/>
      </c>
      <c r="CG258" s="179" t="str">
        <f t="shared" si="158"/>
        <v/>
      </c>
      <c r="CH258" s="166"/>
      <c r="CI258" s="166"/>
      <c r="CJ258" s="166"/>
      <c r="CK258" s="166" t="s">
        <v>150</v>
      </c>
      <c r="CL258" s="166"/>
    </row>
    <row r="259" spans="1:90" ht="14.25" customHeight="1" x14ac:dyDescent="0.25">
      <c r="A259" s="211">
        <v>249</v>
      </c>
      <c r="B259" s="89"/>
      <c r="C259" s="199"/>
      <c r="D259" s="146"/>
      <c r="E259" s="319" t="s">
        <v>93</v>
      </c>
      <c r="F259" s="221"/>
      <c r="G259" s="222"/>
      <c r="H259" s="222"/>
      <c r="I259" s="222"/>
      <c r="J259" s="222"/>
      <c r="K259" s="222"/>
      <c r="L259" s="222"/>
      <c r="M259" s="331"/>
      <c r="N259" s="303">
        <f t="shared" si="159"/>
        <v>0</v>
      </c>
      <c r="O259" s="304"/>
      <c r="P259" s="341"/>
      <c r="Q259" s="305"/>
      <c r="R259" s="322" t="s">
        <v>67</v>
      </c>
      <c r="S259" s="326"/>
      <c r="T259" s="327"/>
      <c r="U259" s="327"/>
      <c r="V259" s="327"/>
      <c r="W259" s="327"/>
      <c r="X259" s="327"/>
      <c r="Y259" s="95"/>
      <c r="Z259" s="331"/>
      <c r="AA259" s="303">
        <f t="shared" si="160"/>
        <v>0</v>
      </c>
      <c r="AB259" s="314">
        <f t="shared" si="137"/>
        <v>0</v>
      </c>
      <c r="AC259" s="314"/>
      <c r="AD259" s="314">
        <f t="shared" si="138"/>
        <v>0</v>
      </c>
      <c r="AE259" s="325" t="s">
        <v>148</v>
      </c>
      <c r="AF259" s="15"/>
      <c r="AG259" s="232"/>
      <c r="AH259" s="232"/>
      <c r="AI259" s="232"/>
      <c r="AJ259" s="232"/>
      <c r="AK259" s="232"/>
      <c r="AL259" s="7"/>
      <c r="AM259" s="352"/>
      <c r="AN259" s="22">
        <f t="shared" si="161"/>
        <v>0</v>
      </c>
      <c r="AO259" s="15">
        <f t="shared" si="139"/>
        <v>0</v>
      </c>
      <c r="AP259" s="345"/>
      <c r="AQ259" s="7">
        <f t="shared" si="140"/>
        <v>0</v>
      </c>
      <c r="AR259" s="103"/>
      <c r="AS259" s="101"/>
      <c r="AT259" s="236"/>
      <c r="AU259" s="235"/>
      <c r="AV259" s="92"/>
      <c r="AW259" s="235"/>
      <c r="AX259" s="92"/>
      <c r="AY259" s="235"/>
      <c r="AZ259" s="92"/>
      <c r="BA259" s="17">
        <f t="shared" si="131"/>
        <v>2.5899999999999999E-5</v>
      </c>
      <c r="BB259" s="17">
        <f t="shared" si="132"/>
        <v>0</v>
      </c>
      <c r="BC259" s="17"/>
      <c r="BD259" s="178">
        <v>250</v>
      </c>
      <c r="BE259" s="214">
        <f t="shared" si="141"/>
        <v>1.7799999999999999E-5</v>
      </c>
      <c r="BF259" s="178">
        <f t="shared" si="133"/>
        <v>0</v>
      </c>
      <c r="BG259" s="245">
        <f t="shared" si="134"/>
        <v>2.5899999999999999E-5</v>
      </c>
      <c r="BH259" s="17">
        <f t="shared" si="142"/>
        <v>0</v>
      </c>
      <c r="BI259" s="178">
        <v>250</v>
      </c>
      <c r="BJ259" s="87">
        <f t="shared" si="143"/>
        <v>1.6099999999999998E-5</v>
      </c>
      <c r="BK259" s="215">
        <f t="shared" si="135"/>
        <v>0</v>
      </c>
      <c r="BL259" s="245">
        <f t="shared" si="144"/>
        <v>2.5899999999999999E-5</v>
      </c>
      <c r="BM259" s="17">
        <f t="shared" si="145"/>
        <v>0</v>
      </c>
      <c r="BN259" s="178">
        <v>250</v>
      </c>
      <c r="BO259" s="87">
        <f t="shared" si="146"/>
        <v>1.6099999999999998E-5</v>
      </c>
      <c r="BP259" s="215">
        <f t="shared" si="136"/>
        <v>0</v>
      </c>
      <c r="BR259" s="126"/>
      <c r="BS259" s="126"/>
      <c r="BU259" s="178"/>
      <c r="BV259" s="179" t="str">
        <f t="shared" si="147"/>
        <v/>
      </c>
      <c r="BW259" s="179" t="str">
        <f t="shared" si="148"/>
        <v/>
      </c>
      <c r="BX259" s="179" t="str">
        <f t="shared" si="149"/>
        <v/>
      </c>
      <c r="BY259" s="179" t="str">
        <f t="shared" si="150"/>
        <v/>
      </c>
      <c r="BZ259" s="179" t="str">
        <f t="shared" si="151"/>
        <v/>
      </c>
      <c r="CA259" s="179" t="str">
        <f t="shared" si="152"/>
        <v/>
      </c>
      <c r="CB259" s="179" t="str">
        <f t="shared" si="153"/>
        <v/>
      </c>
      <c r="CC259" s="179" t="str">
        <f t="shared" si="154"/>
        <v/>
      </c>
      <c r="CD259" s="179" t="str">
        <f t="shared" si="155"/>
        <v/>
      </c>
      <c r="CE259" s="179" t="str">
        <f t="shared" si="156"/>
        <v/>
      </c>
      <c r="CF259" s="179" t="str">
        <f t="shared" si="157"/>
        <v/>
      </c>
      <c r="CG259" s="179" t="str">
        <f t="shared" si="158"/>
        <v/>
      </c>
      <c r="CH259" s="166"/>
      <c r="CI259" s="166"/>
      <c r="CJ259" s="166"/>
      <c r="CK259" s="166" t="s">
        <v>150</v>
      </c>
      <c r="CL259" s="166"/>
    </row>
    <row r="260" spans="1:90" ht="14.25" customHeight="1" thickBot="1" x14ac:dyDescent="0.3">
      <c r="A260" s="213">
        <v>250</v>
      </c>
      <c r="B260" s="219"/>
      <c r="C260" s="200"/>
      <c r="D260" s="145"/>
      <c r="E260" s="320" t="s">
        <v>93</v>
      </c>
      <c r="F260" s="209"/>
      <c r="G260" s="313"/>
      <c r="H260" s="313"/>
      <c r="I260" s="313"/>
      <c r="J260" s="313"/>
      <c r="K260" s="313"/>
      <c r="L260" s="313"/>
      <c r="M260" s="339"/>
      <c r="N260" s="233">
        <f t="shared" si="159"/>
        <v>0</v>
      </c>
      <c r="O260" s="306"/>
      <c r="P260" s="342"/>
      <c r="Q260" s="307"/>
      <c r="R260" s="323" t="s">
        <v>67</v>
      </c>
      <c r="S260" s="209"/>
      <c r="T260" s="313"/>
      <c r="U260" s="313"/>
      <c r="V260" s="313"/>
      <c r="W260" s="313"/>
      <c r="X260" s="313"/>
      <c r="Y260" s="125"/>
      <c r="Z260" s="339"/>
      <c r="AA260" s="233">
        <f t="shared" si="160"/>
        <v>0</v>
      </c>
      <c r="AB260" s="314">
        <f t="shared" si="137"/>
        <v>0</v>
      </c>
      <c r="AC260" s="314"/>
      <c r="AD260" s="314">
        <f t="shared" si="138"/>
        <v>0</v>
      </c>
      <c r="AE260" s="323" t="s">
        <v>87</v>
      </c>
      <c r="AF260" s="81"/>
      <c r="AG260" s="335"/>
      <c r="AH260" s="335"/>
      <c r="AI260" s="335"/>
      <c r="AJ260" s="335"/>
      <c r="AK260" s="335"/>
      <c r="AL260" s="336"/>
      <c r="AM260" s="353"/>
      <c r="AN260" s="22">
        <f t="shared" si="161"/>
        <v>0</v>
      </c>
      <c r="AO260" s="209">
        <f t="shared" si="139"/>
        <v>0</v>
      </c>
      <c r="AP260" s="339"/>
      <c r="AQ260" s="125">
        <f t="shared" si="140"/>
        <v>0</v>
      </c>
      <c r="AR260" s="104"/>
      <c r="AS260" s="217"/>
      <c r="AT260" s="216"/>
      <c r="AU260" s="230"/>
      <c r="AV260" s="220"/>
      <c r="AW260" s="230"/>
      <c r="AX260" s="220"/>
      <c r="AY260" s="230"/>
      <c r="AZ260" s="220"/>
      <c r="BA260" s="17">
        <f t="shared" si="131"/>
        <v>2.5999999999999998E-5</v>
      </c>
      <c r="BB260" s="17">
        <f t="shared" si="132"/>
        <v>0</v>
      </c>
      <c r="BC260" s="17"/>
      <c r="BD260" s="178">
        <v>251</v>
      </c>
      <c r="BE260" s="214">
        <f t="shared" si="141"/>
        <v>1.77E-5</v>
      </c>
      <c r="BF260" s="178">
        <f t="shared" si="133"/>
        <v>0</v>
      </c>
      <c r="BG260" s="245">
        <f t="shared" si="134"/>
        <v>2.5999999999999998E-5</v>
      </c>
      <c r="BH260" s="17">
        <f t="shared" si="142"/>
        <v>0</v>
      </c>
      <c r="BI260" s="178">
        <v>251</v>
      </c>
      <c r="BJ260" s="87">
        <f t="shared" si="143"/>
        <v>1.5999999999999999E-5</v>
      </c>
      <c r="BK260" s="215">
        <f t="shared" si="135"/>
        <v>0</v>
      </c>
      <c r="BL260" s="245">
        <f t="shared" si="144"/>
        <v>2.5999999999999998E-5</v>
      </c>
      <c r="BM260" s="17">
        <f t="shared" si="145"/>
        <v>0</v>
      </c>
      <c r="BN260" s="178">
        <v>251</v>
      </c>
      <c r="BO260" s="87">
        <f t="shared" si="146"/>
        <v>1.5999999999999999E-5</v>
      </c>
      <c r="BP260" s="215">
        <f t="shared" si="136"/>
        <v>0</v>
      </c>
      <c r="BR260" s="126"/>
      <c r="BS260" s="126"/>
      <c r="BU260" s="178"/>
      <c r="BV260" s="179" t="str">
        <f t="shared" si="147"/>
        <v/>
      </c>
      <c r="BW260" s="179" t="str">
        <f t="shared" si="148"/>
        <v/>
      </c>
      <c r="BX260" s="179" t="str">
        <f t="shared" si="149"/>
        <v/>
      </c>
      <c r="BY260" s="179" t="str">
        <f t="shared" si="150"/>
        <v/>
      </c>
      <c r="BZ260" s="179" t="str">
        <f t="shared" si="151"/>
        <v/>
      </c>
      <c r="CA260" s="179" t="str">
        <f t="shared" si="152"/>
        <v/>
      </c>
      <c r="CB260" s="179" t="str">
        <f t="shared" si="153"/>
        <v/>
      </c>
      <c r="CC260" s="179" t="str">
        <f t="shared" si="154"/>
        <v/>
      </c>
      <c r="CD260" s="179" t="str">
        <f t="shared" si="155"/>
        <v/>
      </c>
      <c r="CE260" s="179" t="str">
        <f t="shared" si="156"/>
        <v/>
      </c>
      <c r="CF260" s="179" t="str">
        <f t="shared" si="157"/>
        <v/>
      </c>
      <c r="CG260" s="179" t="str">
        <f t="shared" si="158"/>
        <v/>
      </c>
      <c r="CH260" s="166"/>
      <c r="CI260" s="166"/>
      <c r="CJ260" s="166"/>
      <c r="CK260" s="166" t="s">
        <v>150</v>
      </c>
      <c r="CL260" s="166"/>
    </row>
    <row r="261" spans="1:90" ht="14.25" customHeight="1" thickBot="1" x14ac:dyDescent="0.3">
      <c r="A261" s="211">
        <v>251</v>
      </c>
      <c r="B261" s="88"/>
      <c r="C261" s="201"/>
      <c r="D261" s="94"/>
      <c r="E261" s="321" t="s">
        <v>93</v>
      </c>
      <c r="F261" s="96"/>
      <c r="G261" s="100"/>
      <c r="H261" s="100"/>
      <c r="I261" s="100"/>
      <c r="J261" s="100"/>
      <c r="K261" s="100"/>
      <c r="L261" s="100"/>
      <c r="M261" s="210"/>
      <c r="N261" s="234">
        <f t="shared" si="159"/>
        <v>0</v>
      </c>
      <c r="O261" s="308"/>
      <c r="P261" s="343"/>
      <c r="Q261" s="309"/>
      <c r="R261" s="324" t="s">
        <v>67</v>
      </c>
      <c r="S261" s="96"/>
      <c r="T261" s="100"/>
      <c r="U261" s="100"/>
      <c r="V261" s="100"/>
      <c r="W261" s="100"/>
      <c r="X261" s="100"/>
      <c r="Y261" s="97"/>
      <c r="Z261" s="210"/>
      <c r="AA261" s="234">
        <f t="shared" si="160"/>
        <v>0</v>
      </c>
      <c r="AB261" s="314">
        <f t="shared" si="137"/>
        <v>0</v>
      </c>
      <c r="AC261" s="314"/>
      <c r="AD261" s="314">
        <f t="shared" si="138"/>
        <v>0</v>
      </c>
      <c r="AE261" s="324" t="s">
        <v>87</v>
      </c>
      <c r="AF261" s="82"/>
      <c r="AG261" s="337"/>
      <c r="AH261" s="337"/>
      <c r="AI261" s="337"/>
      <c r="AJ261" s="337"/>
      <c r="AK261" s="337"/>
      <c r="AL261" s="338"/>
      <c r="AM261" s="354"/>
      <c r="AN261" s="91">
        <f t="shared" si="161"/>
        <v>0</v>
      </c>
      <c r="AO261" s="96">
        <f t="shared" si="139"/>
        <v>0</v>
      </c>
      <c r="AP261" s="210"/>
      <c r="AQ261" s="97">
        <f t="shared" si="140"/>
        <v>0</v>
      </c>
      <c r="AR261" s="105"/>
      <c r="AS261" s="102"/>
      <c r="AT261" s="237"/>
      <c r="AU261" s="231"/>
      <c r="AV261" s="93"/>
      <c r="AW261" s="231"/>
      <c r="AX261" s="93"/>
      <c r="AY261" s="231"/>
      <c r="AZ261" s="93"/>
      <c r="BA261" s="17">
        <f t="shared" si="131"/>
        <v>2.6099999999999997E-5</v>
      </c>
      <c r="BB261" s="17">
        <f t="shared" si="132"/>
        <v>0</v>
      </c>
      <c r="BC261" s="17"/>
      <c r="BD261" s="178">
        <v>252</v>
      </c>
      <c r="BE261" s="214">
        <f t="shared" si="141"/>
        <v>1.7600000000000001E-5</v>
      </c>
      <c r="BF261" s="178">
        <f t="shared" si="133"/>
        <v>0</v>
      </c>
      <c r="BG261" s="245">
        <f t="shared" si="134"/>
        <v>2.6099999999999997E-5</v>
      </c>
      <c r="BH261" s="17">
        <f t="shared" si="142"/>
        <v>0</v>
      </c>
      <c r="BI261" s="178">
        <v>252</v>
      </c>
      <c r="BJ261" s="87">
        <f t="shared" si="143"/>
        <v>1.59E-5</v>
      </c>
      <c r="BK261" s="215">
        <f t="shared" si="135"/>
        <v>0</v>
      </c>
      <c r="BL261" s="245">
        <f t="shared" si="144"/>
        <v>2.6099999999999997E-5</v>
      </c>
      <c r="BM261" s="17">
        <f t="shared" si="145"/>
        <v>0</v>
      </c>
      <c r="BN261" s="178">
        <v>252</v>
      </c>
      <c r="BO261" s="87">
        <f t="shared" si="146"/>
        <v>1.59E-5</v>
      </c>
      <c r="BP261" s="215">
        <f t="shared" si="136"/>
        <v>0</v>
      </c>
      <c r="BR261" s="126"/>
      <c r="BS261" s="126"/>
      <c r="BU261" s="178"/>
      <c r="BV261" s="179" t="str">
        <f t="shared" si="147"/>
        <v/>
      </c>
      <c r="BW261" s="179" t="str">
        <f t="shared" si="148"/>
        <v/>
      </c>
      <c r="BX261" s="179" t="str">
        <f t="shared" si="149"/>
        <v/>
      </c>
      <c r="BY261" s="179" t="str">
        <f t="shared" si="150"/>
        <v/>
      </c>
      <c r="BZ261" s="179" t="str">
        <f t="shared" si="151"/>
        <v/>
      </c>
      <c r="CA261" s="179" t="str">
        <f t="shared" si="152"/>
        <v/>
      </c>
      <c r="CB261" s="179" t="str">
        <f t="shared" si="153"/>
        <v/>
      </c>
      <c r="CC261" s="179" t="str">
        <f t="shared" si="154"/>
        <v/>
      </c>
      <c r="CD261" s="179" t="str">
        <f t="shared" si="155"/>
        <v/>
      </c>
      <c r="CE261" s="179" t="str">
        <f t="shared" si="156"/>
        <v/>
      </c>
      <c r="CF261" s="179" t="str">
        <f t="shared" si="157"/>
        <v/>
      </c>
      <c r="CG261" s="179" t="str">
        <f t="shared" si="158"/>
        <v/>
      </c>
      <c r="CH261" s="166"/>
      <c r="CI261" s="166"/>
      <c r="CJ261" s="166"/>
      <c r="CK261" s="166" t="s">
        <v>150</v>
      </c>
      <c r="CL261" s="166"/>
    </row>
    <row r="262" spans="1:90" ht="14.25" customHeight="1" thickBot="1" x14ac:dyDescent="0.3">
      <c r="A262" s="213">
        <v>252</v>
      </c>
      <c r="B262" s="89"/>
      <c r="C262" s="199"/>
      <c r="D262" s="146"/>
      <c r="E262" s="319" t="s">
        <v>93</v>
      </c>
      <c r="F262" s="221"/>
      <c r="G262" s="222"/>
      <c r="H262" s="222"/>
      <c r="I262" s="222"/>
      <c r="J262" s="222"/>
      <c r="K262" s="222"/>
      <c r="L262" s="222"/>
      <c r="M262" s="331"/>
      <c r="N262" s="303">
        <f t="shared" si="159"/>
        <v>0</v>
      </c>
      <c r="O262" s="304"/>
      <c r="P262" s="341"/>
      <c r="Q262" s="305"/>
      <c r="R262" s="322" t="s">
        <v>67</v>
      </c>
      <c r="S262" s="326"/>
      <c r="T262" s="327"/>
      <c r="U262" s="327"/>
      <c r="V262" s="327"/>
      <c r="W262" s="327"/>
      <c r="X262" s="327"/>
      <c r="Y262" s="95"/>
      <c r="Z262" s="331"/>
      <c r="AA262" s="303">
        <f t="shared" si="160"/>
        <v>0</v>
      </c>
      <c r="AB262" s="314">
        <f t="shared" si="137"/>
        <v>0</v>
      </c>
      <c r="AC262" s="314"/>
      <c r="AD262" s="314">
        <f t="shared" si="138"/>
        <v>0</v>
      </c>
      <c r="AE262" s="325" t="s">
        <v>148</v>
      </c>
      <c r="AF262" s="15"/>
      <c r="AG262" s="232"/>
      <c r="AH262" s="232"/>
      <c r="AI262" s="232"/>
      <c r="AJ262" s="232"/>
      <c r="AK262" s="232"/>
      <c r="AL262" s="7"/>
      <c r="AM262" s="352"/>
      <c r="AN262" s="22">
        <f t="shared" si="161"/>
        <v>0</v>
      </c>
      <c r="AO262" s="15">
        <f t="shared" si="139"/>
        <v>0</v>
      </c>
      <c r="AP262" s="345"/>
      <c r="AQ262" s="7">
        <f t="shared" si="140"/>
        <v>0</v>
      </c>
      <c r="AR262" s="103"/>
      <c r="AS262" s="101"/>
      <c r="AT262" s="236"/>
      <c r="AU262" s="235"/>
      <c r="AV262" s="92"/>
      <c r="AW262" s="235"/>
      <c r="AX262" s="92"/>
      <c r="AY262" s="235"/>
      <c r="AZ262" s="92"/>
      <c r="BA262" s="17">
        <f t="shared" si="131"/>
        <v>2.62E-5</v>
      </c>
      <c r="BB262" s="17">
        <f t="shared" si="132"/>
        <v>0</v>
      </c>
      <c r="BC262" s="17"/>
      <c r="BD262" s="178">
        <v>253</v>
      </c>
      <c r="BE262" s="214">
        <f t="shared" si="141"/>
        <v>1.7499999999999998E-5</v>
      </c>
      <c r="BF262" s="178">
        <f t="shared" si="133"/>
        <v>0</v>
      </c>
      <c r="BG262" s="245">
        <f t="shared" si="134"/>
        <v>2.62E-5</v>
      </c>
      <c r="BH262" s="17">
        <f t="shared" si="142"/>
        <v>0</v>
      </c>
      <c r="BI262" s="178">
        <v>253</v>
      </c>
      <c r="BJ262" s="87">
        <f t="shared" si="143"/>
        <v>1.5799999999999998E-5</v>
      </c>
      <c r="BK262" s="215">
        <f t="shared" si="135"/>
        <v>0</v>
      </c>
      <c r="BL262" s="245">
        <f t="shared" si="144"/>
        <v>2.62E-5</v>
      </c>
      <c r="BM262" s="17">
        <f t="shared" si="145"/>
        <v>0</v>
      </c>
      <c r="BN262" s="178">
        <v>253</v>
      </c>
      <c r="BO262" s="87">
        <f t="shared" si="146"/>
        <v>1.5799999999999998E-5</v>
      </c>
      <c r="BP262" s="215">
        <f t="shared" si="136"/>
        <v>0</v>
      </c>
      <c r="BR262" s="126"/>
      <c r="BS262" s="126"/>
      <c r="BU262" s="178"/>
      <c r="BV262" s="179" t="str">
        <f t="shared" si="147"/>
        <v/>
      </c>
      <c r="BW262" s="179" t="str">
        <f t="shared" si="148"/>
        <v/>
      </c>
      <c r="BX262" s="179" t="str">
        <f t="shared" si="149"/>
        <v/>
      </c>
      <c r="BY262" s="179" t="str">
        <f t="shared" si="150"/>
        <v/>
      </c>
      <c r="BZ262" s="179" t="str">
        <f t="shared" si="151"/>
        <v/>
      </c>
      <c r="CA262" s="179" t="str">
        <f t="shared" si="152"/>
        <v/>
      </c>
      <c r="CB262" s="179" t="str">
        <f t="shared" si="153"/>
        <v/>
      </c>
      <c r="CC262" s="179" t="str">
        <f t="shared" si="154"/>
        <v/>
      </c>
      <c r="CD262" s="179" t="str">
        <f t="shared" si="155"/>
        <v/>
      </c>
      <c r="CE262" s="179" t="str">
        <f t="shared" si="156"/>
        <v/>
      </c>
      <c r="CF262" s="179" t="str">
        <f t="shared" si="157"/>
        <v/>
      </c>
      <c r="CG262" s="179" t="str">
        <f t="shared" si="158"/>
        <v/>
      </c>
      <c r="CH262" s="166"/>
      <c r="CI262" s="166"/>
      <c r="CJ262" s="166"/>
      <c r="CK262" s="166" t="s">
        <v>150</v>
      </c>
      <c r="CL262" s="166"/>
    </row>
    <row r="263" spans="1:90" ht="14.25" customHeight="1" x14ac:dyDescent="0.25">
      <c r="A263" s="211">
        <v>253</v>
      </c>
      <c r="B263" s="219"/>
      <c r="C263" s="200"/>
      <c r="D263" s="145"/>
      <c r="E263" s="320" t="s">
        <v>93</v>
      </c>
      <c r="F263" s="209"/>
      <c r="G263" s="313"/>
      <c r="H263" s="313"/>
      <c r="I263" s="313"/>
      <c r="J263" s="313"/>
      <c r="K263" s="313"/>
      <c r="L263" s="313"/>
      <c r="M263" s="339"/>
      <c r="N263" s="233">
        <f t="shared" si="159"/>
        <v>0</v>
      </c>
      <c r="O263" s="306"/>
      <c r="P263" s="342"/>
      <c r="Q263" s="307"/>
      <c r="R263" s="323" t="s">
        <v>67</v>
      </c>
      <c r="S263" s="209"/>
      <c r="T263" s="313"/>
      <c r="U263" s="313"/>
      <c r="V263" s="313"/>
      <c r="W263" s="313"/>
      <c r="X263" s="313"/>
      <c r="Y263" s="125"/>
      <c r="Z263" s="339"/>
      <c r="AA263" s="233">
        <f t="shared" si="160"/>
        <v>0</v>
      </c>
      <c r="AB263" s="314">
        <f t="shared" si="137"/>
        <v>0</v>
      </c>
      <c r="AC263" s="314"/>
      <c r="AD263" s="314">
        <f t="shared" si="138"/>
        <v>0</v>
      </c>
      <c r="AE263" s="323" t="s">
        <v>87</v>
      </c>
      <c r="AF263" s="81"/>
      <c r="AG263" s="335"/>
      <c r="AH263" s="335"/>
      <c r="AI263" s="335"/>
      <c r="AJ263" s="335"/>
      <c r="AK263" s="335"/>
      <c r="AL263" s="336"/>
      <c r="AM263" s="353"/>
      <c r="AN263" s="22">
        <f t="shared" si="161"/>
        <v>0</v>
      </c>
      <c r="AO263" s="209">
        <f t="shared" si="139"/>
        <v>0</v>
      </c>
      <c r="AP263" s="339"/>
      <c r="AQ263" s="125">
        <f t="shared" si="140"/>
        <v>0</v>
      </c>
      <c r="AR263" s="104"/>
      <c r="AS263" s="217"/>
      <c r="AT263" s="216"/>
      <c r="AU263" s="230"/>
      <c r="AV263" s="220"/>
      <c r="AW263" s="230"/>
      <c r="AX263" s="220"/>
      <c r="AY263" s="230"/>
      <c r="AZ263" s="220"/>
      <c r="BA263" s="17">
        <f t="shared" si="131"/>
        <v>2.6299999999999999E-5</v>
      </c>
      <c r="BB263" s="17">
        <f t="shared" si="132"/>
        <v>0</v>
      </c>
      <c r="BC263" s="17"/>
      <c r="BD263" s="178">
        <v>254</v>
      </c>
      <c r="BE263" s="214">
        <f t="shared" si="141"/>
        <v>1.7399999999999999E-5</v>
      </c>
      <c r="BF263" s="178">
        <f t="shared" si="133"/>
        <v>0</v>
      </c>
      <c r="BG263" s="245">
        <f t="shared" si="134"/>
        <v>2.6299999999999999E-5</v>
      </c>
      <c r="BH263" s="17">
        <f t="shared" si="142"/>
        <v>0</v>
      </c>
      <c r="BI263" s="178">
        <v>254</v>
      </c>
      <c r="BJ263" s="87">
        <f t="shared" si="143"/>
        <v>1.5699999999999999E-5</v>
      </c>
      <c r="BK263" s="215">
        <f t="shared" si="135"/>
        <v>0</v>
      </c>
      <c r="BL263" s="245">
        <f t="shared" si="144"/>
        <v>2.6299999999999999E-5</v>
      </c>
      <c r="BM263" s="17">
        <f t="shared" si="145"/>
        <v>0</v>
      </c>
      <c r="BN263" s="178">
        <v>254</v>
      </c>
      <c r="BO263" s="87">
        <f t="shared" si="146"/>
        <v>1.5699999999999999E-5</v>
      </c>
      <c r="BP263" s="215">
        <f t="shared" si="136"/>
        <v>0</v>
      </c>
      <c r="BR263" s="126"/>
      <c r="BS263" s="126"/>
      <c r="BU263" s="178"/>
      <c r="BV263" s="179" t="str">
        <f t="shared" si="147"/>
        <v/>
      </c>
      <c r="BW263" s="179" t="str">
        <f t="shared" si="148"/>
        <v/>
      </c>
      <c r="BX263" s="179" t="str">
        <f t="shared" si="149"/>
        <v/>
      </c>
      <c r="BY263" s="179" t="str">
        <f t="shared" si="150"/>
        <v/>
      </c>
      <c r="BZ263" s="179" t="str">
        <f t="shared" si="151"/>
        <v/>
      </c>
      <c r="CA263" s="179" t="str">
        <f t="shared" si="152"/>
        <v/>
      </c>
      <c r="CB263" s="179" t="str">
        <f t="shared" si="153"/>
        <v/>
      </c>
      <c r="CC263" s="179" t="str">
        <f t="shared" si="154"/>
        <v/>
      </c>
      <c r="CD263" s="179" t="str">
        <f t="shared" si="155"/>
        <v/>
      </c>
      <c r="CE263" s="179" t="str">
        <f t="shared" si="156"/>
        <v/>
      </c>
      <c r="CF263" s="179" t="str">
        <f t="shared" si="157"/>
        <v/>
      </c>
      <c r="CG263" s="179" t="str">
        <f t="shared" si="158"/>
        <v/>
      </c>
      <c r="CH263" s="166"/>
      <c r="CI263" s="166"/>
      <c r="CJ263" s="166"/>
      <c r="CK263" s="166" t="s">
        <v>150</v>
      </c>
      <c r="CL263" s="166"/>
    </row>
    <row r="264" spans="1:90" ht="14.25" customHeight="1" thickBot="1" x14ac:dyDescent="0.3">
      <c r="A264" s="213">
        <v>254</v>
      </c>
      <c r="B264" s="88"/>
      <c r="C264" s="201"/>
      <c r="D264" s="94"/>
      <c r="E264" s="321" t="s">
        <v>93</v>
      </c>
      <c r="F264" s="96"/>
      <c r="G264" s="100"/>
      <c r="H264" s="100"/>
      <c r="I264" s="100"/>
      <c r="J264" s="100"/>
      <c r="K264" s="100"/>
      <c r="L264" s="100"/>
      <c r="M264" s="210"/>
      <c r="N264" s="234">
        <f t="shared" si="159"/>
        <v>0</v>
      </c>
      <c r="O264" s="308"/>
      <c r="P264" s="343"/>
      <c r="Q264" s="309"/>
      <c r="R264" s="324" t="s">
        <v>67</v>
      </c>
      <c r="S264" s="96"/>
      <c r="T264" s="100"/>
      <c r="U264" s="100"/>
      <c r="V264" s="100"/>
      <c r="W264" s="100"/>
      <c r="X264" s="100"/>
      <c r="Y264" s="97"/>
      <c r="Z264" s="210"/>
      <c r="AA264" s="234">
        <f t="shared" si="160"/>
        <v>0</v>
      </c>
      <c r="AB264" s="314">
        <f t="shared" si="137"/>
        <v>0</v>
      </c>
      <c r="AC264" s="314"/>
      <c r="AD264" s="314">
        <f t="shared" si="138"/>
        <v>0</v>
      </c>
      <c r="AE264" s="324" t="s">
        <v>87</v>
      </c>
      <c r="AF264" s="82"/>
      <c r="AG264" s="337"/>
      <c r="AH264" s="337"/>
      <c r="AI264" s="337"/>
      <c r="AJ264" s="337"/>
      <c r="AK264" s="337"/>
      <c r="AL264" s="338"/>
      <c r="AM264" s="354"/>
      <c r="AN264" s="91">
        <f t="shared" si="161"/>
        <v>0</v>
      </c>
      <c r="AO264" s="96">
        <f t="shared" si="139"/>
        <v>0</v>
      </c>
      <c r="AP264" s="210"/>
      <c r="AQ264" s="97">
        <f t="shared" si="140"/>
        <v>0</v>
      </c>
      <c r="AR264" s="105"/>
      <c r="AS264" s="102"/>
      <c r="AT264" s="237"/>
      <c r="AU264" s="231"/>
      <c r="AV264" s="93"/>
      <c r="AW264" s="231"/>
      <c r="AX264" s="93"/>
      <c r="AY264" s="231"/>
      <c r="AZ264" s="93"/>
      <c r="BA264" s="17">
        <f t="shared" si="131"/>
        <v>2.6399999999999998E-5</v>
      </c>
      <c r="BB264" s="17">
        <f t="shared" si="132"/>
        <v>0</v>
      </c>
      <c r="BC264" s="17"/>
      <c r="BD264" s="178">
        <v>255</v>
      </c>
      <c r="BE264" s="214">
        <f t="shared" si="141"/>
        <v>1.73E-5</v>
      </c>
      <c r="BF264" s="178">
        <f t="shared" si="133"/>
        <v>0</v>
      </c>
      <c r="BG264" s="245">
        <f t="shared" si="134"/>
        <v>2.6399999999999998E-5</v>
      </c>
      <c r="BH264" s="17">
        <f t="shared" si="142"/>
        <v>0</v>
      </c>
      <c r="BI264" s="178">
        <v>255</v>
      </c>
      <c r="BJ264" s="87">
        <f t="shared" si="143"/>
        <v>1.56E-5</v>
      </c>
      <c r="BK264" s="215">
        <f t="shared" si="135"/>
        <v>0</v>
      </c>
      <c r="BL264" s="245">
        <f t="shared" si="144"/>
        <v>2.6399999999999998E-5</v>
      </c>
      <c r="BM264" s="17">
        <f t="shared" si="145"/>
        <v>0</v>
      </c>
      <c r="BN264" s="178">
        <v>255</v>
      </c>
      <c r="BO264" s="87">
        <f t="shared" si="146"/>
        <v>1.56E-5</v>
      </c>
      <c r="BP264" s="215">
        <f t="shared" si="136"/>
        <v>0</v>
      </c>
      <c r="BR264" s="126"/>
      <c r="BS264" s="126"/>
      <c r="BU264" s="178"/>
      <c r="BV264" s="179" t="str">
        <f t="shared" si="147"/>
        <v/>
      </c>
      <c r="BW264" s="179" t="str">
        <f t="shared" si="148"/>
        <v/>
      </c>
      <c r="BX264" s="179" t="str">
        <f t="shared" si="149"/>
        <v/>
      </c>
      <c r="BY264" s="179" t="str">
        <f t="shared" si="150"/>
        <v/>
      </c>
      <c r="BZ264" s="179" t="str">
        <f t="shared" si="151"/>
        <v/>
      </c>
      <c r="CA264" s="179" t="str">
        <f t="shared" si="152"/>
        <v/>
      </c>
      <c r="CB264" s="179" t="str">
        <f t="shared" si="153"/>
        <v/>
      </c>
      <c r="CC264" s="179" t="str">
        <f t="shared" si="154"/>
        <v/>
      </c>
      <c r="CD264" s="179" t="str">
        <f t="shared" si="155"/>
        <v/>
      </c>
      <c r="CE264" s="179" t="str">
        <f t="shared" si="156"/>
        <v/>
      </c>
      <c r="CF264" s="179" t="str">
        <f t="shared" si="157"/>
        <v/>
      </c>
      <c r="CG264" s="179" t="str">
        <f t="shared" si="158"/>
        <v/>
      </c>
      <c r="CH264" s="166"/>
      <c r="CI264" s="166"/>
      <c r="CJ264" s="166"/>
      <c r="CK264" s="166" t="s">
        <v>150</v>
      </c>
      <c r="CL264" s="166"/>
    </row>
    <row r="265" spans="1:90" ht="14.25" customHeight="1" x14ac:dyDescent="0.25">
      <c r="A265" s="211">
        <v>255</v>
      </c>
      <c r="B265" s="89"/>
      <c r="C265" s="199"/>
      <c r="D265" s="146"/>
      <c r="E265" s="319" t="s">
        <v>93</v>
      </c>
      <c r="F265" s="221"/>
      <c r="G265" s="222"/>
      <c r="H265" s="222"/>
      <c r="I265" s="222"/>
      <c r="J265" s="222"/>
      <c r="K265" s="222"/>
      <c r="L265" s="222"/>
      <c r="M265" s="331"/>
      <c r="N265" s="303">
        <f t="shared" si="159"/>
        <v>0</v>
      </c>
      <c r="O265" s="304"/>
      <c r="P265" s="341"/>
      <c r="Q265" s="305"/>
      <c r="R265" s="322" t="s">
        <v>67</v>
      </c>
      <c r="S265" s="326"/>
      <c r="T265" s="327"/>
      <c r="U265" s="327"/>
      <c r="V265" s="327"/>
      <c r="W265" s="327"/>
      <c r="X265" s="327"/>
      <c r="Y265" s="95"/>
      <c r="Z265" s="331"/>
      <c r="AA265" s="303">
        <f t="shared" si="160"/>
        <v>0</v>
      </c>
      <c r="AB265" s="314">
        <f t="shared" si="137"/>
        <v>0</v>
      </c>
      <c r="AC265" s="314"/>
      <c r="AD265" s="314">
        <f t="shared" si="138"/>
        <v>0</v>
      </c>
      <c r="AE265" s="325" t="s">
        <v>148</v>
      </c>
      <c r="AF265" s="15"/>
      <c r="AG265" s="232"/>
      <c r="AH265" s="232"/>
      <c r="AI265" s="232"/>
      <c r="AJ265" s="232"/>
      <c r="AK265" s="232"/>
      <c r="AL265" s="7"/>
      <c r="AM265" s="352"/>
      <c r="AN265" s="22">
        <f t="shared" si="161"/>
        <v>0</v>
      </c>
      <c r="AO265" s="15">
        <f t="shared" si="139"/>
        <v>0</v>
      </c>
      <c r="AP265" s="345"/>
      <c r="AQ265" s="7">
        <f t="shared" si="140"/>
        <v>0</v>
      </c>
      <c r="AR265" s="103"/>
      <c r="AS265" s="101"/>
      <c r="AT265" s="236"/>
      <c r="AU265" s="235"/>
      <c r="AV265" s="92"/>
      <c r="AW265" s="235"/>
      <c r="AX265" s="92"/>
      <c r="AY265" s="235"/>
      <c r="AZ265" s="92"/>
      <c r="BA265" s="17">
        <f t="shared" si="131"/>
        <v>2.65E-5</v>
      </c>
      <c r="BB265" s="17">
        <f t="shared" si="132"/>
        <v>0</v>
      </c>
      <c r="BC265" s="17"/>
      <c r="BD265" s="178">
        <v>256</v>
      </c>
      <c r="BE265" s="214">
        <f t="shared" si="141"/>
        <v>1.7199999999999998E-5</v>
      </c>
      <c r="BF265" s="178">
        <f t="shared" si="133"/>
        <v>0</v>
      </c>
      <c r="BG265" s="245">
        <f t="shared" si="134"/>
        <v>2.65E-5</v>
      </c>
      <c r="BH265" s="17">
        <f t="shared" si="142"/>
        <v>0</v>
      </c>
      <c r="BI265" s="178">
        <v>256</v>
      </c>
      <c r="BJ265" s="87">
        <f t="shared" si="143"/>
        <v>1.5500000000000001E-5</v>
      </c>
      <c r="BK265" s="215">
        <f t="shared" si="135"/>
        <v>0</v>
      </c>
      <c r="BL265" s="245">
        <f t="shared" si="144"/>
        <v>2.65E-5</v>
      </c>
      <c r="BM265" s="17">
        <f t="shared" si="145"/>
        <v>0</v>
      </c>
      <c r="BN265" s="178">
        <v>256</v>
      </c>
      <c r="BO265" s="87">
        <f t="shared" si="146"/>
        <v>1.5500000000000001E-5</v>
      </c>
      <c r="BP265" s="215">
        <f t="shared" si="136"/>
        <v>0</v>
      </c>
      <c r="BR265" s="126"/>
      <c r="BS265" s="126"/>
      <c r="BU265" s="178"/>
      <c r="BV265" s="179" t="str">
        <f t="shared" si="147"/>
        <v/>
      </c>
      <c r="BW265" s="179" t="str">
        <f t="shared" si="148"/>
        <v/>
      </c>
      <c r="BX265" s="179" t="str">
        <f t="shared" si="149"/>
        <v/>
      </c>
      <c r="BY265" s="179" t="str">
        <f t="shared" si="150"/>
        <v/>
      </c>
      <c r="BZ265" s="179" t="str">
        <f t="shared" si="151"/>
        <v/>
      </c>
      <c r="CA265" s="179" t="str">
        <f t="shared" si="152"/>
        <v/>
      </c>
      <c r="CB265" s="179" t="str">
        <f t="shared" si="153"/>
        <v/>
      </c>
      <c r="CC265" s="179" t="str">
        <f t="shared" si="154"/>
        <v/>
      </c>
      <c r="CD265" s="179" t="str">
        <f t="shared" si="155"/>
        <v/>
      </c>
      <c r="CE265" s="179" t="str">
        <f t="shared" si="156"/>
        <v/>
      </c>
      <c r="CF265" s="179" t="str">
        <f t="shared" si="157"/>
        <v/>
      </c>
      <c r="CG265" s="179" t="str">
        <f t="shared" si="158"/>
        <v/>
      </c>
      <c r="CH265" s="166"/>
      <c r="CI265" s="166"/>
      <c r="CJ265" s="166"/>
      <c r="CK265" s="166" t="s">
        <v>150</v>
      </c>
      <c r="CL265" s="166"/>
    </row>
    <row r="266" spans="1:90" ht="14.25" customHeight="1" thickBot="1" x14ac:dyDescent="0.3">
      <c r="A266" s="213">
        <v>256</v>
      </c>
      <c r="B266" s="219"/>
      <c r="C266" s="200"/>
      <c r="D266" s="145"/>
      <c r="E266" s="320" t="s">
        <v>93</v>
      </c>
      <c r="F266" s="209"/>
      <c r="G266" s="313"/>
      <c r="H266" s="313"/>
      <c r="I266" s="313"/>
      <c r="J266" s="313"/>
      <c r="K266" s="313"/>
      <c r="L266" s="313"/>
      <c r="M266" s="339"/>
      <c r="N266" s="233">
        <f t="shared" si="159"/>
        <v>0</v>
      </c>
      <c r="O266" s="306"/>
      <c r="P266" s="342"/>
      <c r="Q266" s="307"/>
      <c r="R266" s="323" t="s">
        <v>67</v>
      </c>
      <c r="S266" s="209"/>
      <c r="T266" s="313"/>
      <c r="U266" s="313"/>
      <c r="V266" s="313"/>
      <c r="W266" s="313"/>
      <c r="X266" s="313"/>
      <c r="Y266" s="125"/>
      <c r="Z266" s="339"/>
      <c r="AA266" s="233">
        <f t="shared" si="160"/>
        <v>0</v>
      </c>
      <c r="AB266" s="314">
        <f t="shared" si="137"/>
        <v>0</v>
      </c>
      <c r="AC266" s="314"/>
      <c r="AD266" s="314">
        <f t="shared" si="138"/>
        <v>0</v>
      </c>
      <c r="AE266" s="323" t="s">
        <v>87</v>
      </c>
      <c r="AF266" s="81"/>
      <c r="AG266" s="335"/>
      <c r="AH266" s="335"/>
      <c r="AI266" s="335"/>
      <c r="AJ266" s="335"/>
      <c r="AK266" s="335"/>
      <c r="AL266" s="336"/>
      <c r="AM266" s="353"/>
      <c r="AN266" s="22">
        <f t="shared" si="161"/>
        <v>0</v>
      </c>
      <c r="AO266" s="209">
        <f t="shared" si="139"/>
        <v>0</v>
      </c>
      <c r="AP266" s="339"/>
      <c r="AQ266" s="125">
        <f t="shared" si="140"/>
        <v>0</v>
      </c>
      <c r="AR266" s="104"/>
      <c r="AS266" s="217"/>
      <c r="AT266" s="216"/>
      <c r="AU266" s="230"/>
      <c r="AV266" s="220"/>
      <c r="AW266" s="230"/>
      <c r="AX266" s="220"/>
      <c r="AY266" s="230"/>
      <c r="AZ266" s="220"/>
      <c r="BA266" s="17">
        <f t="shared" ref="BA266:BA329" si="162">N266+ROW()*0.0000001</f>
        <v>2.6599999999999999E-5</v>
      </c>
      <c r="BB266" s="17">
        <f t="shared" ref="BB266:BB329" si="163">B266</f>
        <v>0</v>
      </c>
      <c r="BC266" s="17"/>
      <c r="BD266" s="178">
        <v>257</v>
      </c>
      <c r="BE266" s="214">
        <f t="shared" si="141"/>
        <v>1.7099999999999999E-5</v>
      </c>
      <c r="BF266" s="178">
        <f t="shared" ref="BF266:BF329" si="164">IFERROR(VLOOKUP(BE266,الترتيب1,2,0),"")</f>
        <v>0</v>
      </c>
      <c r="BG266" s="245">
        <f t="shared" ref="BG266:BG329" si="165">AA266+ROW()*0.0000001</f>
        <v>2.6599999999999999E-5</v>
      </c>
      <c r="BH266" s="17">
        <f t="shared" si="142"/>
        <v>0</v>
      </c>
      <c r="BI266" s="178">
        <v>257</v>
      </c>
      <c r="BJ266" s="87">
        <f t="shared" si="143"/>
        <v>1.5399999999999998E-5</v>
      </c>
      <c r="BK266" s="215">
        <f t="shared" ref="BK266:BK329" si="166">IFERROR(VLOOKUP(BJ266,الترتيب2,2,0),"")</f>
        <v>0</v>
      </c>
      <c r="BL266" s="245">
        <f t="shared" si="144"/>
        <v>2.6599999999999999E-5</v>
      </c>
      <c r="BM266" s="17">
        <f t="shared" si="145"/>
        <v>0</v>
      </c>
      <c r="BN266" s="178">
        <v>257</v>
      </c>
      <c r="BO266" s="87">
        <f t="shared" si="146"/>
        <v>1.5399999999999998E-5</v>
      </c>
      <c r="BP266" s="215">
        <f t="shared" ref="BP266:BP329" si="167">IFERROR(VLOOKUP(BO266,الترتيب3,2,0),"")</f>
        <v>0</v>
      </c>
      <c r="BR266" s="126"/>
      <c r="BS266" s="126"/>
      <c r="BU266" s="178"/>
      <c r="BV266" s="179" t="str">
        <f t="shared" si="147"/>
        <v/>
      </c>
      <c r="BW266" s="179" t="str">
        <f t="shared" si="148"/>
        <v/>
      </c>
      <c r="BX266" s="179" t="str">
        <f t="shared" si="149"/>
        <v/>
      </c>
      <c r="BY266" s="179" t="str">
        <f t="shared" si="150"/>
        <v/>
      </c>
      <c r="BZ266" s="179" t="str">
        <f t="shared" si="151"/>
        <v/>
      </c>
      <c r="CA266" s="179" t="str">
        <f t="shared" si="152"/>
        <v/>
      </c>
      <c r="CB266" s="179" t="str">
        <f t="shared" si="153"/>
        <v/>
      </c>
      <c r="CC266" s="179" t="str">
        <f t="shared" si="154"/>
        <v/>
      </c>
      <c r="CD266" s="179" t="str">
        <f t="shared" si="155"/>
        <v/>
      </c>
      <c r="CE266" s="179" t="str">
        <f t="shared" si="156"/>
        <v/>
      </c>
      <c r="CF266" s="179" t="str">
        <f t="shared" si="157"/>
        <v/>
      </c>
      <c r="CG266" s="179" t="str">
        <f t="shared" si="158"/>
        <v/>
      </c>
      <c r="CH266" s="166"/>
      <c r="CI266" s="166"/>
      <c r="CJ266" s="166"/>
      <c r="CK266" s="166" t="s">
        <v>150</v>
      </c>
      <c r="CL266" s="166"/>
    </row>
    <row r="267" spans="1:90" ht="14.25" customHeight="1" thickBot="1" x14ac:dyDescent="0.3">
      <c r="A267" s="211">
        <v>257</v>
      </c>
      <c r="B267" s="88"/>
      <c r="C267" s="201"/>
      <c r="D267" s="94"/>
      <c r="E267" s="321" t="s">
        <v>93</v>
      </c>
      <c r="F267" s="96"/>
      <c r="G267" s="100"/>
      <c r="H267" s="100"/>
      <c r="I267" s="100"/>
      <c r="J267" s="100"/>
      <c r="K267" s="100"/>
      <c r="L267" s="100"/>
      <c r="M267" s="210"/>
      <c r="N267" s="234">
        <f t="shared" si="159"/>
        <v>0</v>
      </c>
      <c r="O267" s="308"/>
      <c r="P267" s="343"/>
      <c r="Q267" s="309"/>
      <c r="R267" s="324" t="s">
        <v>67</v>
      </c>
      <c r="S267" s="96"/>
      <c r="T267" s="100"/>
      <c r="U267" s="100"/>
      <c r="V267" s="100"/>
      <c r="W267" s="100"/>
      <c r="X267" s="100"/>
      <c r="Y267" s="97"/>
      <c r="Z267" s="210"/>
      <c r="AA267" s="234">
        <f t="shared" si="160"/>
        <v>0</v>
      </c>
      <c r="AB267" s="314">
        <f t="shared" ref="AB267:AB330" si="168">O267</f>
        <v>0</v>
      </c>
      <c r="AC267" s="314"/>
      <c r="AD267" s="314">
        <f t="shared" ref="AD267:AD330" si="169">Q267</f>
        <v>0</v>
      </c>
      <c r="AE267" s="324" t="s">
        <v>87</v>
      </c>
      <c r="AF267" s="82"/>
      <c r="AG267" s="337"/>
      <c r="AH267" s="337"/>
      <c r="AI267" s="337"/>
      <c r="AJ267" s="337"/>
      <c r="AK267" s="337"/>
      <c r="AL267" s="338"/>
      <c r="AM267" s="354"/>
      <c r="AN267" s="91">
        <f t="shared" si="161"/>
        <v>0</v>
      </c>
      <c r="AO267" s="96">
        <f t="shared" ref="AO267:AO330" si="170">AB267</f>
        <v>0</v>
      </c>
      <c r="AP267" s="210"/>
      <c r="AQ267" s="97">
        <f t="shared" ref="AQ267:AQ330" si="171">AD267</f>
        <v>0</v>
      </c>
      <c r="AR267" s="105"/>
      <c r="AS267" s="102"/>
      <c r="AT267" s="237"/>
      <c r="AU267" s="231"/>
      <c r="AV267" s="93"/>
      <c r="AW267" s="231"/>
      <c r="AX267" s="93"/>
      <c r="AY267" s="231"/>
      <c r="AZ267" s="93"/>
      <c r="BA267" s="17">
        <f t="shared" si="162"/>
        <v>2.6699999999999998E-5</v>
      </c>
      <c r="BB267" s="17">
        <f t="shared" si="163"/>
        <v>0</v>
      </c>
      <c r="BC267" s="17"/>
      <c r="BD267" s="178">
        <v>258</v>
      </c>
      <c r="BE267" s="214">
        <f t="shared" ref="BE267:BE330" si="172">IFERROR(LARGE($BA$11:$BA$410,BD267),"")</f>
        <v>1.7E-5</v>
      </c>
      <c r="BF267" s="178">
        <f t="shared" si="164"/>
        <v>0</v>
      </c>
      <c r="BG267" s="245">
        <f t="shared" si="165"/>
        <v>2.6699999999999998E-5</v>
      </c>
      <c r="BH267" s="17">
        <f t="shared" ref="BH267:BH330" si="173">BB267</f>
        <v>0</v>
      </c>
      <c r="BI267" s="178">
        <v>258</v>
      </c>
      <c r="BJ267" s="87">
        <f t="shared" ref="BJ267:BJ330" si="174">IFERROR(LARGE($BG$11:$BG$410,BI267),"")</f>
        <v>1.5299999999999999E-5</v>
      </c>
      <c r="BK267" s="215">
        <f t="shared" si="166"/>
        <v>0</v>
      </c>
      <c r="BL267" s="245">
        <f t="shared" ref="BL267:BL330" si="175">AN267+ROW()*0.0000001</f>
        <v>2.6699999999999998E-5</v>
      </c>
      <c r="BM267" s="17">
        <f t="shared" ref="BM267:BM330" si="176">BH267</f>
        <v>0</v>
      </c>
      <c r="BN267" s="178">
        <v>258</v>
      </c>
      <c r="BO267" s="87">
        <f t="shared" ref="BO267:BO330" si="177">IFERROR(LARGE($BL$11:$BL$410,BN267),"")</f>
        <v>1.5299999999999999E-5</v>
      </c>
      <c r="BP267" s="215">
        <f t="shared" si="167"/>
        <v>0</v>
      </c>
      <c r="BR267" s="126"/>
      <c r="BS267" s="126"/>
      <c r="BU267" s="178"/>
      <c r="BV267" s="179" t="str">
        <f t="shared" ref="BV267:BV330" si="178">MID($BT267,12,1)</f>
        <v/>
      </c>
      <c r="BW267" s="179" t="str">
        <f t="shared" ref="BW267:BW330" si="179">MID($BT267,11,1)</f>
        <v/>
      </c>
      <c r="BX267" s="179" t="str">
        <f t="shared" ref="BX267:BX330" si="180">MID($BT267,10,1)</f>
        <v/>
      </c>
      <c r="BY267" s="179" t="str">
        <f t="shared" ref="BY267:BY330" si="181">MID($BT267,9,1)</f>
        <v/>
      </c>
      <c r="BZ267" s="179" t="str">
        <f t="shared" ref="BZ267:BZ330" si="182">MID($BT267,8,1)</f>
        <v/>
      </c>
      <c r="CA267" s="179" t="str">
        <f t="shared" ref="CA267:CA330" si="183">MID($BT267,7,1)</f>
        <v/>
      </c>
      <c r="CB267" s="179" t="str">
        <f t="shared" ref="CB267:CB330" si="184">MID($BT267,6,1)</f>
        <v/>
      </c>
      <c r="CC267" s="179" t="str">
        <f t="shared" ref="CC267:CC330" si="185">MID($BT267,5,1)</f>
        <v/>
      </c>
      <c r="CD267" s="179" t="str">
        <f t="shared" ref="CD267:CD330" si="186">MID($BT267,4,1)</f>
        <v/>
      </c>
      <c r="CE267" s="179" t="str">
        <f t="shared" ref="CE267:CE330" si="187">MID($BT267,3,1)</f>
        <v/>
      </c>
      <c r="CF267" s="179" t="str">
        <f t="shared" ref="CF267:CF330" si="188">MID($BT267,2,1)</f>
        <v/>
      </c>
      <c r="CG267" s="179" t="str">
        <f t="shared" ref="CG267:CG330" si="189">MID($BT267,1,1)</f>
        <v/>
      </c>
      <c r="CH267" s="166"/>
      <c r="CI267" s="166"/>
      <c r="CJ267" s="166"/>
      <c r="CK267" s="166" t="s">
        <v>150</v>
      </c>
      <c r="CL267" s="166"/>
    </row>
    <row r="268" spans="1:90" ht="14.25" customHeight="1" thickBot="1" x14ac:dyDescent="0.3">
      <c r="A268" s="213">
        <v>258</v>
      </c>
      <c r="B268" s="89"/>
      <c r="C268" s="199"/>
      <c r="D268" s="146"/>
      <c r="E268" s="319" t="s">
        <v>93</v>
      </c>
      <c r="F268" s="221"/>
      <c r="G268" s="222"/>
      <c r="H268" s="222"/>
      <c r="I268" s="222"/>
      <c r="J268" s="222"/>
      <c r="K268" s="222"/>
      <c r="L268" s="222"/>
      <c r="M268" s="331"/>
      <c r="N268" s="303">
        <f t="shared" si="159"/>
        <v>0</v>
      </c>
      <c r="O268" s="304"/>
      <c r="P268" s="341"/>
      <c r="Q268" s="305"/>
      <c r="R268" s="322" t="s">
        <v>67</v>
      </c>
      <c r="S268" s="326"/>
      <c r="T268" s="327"/>
      <c r="U268" s="327"/>
      <c r="V268" s="327"/>
      <c r="W268" s="327"/>
      <c r="X268" s="327"/>
      <c r="Y268" s="95"/>
      <c r="Z268" s="331"/>
      <c r="AA268" s="303">
        <f t="shared" si="160"/>
        <v>0</v>
      </c>
      <c r="AB268" s="314">
        <f t="shared" si="168"/>
        <v>0</v>
      </c>
      <c r="AC268" s="314"/>
      <c r="AD268" s="314">
        <f t="shared" si="169"/>
        <v>0</v>
      </c>
      <c r="AE268" s="325" t="s">
        <v>148</v>
      </c>
      <c r="AF268" s="15"/>
      <c r="AG268" s="232"/>
      <c r="AH268" s="232"/>
      <c r="AI268" s="232"/>
      <c r="AJ268" s="232"/>
      <c r="AK268" s="232"/>
      <c r="AL268" s="7"/>
      <c r="AM268" s="352"/>
      <c r="AN268" s="22">
        <f t="shared" si="161"/>
        <v>0</v>
      </c>
      <c r="AO268" s="15">
        <f t="shared" si="170"/>
        <v>0</v>
      </c>
      <c r="AP268" s="345"/>
      <c r="AQ268" s="7">
        <f t="shared" si="171"/>
        <v>0</v>
      </c>
      <c r="AR268" s="103"/>
      <c r="AS268" s="101"/>
      <c r="AT268" s="236"/>
      <c r="AU268" s="235"/>
      <c r="AV268" s="92"/>
      <c r="AW268" s="235"/>
      <c r="AX268" s="92"/>
      <c r="AY268" s="235"/>
      <c r="AZ268" s="92"/>
      <c r="BA268" s="17">
        <f t="shared" si="162"/>
        <v>2.6799999999999998E-5</v>
      </c>
      <c r="BB268" s="17">
        <f t="shared" si="163"/>
        <v>0</v>
      </c>
      <c r="BC268" s="17"/>
      <c r="BD268" s="178">
        <v>259</v>
      </c>
      <c r="BE268" s="214">
        <f t="shared" si="172"/>
        <v>1.6900000000000001E-5</v>
      </c>
      <c r="BF268" s="178">
        <f t="shared" si="164"/>
        <v>0</v>
      </c>
      <c r="BG268" s="245">
        <f t="shared" si="165"/>
        <v>2.6799999999999998E-5</v>
      </c>
      <c r="BH268" s="17">
        <f t="shared" si="173"/>
        <v>0</v>
      </c>
      <c r="BI268" s="178">
        <v>259</v>
      </c>
      <c r="BJ268" s="87">
        <f t="shared" si="174"/>
        <v>1.52E-5</v>
      </c>
      <c r="BK268" s="215">
        <f t="shared" si="166"/>
        <v>0</v>
      </c>
      <c r="BL268" s="245">
        <f t="shared" si="175"/>
        <v>2.6799999999999998E-5</v>
      </c>
      <c r="BM268" s="17">
        <f t="shared" si="176"/>
        <v>0</v>
      </c>
      <c r="BN268" s="178">
        <v>259</v>
      </c>
      <c r="BO268" s="87">
        <f t="shared" si="177"/>
        <v>1.52E-5</v>
      </c>
      <c r="BP268" s="215">
        <f t="shared" si="167"/>
        <v>0</v>
      </c>
      <c r="BR268" s="126"/>
      <c r="BS268" s="126"/>
      <c r="BU268" s="178"/>
      <c r="BV268" s="179" t="str">
        <f t="shared" si="178"/>
        <v/>
      </c>
      <c r="BW268" s="179" t="str">
        <f t="shared" si="179"/>
        <v/>
      </c>
      <c r="BX268" s="179" t="str">
        <f t="shared" si="180"/>
        <v/>
      </c>
      <c r="BY268" s="179" t="str">
        <f t="shared" si="181"/>
        <v/>
      </c>
      <c r="BZ268" s="179" t="str">
        <f t="shared" si="182"/>
        <v/>
      </c>
      <c r="CA268" s="179" t="str">
        <f t="shared" si="183"/>
        <v/>
      </c>
      <c r="CB268" s="179" t="str">
        <f t="shared" si="184"/>
        <v/>
      </c>
      <c r="CC268" s="179" t="str">
        <f t="shared" si="185"/>
        <v/>
      </c>
      <c r="CD268" s="179" t="str">
        <f t="shared" si="186"/>
        <v/>
      </c>
      <c r="CE268" s="179" t="str">
        <f t="shared" si="187"/>
        <v/>
      </c>
      <c r="CF268" s="179" t="str">
        <f t="shared" si="188"/>
        <v/>
      </c>
      <c r="CG268" s="179" t="str">
        <f t="shared" si="189"/>
        <v/>
      </c>
      <c r="CH268" s="166"/>
      <c r="CI268" s="166"/>
      <c r="CJ268" s="166"/>
      <c r="CK268" s="166" t="s">
        <v>150</v>
      </c>
      <c r="CL268" s="166"/>
    </row>
    <row r="269" spans="1:90" ht="14.25" customHeight="1" x14ac:dyDescent="0.25">
      <c r="A269" s="211">
        <v>259</v>
      </c>
      <c r="B269" s="219"/>
      <c r="C269" s="200"/>
      <c r="D269" s="145"/>
      <c r="E269" s="320" t="s">
        <v>93</v>
      </c>
      <c r="F269" s="209"/>
      <c r="G269" s="313"/>
      <c r="H269" s="313"/>
      <c r="I269" s="313"/>
      <c r="J269" s="313"/>
      <c r="K269" s="313"/>
      <c r="L269" s="313"/>
      <c r="M269" s="339"/>
      <c r="N269" s="233">
        <f t="shared" ref="N269:N332" si="190">SUM(F269:L269)</f>
        <v>0</v>
      </c>
      <c r="O269" s="306"/>
      <c r="P269" s="342"/>
      <c r="Q269" s="307"/>
      <c r="R269" s="323" t="s">
        <v>67</v>
      </c>
      <c r="S269" s="209"/>
      <c r="T269" s="313"/>
      <c r="U269" s="313"/>
      <c r="V269" s="313"/>
      <c r="W269" s="313"/>
      <c r="X269" s="313"/>
      <c r="Y269" s="125"/>
      <c r="Z269" s="339"/>
      <c r="AA269" s="233">
        <f t="shared" ref="AA269:AA332" si="191">SUM(S269:Y269)</f>
        <v>0</v>
      </c>
      <c r="AB269" s="314">
        <f t="shared" si="168"/>
        <v>0</v>
      </c>
      <c r="AC269" s="314"/>
      <c r="AD269" s="314">
        <f t="shared" si="169"/>
        <v>0</v>
      </c>
      <c r="AE269" s="323" t="s">
        <v>87</v>
      </c>
      <c r="AF269" s="81"/>
      <c r="AG269" s="335"/>
      <c r="AH269" s="335"/>
      <c r="AI269" s="335"/>
      <c r="AJ269" s="335"/>
      <c r="AK269" s="335"/>
      <c r="AL269" s="336"/>
      <c r="AM269" s="353"/>
      <c r="AN269" s="22">
        <f t="shared" ref="AN269:AN332" si="192">SUM(AF269:AL269)</f>
        <v>0</v>
      </c>
      <c r="AO269" s="209">
        <f t="shared" si="170"/>
        <v>0</v>
      </c>
      <c r="AP269" s="339"/>
      <c r="AQ269" s="125">
        <f t="shared" si="171"/>
        <v>0</v>
      </c>
      <c r="AR269" s="104"/>
      <c r="AS269" s="217"/>
      <c r="AT269" s="216"/>
      <c r="AU269" s="230"/>
      <c r="AV269" s="220"/>
      <c r="AW269" s="230"/>
      <c r="AX269" s="220"/>
      <c r="AY269" s="230"/>
      <c r="AZ269" s="220"/>
      <c r="BA269" s="17">
        <f t="shared" si="162"/>
        <v>2.69E-5</v>
      </c>
      <c r="BB269" s="17">
        <f t="shared" si="163"/>
        <v>0</v>
      </c>
      <c r="BC269" s="17"/>
      <c r="BD269" s="178">
        <v>260</v>
      </c>
      <c r="BE269" s="214">
        <f t="shared" si="172"/>
        <v>1.6799999999999998E-5</v>
      </c>
      <c r="BF269" s="178">
        <f t="shared" si="164"/>
        <v>0</v>
      </c>
      <c r="BG269" s="245">
        <f t="shared" si="165"/>
        <v>2.69E-5</v>
      </c>
      <c r="BH269" s="17">
        <f t="shared" si="173"/>
        <v>0</v>
      </c>
      <c r="BI269" s="178">
        <v>260</v>
      </c>
      <c r="BJ269" s="87">
        <f t="shared" si="174"/>
        <v>1.5099999999999999E-5</v>
      </c>
      <c r="BK269" s="215">
        <f t="shared" si="166"/>
        <v>0</v>
      </c>
      <c r="BL269" s="245">
        <f t="shared" si="175"/>
        <v>2.69E-5</v>
      </c>
      <c r="BM269" s="17">
        <f t="shared" si="176"/>
        <v>0</v>
      </c>
      <c r="BN269" s="178">
        <v>260</v>
      </c>
      <c r="BO269" s="87">
        <f t="shared" si="177"/>
        <v>1.5099999999999999E-5</v>
      </c>
      <c r="BP269" s="215">
        <f t="shared" si="167"/>
        <v>0</v>
      </c>
      <c r="BR269" s="126"/>
      <c r="BS269" s="126"/>
      <c r="BU269" s="178"/>
      <c r="BV269" s="179" t="str">
        <f t="shared" si="178"/>
        <v/>
      </c>
      <c r="BW269" s="179" t="str">
        <f t="shared" si="179"/>
        <v/>
      </c>
      <c r="BX269" s="179" t="str">
        <f t="shared" si="180"/>
        <v/>
      </c>
      <c r="BY269" s="179" t="str">
        <f t="shared" si="181"/>
        <v/>
      </c>
      <c r="BZ269" s="179" t="str">
        <f t="shared" si="182"/>
        <v/>
      </c>
      <c r="CA269" s="179" t="str">
        <f t="shared" si="183"/>
        <v/>
      </c>
      <c r="CB269" s="179" t="str">
        <f t="shared" si="184"/>
        <v/>
      </c>
      <c r="CC269" s="179" t="str">
        <f t="shared" si="185"/>
        <v/>
      </c>
      <c r="CD269" s="179" t="str">
        <f t="shared" si="186"/>
        <v/>
      </c>
      <c r="CE269" s="179" t="str">
        <f t="shared" si="187"/>
        <v/>
      </c>
      <c r="CF269" s="179" t="str">
        <f t="shared" si="188"/>
        <v/>
      </c>
      <c r="CG269" s="179" t="str">
        <f t="shared" si="189"/>
        <v/>
      </c>
      <c r="CH269" s="166"/>
      <c r="CI269" s="166"/>
      <c r="CJ269" s="166"/>
      <c r="CK269" s="166" t="s">
        <v>150</v>
      </c>
      <c r="CL269" s="166"/>
    </row>
    <row r="270" spans="1:90" ht="14.25" customHeight="1" thickBot="1" x14ac:dyDescent="0.3">
      <c r="A270" s="213">
        <v>260</v>
      </c>
      <c r="B270" s="88"/>
      <c r="C270" s="201"/>
      <c r="D270" s="94"/>
      <c r="E270" s="321" t="s">
        <v>93</v>
      </c>
      <c r="F270" s="96"/>
      <c r="G270" s="100"/>
      <c r="H270" s="100"/>
      <c r="I270" s="100"/>
      <c r="J270" s="100"/>
      <c r="K270" s="100"/>
      <c r="L270" s="100"/>
      <c r="M270" s="210"/>
      <c r="N270" s="234">
        <f t="shared" si="190"/>
        <v>0</v>
      </c>
      <c r="O270" s="308"/>
      <c r="P270" s="343"/>
      <c r="Q270" s="309"/>
      <c r="R270" s="324" t="s">
        <v>67</v>
      </c>
      <c r="S270" s="96"/>
      <c r="T270" s="100"/>
      <c r="U270" s="100"/>
      <c r="V270" s="100"/>
      <c r="W270" s="100"/>
      <c r="X270" s="100"/>
      <c r="Y270" s="97"/>
      <c r="Z270" s="210"/>
      <c r="AA270" s="234">
        <f t="shared" si="191"/>
        <v>0</v>
      </c>
      <c r="AB270" s="314">
        <f t="shared" si="168"/>
        <v>0</v>
      </c>
      <c r="AC270" s="314"/>
      <c r="AD270" s="314">
        <f t="shared" si="169"/>
        <v>0</v>
      </c>
      <c r="AE270" s="324" t="s">
        <v>87</v>
      </c>
      <c r="AF270" s="82"/>
      <c r="AG270" s="337"/>
      <c r="AH270" s="337"/>
      <c r="AI270" s="337"/>
      <c r="AJ270" s="337"/>
      <c r="AK270" s="337"/>
      <c r="AL270" s="338"/>
      <c r="AM270" s="354"/>
      <c r="AN270" s="91">
        <f t="shared" si="192"/>
        <v>0</v>
      </c>
      <c r="AO270" s="96">
        <f t="shared" si="170"/>
        <v>0</v>
      </c>
      <c r="AP270" s="210"/>
      <c r="AQ270" s="97">
        <f t="shared" si="171"/>
        <v>0</v>
      </c>
      <c r="AR270" s="105"/>
      <c r="AS270" s="102"/>
      <c r="AT270" s="237"/>
      <c r="AU270" s="231"/>
      <c r="AV270" s="93"/>
      <c r="AW270" s="231"/>
      <c r="AX270" s="93"/>
      <c r="AY270" s="231"/>
      <c r="AZ270" s="93"/>
      <c r="BA270" s="17">
        <f t="shared" si="162"/>
        <v>2.6999999999999999E-5</v>
      </c>
      <c r="BB270" s="17">
        <f t="shared" si="163"/>
        <v>0</v>
      </c>
      <c r="BC270" s="17"/>
      <c r="BD270" s="178">
        <v>261</v>
      </c>
      <c r="BE270" s="214">
        <f t="shared" si="172"/>
        <v>1.6699999999999999E-5</v>
      </c>
      <c r="BF270" s="178">
        <f t="shared" si="164"/>
        <v>0</v>
      </c>
      <c r="BG270" s="245">
        <f t="shared" si="165"/>
        <v>2.6999999999999999E-5</v>
      </c>
      <c r="BH270" s="17">
        <f t="shared" si="173"/>
        <v>0</v>
      </c>
      <c r="BI270" s="178">
        <v>261</v>
      </c>
      <c r="BJ270" s="87">
        <f t="shared" si="174"/>
        <v>1.4999999999999999E-5</v>
      </c>
      <c r="BK270" s="215">
        <f t="shared" si="166"/>
        <v>0</v>
      </c>
      <c r="BL270" s="245">
        <f t="shared" si="175"/>
        <v>2.6999999999999999E-5</v>
      </c>
      <c r="BM270" s="17">
        <f t="shared" si="176"/>
        <v>0</v>
      </c>
      <c r="BN270" s="178">
        <v>261</v>
      </c>
      <c r="BO270" s="87">
        <f t="shared" si="177"/>
        <v>1.4999999999999999E-5</v>
      </c>
      <c r="BP270" s="215">
        <f t="shared" si="167"/>
        <v>0</v>
      </c>
      <c r="BR270" s="126"/>
      <c r="BS270" s="126"/>
      <c r="BU270" s="178"/>
      <c r="BV270" s="179" t="str">
        <f t="shared" si="178"/>
        <v/>
      </c>
      <c r="BW270" s="179" t="str">
        <f t="shared" si="179"/>
        <v/>
      </c>
      <c r="BX270" s="179" t="str">
        <f t="shared" si="180"/>
        <v/>
      </c>
      <c r="BY270" s="179" t="str">
        <f t="shared" si="181"/>
        <v/>
      </c>
      <c r="BZ270" s="179" t="str">
        <f t="shared" si="182"/>
        <v/>
      </c>
      <c r="CA270" s="179" t="str">
        <f t="shared" si="183"/>
        <v/>
      </c>
      <c r="CB270" s="179" t="str">
        <f t="shared" si="184"/>
        <v/>
      </c>
      <c r="CC270" s="179" t="str">
        <f t="shared" si="185"/>
        <v/>
      </c>
      <c r="CD270" s="179" t="str">
        <f t="shared" si="186"/>
        <v/>
      </c>
      <c r="CE270" s="179" t="str">
        <f t="shared" si="187"/>
        <v/>
      </c>
      <c r="CF270" s="179" t="str">
        <f t="shared" si="188"/>
        <v/>
      </c>
      <c r="CG270" s="179" t="str">
        <f t="shared" si="189"/>
        <v/>
      </c>
      <c r="CH270" s="166"/>
      <c r="CI270" s="166"/>
      <c r="CJ270" s="166"/>
      <c r="CK270" s="166" t="s">
        <v>150</v>
      </c>
      <c r="CL270" s="166"/>
    </row>
    <row r="271" spans="1:90" ht="14.25" customHeight="1" x14ac:dyDescent="0.25">
      <c r="A271" s="211">
        <v>261</v>
      </c>
      <c r="B271" s="89"/>
      <c r="C271" s="199"/>
      <c r="D271" s="146"/>
      <c r="E271" s="319" t="s">
        <v>93</v>
      </c>
      <c r="F271" s="221"/>
      <c r="G271" s="222"/>
      <c r="H271" s="222"/>
      <c r="I271" s="222"/>
      <c r="J271" s="222"/>
      <c r="K271" s="222"/>
      <c r="L271" s="222"/>
      <c r="M271" s="331"/>
      <c r="N271" s="303">
        <f t="shared" si="190"/>
        <v>0</v>
      </c>
      <c r="O271" s="304"/>
      <c r="P271" s="341"/>
      <c r="Q271" s="305"/>
      <c r="R271" s="322" t="s">
        <v>67</v>
      </c>
      <c r="S271" s="326"/>
      <c r="T271" s="327"/>
      <c r="U271" s="327"/>
      <c r="V271" s="327"/>
      <c r="W271" s="327"/>
      <c r="X271" s="327"/>
      <c r="Y271" s="95"/>
      <c r="Z271" s="331"/>
      <c r="AA271" s="303">
        <f t="shared" si="191"/>
        <v>0</v>
      </c>
      <c r="AB271" s="314">
        <f t="shared" si="168"/>
        <v>0</v>
      </c>
      <c r="AC271" s="314"/>
      <c r="AD271" s="314">
        <f t="shared" si="169"/>
        <v>0</v>
      </c>
      <c r="AE271" s="325" t="s">
        <v>148</v>
      </c>
      <c r="AF271" s="15"/>
      <c r="AG271" s="232"/>
      <c r="AH271" s="232"/>
      <c r="AI271" s="232"/>
      <c r="AJ271" s="232"/>
      <c r="AK271" s="232"/>
      <c r="AL271" s="7"/>
      <c r="AM271" s="352"/>
      <c r="AN271" s="22">
        <f t="shared" si="192"/>
        <v>0</v>
      </c>
      <c r="AO271" s="15">
        <f t="shared" si="170"/>
        <v>0</v>
      </c>
      <c r="AP271" s="345"/>
      <c r="AQ271" s="7">
        <f t="shared" si="171"/>
        <v>0</v>
      </c>
      <c r="AR271" s="103"/>
      <c r="AS271" s="101"/>
      <c r="AT271" s="236"/>
      <c r="AU271" s="235"/>
      <c r="AV271" s="92"/>
      <c r="AW271" s="235"/>
      <c r="AX271" s="92"/>
      <c r="AY271" s="235"/>
      <c r="AZ271" s="92"/>
      <c r="BA271" s="17">
        <f t="shared" si="162"/>
        <v>2.7099999999999998E-5</v>
      </c>
      <c r="BB271" s="17">
        <f t="shared" si="163"/>
        <v>0</v>
      </c>
      <c r="BC271" s="17"/>
      <c r="BD271" s="178">
        <v>262</v>
      </c>
      <c r="BE271" s="214">
        <f t="shared" si="172"/>
        <v>1.66E-5</v>
      </c>
      <c r="BF271" s="178">
        <f t="shared" si="164"/>
        <v>0</v>
      </c>
      <c r="BG271" s="245">
        <f t="shared" si="165"/>
        <v>2.7099999999999998E-5</v>
      </c>
      <c r="BH271" s="17">
        <f t="shared" si="173"/>
        <v>0</v>
      </c>
      <c r="BI271" s="178">
        <v>262</v>
      </c>
      <c r="BJ271" s="87">
        <f t="shared" si="174"/>
        <v>1.49E-5</v>
      </c>
      <c r="BK271" s="215">
        <f t="shared" si="166"/>
        <v>0</v>
      </c>
      <c r="BL271" s="245">
        <f t="shared" si="175"/>
        <v>2.7099999999999998E-5</v>
      </c>
      <c r="BM271" s="17">
        <f t="shared" si="176"/>
        <v>0</v>
      </c>
      <c r="BN271" s="178">
        <v>262</v>
      </c>
      <c r="BO271" s="87">
        <f t="shared" si="177"/>
        <v>1.49E-5</v>
      </c>
      <c r="BP271" s="215">
        <f t="shared" si="167"/>
        <v>0</v>
      </c>
      <c r="BR271" s="126"/>
      <c r="BS271" s="126"/>
      <c r="BU271" s="178"/>
      <c r="BV271" s="179" t="str">
        <f t="shared" si="178"/>
        <v/>
      </c>
      <c r="BW271" s="179" t="str">
        <f t="shared" si="179"/>
        <v/>
      </c>
      <c r="BX271" s="179" t="str">
        <f t="shared" si="180"/>
        <v/>
      </c>
      <c r="BY271" s="179" t="str">
        <f t="shared" si="181"/>
        <v/>
      </c>
      <c r="BZ271" s="179" t="str">
        <f t="shared" si="182"/>
        <v/>
      </c>
      <c r="CA271" s="179" t="str">
        <f t="shared" si="183"/>
        <v/>
      </c>
      <c r="CB271" s="179" t="str">
        <f t="shared" si="184"/>
        <v/>
      </c>
      <c r="CC271" s="179" t="str">
        <f t="shared" si="185"/>
        <v/>
      </c>
      <c r="CD271" s="179" t="str">
        <f t="shared" si="186"/>
        <v/>
      </c>
      <c r="CE271" s="179" t="str">
        <f t="shared" si="187"/>
        <v/>
      </c>
      <c r="CF271" s="179" t="str">
        <f t="shared" si="188"/>
        <v/>
      </c>
      <c r="CG271" s="179" t="str">
        <f t="shared" si="189"/>
        <v/>
      </c>
      <c r="CH271" s="166"/>
      <c r="CI271" s="166"/>
      <c r="CJ271" s="166"/>
      <c r="CK271" s="166" t="s">
        <v>150</v>
      </c>
      <c r="CL271" s="166"/>
    </row>
    <row r="272" spans="1:90" ht="14.25" customHeight="1" thickBot="1" x14ac:dyDescent="0.3">
      <c r="A272" s="213">
        <v>262</v>
      </c>
      <c r="B272" s="219"/>
      <c r="C272" s="200"/>
      <c r="D272" s="145"/>
      <c r="E272" s="320" t="s">
        <v>93</v>
      </c>
      <c r="F272" s="209"/>
      <c r="G272" s="313"/>
      <c r="H272" s="313"/>
      <c r="I272" s="313"/>
      <c r="J272" s="313"/>
      <c r="K272" s="313"/>
      <c r="L272" s="313"/>
      <c r="M272" s="339"/>
      <c r="N272" s="233">
        <f t="shared" si="190"/>
        <v>0</v>
      </c>
      <c r="O272" s="306"/>
      <c r="P272" s="342"/>
      <c r="Q272" s="307"/>
      <c r="R272" s="323" t="s">
        <v>67</v>
      </c>
      <c r="S272" s="209"/>
      <c r="T272" s="313"/>
      <c r="U272" s="313"/>
      <c r="V272" s="313"/>
      <c r="W272" s="313"/>
      <c r="X272" s="313"/>
      <c r="Y272" s="125"/>
      <c r="Z272" s="339"/>
      <c r="AA272" s="233">
        <f t="shared" si="191"/>
        <v>0</v>
      </c>
      <c r="AB272" s="314">
        <f t="shared" si="168"/>
        <v>0</v>
      </c>
      <c r="AC272" s="314"/>
      <c r="AD272" s="314">
        <f t="shared" si="169"/>
        <v>0</v>
      </c>
      <c r="AE272" s="323" t="s">
        <v>87</v>
      </c>
      <c r="AF272" s="81"/>
      <c r="AG272" s="335"/>
      <c r="AH272" s="335"/>
      <c r="AI272" s="335"/>
      <c r="AJ272" s="335"/>
      <c r="AK272" s="335"/>
      <c r="AL272" s="336"/>
      <c r="AM272" s="353"/>
      <c r="AN272" s="22">
        <f t="shared" si="192"/>
        <v>0</v>
      </c>
      <c r="AO272" s="209">
        <f t="shared" si="170"/>
        <v>0</v>
      </c>
      <c r="AP272" s="339"/>
      <c r="AQ272" s="125">
        <f t="shared" si="171"/>
        <v>0</v>
      </c>
      <c r="AR272" s="104"/>
      <c r="AS272" s="217"/>
      <c r="AT272" s="216"/>
      <c r="AU272" s="230"/>
      <c r="AV272" s="220"/>
      <c r="AW272" s="230"/>
      <c r="AX272" s="220"/>
      <c r="AY272" s="230"/>
      <c r="AZ272" s="220"/>
      <c r="BA272" s="17">
        <f t="shared" si="162"/>
        <v>2.7199999999999997E-5</v>
      </c>
      <c r="BB272" s="17">
        <f t="shared" si="163"/>
        <v>0</v>
      </c>
      <c r="BC272" s="17"/>
      <c r="BD272" s="178">
        <v>263</v>
      </c>
      <c r="BE272" s="214">
        <f t="shared" si="172"/>
        <v>1.6499999999999998E-5</v>
      </c>
      <c r="BF272" s="178">
        <f t="shared" si="164"/>
        <v>0</v>
      </c>
      <c r="BG272" s="245">
        <f t="shared" si="165"/>
        <v>2.7199999999999997E-5</v>
      </c>
      <c r="BH272" s="17">
        <f t="shared" si="173"/>
        <v>0</v>
      </c>
      <c r="BI272" s="178">
        <v>263</v>
      </c>
      <c r="BJ272" s="87">
        <f t="shared" si="174"/>
        <v>1.4799999999999999E-5</v>
      </c>
      <c r="BK272" s="215">
        <f t="shared" si="166"/>
        <v>0</v>
      </c>
      <c r="BL272" s="245">
        <f t="shared" si="175"/>
        <v>2.7199999999999997E-5</v>
      </c>
      <c r="BM272" s="17">
        <f t="shared" si="176"/>
        <v>0</v>
      </c>
      <c r="BN272" s="178">
        <v>263</v>
      </c>
      <c r="BO272" s="87">
        <f t="shared" si="177"/>
        <v>1.4799999999999999E-5</v>
      </c>
      <c r="BP272" s="215">
        <f t="shared" si="167"/>
        <v>0</v>
      </c>
      <c r="BR272" s="126"/>
      <c r="BS272" s="126"/>
      <c r="BU272" s="178"/>
      <c r="BV272" s="179" t="str">
        <f t="shared" si="178"/>
        <v/>
      </c>
      <c r="BW272" s="179" t="str">
        <f t="shared" si="179"/>
        <v/>
      </c>
      <c r="BX272" s="179" t="str">
        <f t="shared" si="180"/>
        <v/>
      </c>
      <c r="BY272" s="179" t="str">
        <f t="shared" si="181"/>
        <v/>
      </c>
      <c r="BZ272" s="179" t="str">
        <f t="shared" si="182"/>
        <v/>
      </c>
      <c r="CA272" s="179" t="str">
        <f t="shared" si="183"/>
        <v/>
      </c>
      <c r="CB272" s="179" t="str">
        <f t="shared" si="184"/>
        <v/>
      </c>
      <c r="CC272" s="179" t="str">
        <f t="shared" si="185"/>
        <v/>
      </c>
      <c r="CD272" s="179" t="str">
        <f t="shared" si="186"/>
        <v/>
      </c>
      <c r="CE272" s="179" t="str">
        <f t="shared" si="187"/>
        <v/>
      </c>
      <c r="CF272" s="179" t="str">
        <f t="shared" si="188"/>
        <v/>
      </c>
      <c r="CG272" s="179" t="str">
        <f t="shared" si="189"/>
        <v/>
      </c>
      <c r="CH272" s="166"/>
      <c r="CI272" s="166"/>
      <c r="CJ272" s="166"/>
      <c r="CK272" s="166" t="s">
        <v>150</v>
      </c>
      <c r="CL272" s="166"/>
    </row>
    <row r="273" spans="1:90" ht="14.25" customHeight="1" thickBot="1" x14ac:dyDescent="0.3">
      <c r="A273" s="211">
        <v>263</v>
      </c>
      <c r="B273" s="88"/>
      <c r="C273" s="201"/>
      <c r="D273" s="94"/>
      <c r="E273" s="321" t="s">
        <v>93</v>
      </c>
      <c r="F273" s="96"/>
      <c r="G273" s="100"/>
      <c r="H273" s="100"/>
      <c r="I273" s="100"/>
      <c r="J273" s="100"/>
      <c r="K273" s="100"/>
      <c r="L273" s="100"/>
      <c r="M273" s="210"/>
      <c r="N273" s="234">
        <f t="shared" si="190"/>
        <v>0</v>
      </c>
      <c r="O273" s="308"/>
      <c r="P273" s="343"/>
      <c r="Q273" s="309"/>
      <c r="R273" s="324" t="s">
        <v>67</v>
      </c>
      <c r="S273" s="96"/>
      <c r="T273" s="100"/>
      <c r="U273" s="100"/>
      <c r="V273" s="100"/>
      <c r="W273" s="100"/>
      <c r="X273" s="100"/>
      <c r="Y273" s="97"/>
      <c r="Z273" s="210"/>
      <c r="AA273" s="234">
        <f t="shared" si="191"/>
        <v>0</v>
      </c>
      <c r="AB273" s="314">
        <f t="shared" si="168"/>
        <v>0</v>
      </c>
      <c r="AC273" s="314"/>
      <c r="AD273" s="314">
        <f t="shared" si="169"/>
        <v>0</v>
      </c>
      <c r="AE273" s="324" t="s">
        <v>87</v>
      </c>
      <c r="AF273" s="82"/>
      <c r="AG273" s="337"/>
      <c r="AH273" s="337"/>
      <c r="AI273" s="337"/>
      <c r="AJ273" s="337"/>
      <c r="AK273" s="337"/>
      <c r="AL273" s="338"/>
      <c r="AM273" s="354"/>
      <c r="AN273" s="91">
        <f t="shared" si="192"/>
        <v>0</v>
      </c>
      <c r="AO273" s="96">
        <f t="shared" si="170"/>
        <v>0</v>
      </c>
      <c r="AP273" s="210"/>
      <c r="AQ273" s="97">
        <f t="shared" si="171"/>
        <v>0</v>
      </c>
      <c r="AR273" s="105"/>
      <c r="AS273" s="102"/>
      <c r="AT273" s="237"/>
      <c r="AU273" s="231"/>
      <c r="AV273" s="93"/>
      <c r="AW273" s="231"/>
      <c r="AX273" s="93"/>
      <c r="AY273" s="231"/>
      <c r="AZ273" s="93"/>
      <c r="BA273" s="17">
        <f t="shared" si="162"/>
        <v>2.73E-5</v>
      </c>
      <c r="BB273" s="17">
        <f t="shared" si="163"/>
        <v>0</v>
      </c>
      <c r="BC273" s="17"/>
      <c r="BD273" s="178">
        <v>264</v>
      </c>
      <c r="BE273" s="214">
        <f t="shared" si="172"/>
        <v>1.6399999999999999E-5</v>
      </c>
      <c r="BF273" s="178">
        <f t="shared" si="164"/>
        <v>0</v>
      </c>
      <c r="BG273" s="245">
        <f t="shared" si="165"/>
        <v>2.73E-5</v>
      </c>
      <c r="BH273" s="17">
        <f t="shared" si="173"/>
        <v>0</v>
      </c>
      <c r="BI273" s="178">
        <v>264</v>
      </c>
      <c r="BJ273" s="87">
        <f t="shared" si="174"/>
        <v>1.47E-5</v>
      </c>
      <c r="BK273" s="215">
        <f t="shared" si="166"/>
        <v>0</v>
      </c>
      <c r="BL273" s="245">
        <f t="shared" si="175"/>
        <v>2.73E-5</v>
      </c>
      <c r="BM273" s="17">
        <f t="shared" si="176"/>
        <v>0</v>
      </c>
      <c r="BN273" s="178">
        <v>264</v>
      </c>
      <c r="BO273" s="87">
        <f t="shared" si="177"/>
        <v>1.47E-5</v>
      </c>
      <c r="BP273" s="215">
        <f t="shared" si="167"/>
        <v>0</v>
      </c>
      <c r="BR273" s="126"/>
      <c r="BS273" s="126"/>
      <c r="BU273" s="178"/>
      <c r="BV273" s="179" t="str">
        <f t="shared" si="178"/>
        <v/>
      </c>
      <c r="BW273" s="179" t="str">
        <f t="shared" si="179"/>
        <v/>
      </c>
      <c r="BX273" s="179" t="str">
        <f t="shared" si="180"/>
        <v/>
      </c>
      <c r="BY273" s="179" t="str">
        <f t="shared" si="181"/>
        <v/>
      </c>
      <c r="BZ273" s="179" t="str">
        <f t="shared" si="182"/>
        <v/>
      </c>
      <c r="CA273" s="179" t="str">
        <f t="shared" si="183"/>
        <v/>
      </c>
      <c r="CB273" s="179" t="str">
        <f t="shared" si="184"/>
        <v/>
      </c>
      <c r="CC273" s="179" t="str">
        <f t="shared" si="185"/>
        <v/>
      </c>
      <c r="CD273" s="179" t="str">
        <f t="shared" si="186"/>
        <v/>
      </c>
      <c r="CE273" s="179" t="str">
        <f t="shared" si="187"/>
        <v/>
      </c>
      <c r="CF273" s="179" t="str">
        <f t="shared" si="188"/>
        <v/>
      </c>
      <c r="CG273" s="179" t="str">
        <f t="shared" si="189"/>
        <v/>
      </c>
      <c r="CH273" s="166"/>
      <c r="CI273" s="166"/>
      <c r="CJ273" s="166"/>
      <c r="CK273" s="166" t="s">
        <v>150</v>
      </c>
      <c r="CL273" s="166"/>
    </row>
    <row r="274" spans="1:90" ht="14.25" customHeight="1" thickBot="1" x14ac:dyDescent="0.3">
      <c r="A274" s="213">
        <v>264</v>
      </c>
      <c r="B274" s="89"/>
      <c r="C274" s="199"/>
      <c r="D274" s="146"/>
      <c r="E274" s="319" t="s">
        <v>93</v>
      </c>
      <c r="F274" s="221"/>
      <c r="G274" s="222"/>
      <c r="H274" s="222"/>
      <c r="I274" s="222"/>
      <c r="J274" s="222"/>
      <c r="K274" s="222"/>
      <c r="L274" s="222"/>
      <c r="M274" s="331"/>
      <c r="N274" s="303">
        <f t="shared" si="190"/>
        <v>0</v>
      </c>
      <c r="O274" s="304"/>
      <c r="P274" s="341"/>
      <c r="Q274" s="305"/>
      <c r="R274" s="322" t="s">
        <v>67</v>
      </c>
      <c r="S274" s="326"/>
      <c r="T274" s="327"/>
      <c r="U274" s="327"/>
      <c r="V274" s="327"/>
      <c r="W274" s="327"/>
      <c r="X274" s="327"/>
      <c r="Y274" s="95"/>
      <c r="Z274" s="331"/>
      <c r="AA274" s="303">
        <f t="shared" si="191"/>
        <v>0</v>
      </c>
      <c r="AB274" s="314">
        <f t="shared" si="168"/>
        <v>0</v>
      </c>
      <c r="AC274" s="314"/>
      <c r="AD274" s="314">
        <f t="shared" si="169"/>
        <v>0</v>
      </c>
      <c r="AE274" s="325" t="s">
        <v>148</v>
      </c>
      <c r="AF274" s="15"/>
      <c r="AG274" s="232"/>
      <c r="AH274" s="232"/>
      <c r="AI274" s="232"/>
      <c r="AJ274" s="232"/>
      <c r="AK274" s="232"/>
      <c r="AL274" s="7"/>
      <c r="AM274" s="352"/>
      <c r="AN274" s="22">
        <f t="shared" si="192"/>
        <v>0</v>
      </c>
      <c r="AO274" s="15">
        <f t="shared" si="170"/>
        <v>0</v>
      </c>
      <c r="AP274" s="345"/>
      <c r="AQ274" s="7">
        <f t="shared" si="171"/>
        <v>0</v>
      </c>
      <c r="AR274" s="103"/>
      <c r="AS274" s="101"/>
      <c r="AT274" s="236"/>
      <c r="AU274" s="235"/>
      <c r="AV274" s="92"/>
      <c r="AW274" s="235"/>
      <c r="AX274" s="92"/>
      <c r="AY274" s="235"/>
      <c r="AZ274" s="92"/>
      <c r="BA274" s="17">
        <f t="shared" si="162"/>
        <v>2.7399999999999999E-5</v>
      </c>
      <c r="BB274" s="17">
        <f t="shared" si="163"/>
        <v>0</v>
      </c>
      <c r="BC274" s="17"/>
      <c r="BD274" s="178">
        <v>265</v>
      </c>
      <c r="BE274" s="214">
        <f t="shared" si="172"/>
        <v>1.63E-5</v>
      </c>
      <c r="BF274" s="178">
        <f t="shared" si="164"/>
        <v>0</v>
      </c>
      <c r="BG274" s="245">
        <f t="shared" si="165"/>
        <v>2.7399999999999999E-5</v>
      </c>
      <c r="BH274" s="17">
        <f t="shared" si="173"/>
        <v>0</v>
      </c>
      <c r="BI274" s="178">
        <v>265</v>
      </c>
      <c r="BJ274" s="87">
        <f t="shared" si="174"/>
        <v>1.4599999999999999E-5</v>
      </c>
      <c r="BK274" s="215">
        <f t="shared" si="166"/>
        <v>0</v>
      </c>
      <c r="BL274" s="245">
        <f t="shared" si="175"/>
        <v>2.7399999999999999E-5</v>
      </c>
      <c r="BM274" s="17">
        <f t="shared" si="176"/>
        <v>0</v>
      </c>
      <c r="BN274" s="178">
        <v>265</v>
      </c>
      <c r="BO274" s="87">
        <f t="shared" si="177"/>
        <v>1.4599999999999999E-5</v>
      </c>
      <c r="BP274" s="215">
        <f t="shared" si="167"/>
        <v>0</v>
      </c>
      <c r="BR274" s="126"/>
      <c r="BS274" s="126"/>
      <c r="BU274" s="178"/>
      <c r="BV274" s="179" t="str">
        <f t="shared" si="178"/>
        <v/>
      </c>
      <c r="BW274" s="179" t="str">
        <f t="shared" si="179"/>
        <v/>
      </c>
      <c r="BX274" s="179" t="str">
        <f t="shared" si="180"/>
        <v/>
      </c>
      <c r="BY274" s="179" t="str">
        <f t="shared" si="181"/>
        <v/>
      </c>
      <c r="BZ274" s="179" t="str">
        <f t="shared" si="182"/>
        <v/>
      </c>
      <c r="CA274" s="179" t="str">
        <f t="shared" si="183"/>
        <v/>
      </c>
      <c r="CB274" s="179" t="str">
        <f t="shared" si="184"/>
        <v/>
      </c>
      <c r="CC274" s="179" t="str">
        <f t="shared" si="185"/>
        <v/>
      </c>
      <c r="CD274" s="179" t="str">
        <f t="shared" si="186"/>
        <v/>
      </c>
      <c r="CE274" s="179" t="str">
        <f t="shared" si="187"/>
        <v/>
      </c>
      <c r="CF274" s="179" t="str">
        <f t="shared" si="188"/>
        <v/>
      </c>
      <c r="CG274" s="179" t="str">
        <f t="shared" si="189"/>
        <v/>
      </c>
      <c r="CH274" s="166"/>
      <c r="CI274" s="166"/>
      <c r="CJ274" s="166"/>
      <c r="CK274" s="166" t="s">
        <v>150</v>
      </c>
      <c r="CL274" s="166"/>
    </row>
    <row r="275" spans="1:90" ht="14.25" customHeight="1" x14ac:dyDescent="0.25">
      <c r="A275" s="211">
        <v>265</v>
      </c>
      <c r="B275" s="219"/>
      <c r="C275" s="200"/>
      <c r="D275" s="145"/>
      <c r="E275" s="320" t="s">
        <v>93</v>
      </c>
      <c r="F275" s="209"/>
      <c r="G275" s="313"/>
      <c r="H275" s="313"/>
      <c r="I275" s="313"/>
      <c r="J275" s="313"/>
      <c r="K275" s="313"/>
      <c r="L275" s="313"/>
      <c r="M275" s="339"/>
      <c r="N275" s="233">
        <f t="shared" si="190"/>
        <v>0</v>
      </c>
      <c r="O275" s="306"/>
      <c r="P275" s="342"/>
      <c r="Q275" s="307"/>
      <c r="R275" s="323" t="s">
        <v>67</v>
      </c>
      <c r="S275" s="209"/>
      <c r="T275" s="313"/>
      <c r="U275" s="313"/>
      <c r="V275" s="313"/>
      <c r="W275" s="313"/>
      <c r="X275" s="313"/>
      <c r="Y275" s="125"/>
      <c r="Z275" s="339"/>
      <c r="AA275" s="233">
        <f t="shared" si="191"/>
        <v>0</v>
      </c>
      <c r="AB275" s="314">
        <f t="shared" si="168"/>
        <v>0</v>
      </c>
      <c r="AC275" s="314"/>
      <c r="AD275" s="314">
        <f t="shared" si="169"/>
        <v>0</v>
      </c>
      <c r="AE275" s="323" t="s">
        <v>87</v>
      </c>
      <c r="AF275" s="81"/>
      <c r="AG275" s="335"/>
      <c r="AH275" s="335"/>
      <c r="AI275" s="335"/>
      <c r="AJ275" s="335"/>
      <c r="AK275" s="335"/>
      <c r="AL275" s="336"/>
      <c r="AM275" s="353"/>
      <c r="AN275" s="22">
        <f t="shared" si="192"/>
        <v>0</v>
      </c>
      <c r="AO275" s="209">
        <f t="shared" si="170"/>
        <v>0</v>
      </c>
      <c r="AP275" s="339"/>
      <c r="AQ275" s="125">
        <f t="shared" si="171"/>
        <v>0</v>
      </c>
      <c r="AR275" s="104"/>
      <c r="AS275" s="217"/>
      <c r="AT275" s="216"/>
      <c r="AU275" s="230"/>
      <c r="AV275" s="220"/>
      <c r="AW275" s="230"/>
      <c r="AX275" s="220"/>
      <c r="AY275" s="230"/>
      <c r="AZ275" s="220"/>
      <c r="BA275" s="17">
        <f t="shared" si="162"/>
        <v>2.7499999999999998E-5</v>
      </c>
      <c r="BB275" s="17">
        <f t="shared" si="163"/>
        <v>0</v>
      </c>
      <c r="BC275" s="17"/>
      <c r="BD275" s="178">
        <v>266</v>
      </c>
      <c r="BE275" s="214">
        <f t="shared" si="172"/>
        <v>1.6200000000000001E-5</v>
      </c>
      <c r="BF275" s="178">
        <f t="shared" si="164"/>
        <v>0</v>
      </c>
      <c r="BG275" s="245">
        <f t="shared" si="165"/>
        <v>2.7499999999999998E-5</v>
      </c>
      <c r="BH275" s="17">
        <f t="shared" si="173"/>
        <v>0</v>
      </c>
      <c r="BI275" s="178">
        <v>266</v>
      </c>
      <c r="BJ275" s="87">
        <f t="shared" si="174"/>
        <v>1.45E-5</v>
      </c>
      <c r="BK275" s="215">
        <f t="shared" si="166"/>
        <v>0</v>
      </c>
      <c r="BL275" s="245">
        <f t="shared" si="175"/>
        <v>2.7499999999999998E-5</v>
      </c>
      <c r="BM275" s="17">
        <f t="shared" si="176"/>
        <v>0</v>
      </c>
      <c r="BN275" s="178">
        <v>266</v>
      </c>
      <c r="BO275" s="87">
        <f t="shared" si="177"/>
        <v>1.45E-5</v>
      </c>
      <c r="BP275" s="215">
        <f t="shared" si="167"/>
        <v>0</v>
      </c>
      <c r="BR275" s="126"/>
      <c r="BS275" s="126"/>
      <c r="BU275" s="178"/>
      <c r="BV275" s="179" t="str">
        <f t="shared" si="178"/>
        <v/>
      </c>
      <c r="BW275" s="179" t="str">
        <f t="shared" si="179"/>
        <v/>
      </c>
      <c r="BX275" s="179" t="str">
        <f t="shared" si="180"/>
        <v/>
      </c>
      <c r="BY275" s="179" t="str">
        <f t="shared" si="181"/>
        <v/>
      </c>
      <c r="BZ275" s="179" t="str">
        <f t="shared" si="182"/>
        <v/>
      </c>
      <c r="CA275" s="179" t="str">
        <f t="shared" si="183"/>
        <v/>
      </c>
      <c r="CB275" s="179" t="str">
        <f t="shared" si="184"/>
        <v/>
      </c>
      <c r="CC275" s="179" t="str">
        <f t="shared" si="185"/>
        <v/>
      </c>
      <c r="CD275" s="179" t="str">
        <f t="shared" si="186"/>
        <v/>
      </c>
      <c r="CE275" s="179" t="str">
        <f t="shared" si="187"/>
        <v/>
      </c>
      <c r="CF275" s="179" t="str">
        <f t="shared" si="188"/>
        <v/>
      </c>
      <c r="CG275" s="179" t="str">
        <f t="shared" si="189"/>
        <v/>
      </c>
      <c r="CH275" s="166"/>
      <c r="CI275" s="166"/>
      <c r="CJ275" s="166"/>
      <c r="CK275" s="166" t="s">
        <v>150</v>
      </c>
      <c r="CL275" s="166"/>
    </row>
    <row r="276" spans="1:90" ht="14.25" customHeight="1" thickBot="1" x14ac:dyDescent="0.3">
      <c r="A276" s="213">
        <v>266</v>
      </c>
      <c r="B276" s="88"/>
      <c r="C276" s="201"/>
      <c r="D276" s="94"/>
      <c r="E276" s="321" t="s">
        <v>93</v>
      </c>
      <c r="F276" s="96"/>
      <c r="G276" s="100"/>
      <c r="H276" s="100"/>
      <c r="I276" s="100"/>
      <c r="J276" s="100"/>
      <c r="K276" s="100"/>
      <c r="L276" s="100"/>
      <c r="M276" s="210"/>
      <c r="N276" s="234">
        <f t="shared" si="190"/>
        <v>0</v>
      </c>
      <c r="O276" s="308"/>
      <c r="P276" s="343"/>
      <c r="Q276" s="309"/>
      <c r="R276" s="324" t="s">
        <v>67</v>
      </c>
      <c r="S276" s="209">
        <f t="shared" ref="S276:S312" si="193">F276</f>
        <v>0</v>
      </c>
      <c r="T276" s="209">
        <f t="shared" ref="T276:T313" si="194">G276</f>
        <v>0</v>
      </c>
      <c r="U276" s="209"/>
      <c r="V276" s="209">
        <f t="shared" ref="V276:V313" si="195">I276</f>
        <v>0</v>
      </c>
      <c r="W276" s="209"/>
      <c r="X276" s="209">
        <f t="shared" ref="X276:X313" si="196">K276</f>
        <v>0</v>
      </c>
      <c r="Y276" s="209">
        <f t="shared" ref="Y276:Y313" si="197">L276</f>
        <v>0</v>
      </c>
      <c r="Z276" s="351"/>
      <c r="AA276" s="234">
        <f t="shared" si="191"/>
        <v>0</v>
      </c>
      <c r="AB276" s="314">
        <f t="shared" si="168"/>
        <v>0</v>
      </c>
      <c r="AC276" s="314"/>
      <c r="AD276" s="314">
        <f t="shared" si="169"/>
        <v>0</v>
      </c>
      <c r="AE276" s="324" t="s">
        <v>87</v>
      </c>
      <c r="AF276" s="82"/>
      <c r="AG276" s="337"/>
      <c r="AH276" s="337"/>
      <c r="AI276" s="337"/>
      <c r="AJ276" s="337"/>
      <c r="AK276" s="337"/>
      <c r="AL276" s="338"/>
      <c r="AM276" s="354"/>
      <c r="AN276" s="91">
        <f t="shared" si="192"/>
        <v>0</v>
      </c>
      <c r="AO276" s="96">
        <f t="shared" si="170"/>
        <v>0</v>
      </c>
      <c r="AP276" s="210"/>
      <c r="AQ276" s="97">
        <f t="shared" si="171"/>
        <v>0</v>
      </c>
      <c r="AR276" s="105"/>
      <c r="AS276" s="102"/>
      <c r="AT276" s="237"/>
      <c r="AU276" s="231"/>
      <c r="AV276" s="93"/>
      <c r="AW276" s="231"/>
      <c r="AX276" s="93"/>
      <c r="AY276" s="231"/>
      <c r="AZ276" s="93"/>
      <c r="BA276" s="17">
        <f t="shared" si="162"/>
        <v>2.76E-5</v>
      </c>
      <c r="BB276" s="17">
        <f t="shared" si="163"/>
        <v>0</v>
      </c>
      <c r="BC276" s="17"/>
      <c r="BD276" s="178">
        <v>267</v>
      </c>
      <c r="BE276" s="214">
        <f t="shared" si="172"/>
        <v>1.6099999999999998E-5</v>
      </c>
      <c r="BF276" s="178">
        <f t="shared" si="164"/>
        <v>0</v>
      </c>
      <c r="BG276" s="245">
        <f t="shared" si="165"/>
        <v>2.76E-5</v>
      </c>
      <c r="BH276" s="17">
        <f t="shared" si="173"/>
        <v>0</v>
      </c>
      <c r="BI276" s="178">
        <v>267</v>
      </c>
      <c r="BJ276" s="87">
        <f t="shared" si="174"/>
        <v>1.4399999999999999E-5</v>
      </c>
      <c r="BK276" s="215">
        <f t="shared" si="166"/>
        <v>0</v>
      </c>
      <c r="BL276" s="245">
        <f t="shared" si="175"/>
        <v>2.76E-5</v>
      </c>
      <c r="BM276" s="17">
        <f t="shared" si="176"/>
        <v>0</v>
      </c>
      <c r="BN276" s="178">
        <v>267</v>
      </c>
      <c r="BO276" s="87">
        <f t="shared" si="177"/>
        <v>1.4399999999999999E-5</v>
      </c>
      <c r="BP276" s="215">
        <f t="shared" si="167"/>
        <v>0</v>
      </c>
      <c r="BR276" s="126"/>
      <c r="BS276" s="126"/>
      <c r="BU276" s="178"/>
      <c r="BV276" s="179" t="str">
        <f t="shared" si="178"/>
        <v/>
      </c>
      <c r="BW276" s="179" t="str">
        <f t="shared" si="179"/>
        <v/>
      </c>
      <c r="BX276" s="179" t="str">
        <f t="shared" si="180"/>
        <v/>
      </c>
      <c r="BY276" s="179" t="str">
        <f t="shared" si="181"/>
        <v/>
      </c>
      <c r="BZ276" s="179" t="str">
        <f t="shared" si="182"/>
        <v/>
      </c>
      <c r="CA276" s="179" t="str">
        <f t="shared" si="183"/>
        <v/>
      </c>
      <c r="CB276" s="179" t="str">
        <f t="shared" si="184"/>
        <v/>
      </c>
      <c r="CC276" s="179" t="str">
        <f t="shared" si="185"/>
        <v/>
      </c>
      <c r="CD276" s="179" t="str">
        <f t="shared" si="186"/>
        <v/>
      </c>
      <c r="CE276" s="179" t="str">
        <f t="shared" si="187"/>
        <v/>
      </c>
      <c r="CF276" s="179" t="str">
        <f t="shared" si="188"/>
        <v/>
      </c>
      <c r="CG276" s="179" t="str">
        <f t="shared" si="189"/>
        <v/>
      </c>
      <c r="CH276" s="166"/>
      <c r="CI276" s="166"/>
      <c r="CJ276" s="166"/>
      <c r="CK276" s="166" t="s">
        <v>150</v>
      </c>
      <c r="CL276" s="166"/>
    </row>
    <row r="277" spans="1:90" ht="14.25" customHeight="1" x14ac:dyDescent="0.25">
      <c r="A277" s="211">
        <v>267</v>
      </c>
      <c r="B277" s="89"/>
      <c r="C277" s="199"/>
      <c r="D277" s="146"/>
      <c r="E277" s="319" t="s">
        <v>93</v>
      </c>
      <c r="F277" s="221"/>
      <c r="G277" s="222"/>
      <c r="H277" s="222"/>
      <c r="I277" s="222"/>
      <c r="J277" s="222"/>
      <c r="K277" s="222"/>
      <c r="L277" s="222"/>
      <c r="M277" s="331"/>
      <c r="N277" s="303">
        <f t="shared" si="190"/>
        <v>0</v>
      </c>
      <c r="O277" s="304"/>
      <c r="P277" s="341"/>
      <c r="Q277" s="305"/>
      <c r="R277" s="322" t="s">
        <v>67</v>
      </c>
      <c r="S277" s="209">
        <f t="shared" si="193"/>
        <v>0</v>
      </c>
      <c r="T277" s="209">
        <f t="shared" si="194"/>
        <v>0</v>
      </c>
      <c r="U277" s="209"/>
      <c r="V277" s="209">
        <f t="shared" si="195"/>
        <v>0</v>
      </c>
      <c r="W277" s="209"/>
      <c r="X277" s="209">
        <f t="shared" si="196"/>
        <v>0</v>
      </c>
      <c r="Y277" s="209">
        <f t="shared" si="197"/>
        <v>0</v>
      </c>
      <c r="Z277" s="303"/>
      <c r="AA277" s="303">
        <f t="shared" si="191"/>
        <v>0</v>
      </c>
      <c r="AB277" s="314">
        <f t="shared" si="168"/>
        <v>0</v>
      </c>
      <c r="AC277" s="314"/>
      <c r="AD277" s="314">
        <f t="shared" si="169"/>
        <v>0</v>
      </c>
      <c r="AE277" s="325" t="s">
        <v>148</v>
      </c>
      <c r="AF277" s="15"/>
      <c r="AG277" s="232"/>
      <c r="AH277" s="232"/>
      <c r="AI277" s="232"/>
      <c r="AJ277" s="232"/>
      <c r="AK277" s="232"/>
      <c r="AL277" s="7"/>
      <c r="AM277" s="352"/>
      <c r="AN277" s="22">
        <f t="shared" si="192"/>
        <v>0</v>
      </c>
      <c r="AO277" s="15">
        <f t="shared" si="170"/>
        <v>0</v>
      </c>
      <c r="AP277" s="345"/>
      <c r="AQ277" s="7">
        <f t="shared" si="171"/>
        <v>0</v>
      </c>
      <c r="AR277" s="103"/>
      <c r="AS277" s="101"/>
      <c r="AT277" s="236"/>
      <c r="AU277" s="235"/>
      <c r="AV277" s="92"/>
      <c r="AW277" s="235"/>
      <c r="AX277" s="92"/>
      <c r="AY277" s="235"/>
      <c r="AZ277" s="92"/>
      <c r="BA277" s="17">
        <f t="shared" si="162"/>
        <v>2.7699999999999999E-5</v>
      </c>
      <c r="BB277" s="17">
        <f t="shared" si="163"/>
        <v>0</v>
      </c>
      <c r="BC277" s="17"/>
      <c r="BD277" s="178">
        <v>268</v>
      </c>
      <c r="BE277" s="214">
        <f t="shared" si="172"/>
        <v>1.5999999999999999E-5</v>
      </c>
      <c r="BF277" s="178">
        <f t="shared" si="164"/>
        <v>0</v>
      </c>
      <c r="BG277" s="245">
        <f t="shared" si="165"/>
        <v>2.7699999999999999E-5</v>
      </c>
      <c r="BH277" s="17">
        <f t="shared" si="173"/>
        <v>0</v>
      </c>
      <c r="BI277" s="178">
        <v>268</v>
      </c>
      <c r="BJ277" s="87">
        <f t="shared" si="174"/>
        <v>1.4299999999999999E-5</v>
      </c>
      <c r="BK277" s="215">
        <f t="shared" si="166"/>
        <v>0</v>
      </c>
      <c r="BL277" s="245">
        <f t="shared" si="175"/>
        <v>2.7699999999999999E-5</v>
      </c>
      <c r="BM277" s="17">
        <f t="shared" si="176"/>
        <v>0</v>
      </c>
      <c r="BN277" s="178">
        <v>268</v>
      </c>
      <c r="BO277" s="87">
        <f t="shared" si="177"/>
        <v>1.4299999999999999E-5</v>
      </c>
      <c r="BP277" s="215">
        <f t="shared" si="167"/>
        <v>0</v>
      </c>
      <c r="BR277" s="126"/>
      <c r="BS277" s="126"/>
      <c r="BU277" s="178"/>
      <c r="BV277" s="179" t="str">
        <f t="shared" si="178"/>
        <v/>
      </c>
      <c r="BW277" s="179" t="str">
        <f t="shared" si="179"/>
        <v/>
      </c>
      <c r="BX277" s="179" t="str">
        <f t="shared" si="180"/>
        <v/>
      </c>
      <c r="BY277" s="179" t="str">
        <f t="shared" si="181"/>
        <v/>
      </c>
      <c r="BZ277" s="179" t="str">
        <f t="shared" si="182"/>
        <v/>
      </c>
      <c r="CA277" s="179" t="str">
        <f t="shared" si="183"/>
        <v/>
      </c>
      <c r="CB277" s="179" t="str">
        <f t="shared" si="184"/>
        <v/>
      </c>
      <c r="CC277" s="179" t="str">
        <f t="shared" si="185"/>
        <v/>
      </c>
      <c r="CD277" s="179" t="str">
        <f t="shared" si="186"/>
        <v/>
      </c>
      <c r="CE277" s="179" t="str">
        <f t="shared" si="187"/>
        <v/>
      </c>
      <c r="CF277" s="179" t="str">
        <f t="shared" si="188"/>
        <v/>
      </c>
      <c r="CG277" s="179" t="str">
        <f t="shared" si="189"/>
        <v/>
      </c>
      <c r="CH277" s="166"/>
      <c r="CI277" s="166"/>
      <c r="CJ277" s="166"/>
      <c r="CK277" s="166" t="s">
        <v>150</v>
      </c>
      <c r="CL277" s="166"/>
    </row>
    <row r="278" spans="1:90" ht="14.25" customHeight="1" thickBot="1" x14ac:dyDescent="0.3">
      <c r="A278" s="213">
        <v>268</v>
      </c>
      <c r="B278" s="219"/>
      <c r="C278" s="200"/>
      <c r="D278" s="145"/>
      <c r="E278" s="320" t="s">
        <v>93</v>
      </c>
      <c r="F278" s="209"/>
      <c r="G278" s="313"/>
      <c r="H278" s="313"/>
      <c r="I278" s="313"/>
      <c r="J278" s="313"/>
      <c r="K278" s="313"/>
      <c r="L278" s="313"/>
      <c r="M278" s="339"/>
      <c r="N278" s="233">
        <f t="shared" si="190"/>
        <v>0</v>
      </c>
      <c r="O278" s="306"/>
      <c r="P278" s="342"/>
      <c r="Q278" s="307"/>
      <c r="R278" s="323" t="s">
        <v>67</v>
      </c>
      <c r="S278" s="209">
        <f t="shared" si="193"/>
        <v>0</v>
      </c>
      <c r="T278" s="209">
        <f t="shared" si="194"/>
        <v>0</v>
      </c>
      <c r="U278" s="209"/>
      <c r="V278" s="209">
        <f t="shared" si="195"/>
        <v>0</v>
      </c>
      <c r="W278" s="209"/>
      <c r="X278" s="209">
        <f t="shared" si="196"/>
        <v>0</v>
      </c>
      <c r="Y278" s="209">
        <f t="shared" si="197"/>
        <v>0</v>
      </c>
      <c r="Z278" s="233"/>
      <c r="AA278" s="233">
        <f t="shared" si="191"/>
        <v>0</v>
      </c>
      <c r="AB278" s="314">
        <f t="shared" si="168"/>
        <v>0</v>
      </c>
      <c r="AC278" s="314"/>
      <c r="AD278" s="314">
        <f t="shared" si="169"/>
        <v>0</v>
      </c>
      <c r="AE278" s="323" t="s">
        <v>87</v>
      </c>
      <c r="AF278" s="81"/>
      <c r="AG278" s="335"/>
      <c r="AH278" s="335"/>
      <c r="AI278" s="335"/>
      <c r="AJ278" s="335"/>
      <c r="AK278" s="335"/>
      <c r="AL278" s="336"/>
      <c r="AM278" s="353"/>
      <c r="AN278" s="22">
        <f t="shared" si="192"/>
        <v>0</v>
      </c>
      <c r="AO278" s="209">
        <f t="shared" si="170"/>
        <v>0</v>
      </c>
      <c r="AP278" s="339"/>
      <c r="AQ278" s="125">
        <f t="shared" si="171"/>
        <v>0</v>
      </c>
      <c r="AR278" s="104"/>
      <c r="AS278" s="217"/>
      <c r="AT278" s="216"/>
      <c r="AU278" s="230"/>
      <c r="AV278" s="220"/>
      <c r="AW278" s="230"/>
      <c r="AX278" s="220"/>
      <c r="AY278" s="230"/>
      <c r="AZ278" s="220"/>
      <c r="BA278" s="17">
        <f t="shared" si="162"/>
        <v>2.7799999999999998E-5</v>
      </c>
      <c r="BB278" s="17">
        <f t="shared" si="163"/>
        <v>0</v>
      </c>
      <c r="BC278" s="17"/>
      <c r="BD278" s="178">
        <v>269</v>
      </c>
      <c r="BE278" s="214">
        <f t="shared" si="172"/>
        <v>1.59E-5</v>
      </c>
      <c r="BF278" s="178">
        <f t="shared" si="164"/>
        <v>0</v>
      </c>
      <c r="BG278" s="245">
        <f t="shared" si="165"/>
        <v>2.7799999999999998E-5</v>
      </c>
      <c r="BH278" s="17">
        <f t="shared" si="173"/>
        <v>0</v>
      </c>
      <c r="BI278" s="178">
        <v>269</v>
      </c>
      <c r="BJ278" s="87">
        <f t="shared" si="174"/>
        <v>1.42E-5</v>
      </c>
      <c r="BK278" s="215">
        <f t="shared" si="166"/>
        <v>0</v>
      </c>
      <c r="BL278" s="245">
        <f t="shared" si="175"/>
        <v>2.7799999999999998E-5</v>
      </c>
      <c r="BM278" s="17">
        <f t="shared" si="176"/>
        <v>0</v>
      </c>
      <c r="BN278" s="178">
        <v>269</v>
      </c>
      <c r="BO278" s="87">
        <f t="shared" si="177"/>
        <v>1.42E-5</v>
      </c>
      <c r="BP278" s="215">
        <f t="shared" si="167"/>
        <v>0</v>
      </c>
      <c r="BR278" s="126"/>
      <c r="BS278" s="126"/>
      <c r="BU278" s="178"/>
      <c r="BV278" s="179" t="str">
        <f t="shared" si="178"/>
        <v/>
      </c>
      <c r="BW278" s="179" t="str">
        <f t="shared" si="179"/>
        <v/>
      </c>
      <c r="BX278" s="179" t="str">
        <f t="shared" si="180"/>
        <v/>
      </c>
      <c r="BY278" s="179" t="str">
        <f t="shared" si="181"/>
        <v/>
      </c>
      <c r="BZ278" s="179" t="str">
        <f t="shared" si="182"/>
        <v/>
      </c>
      <c r="CA278" s="179" t="str">
        <f t="shared" si="183"/>
        <v/>
      </c>
      <c r="CB278" s="179" t="str">
        <f t="shared" si="184"/>
        <v/>
      </c>
      <c r="CC278" s="179" t="str">
        <f t="shared" si="185"/>
        <v/>
      </c>
      <c r="CD278" s="179" t="str">
        <f t="shared" si="186"/>
        <v/>
      </c>
      <c r="CE278" s="179" t="str">
        <f t="shared" si="187"/>
        <v/>
      </c>
      <c r="CF278" s="179" t="str">
        <f t="shared" si="188"/>
        <v/>
      </c>
      <c r="CG278" s="179" t="str">
        <f t="shared" si="189"/>
        <v/>
      </c>
      <c r="CH278" s="166"/>
      <c r="CI278" s="166"/>
      <c r="CJ278" s="166"/>
      <c r="CK278" s="166" t="s">
        <v>150</v>
      </c>
      <c r="CL278" s="166"/>
    </row>
    <row r="279" spans="1:90" ht="14.25" customHeight="1" thickBot="1" x14ac:dyDescent="0.3">
      <c r="A279" s="211">
        <v>269</v>
      </c>
      <c r="B279" s="88"/>
      <c r="C279" s="201"/>
      <c r="D279" s="94"/>
      <c r="E279" s="321" t="s">
        <v>93</v>
      </c>
      <c r="F279" s="96"/>
      <c r="G279" s="100"/>
      <c r="H279" s="100"/>
      <c r="I279" s="100"/>
      <c r="J279" s="100"/>
      <c r="K279" s="100"/>
      <c r="L279" s="100"/>
      <c r="M279" s="210"/>
      <c r="N279" s="234">
        <f t="shared" si="190"/>
        <v>0</v>
      </c>
      <c r="O279" s="308"/>
      <c r="P279" s="343"/>
      <c r="Q279" s="309"/>
      <c r="R279" s="324" t="s">
        <v>67</v>
      </c>
      <c r="S279" s="209">
        <f t="shared" si="193"/>
        <v>0</v>
      </c>
      <c r="T279" s="209">
        <f t="shared" si="194"/>
        <v>0</v>
      </c>
      <c r="U279" s="209"/>
      <c r="V279" s="209">
        <f t="shared" si="195"/>
        <v>0</v>
      </c>
      <c r="W279" s="209"/>
      <c r="X279" s="209">
        <f t="shared" si="196"/>
        <v>0</v>
      </c>
      <c r="Y279" s="209">
        <f t="shared" si="197"/>
        <v>0</v>
      </c>
      <c r="Z279" s="351"/>
      <c r="AA279" s="234">
        <f t="shared" si="191"/>
        <v>0</v>
      </c>
      <c r="AB279" s="314">
        <f t="shared" si="168"/>
        <v>0</v>
      </c>
      <c r="AC279" s="314"/>
      <c r="AD279" s="314">
        <f t="shared" si="169"/>
        <v>0</v>
      </c>
      <c r="AE279" s="324" t="s">
        <v>87</v>
      </c>
      <c r="AF279" s="82"/>
      <c r="AG279" s="337"/>
      <c r="AH279" s="337"/>
      <c r="AI279" s="337"/>
      <c r="AJ279" s="337"/>
      <c r="AK279" s="337"/>
      <c r="AL279" s="338"/>
      <c r="AM279" s="354"/>
      <c r="AN279" s="91">
        <f t="shared" si="192"/>
        <v>0</v>
      </c>
      <c r="AO279" s="96">
        <f t="shared" si="170"/>
        <v>0</v>
      </c>
      <c r="AP279" s="210"/>
      <c r="AQ279" s="97">
        <f t="shared" si="171"/>
        <v>0</v>
      </c>
      <c r="AR279" s="105"/>
      <c r="AS279" s="102"/>
      <c r="AT279" s="237"/>
      <c r="AU279" s="231"/>
      <c r="AV279" s="93"/>
      <c r="AW279" s="231"/>
      <c r="AX279" s="93"/>
      <c r="AY279" s="231"/>
      <c r="AZ279" s="93"/>
      <c r="BA279" s="17">
        <f t="shared" si="162"/>
        <v>2.7899999999999997E-5</v>
      </c>
      <c r="BB279" s="17">
        <f t="shared" si="163"/>
        <v>0</v>
      </c>
      <c r="BC279" s="17"/>
      <c r="BD279" s="178">
        <v>270</v>
      </c>
      <c r="BE279" s="214">
        <f t="shared" si="172"/>
        <v>1.5799999999999998E-5</v>
      </c>
      <c r="BF279" s="178">
        <f t="shared" si="164"/>
        <v>0</v>
      </c>
      <c r="BG279" s="245">
        <f t="shared" si="165"/>
        <v>2.7899999999999997E-5</v>
      </c>
      <c r="BH279" s="17">
        <f t="shared" si="173"/>
        <v>0</v>
      </c>
      <c r="BI279" s="178">
        <v>270</v>
      </c>
      <c r="BJ279" s="87">
        <f t="shared" si="174"/>
        <v>1.4099999999999999E-5</v>
      </c>
      <c r="BK279" s="215">
        <f t="shared" si="166"/>
        <v>0</v>
      </c>
      <c r="BL279" s="245">
        <f t="shared" si="175"/>
        <v>2.7899999999999997E-5</v>
      </c>
      <c r="BM279" s="17">
        <f t="shared" si="176"/>
        <v>0</v>
      </c>
      <c r="BN279" s="178">
        <v>270</v>
      </c>
      <c r="BO279" s="87">
        <f t="shared" si="177"/>
        <v>1.4099999999999999E-5</v>
      </c>
      <c r="BP279" s="215">
        <f t="shared" si="167"/>
        <v>0</v>
      </c>
      <c r="BR279" s="126"/>
      <c r="BS279" s="126"/>
      <c r="BU279" s="178"/>
      <c r="BV279" s="179" t="str">
        <f t="shared" si="178"/>
        <v/>
      </c>
      <c r="BW279" s="179" t="str">
        <f t="shared" si="179"/>
        <v/>
      </c>
      <c r="BX279" s="179" t="str">
        <f t="shared" si="180"/>
        <v/>
      </c>
      <c r="BY279" s="179" t="str">
        <f t="shared" si="181"/>
        <v/>
      </c>
      <c r="BZ279" s="179" t="str">
        <f t="shared" si="182"/>
        <v/>
      </c>
      <c r="CA279" s="179" t="str">
        <f t="shared" si="183"/>
        <v/>
      </c>
      <c r="CB279" s="179" t="str">
        <f t="shared" si="184"/>
        <v/>
      </c>
      <c r="CC279" s="179" t="str">
        <f t="shared" si="185"/>
        <v/>
      </c>
      <c r="CD279" s="179" t="str">
        <f t="shared" si="186"/>
        <v/>
      </c>
      <c r="CE279" s="179" t="str">
        <f t="shared" si="187"/>
        <v/>
      </c>
      <c r="CF279" s="179" t="str">
        <f t="shared" si="188"/>
        <v/>
      </c>
      <c r="CG279" s="179" t="str">
        <f t="shared" si="189"/>
        <v/>
      </c>
      <c r="CH279" s="166"/>
      <c r="CI279" s="166"/>
      <c r="CJ279" s="166"/>
      <c r="CK279" s="166" t="s">
        <v>150</v>
      </c>
      <c r="CL279" s="166"/>
    </row>
    <row r="280" spans="1:90" ht="14.25" customHeight="1" thickBot="1" x14ac:dyDescent="0.3">
      <c r="A280" s="213">
        <v>270</v>
      </c>
      <c r="B280" s="89"/>
      <c r="C280" s="199"/>
      <c r="D280" s="146"/>
      <c r="E280" s="319" t="s">
        <v>93</v>
      </c>
      <c r="F280" s="221"/>
      <c r="G280" s="222"/>
      <c r="H280" s="222"/>
      <c r="I280" s="222"/>
      <c r="J280" s="222"/>
      <c r="K280" s="222"/>
      <c r="L280" s="222"/>
      <c r="M280" s="331"/>
      <c r="N280" s="303">
        <f t="shared" si="190"/>
        <v>0</v>
      </c>
      <c r="O280" s="304"/>
      <c r="P280" s="341"/>
      <c r="Q280" s="305"/>
      <c r="R280" s="322" t="s">
        <v>67</v>
      </c>
      <c r="S280" s="209">
        <f t="shared" si="193"/>
        <v>0</v>
      </c>
      <c r="T280" s="209">
        <f t="shared" si="194"/>
        <v>0</v>
      </c>
      <c r="U280" s="209"/>
      <c r="V280" s="209">
        <f t="shared" si="195"/>
        <v>0</v>
      </c>
      <c r="W280" s="209"/>
      <c r="X280" s="209">
        <f t="shared" si="196"/>
        <v>0</v>
      </c>
      <c r="Y280" s="209">
        <f t="shared" si="197"/>
        <v>0</v>
      </c>
      <c r="Z280" s="303"/>
      <c r="AA280" s="303">
        <f t="shared" si="191"/>
        <v>0</v>
      </c>
      <c r="AB280" s="314">
        <f t="shared" si="168"/>
        <v>0</v>
      </c>
      <c r="AC280" s="314"/>
      <c r="AD280" s="314">
        <f t="shared" si="169"/>
        <v>0</v>
      </c>
      <c r="AE280" s="325" t="s">
        <v>148</v>
      </c>
      <c r="AF280" s="15"/>
      <c r="AG280" s="232"/>
      <c r="AH280" s="232"/>
      <c r="AI280" s="232"/>
      <c r="AJ280" s="232"/>
      <c r="AK280" s="232"/>
      <c r="AL280" s="7"/>
      <c r="AM280" s="352"/>
      <c r="AN280" s="22">
        <f t="shared" si="192"/>
        <v>0</v>
      </c>
      <c r="AO280" s="15">
        <f t="shared" si="170"/>
        <v>0</v>
      </c>
      <c r="AP280" s="345"/>
      <c r="AQ280" s="7">
        <f t="shared" si="171"/>
        <v>0</v>
      </c>
      <c r="AR280" s="103"/>
      <c r="AS280" s="101"/>
      <c r="AT280" s="236"/>
      <c r="AU280" s="235"/>
      <c r="AV280" s="92"/>
      <c r="AW280" s="235"/>
      <c r="AX280" s="92"/>
      <c r="AY280" s="235"/>
      <c r="AZ280" s="92"/>
      <c r="BA280" s="17">
        <f t="shared" si="162"/>
        <v>2.8E-5</v>
      </c>
      <c r="BB280" s="17">
        <f t="shared" si="163"/>
        <v>0</v>
      </c>
      <c r="BC280" s="17"/>
      <c r="BD280" s="178">
        <v>271</v>
      </c>
      <c r="BE280" s="214">
        <f t="shared" si="172"/>
        <v>1.5699999999999999E-5</v>
      </c>
      <c r="BF280" s="178">
        <f t="shared" si="164"/>
        <v>0</v>
      </c>
      <c r="BG280" s="245">
        <f t="shared" si="165"/>
        <v>2.8E-5</v>
      </c>
      <c r="BH280" s="17">
        <f t="shared" si="173"/>
        <v>0</v>
      </c>
      <c r="BI280" s="178">
        <v>271</v>
      </c>
      <c r="BJ280" s="87">
        <f t="shared" si="174"/>
        <v>1.4E-5</v>
      </c>
      <c r="BK280" s="215">
        <f t="shared" si="166"/>
        <v>0</v>
      </c>
      <c r="BL280" s="245">
        <f t="shared" si="175"/>
        <v>2.8E-5</v>
      </c>
      <c r="BM280" s="17">
        <f t="shared" si="176"/>
        <v>0</v>
      </c>
      <c r="BN280" s="178">
        <v>271</v>
      </c>
      <c r="BO280" s="87">
        <f t="shared" si="177"/>
        <v>1.4E-5</v>
      </c>
      <c r="BP280" s="215">
        <f t="shared" si="167"/>
        <v>0</v>
      </c>
      <c r="BR280" s="126"/>
      <c r="BS280" s="126"/>
      <c r="BU280" s="178"/>
      <c r="BV280" s="179" t="str">
        <f t="shared" si="178"/>
        <v/>
      </c>
      <c r="BW280" s="179" t="str">
        <f t="shared" si="179"/>
        <v/>
      </c>
      <c r="BX280" s="179" t="str">
        <f t="shared" si="180"/>
        <v/>
      </c>
      <c r="BY280" s="179" t="str">
        <f t="shared" si="181"/>
        <v/>
      </c>
      <c r="BZ280" s="179" t="str">
        <f t="shared" si="182"/>
        <v/>
      </c>
      <c r="CA280" s="179" t="str">
        <f t="shared" si="183"/>
        <v/>
      </c>
      <c r="CB280" s="179" t="str">
        <f t="shared" si="184"/>
        <v/>
      </c>
      <c r="CC280" s="179" t="str">
        <f t="shared" si="185"/>
        <v/>
      </c>
      <c r="CD280" s="179" t="str">
        <f t="shared" si="186"/>
        <v/>
      </c>
      <c r="CE280" s="179" t="str">
        <f t="shared" si="187"/>
        <v/>
      </c>
      <c r="CF280" s="179" t="str">
        <f t="shared" si="188"/>
        <v/>
      </c>
      <c r="CG280" s="179" t="str">
        <f t="shared" si="189"/>
        <v/>
      </c>
      <c r="CH280" s="166"/>
      <c r="CI280" s="166"/>
      <c r="CJ280" s="166"/>
      <c r="CK280" s="166" t="s">
        <v>150</v>
      </c>
      <c r="CL280" s="166"/>
    </row>
    <row r="281" spans="1:90" ht="14.25" customHeight="1" x14ac:dyDescent="0.25">
      <c r="A281" s="211">
        <v>271</v>
      </c>
      <c r="B281" s="219"/>
      <c r="C281" s="200"/>
      <c r="D281" s="145"/>
      <c r="E281" s="320" t="s">
        <v>93</v>
      </c>
      <c r="F281" s="209"/>
      <c r="G281" s="313"/>
      <c r="H281" s="313"/>
      <c r="I281" s="313"/>
      <c r="J281" s="313"/>
      <c r="K281" s="313"/>
      <c r="L281" s="313"/>
      <c r="M281" s="339"/>
      <c r="N281" s="233">
        <f t="shared" si="190"/>
        <v>0</v>
      </c>
      <c r="O281" s="306"/>
      <c r="P281" s="342"/>
      <c r="Q281" s="307"/>
      <c r="R281" s="323" t="s">
        <v>67</v>
      </c>
      <c r="S281" s="209">
        <f t="shared" si="193"/>
        <v>0</v>
      </c>
      <c r="T281" s="209">
        <f t="shared" si="194"/>
        <v>0</v>
      </c>
      <c r="U281" s="209"/>
      <c r="V281" s="209">
        <f t="shared" si="195"/>
        <v>0</v>
      </c>
      <c r="W281" s="209"/>
      <c r="X281" s="209">
        <f t="shared" si="196"/>
        <v>0</v>
      </c>
      <c r="Y281" s="209">
        <f t="shared" si="197"/>
        <v>0</v>
      </c>
      <c r="Z281" s="233"/>
      <c r="AA281" s="233">
        <f t="shared" si="191"/>
        <v>0</v>
      </c>
      <c r="AB281" s="314">
        <f t="shared" si="168"/>
        <v>0</v>
      </c>
      <c r="AC281" s="314"/>
      <c r="AD281" s="314">
        <f t="shared" si="169"/>
        <v>0</v>
      </c>
      <c r="AE281" s="323" t="s">
        <v>87</v>
      </c>
      <c r="AF281" s="81"/>
      <c r="AG281" s="335"/>
      <c r="AH281" s="335"/>
      <c r="AI281" s="335"/>
      <c r="AJ281" s="335"/>
      <c r="AK281" s="335"/>
      <c r="AL281" s="336"/>
      <c r="AM281" s="353"/>
      <c r="AN281" s="22">
        <f t="shared" si="192"/>
        <v>0</v>
      </c>
      <c r="AO281" s="209">
        <f t="shared" si="170"/>
        <v>0</v>
      </c>
      <c r="AP281" s="339"/>
      <c r="AQ281" s="125">
        <f t="shared" si="171"/>
        <v>0</v>
      </c>
      <c r="AR281" s="104"/>
      <c r="AS281" s="217"/>
      <c r="AT281" s="216"/>
      <c r="AU281" s="230"/>
      <c r="AV281" s="220"/>
      <c r="AW281" s="230"/>
      <c r="AX281" s="220"/>
      <c r="AY281" s="230"/>
      <c r="AZ281" s="220"/>
      <c r="BA281" s="17">
        <f t="shared" si="162"/>
        <v>2.8099999999999999E-5</v>
      </c>
      <c r="BB281" s="17">
        <f t="shared" si="163"/>
        <v>0</v>
      </c>
      <c r="BC281" s="17"/>
      <c r="BD281" s="178">
        <v>272</v>
      </c>
      <c r="BE281" s="214">
        <f t="shared" si="172"/>
        <v>1.56E-5</v>
      </c>
      <c r="BF281" s="178">
        <f t="shared" si="164"/>
        <v>0</v>
      </c>
      <c r="BG281" s="245">
        <f t="shared" si="165"/>
        <v>2.8099999999999999E-5</v>
      </c>
      <c r="BH281" s="17">
        <f t="shared" si="173"/>
        <v>0</v>
      </c>
      <c r="BI281" s="178">
        <v>272</v>
      </c>
      <c r="BJ281" s="87">
        <f t="shared" si="174"/>
        <v>1.3899999999999999E-5</v>
      </c>
      <c r="BK281" s="215">
        <f t="shared" si="166"/>
        <v>0</v>
      </c>
      <c r="BL281" s="245">
        <f t="shared" si="175"/>
        <v>2.8099999999999999E-5</v>
      </c>
      <c r="BM281" s="17">
        <f t="shared" si="176"/>
        <v>0</v>
      </c>
      <c r="BN281" s="178">
        <v>272</v>
      </c>
      <c r="BO281" s="87">
        <f t="shared" si="177"/>
        <v>1.3899999999999999E-5</v>
      </c>
      <c r="BP281" s="215">
        <f t="shared" si="167"/>
        <v>0</v>
      </c>
      <c r="BR281" s="126"/>
      <c r="BS281" s="126"/>
      <c r="BU281" s="178"/>
      <c r="BV281" s="179" t="str">
        <f t="shared" si="178"/>
        <v/>
      </c>
      <c r="BW281" s="179" t="str">
        <f t="shared" si="179"/>
        <v/>
      </c>
      <c r="BX281" s="179" t="str">
        <f t="shared" si="180"/>
        <v/>
      </c>
      <c r="BY281" s="179" t="str">
        <f t="shared" si="181"/>
        <v/>
      </c>
      <c r="BZ281" s="179" t="str">
        <f t="shared" si="182"/>
        <v/>
      </c>
      <c r="CA281" s="179" t="str">
        <f t="shared" si="183"/>
        <v/>
      </c>
      <c r="CB281" s="179" t="str">
        <f t="shared" si="184"/>
        <v/>
      </c>
      <c r="CC281" s="179" t="str">
        <f t="shared" si="185"/>
        <v/>
      </c>
      <c r="CD281" s="179" t="str">
        <f t="shared" si="186"/>
        <v/>
      </c>
      <c r="CE281" s="179" t="str">
        <f t="shared" si="187"/>
        <v/>
      </c>
      <c r="CF281" s="179" t="str">
        <f t="shared" si="188"/>
        <v/>
      </c>
      <c r="CG281" s="179" t="str">
        <f t="shared" si="189"/>
        <v/>
      </c>
      <c r="CH281" s="166"/>
      <c r="CI281" s="166"/>
      <c r="CJ281" s="166"/>
      <c r="CK281" s="166" t="s">
        <v>150</v>
      </c>
      <c r="CL281" s="166"/>
    </row>
    <row r="282" spans="1:90" ht="14.25" customHeight="1" thickBot="1" x14ac:dyDescent="0.3">
      <c r="A282" s="213">
        <v>272</v>
      </c>
      <c r="B282" s="88"/>
      <c r="C282" s="201"/>
      <c r="D282" s="94"/>
      <c r="E282" s="321" t="s">
        <v>93</v>
      </c>
      <c r="F282" s="96"/>
      <c r="G282" s="100"/>
      <c r="H282" s="100"/>
      <c r="I282" s="100"/>
      <c r="J282" s="100"/>
      <c r="K282" s="100"/>
      <c r="L282" s="100"/>
      <c r="M282" s="210"/>
      <c r="N282" s="234">
        <f t="shared" si="190"/>
        <v>0</v>
      </c>
      <c r="O282" s="308"/>
      <c r="P282" s="343"/>
      <c r="Q282" s="309"/>
      <c r="R282" s="324" t="s">
        <v>67</v>
      </c>
      <c r="S282" s="209">
        <f t="shared" si="193"/>
        <v>0</v>
      </c>
      <c r="T282" s="209">
        <f t="shared" si="194"/>
        <v>0</v>
      </c>
      <c r="U282" s="209"/>
      <c r="V282" s="209">
        <f t="shared" si="195"/>
        <v>0</v>
      </c>
      <c r="W282" s="209"/>
      <c r="X282" s="209">
        <f t="shared" si="196"/>
        <v>0</v>
      </c>
      <c r="Y282" s="209">
        <f t="shared" si="197"/>
        <v>0</v>
      </c>
      <c r="Z282" s="351"/>
      <c r="AA282" s="234">
        <f t="shared" si="191"/>
        <v>0</v>
      </c>
      <c r="AB282" s="314">
        <f t="shared" si="168"/>
        <v>0</v>
      </c>
      <c r="AC282" s="314"/>
      <c r="AD282" s="314">
        <f t="shared" si="169"/>
        <v>0</v>
      </c>
      <c r="AE282" s="324" t="s">
        <v>87</v>
      </c>
      <c r="AF282" s="82"/>
      <c r="AG282" s="337"/>
      <c r="AH282" s="337"/>
      <c r="AI282" s="337"/>
      <c r="AJ282" s="337"/>
      <c r="AK282" s="337"/>
      <c r="AL282" s="338"/>
      <c r="AM282" s="354"/>
      <c r="AN282" s="91">
        <f t="shared" si="192"/>
        <v>0</v>
      </c>
      <c r="AO282" s="96">
        <f t="shared" si="170"/>
        <v>0</v>
      </c>
      <c r="AP282" s="210"/>
      <c r="AQ282" s="97">
        <f t="shared" si="171"/>
        <v>0</v>
      </c>
      <c r="AR282" s="105"/>
      <c r="AS282" s="102"/>
      <c r="AT282" s="237"/>
      <c r="AU282" s="231"/>
      <c r="AV282" s="93"/>
      <c r="AW282" s="231"/>
      <c r="AX282" s="93"/>
      <c r="AY282" s="231"/>
      <c r="AZ282" s="93"/>
      <c r="BA282" s="17">
        <f t="shared" si="162"/>
        <v>2.8199999999999998E-5</v>
      </c>
      <c r="BB282" s="17">
        <f t="shared" si="163"/>
        <v>0</v>
      </c>
      <c r="BC282" s="17"/>
      <c r="BD282" s="178">
        <v>273</v>
      </c>
      <c r="BE282" s="214">
        <f t="shared" si="172"/>
        <v>1.5500000000000001E-5</v>
      </c>
      <c r="BF282" s="178">
        <f t="shared" si="164"/>
        <v>0</v>
      </c>
      <c r="BG282" s="245">
        <f t="shared" si="165"/>
        <v>2.8199999999999998E-5</v>
      </c>
      <c r="BH282" s="17">
        <f t="shared" si="173"/>
        <v>0</v>
      </c>
      <c r="BI282" s="178">
        <v>273</v>
      </c>
      <c r="BJ282" s="87">
        <f t="shared" si="174"/>
        <v>1.38E-5</v>
      </c>
      <c r="BK282" s="215">
        <f t="shared" si="166"/>
        <v>0</v>
      </c>
      <c r="BL282" s="245">
        <f t="shared" si="175"/>
        <v>2.8199999999999998E-5</v>
      </c>
      <c r="BM282" s="17">
        <f t="shared" si="176"/>
        <v>0</v>
      </c>
      <c r="BN282" s="178">
        <v>273</v>
      </c>
      <c r="BO282" s="87">
        <f t="shared" si="177"/>
        <v>1.38E-5</v>
      </c>
      <c r="BP282" s="215">
        <f t="shared" si="167"/>
        <v>0</v>
      </c>
      <c r="BR282" s="126"/>
      <c r="BS282" s="126"/>
      <c r="BU282" s="178"/>
      <c r="BV282" s="179" t="str">
        <f t="shared" si="178"/>
        <v/>
      </c>
      <c r="BW282" s="179" t="str">
        <f t="shared" si="179"/>
        <v/>
      </c>
      <c r="BX282" s="179" t="str">
        <f t="shared" si="180"/>
        <v/>
      </c>
      <c r="BY282" s="179" t="str">
        <f t="shared" si="181"/>
        <v/>
      </c>
      <c r="BZ282" s="179" t="str">
        <f t="shared" si="182"/>
        <v/>
      </c>
      <c r="CA282" s="179" t="str">
        <f t="shared" si="183"/>
        <v/>
      </c>
      <c r="CB282" s="179" t="str">
        <f t="shared" si="184"/>
        <v/>
      </c>
      <c r="CC282" s="179" t="str">
        <f t="shared" si="185"/>
        <v/>
      </c>
      <c r="CD282" s="179" t="str">
        <f t="shared" si="186"/>
        <v/>
      </c>
      <c r="CE282" s="179" t="str">
        <f t="shared" si="187"/>
        <v/>
      </c>
      <c r="CF282" s="179" t="str">
        <f t="shared" si="188"/>
        <v/>
      </c>
      <c r="CG282" s="179" t="str">
        <f t="shared" si="189"/>
        <v/>
      </c>
      <c r="CH282" s="166"/>
      <c r="CI282" s="166"/>
      <c r="CJ282" s="166"/>
      <c r="CK282" s="166" t="s">
        <v>150</v>
      </c>
      <c r="CL282" s="166"/>
    </row>
    <row r="283" spans="1:90" ht="14.25" customHeight="1" x14ac:dyDescent="0.25">
      <c r="A283" s="211">
        <v>273</v>
      </c>
      <c r="B283" s="89"/>
      <c r="C283" s="199"/>
      <c r="D283" s="146"/>
      <c r="E283" s="319" t="s">
        <v>93</v>
      </c>
      <c r="F283" s="221"/>
      <c r="G283" s="222"/>
      <c r="H283" s="222"/>
      <c r="I283" s="222"/>
      <c r="J283" s="222"/>
      <c r="K283" s="222"/>
      <c r="L283" s="222"/>
      <c r="M283" s="331"/>
      <c r="N283" s="303">
        <f t="shared" si="190"/>
        <v>0</v>
      </c>
      <c r="O283" s="304"/>
      <c r="P283" s="341"/>
      <c r="Q283" s="305"/>
      <c r="R283" s="322" t="s">
        <v>67</v>
      </c>
      <c r="S283" s="209">
        <f t="shared" si="193"/>
        <v>0</v>
      </c>
      <c r="T283" s="209">
        <f t="shared" si="194"/>
        <v>0</v>
      </c>
      <c r="U283" s="209"/>
      <c r="V283" s="209">
        <f t="shared" si="195"/>
        <v>0</v>
      </c>
      <c r="W283" s="209"/>
      <c r="X283" s="209">
        <f t="shared" si="196"/>
        <v>0</v>
      </c>
      <c r="Y283" s="209">
        <f t="shared" si="197"/>
        <v>0</v>
      </c>
      <c r="Z283" s="303"/>
      <c r="AA283" s="303">
        <f t="shared" si="191"/>
        <v>0</v>
      </c>
      <c r="AB283" s="314">
        <f t="shared" si="168"/>
        <v>0</v>
      </c>
      <c r="AC283" s="314"/>
      <c r="AD283" s="314">
        <f t="shared" si="169"/>
        <v>0</v>
      </c>
      <c r="AE283" s="325" t="s">
        <v>148</v>
      </c>
      <c r="AF283" s="15"/>
      <c r="AG283" s="232"/>
      <c r="AH283" s="232"/>
      <c r="AI283" s="232"/>
      <c r="AJ283" s="232"/>
      <c r="AK283" s="232"/>
      <c r="AL283" s="7"/>
      <c r="AM283" s="352"/>
      <c r="AN283" s="22">
        <f t="shared" si="192"/>
        <v>0</v>
      </c>
      <c r="AO283" s="15">
        <f t="shared" si="170"/>
        <v>0</v>
      </c>
      <c r="AP283" s="345"/>
      <c r="AQ283" s="7">
        <f t="shared" si="171"/>
        <v>0</v>
      </c>
      <c r="AR283" s="103"/>
      <c r="AS283" s="101"/>
      <c r="AT283" s="236"/>
      <c r="AU283" s="235"/>
      <c r="AV283" s="92"/>
      <c r="AW283" s="235"/>
      <c r="AX283" s="92"/>
      <c r="AY283" s="235"/>
      <c r="AZ283" s="92"/>
      <c r="BA283" s="17">
        <f t="shared" si="162"/>
        <v>2.83E-5</v>
      </c>
      <c r="BB283" s="17">
        <f t="shared" si="163"/>
        <v>0</v>
      </c>
      <c r="BC283" s="17"/>
      <c r="BD283" s="178">
        <v>274</v>
      </c>
      <c r="BE283" s="214">
        <f t="shared" si="172"/>
        <v>1.5399999999999998E-5</v>
      </c>
      <c r="BF283" s="178">
        <f t="shared" si="164"/>
        <v>0</v>
      </c>
      <c r="BG283" s="245">
        <f t="shared" si="165"/>
        <v>2.83E-5</v>
      </c>
      <c r="BH283" s="17">
        <f t="shared" si="173"/>
        <v>0</v>
      </c>
      <c r="BI283" s="178">
        <v>274</v>
      </c>
      <c r="BJ283" s="87">
        <f t="shared" si="174"/>
        <v>1.3699999999999999E-5</v>
      </c>
      <c r="BK283" s="215">
        <f t="shared" si="166"/>
        <v>0</v>
      </c>
      <c r="BL283" s="245">
        <f t="shared" si="175"/>
        <v>2.83E-5</v>
      </c>
      <c r="BM283" s="17">
        <f t="shared" si="176"/>
        <v>0</v>
      </c>
      <c r="BN283" s="178">
        <v>274</v>
      </c>
      <c r="BO283" s="87">
        <f t="shared" si="177"/>
        <v>1.3699999999999999E-5</v>
      </c>
      <c r="BP283" s="215">
        <f t="shared" si="167"/>
        <v>0</v>
      </c>
      <c r="BR283" s="126"/>
      <c r="BS283" s="126"/>
      <c r="BU283" s="178"/>
      <c r="BV283" s="179" t="str">
        <f t="shared" si="178"/>
        <v/>
      </c>
      <c r="BW283" s="179" t="str">
        <f t="shared" si="179"/>
        <v/>
      </c>
      <c r="BX283" s="179" t="str">
        <f t="shared" si="180"/>
        <v/>
      </c>
      <c r="BY283" s="179" t="str">
        <f t="shared" si="181"/>
        <v/>
      </c>
      <c r="BZ283" s="179" t="str">
        <f t="shared" si="182"/>
        <v/>
      </c>
      <c r="CA283" s="179" t="str">
        <f t="shared" si="183"/>
        <v/>
      </c>
      <c r="CB283" s="179" t="str">
        <f t="shared" si="184"/>
        <v/>
      </c>
      <c r="CC283" s="179" t="str">
        <f t="shared" si="185"/>
        <v/>
      </c>
      <c r="CD283" s="179" t="str">
        <f t="shared" si="186"/>
        <v/>
      </c>
      <c r="CE283" s="179" t="str">
        <f t="shared" si="187"/>
        <v/>
      </c>
      <c r="CF283" s="179" t="str">
        <f t="shared" si="188"/>
        <v/>
      </c>
      <c r="CG283" s="179" t="str">
        <f t="shared" si="189"/>
        <v/>
      </c>
      <c r="CH283" s="166"/>
      <c r="CI283" s="166"/>
      <c r="CJ283" s="166"/>
      <c r="CK283" s="166" t="s">
        <v>150</v>
      </c>
      <c r="CL283" s="166"/>
    </row>
    <row r="284" spans="1:90" ht="14.25" customHeight="1" thickBot="1" x14ac:dyDescent="0.3">
      <c r="A284" s="213">
        <v>274</v>
      </c>
      <c r="B284" s="219"/>
      <c r="C284" s="200"/>
      <c r="D284" s="145"/>
      <c r="E284" s="320" t="s">
        <v>93</v>
      </c>
      <c r="F284" s="209"/>
      <c r="G284" s="313"/>
      <c r="H284" s="313"/>
      <c r="I284" s="313"/>
      <c r="J284" s="313"/>
      <c r="K284" s="313"/>
      <c r="L284" s="313"/>
      <c r="M284" s="339"/>
      <c r="N284" s="233">
        <f t="shared" si="190"/>
        <v>0</v>
      </c>
      <c r="O284" s="306"/>
      <c r="P284" s="342"/>
      <c r="Q284" s="307"/>
      <c r="R284" s="323" t="s">
        <v>67</v>
      </c>
      <c r="S284" s="209">
        <f t="shared" si="193"/>
        <v>0</v>
      </c>
      <c r="T284" s="209">
        <f t="shared" si="194"/>
        <v>0</v>
      </c>
      <c r="U284" s="209"/>
      <c r="V284" s="209">
        <f t="shared" si="195"/>
        <v>0</v>
      </c>
      <c r="W284" s="209"/>
      <c r="X284" s="209">
        <f t="shared" si="196"/>
        <v>0</v>
      </c>
      <c r="Y284" s="209">
        <f t="shared" si="197"/>
        <v>0</v>
      </c>
      <c r="Z284" s="233"/>
      <c r="AA284" s="233">
        <f t="shared" si="191"/>
        <v>0</v>
      </c>
      <c r="AB284" s="314">
        <f t="shared" si="168"/>
        <v>0</v>
      </c>
      <c r="AC284" s="314"/>
      <c r="AD284" s="314">
        <f t="shared" si="169"/>
        <v>0</v>
      </c>
      <c r="AE284" s="323" t="s">
        <v>87</v>
      </c>
      <c r="AF284" s="81">
        <f t="shared" ref="AF284:AF333" si="198">ROUND(F284*$AF$8/$F$8,0)</f>
        <v>0</v>
      </c>
      <c r="AG284" s="335">
        <f t="shared" ref="AG284:AG333" si="199">ROUND(G284*$AG$8/$G$8,0)</f>
        <v>0</v>
      </c>
      <c r="AH284" s="335"/>
      <c r="AI284" s="335">
        <f t="shared" ref="AI284:AI333" si="200">ROUND(I284*$AI$8/$I$8,0)</f>
        <v>0</v>
      </c>
      <c r="AJ284" s="335"/>
      <c r="AK284" s="335">
        <f t="shared" ref="AK284:AK333" si="201">ROUND(K284*$AK$8/$K$8,0)</f>
        <v>0</v>
      </c>
      <c r="AL284" s="336">
        <f t="shared" ref="AL284:AL333" si="202">ROUND(L284*$AL$8/$L$8,0)</f>
        <v>0</v>
      </c>
      <c r="AM284" s="353"/>
      <c r="AN284" s="22">
        <f t="shared" si="192"/>
        <v>0</v>
      </c>
      <c r="AO284" s="209">
        <f t="shared" si="170"/>
        <v>0</v>
      </c>
      <c r="AP284" s="339"/>
      <c r="AQ284" s="125">
        <f t="shared" si="171"/>
        <v>0</v>
      </c>
      <c r="AR284" s="104"/>
      <c r="AS284" s="217"/>
      <c r="AT284" s="216"/>
      <c r="AU284" s="230"/>
      <c r="AV284" s="220"/>
      <c r="AW284" s="230"/>
      <c r="AX284" s="220"/>
      <c r="AY284" s="230"/>
      <c r="AZ284" s="220"/>
      <c r="BA284" s="17">
        <f t="shared" si="162"/>
        <v>2.8399999999999999E-5</v>
      </c>
      <c r="BB284" s="17">
        <f t="shared" si="163"/>
        <v>0</v>
      </c>
      <c r="BC284" s="17"/>
      <c r="BD284" s="178">
        <v>275</v>
      </c>
      <c r="BE284" s="214">
        <f t="shared" si="172"/>
        <v>1.5299999999999999E-5</v>
      </c>
      <c r="BF284" s="178">
        <f t="shared" si="164"/>
        <v>0</v>
      </c>
      <c r="BG284" s="245">
        <f t="shared" si="165"/>
        <v>2.8399999999999999E-5</v>
      </c>
      <c r="BH284" s="17">
        <f t="shared" si="173"/>
        <v>0</v>
      </c>
      <c r="BI284" s="178">
        <v>275</v>
      </c>
      <c r="BJ284" s="87">
        <f t="shared" si="174"/>
        <v>1.3599999999999999E-5</v>
      </c>
      <c r="BK284" s="215">
        <f t="shared" si="166"/>
        <v>0</v>
      </c>
      <c r="BL284" s="245">
        <f t="shared" si="175"/>
        <v>2.8399999999999999E-5</v>
      </c>
      <c r="BM284" s="17">
        <f t="shared" si="176"/>
        <v>0</v>
      </c>
      <c r="BN284" s="178">
        <v>275</v>
      </c>
      <c r="BO284" s="87">
        <f t="shared" si="177"/>
        <v>1.3599999999999999E-5</v>
      </c>
      <c r="BP284" s="215">
        <f t="shared" si="167"/>
        <v>0</v>
      </c>
      <c r="BR284" s="126"/>
      <c r="BS284" s="126"/>
      <c r="BU284" s="178"/>
      <c r="BV284" s="179" t="str">
        <f t="shared" si="178"/>
        <v/>
      </c>
      <c r="BW284" s="179" t="str">
        <f t="shared" si="179"/>
        <v/>
      </c>
      <c r="BX284" s="179" t="str">
        <f t="shared" si="180"/>
        <v/>
      </c>
      <c r="BY284" s="179" t="str">
        <f t="shared" si="181"/>
        <v/>
      </c>
      <c r="BZ284" s="179" t="str">
        <f t="shared" si="182"/>
        <v/>
      </c>
      <c r="CA284" s="179" t="str">
        <f t="shared" si="183"/>
        <v/>
      </c>
      <c r="CB284" s="179" t="str">
        <f t="shared" si="184"/>
        <v/>
      </c>
      <c r="CC284" s="179" t="str">
        <f t="shared" si="185"/>
        <v/>
      </c>
      <c r="CD284" s="179" t="str">
        <f t="shared" si="186"/>
        <v/>
      </c>
      <c r="CE284" s="179" t="str">
        <f t="shared" si="187"/>
        <v/>
      </c>
      <c r="CF284" s="179" t="str">
        <f t="shared" si="188"/>
        <v/>
      </c>
      <c r="CG284" s="179" t="str">
        <f t="shared" si="189"/>
        <v/>
      </c>
      <c r="CH284" s="166"/>
      <c r="CI284" s="166"/>
      <c r="CJ284" s="166"/>
      <c r="CK284" s="166" t="s">
        <v>150</v>
      </c>
      <c r="CL284" s="166"/>
    </row>
    <row r="285" spans="1:90" ht="14.25" customHeight="1" thickBot="1" x14ac:dyDescent="0.3">
      <c r="A285" s="211">
        <v>275</v>
      </c>
      <c r="B285" s="88"/>
      <c r="C285" s="201"/>
      <c r="D285" s="94"/>
      <c r="E285" s="321" t="s">
        <v>93</v>
      </c>
      <c r="F285" s="96"/>
      <c r="G285" s="100"/>
      <c r="H285" s="100"/>
      <c r="I285" s="100"/>
      <c r="J285" s="100"/>
      <c r="K285" s="100"/>
      <c r="L285" s="100"/>
      <c r="M285" s="210"/>
      <c r="N285" s="234">
        <f t="shared" si="190"/>
        <v>0</v>
      </c>
      <c r="O285" s="308"/>
      <c r="P285" s="343"/>
      <c r="Q285" s="309"/>
      <c r="R285" s="324" t="s">
        <v>67</v>
      </c>
      <c r="S285" s="209">
        <f t="shared" si="193"/>
        <v>0</v>
      </c>
      <c r="T285" s="209">
        <f t="shared" si="194"/>
        <v>0</v>
      </c>
      <c r="U285" s="209"/>
      <c r="V285" s="209">
        <f t="shared" si="195"/>
        <v>0</v>
      </c>
      <c r="W285" s="209"/>
      <c r="X285" s="209">
        <f t="shared" si="196"/>
        <v>0</v>
      </c>
      <c r="Y285" s="209">
        <f t="shared" si="197"/>
        <v>0</v>
      </c>
      <c r="Z285" s="351"/>
      <c r="AA285" s="234">
        <f t="shared" si="191"/>
        <v>0</v>
      </c>
      <c r="AB285" s="314">
        <f t="shared" si="168"/>
        <v>0</v>
      </c>
      <c r="AC285" s="314"/>
      <c r="AD285" s="314">
        <f t="shared" si="169"/>
        <v>0</v>
      </c>
      <c r="AE285" s="324" t="s">
        <v>87</v>
      </c>
      <c r="AF285" s="82">
        <f t="shared" si="198"/>
        <v>0</v>
      </c>
      <c r="AG285" s="337">
        <f t="shared" si="199"/>
        <v>0</v>
      </c>
      <c r="AH285" s="337"/>
      <c r="AI285" s="337">
        <f t="shared" si="200"/>
        <v>0</v>
      </c>
      <c r="AJ285" s="337"/>
      <c r="AK285" s="337">
        <f t="shared" si="201"/>
        <v>0</v>
      </c>
      <c r="AL285" s="338">
        <f t="shared" si="202"/>
        <v>0</v>
      </c>
      <c r="AM285" s="354"/>
      <c r="AN285" s="91">
        <f t="shared" si="192"/>
        <v>0</v>
      </c>
      <c r="AO285" s="96">
        <f t="shared" si="170"/>
        <v>0</v>
      </c>
      <c r="AP285" s="210"/>
      <c r="AQ285" s="97">
        <f t="shared" si="171"/>
        <v>0</v>
      </c>
      <c r="AR285" s="105"/>
      <c r="AS285" s="102"/>
      <c r="AT285" s="237"/>
      <c r="AU285" s="231"/>
      <c r="AV285" s="93"/>
      <c r="AW285" s="231"/>
      <c r="AX285" s="93"/>
      <c r="AY285" s="231"/>
      <c r="AZ285" s="93"/>
      <c r="BA285" s="17">
        <f t="shared" si="162"/>
        <v>2.8499999999999998E-5</v>
      </c>
      <c r="BB285" s="17">
        <f t="shared" si="163"/>
        <v>0</v>
      </c>
      <c r="BC285" s="17"/>
      <c r="BD285" s="178">
        <v>276</v>
      </c>
      <c r="BE285" s="214">
        <f t="shared" si="172"/>
        <v>1.52E-5</v>
      </c>
      <c r="BF285" s="178">
        <f t="shared" si="164"/>
        <v>0</v>
      </c>
      <c r="BG285" s="245">
        <f t="shared" si="165"/>
        <v>2.8499999999999998E-5</v>
      </c>
      <c r="BH285" s="17">
        <f t="shared" si="173"/>
        <v>0</v>
      </c>
      <c r="BI285" s="178">
        <v>276</v>
      </c>
      <c r="BJ285" s="87">
        <f t="shared" si="174"/>
        <v>1.3499999999999999E-5</v>
      </c>
      <c r="BK285" s="215">
        <f t="shared" si="166"/>
        <v>0</v>
      </c>
      <c r="BL285" s="245">
        <f t="shared" si="175"/>
        <v>2.8499999999999998E-5</v>
      </c>
      <c r="BM285" s="17">
        <f t="shared" si="176"/>
        <v>0</v>
      </c>
      <c r="BN285" s="178">
        <v>276</v>
      </c>
      <c r="BO285" s="87">
        <f t="shared" si="177"/>
        <v>1.3499999999999999E-5</v>
      </c>
      <c r="BP285" s="215">
        <f t="shared" si="167"/>
        <v>0</v>
      </c>
      <c r="BR285" s="126"/>
      <c r="BS285" s="126"/>
      <c r="BU285" s="178"/>
      <c r="BV285" s="179" t="str">
        <f t="shared" si="178"/>
        <v/>
      </c>
      <c r="BW285" s="179" t="str">
        <f t="shared" si="179"/>
        <v/>
      </c>
      <c r="BX285" s="179" t="str">
        <f t="shared" si="180"/>
        <v/>
      </c>
      <c r="BY285" s="179" t="str">
        <f t="shared" si="181"/>
        <v/>
      </c>
      <c r="BZ285" s="179" t="str">
        <f t="shared" si="182"/>
        <v/>
      </c>
      <c r="CA285" s="179" t="str">
        <f t="shared" si="183"/>
        <v/>
      </c>
      <c r="CB285" s="179" t="str">
        <f t="shared" si="184"/>
        <v/>
      </c>
      <c r="CC285" s="179" t="str">
        <f t="shared" si="185"/>
        <v/>
      </c>
      <c r="CD285" s="179" t="str">
        <f t="shared" si="186"/>
        <v/>
      </c>
      <c r="CE285" s="179" t="str">
        <f t="shared" si="187"/>
        <v/>
      </c>
      <c r="CF285" s="179" t="str">
        <f t="shared" si="188"/>
        <v/>
      </c>
      <c r="CG285" s="179" t="str">
        <f t="shared" si="189"/>
        <v/>
      </c>
      <c r="CH285" s="166"/>
      <c r="CI285" s="166"/>
      <c r="CJ285" s="166"/>
      <c r="CK285" s="166" t="s">
        <v>150</v>
      </c>
      <c r="CL285" s="166"/>
    </row>
    <row r="286" spans="1:90" ht="14.25" customHeight="1" thickBot="1" x14ac:dyDescent="0.3">
      <c r="A286" s="213">
        <v>276</v>
      </c>
      <c r="B286" s="89"/>
      <c r="C286" s="199"/>
      <c r="D286" s="146"/>
      <c r="E286" s="319" t="s">
        <v>93</v>
      </c>
      <c r="F286" s="221"/>
      <c r="G286" s="222"/>
      <c r="H286" s="222"/>
      <c r="I286" s="222"/>
      <c r="J286" s="222"/>
      <c r="K286" s="222"/>
      <c r="L286" s="222"/>
      <c r="M286" s="331"/>
      <c r="N286" s="303">
        <f t="shared" si="190"/>
        <v>0</v>
      </c>
      <c r="O286" s="304"/>
      <c r="P286" s="341"/>
      <c r="Q286" s="305"/>
      <c r="R286" s="322" t="s">
        <v>67</v>
      </c>
      <c r="S286" s="209">
        <f t="shared" si="193"/>
        <v>0</v>
      </c>
      <c r="T286" s="209">
        <f t="shared" si="194"/>
        <v>0</v>
      </c>
      <c r="U286" s="209"/>
      <c r="V286" s="209">
        <f t="shared" si="195"/>
        <v>0</v>
      </c>
      <c r="W286" s="209"/>
      <c r="X286" s="209">
        <f t="shared" si="196"/>
        <v>0</v>
      </c>
      <c r="Y286" s="209">
        <f t="shared" si="197"/>
        <v>0</v>
      </c>
      <c r="Z286" s="303"/>
      <c r="AA286" s="303">
        <f t="shared" si="191"/>
        <v>0</v>
      </c>
      <c r="AB286" s="314">
        <f t="shared" si="168"/>
        <v>0</v>
      </c>
      <c r="AC286" s="314"/>
      <c r="AD286" s="314">
        <f t="shared" si="169"/>
        <v>0</v>
      </c>
      <c r="AE286" s="325" t="s">
        <v>148</v>
      </c>
      <c r="AF286" s="15">
        <f t="shared" si="198"/>
        <v>0</v>
      </c>
      <c r="AG286" s="232">
        <f t="shared" si="199"/>
        <v>0</v>
      </c>
      <c r="AH286" s="232"/>
      <c r="AI286" s="232">
        <f t="shared" si="200"/>
        <v>0</v>
      </c>
      <c r="AJ286" s="232"/>
      <c r="AK286" s="232">
        <f t="shared" si="201"/>
        <v>0</v>
      </c>
      <c r="AL286" s="7">
        <f t="shared" si="202"/>
        <v>0</v>
      </c>
      <c r="AM286" s="352"/>
      <c r="AN286" s="22">
        <f t="shared" si="192"/>
        <v>0</v>
      </c>
      <c r="AO286" s="15">
        <f t="shared" si="170"/>
        <v>0</v>
      </c>
      <c r="AP286" s="345"/>
      <c r="AQ286" s="7">
        <f t="shared" si="171"/>
        <v>0</v>
      </c>
      <c r="AR286" s="103"/>
      <c r="AS286" s="101"/>
      <c r="AT286" s="236"/>
      <c r="AU286" s="235"/>
      <c r="AV286" s="92"/>
      <c r="AW286" s="235"/>
      <c r="AX286" s="92"/>
      <c r="AY286" s="235"/>
      <c r="AZ286" s="92"/>
      <c r="BA286" s="17">
        <f t="shared" si="162"/>
        <v>2.8599999999999997E-5</v>
      </c>
      <c r="BB286" s="17">
        <f t="shared" si="163"/>
        <v>0</v>
      </c>
      <c r="BC286" s="17"/>
      <c r="BD286" s="178">
        <v>277</v>
      </c>
      <c r="BE286" s="214">
        <f t="shared" si="172"/>
        <v>1.5099999999999999E-5</v>
      </c>
      <c r="BF286" s="178">
        <f t="shared" si="164"/>
        <v>0</v>
      </c>
      <c r="BG286" s="245">
        <f t="shared" si="165"/>
        <v>2.8599999999999997E-5</v>
      </c>
      <c r="BH286" s="17">
        <f t="shared" si="173"/>
        <v>0</v>
      </c>
      <c r="BI286" s="178">
        <v>277</v>
      </c>
      <c r="BJ286" s="87">
        <f t="shared" si="174"/>
        <v>1.3399999999999999E-5</v>
      </c>
      <c r="BK286" s="215">
        <f t="shared" si="166"/>
        <v>0</v>
      </c>
      <c r="BL286" s="245">
        <f t="shared" si="175"/>
        <v>2.8599999999999997E-5</v>
      </c>
      <c r="BM286" s="17">
        <f t="shared" si="176"/>
        <v>0</v>
      </c>
      <c r="BN286" s="178">
        <v>277</v>
      </c>
      <c r="BO286" s="87">
        <f t="shared" si="177"/>
        <v>1.3399999999999999E-5</v>
      </c>
      <c r="BP286" s="215">
        <f t="shared" si="167"/>
        <v>0</v>
      </c>
      <c r="BR286" s="126"/>
      <c r="BS286" s="126"/>
      <c r="BU286" s="178"/>
      <c r="BV286" s="179" t="str">
        <f t="shared" si="178"/>
        <v/>
      </c>
      <c r="BW286" s="179" t="str">
        <f t="shared" si="179"/>
        <v/>
      </c>
      <c r="BX286" s="179" t="str">
        <f t="shared" si="180"/>
        <v/>
      </c>
      <c r="BY286" s="179" t="str">
        <f t="shared" si="181"/>
        <v/>
      </c>
      <c r="BZ286" s="179" t="str">
        <f t="shared" si="182"/>
        <v/>
      </c>
      <c r="CA286" s="179" t="str">
        <f t="shared" si="183"/>
        <v/>
      </c>
      <c r="CB286" s="179" t="str">
        <f t="shared" si="184"/>
        <v/>
      </c>
      <c r="CC286" s="179" t="str">
        <f t="shared" si="185"/>
        <v/>
      </c>
      <c r="CD286" s="179" t="str">
        <f t="shared" si="186"/>
        <v/>
      </c>
      <c r="CE286" s="179" t="str">
        <f t="shared" si="187"/>
        <v/>
      </c>
      <c r="CF286" s="179" t="str">
        <f t="shared" si="188"/>
        <v/>
      </c>
      <c r="CG286" s="179" t="str">
        <f t="shared" si="189"/>
        <v/>
      </c>
      <c r="CH286" s="166"/>
      <c r="CI286" s="166"/>
      <c r="CJ286" s="166"/>
      <c r="CK286" s="166" t="s">
        <v>150</v>
      </c>
      <c r="CL286" s="166"/>
    </row>
    <row r="287" spans="1:90" ht="14.25" customHeight="1" x14ac:dyDescent="0.25">
      <c r="A287" s="211">
        <v>277</v>
      </c>
      <c r="B287" s="219"/>
      <c r="C287" s="200"/>
      <c r="D287" s="145"/>
      <c r="E287" s="320" t="s">
        <v>93</v>
      </c>
      <c r="F287" s="209"/>
      <c r="G287" s="313"/>
      <c r="H287" s="313"/>
      <c r="I287" s="313"/>
      <c r="J287" s="313"/>
      <c r="K287" s="313"/>
      <c r="L287" s="313"/>
      <c r="M287" s="339"/>
      <c r="N287" s="233">
        <f t="shared" si="190"/>
        <v>0</v>
      </c>
      <c r="O287" s="306"/>
      <c r="P287" s="342"/>
      <c r="Q287" s="307"/>
      <c r="R287" s="323" t="s">
        <v>67</v>
      </c>
      <c r="S287" s="209">
        <f t="shared" si="193"/>
        <v>0</v>
      </c>
      <c r="T287" s="209">
        <f t="shared" si="194"/>
        <v>0</v>
      </c>
      <c r="U287" s="209"/>
      <c r="V287" s="209">
        <f t="shared" si="195"/>
        <v>0</v>
      </c>
      <c r="W287" s="209"/>
      <c r="X287" s="209">
        <f t="shared" si="196"/>
        <v>0</v>
      </c>
      <c r="Y287" s="209">
        <f t="shared" si="197"/>
        <v>0</v>
      </c>
      <c r="Z287" s="233"/>
      <c r="AA287" s="233">
        <f t="shared" si="191"/>
        <v>0</v>
      </c>
      <c r="AB287" s="314">
        <f t="shared" si="168"/>
        <v>0</v>
      </c>
      <c r="AC287" s="314"/>
      <c r="AD287" s="314">
        <f t="shared" si="169"/>
        <v>0</v>
      </c>
      <c r="AE287" s="323" t="s">
        <v>87</v>
      </c>
      <c r="AF287" s="81">
        <f t="shared" si="198"/>
        <v>0</v>
      </c>
      <c r="AG287" s="335">
        <f t="shared" si="199"/>
        <v>0</v>
      </c>
      <c r="AH287" s="335"/>
      <c r="AI287" s="335">
        <f t="shared" si="200"/>
        <v>0</v>
      </c>
      <c r="AJ287" s="335"/>
      <c r="AK287" s="335">
        <f t="shared" si="201"/>
        <v>0</v>
      </c>
      <c r="AL287" s="336">
        <f t="shared" si="202"/>
        <v>0</v>
      </c>
      <c r="AM287" s="353"/>
      <c r="AN287" s="22">
        <f t="shared" si="192"/>
        <v>0</v>
      </c>
      <c r="AO287" s="209">
        <f t="shared" si="170"/>
        <v>0</v>
      </c>
      <c r="AP287" s="339"/>
      <c r="AQ287" s="125">
        <f t="shared" si="171"/>
        <v>0</v>
      </c>
      <c r="AR287" s="104"/>
      <c r="AS287" s="217"/>
      <c r="AT287" s="216"/>
      <c r="AU287" s="230"/>
      <c r="AV287" s="220"/>
      <c r="AW287" s="230"/>
      <c r="AX287" s="220"/>
      <c r="AY287" s="230"/>
      <c r="AZ287" s="220"/>
      <c r="BA287" s="17">
        <f t="shared" si="162"/>
        <v>2.87E-5</v>
      </c>
      <c r="BB287" s="17">
        <f t="shared" si="163"/>
        <v>0</v>
      </c>
      <c r="BC287" s="17"/>
      <c r="BD287" s="178">
        <v>278</v>
      </c>
      <c r="BE287" s="214">
        <f t="shared" si="172"/>
        <v>1.4999999999999999E-5</v>
      </c>
      <c r="BF287" s="178">
        <f t="shared" si="164"/>
        <v>0</v>
      </c>
      <c r="BG287" s="245">
        <f t="shared" si="165"/>
        <v>2.87E-5</v>
      </c>
      <c r="BH287" s="17">
        <f t="shared" si="173"/>
        <v>0</v>
      </c>
      <c r="BI287" s="178">
        <v>278</v>
      </c>
      <c r="BJ287" s="87">
        <f t="shared" si="174"/>
        <v>1.33E-5</v>
      </c>
      <c r="BK287" s="215">
        <f t="shared" si="166"/>
        <v>0</v>
      </c>
      <c r="BL287" s="245">
        <f t="shared" si="175"/>
        <v>2.87E-5</v>
      </c>
      <c r="BM287" s="17">
        <f t="shared" si="176"/>
        <v>0</v>
      </c>
      <c r="BN287" s="178">
        <v>278</v>
      </c>
      <c r="BO287" s="87">
        <f t="shared" si="177"/>
        <v>1.33E-5</v>
      </c>
      <c r="BP287" s="215">
        <f t="shared" si="167"/>
        <v>0</v>
      </c>
      <c r="BR287" s="126"/>
      <c r="BS287" s="126"/>
      <c r="BU287" s="178"/>
      <c r="BV287" s="179" t="str">
        <f t="shared" si="178"/>
        <v/>
      </c>
      <c r="BW287" s="179" t="str">
        <f t="shared" si="179"/>
        <v/>
      </c>
      <c r="BX287" s="179" t="str">
        <f t="shared" si="180"/>
        <v/>
      </c>
      <c r="BY287" s="179" t="str">
        <f t="shared" si="181"/>
        <v/>
      </c>
      <c r="BZ287" s="179" t="str">
        <f t="shared" si="182"/>
        <v/>
      </c>
      <c r="CA287" s="179" t="str">
        <f t="shared" si="183"/>
        <v/>
      </c>
      <c r="CB287" s="179" t="str">
        <f t="shared" si="184"/>
        <v/>
      </c>
      <c r="CC287" s="179" t="str">
        <f t="shared" si="185"/>
        <v/>
      </c>
      <c r="CD287" s="179" t="str">
        <f t="shared" si="186"/>
        <v/>
      </c>
      <c r="CE287" s="179" t="str">
        <f t="shared" si="187"/>
        <v/>
      </c>
      <c r="CF287" s="179" t="str">
        <f t="shared" si="188"/>
        <v/>
      </c>
      <c r="CG287" s="179" t="str">
        <f t="shared" si="189"/>
        <v/>
      </c>
      <c r="CH287" s="166"/>
      <c r="CI287" s="166"/>
      <c r="CJ287" s="166"/>
      <c r="CK287" s="166" t="s">
        <v>150</v>
      </c>
      <c r="CL287" s="166"/>
    </row>
    <row r="288" spans="1:90" ht="14.25" customHeight="1" thickBot="1" x14ac:dyDescent="0.3">
      <c r="A288" s="213">
        <v>278</v>
      </c>
      <c r="B288" s="88"/>
      <c r="C288" s="201"/>
      <c r="D288" s="94"/>
      <c r="E288" s="321" t="s">
        <v>93</v>
      </c>
      <c r="F288" s="96"/>
      <c r="G288" s="100"/>
      <c r="H288" s="100"/>
      <c r="I288" s="100"/>
      <c r="J288" s="100"/>
      <c r="K288" s="100"/>
      <c r="L288" s="100"/>
      <c r="M288" s="210"/>
      <c r="N288" s="234">
        <f t="shared" si="190"/>
        <v>0</v>
      </c>
      <c r="O288" s="308"/>
      <c r="P288" s="343"/>
      <c r="Q288" s="309"/>
      <c r="R288" s="324" t="s">
        <v>67</v>
      </c>
      <c r="S288" s="209">
        <f t="shared" si="193"/>
        <v>0</v>
      </c>
      <c r="T288" s="209">
        <f t="shared" si="194"/>
        <v>0</v>
      </c>
      <c r="U288" s="209"/>
      <c r="V288" s="209">
        <f t="shared" si="195"/>
        <v>0</v>
      </c>
      <c r="W288" s="209"/>
      <c r="X288" s="209">
        <f t="shared" si="196"/>
        <v>0</v>
      </c>
      <c r="Y288" s="209">
        <f t="shared" si="197"/>
        <v>0</v>
      </c>
      <c r="Z288" s="351"/>
      <c r="AA288" s="234">
        <f t="shared" si="191"/>
        <v>0</v>
      </c>
      <c r="AB288" s="314">
        <f t="shared" si="168"/>
        <v>0</v>
      </c>
      <c r="AC288" s="314"/>
      <c r="AD288" s="314">
        <f t="shared" si="169"/>
        <v>0</v>
      </c>
      <c r="AE288" s="324" t="s">
        <v>87</v>
      </c>
      <c r="AF288" s="82">
        <f t="shared" si="198"/>
        <v>0</v>
      </c>
      <c r="AG288" s="337">
        <f t="shared" si="199"/>
        <v>0</v>
      </c>
      <c r="AH288" s="337"/>
      <c r="AI288" s="337">
        <f t="shared" si="200"/>
        <v>0</v>
      </c>
      <c r="AJ288" s="337"/>
      <c r="AK288" s="337">
        <f t="shared" si="201"/>
        <v>0</v>
      </c>
      <c r="AL288" s="338">
        <f t="shared" si="202"/>
        <v>0</v>
      </c>
      <c r="AM288" s="354"/>
      <c r="AN288" s="91">
        <f t="shared" si="192"/>
        <v>0</v>
      </c>
      <c r="AO288" s="96">
        <f t="shared" si="170"/>
        <v>0</v>
      </c>
      <c r="AP288" s="210"/>
      <c r="AQ288" s="97">
        <f t="shared" si="171"/>
        <v>0</v>
      </c>
      <c r="AR288" s="105"/>
      <c r="AS288" s="102"/>
      <c r="AT288" s="237"/>
      <c r="AU288" s="231"/>
      <c r="AV288" s="93"/>
      <c r="AW288" s="231"/>
      <c r="AX288" s="93"/>
      <c r="AY288" s="231"/>
      <c r="AZ288" s="93"/>
      <c r="BA288" s="17">
        <f t="shared" si="162"/>
        <v>2.8799999999999999E-5</v>
      </c>
      <c r="BB288" s="17">
        <f t="shared" si="163"/>
        <v>0</v>
      </c>
      <c r="BC288" s="17"/>
      <c r="BD288" s="178">
        <v>279</v>
      </c>
      <c r="BE288" s="214">
        <f t="shared" si="172"/>
        <v>1.49E-5</v>
      </c>
      <c r="BF288" s="178">
        <f t="shared" si="164"/>
        <v>0</v>
      </c>
      <c r="BG288" s="245">
        <f t="shared" si="165"/>
        <v>2.8799999999999999E-5</v>
      </c>
      <c r="BH288" s="17">
        <f t="shared" si="173"/>
        <v>0</v>
      </c>
      <c r="BI288" s="178">
        <v>279</v>
      </c>
      <c r="BJ288" s="87">
        <f t="shared" si="174"/>
        <v>1.3199999999999999E-5</v>
      </c>
      <c r="BK288" s="215">
        <f t="shared" si="166"/>
        <v>0</v>
      </c>
      <c r="BL288" s="245">
        <f t="shared" si="175"/>
        <v>2.8799999999999999E-5</v>
      </c>
      <c r="BM288" s="17">
        <f t="shared" si="176"/>
        <v>0</v>
      </c>
      <c r="BN288" s="178">
        <v>279</v>
      </c>
      <c r="BO288" s="87">
        <f t="shared" si="177"/>
        <v>1.3199999999999999E-5</v>
      </c>
      <c r="BP288" s="215">
        <f t="shared" si="167"/>
        <v>0</v>
      </c>
      <c r="BR288" s="126"/>
      <c r="BS288" s="126"/>
      <c r="BU288" s="178"/>
      <c r="BV288" s="179" t="str">
        <f t="shared" si="178"/>
        <v/>
      </c>
      <c r="BW288" s="179" t="str">
        <f t="shared" si="179"/>
        <v/>
      </c>
      <c r="BX288" s="179" t="str">
        <f t="shared" si="180"/>
        <v/>
      </c>
      <c r="BY288" s="179" t="str">
        <f t="shared" si="181"/>
        <v/>
      </c>
      <c r="BZ288" s="179" t="str">
        <f t="shared" si="182"/>
        <v/>
      </c>
      <c r="CA288" s="179" t="str">
        <f t="shared" si="183"/>
        <v/>
      </c>
      <c r="CB288" s="179" t="str">
        <f t="shared" si="184"/>
        <v/>
      </c>
      <c r="CC288" s="179" t="str">
        <f t="shared" si="185"/>
        <v/>
      </c>
      <c r="CD288" s="179" t="str">
        <f t="shared" si="186"/>
        <v/>
      </c>
      <c r="CE288" s="179" t="str">
        <f t="shared" si="187"/>
        <v/>
      </c>
      <c r="CF288" s="179" t="str">
        <f t="shared" si="188"/>
        <v/>
      </c>
      <c r="CG288" s="179" t="str">
        <f t="shared" si="189"/>
        <v/>
      </c>
      <c r="CH288" s="166"/>
      <c r="CI288" s="166"/>
      <c r="CJ288" s="166"/>
      <c r="CK288" s="166" t="s">
        <v>150</v>
      </c>
      <c r="CL288" s="166"/>
    </row>
    <row r="289" spans="1:90" ht="14.25" customHeight="1" x14ac:dyDescent="0.25">
      <c r="A289" s="211">
        <v>279</v>
      </c>
      <c r="B289" s="89"/>
      <c r="C289" s="199"/>
      <c r="D289" s="146"/>
      <c r="E289" s="319" t="s">
        <v>93</v>
      </c>
      <c r="F289" s="221"/>
      <c r="G289" s="222"/>
      <c r="H289" s="222"/>
      <c r="I289" s="222"/>
      <c r="J289" s="222"/>
      <c r="K289" s="222"/>
      <c r="L289" s="222"/>
      <c r="M289" s="331"/>
      <c r="N289" s="303">
        <f t="shared" si="190"/>
        <v>0</v>
      </c>
      <c r="O289" s="304"/>
      <c r="P289" s="341"/>
      <c r="Q289" s="305"/>
      <c r="R289" s="322" t="s">
        <v>67</v>
      </c>
      <c r="S289" s="209">
        <f t="shared" si="193"/>
        <v>0</v>
      </c>
      <c r="T289" s="209">
        <f t="shared" si="194"/>
        <v>0</v>
      </c>
      <c r="U289" s="209"/>
      <c r="V289" s="209">
        <f t="shared" si="195"/>
        <v>0</v>
      </c>
      <c r="W289" s="209"/>
      <c r="X289" s="209">
        <f t="shared" si="196"/>
        <v>0</v>
      </c>
      <c r="Y289" s="209">
        <f t="shared" si="197"/>
        <v>0</v>
      </c>
      <c r="Z289" s="303"/>
      <c r="AA289" s="303">
        <f t="shared" si="191"/>
        <v>0</v>
      </c>
      <c r="AB289" s="314">
        <f t="shared" si="168"/>
        <v>0</v>
      </c>
      <c r="AC289" s="314"/>
      <c r="AD289" s="314">
        <f t="shared" si="169"/>
        <v>0</v>
      </c>
      <c r="AE289" s="325" t="s">
        <v>148</v>
      </c>
      <c r="AF289" s="15">
        <f t="shared" si="198"/>
        <v>0</v>
      </c>
      <c r="AG289" s="232">
        <f t="shared" si="199"/>
        <v>0</v>
      </c>
      <c r="AH289" s="232"/>
      <c r="AI289" s="232">
        <f t="shared" si="200"/>
        <v>0</v>
      </c>
      <c r="AJ289" s="232"/>
      <c r="AK289" s="232">
        <f t="shared" si="201"/>
        <v>0</v>
      </c>
      <c r="AL289" s="7">
        <f t="shared" si="202"/>
        <v>0</v>
      </c>
      <c r="AM289" s="352"/>
      <c r="AN289" s="22">
        <f t="shared" si="192"/>
        <v>0</v>
      </c>
      <c r="AO289" s="15">
        <f t="shared" si="170"/>
        <v>0</v>
      </c>
      <c r="AP289" s="345"/>
      <c r="AQ289" s="7">
        <f t="shared" si="171"/>
        <v>0</v>
      </c>
      <c r="AR289" s="103"/>
      <c r="AS289" s="101"/>
      <c r="AT289" s="236"/>
      <c r="AU289" s="235"/>
      <c r="AV289" s="92"/>
      <c r="AW289" s="235"/>
      <c r="AX289" s="92"/>
      <c r="AY289" s="235"/>
      <c r="AZ289" s="92"/>
      <c r="BA289" s="17">
        <f t="shared" si="162"/>
        <v>2.8899999999999998E-5</v>
      </c>
      <c r="BB289" s="17">
        <f t="shared" si="163"/>
        <v>0</v>
      </c>
      <c r="BC289" s="17"/>
      <c r="BD289" s="178">
        <v>280</v>
      </c>
      <c r="BE289" s="214">
        <f t="shared" si="172"/>
        <v>1.4799999999999999E-5</v>
      </c>
      <c r="BF289" s="178">
        <f t="shared" si="164"/>
        <v>0</v>
      </c>
      <c r="BG289" s="245">
        <f t="shared" si="165"/>
        <v>2.8899999999999998E-5</v>
      </c>
      <c r="BH289" s="17">
        <f t="shared" si="173"/>
        <v>0</v>
      </c>
      <c r="BI289" s="178">
        <v>280</v>
      </c>
      <c r="BJ289" s="87">
        <f t="shared" si="174"/>
        <v>1.31E-5</v>
      </c>
      <c r="BK289" s="215">
        <f t="shared" si="166"/>
        <v>0</v>
      </c>
      <c r="BL289" s="245">
        <f t="shared" si="175"/>
        <v>2.8899999999999998E-5</v>
      </c>
      <c r="BM289" s="17">
        <f t="shared" si="176"/>
        <v>0</v>
      </c>
      <c r="BN289" s="178">
        <v>280</v>
      </c>
      <c r="BO289" s="87">
        <f t="shared" si="177"/>
        <v>1.31E-5</v>
      </c>
      <c r="BP289" s="215">
        <f t="shared" si="167"/>
        <v>0</v>
      </c>
      <c r="BR289" s="126"/>
      <c r="BS289" s="126"/>
      <c r="BU289" s="178"/>
      <c r="BV289" s="179" t="str">
        <f t="shared" si="178"/>
        <v/>
      </c>
      <c r="BW289" s="179" t="str">
        <f t="shared" si="179"/>
        <v/>
      </c>
      <c r="BX289" s="179" t="str">
        <f t="shared" si="180"/>
        <v/>
      </c>
      <c r="BY289" s="179" t="str">
        <f t="shared" si="181"/>
        <v/>
      </c>
      <c r="BZ289" s="179" t="str">
        <f t="shared" si="182"/>
        <v/>
      </c>
      <c r="CA289" s="179" t="str">
        <f t="shared" si="183"/>
        <v/>
      </c>
      <c r="CB289" s="179" t="str">
        <f t="shared" si="184"/>
        <v/>
      </c>
      <c r="CC289" s="179" t="str">
        <f t="shared" si="185"/>
        <v/>
      </c>
      <c r="CD289" s="179" t="str">
        <f t="shared" si="186"/>
        <v/>
      </c>
      <c r="CE289" s="179" t="str">
        <f t="shared" si="187"/>
        <v/>
      </c>
      <c r="CF289" s="179" t="str">
        <f t="shared" si="188"/>
        <v/>
      </c>
      <c r="CG289" s="179" t="str">
        <f t="shared" si="189"/>
        <v/>
      </c>
      <c r="CH289" s="166"/>
      <c r="CI289" s="166"/>
      <c r="CJ289" s="166"/>
      <c r="CK289" s="166" t="s">
        <v>150</v>
      </c>
      <c r="CL289" s="166"/>
    </row>
    <row r="290" spans="1:90" ht="14.25" customHeight="1" thickBot="1" x14ac:dyDescent="0.3">
      <c r="A290" s="213">
        <v>280</v>
      </c>
      <c r="B290" s="219"/>
      <c r="C290" s="200"/>
      <c r="D290" s="145"/>
      <c r="E290" s="320" t="s">
        <v>93</v>
      </c>
      <c r="F290" s="209"/>
      <c r="G290" s="313"/>
      <c r="H290" s="313"/>
      <c r="I290" s="313"/>
      <c r="J290" s="313"/>
      <c r="K290" s="313"/>
      <c r="L290" s="313"/>
      <c r="M290" s="339"/>
      <c r="N290" s="233">
        <f t="shared" si="190"/>
        <v>0</v>
      </c>
      <c r="O290" s="306"/>
      <c r="P290" s="342"/>
      <c r="Q290" s="307"/>
      <c r="R290" s="323" t="s">
        <v>67</v>
      </c>
      <c r="S290" s="209">
        <f t="shared" si="193"/>
        <v>0</v>
      </c>
      <c r="T290" s="209">
        <f t="shared" si="194"/>
        <v>0</v>
      </c>
      <c r="U290" s="209"/>
      <c r="V290" s="209">
        <f t="shared" si="195"/>
        <v>0</v>
      </c>
      <c r="W290" s="209"/>
      <c r="X290" s="209">
        <f t="shared" si="196"/>
        <v>0</v>
      </c>
      <c r="Y290" s="209">
        <f t="shared" si="197"/>
        <v>0</v>
      </c>
      <c r="Z290" s="233"/>
      <c r="AA290" s="233">
        <f t="shared" si="191"/>
        <v>0</v>
      </c>
      <c r="AB290" s="314">
        <f t="shared" si="168"/>
        <v>0</v>
      </c>
      <c r="AC290" s="314"/>
      <c r="AD290" s="314">
        <f t="shared" si="169"/>
        <v>0</v>
      </c>
      <c r="AE290" s="323" t="s">
        <v>87</v>
      </c>
      <c r="AF290" s="81">
        <f t="shared" si="198"/>
        <v>0</v>
      </c>
      <c r="AG290" s="335">
        <f t="shared" si="199"/>
        <v>0</v>
      </c>
      <c r="AH290" s="335"/>
      <c r="AI290" s="335">
        <f t="shared" si="200"/>
        <v>0</v>
      </c>
      <c r="AJ290" s="335"/>
      <c r="AK290" s="335">
        <f t="shared" si="201"/>
        <v>0</v>
      </c>
      <c r="AL290" s="336">
        <f t="shared" si="202"/>
        <v>0</v>
      </c>
      <c r="AM290" s="353"/>
      <c r="AN290" s="22">
        <f t="shared" si="192"/>
        <v>0</v>
      </c>
      <c r="AO290" s="209">
        <f t="shared" si="170"/>
        <v>0</v>
      </c>
      <c r="AP290" s="339"/>
      <c r="AQ290" s="125">
        <f t="shared" si="171"/>
        <v>0</v>
      </c>
      <c r="AR290" s="104"/>
      <c r="AS290" s="217"/>
      <c r="AT290" s="216"/>
      <c r="AU290" s="230"/>
      <c r="AV290" s="220"/>
      <c r="AW290" s="230"/>
      <c r="AX290" s="220"/>
      <c r="AY290" s="230"/>
      <c r="AZ290" s="220"/>
      <c r="BA290" s="17">
        <f t="shared" si="162"/>
        <v>2.9E-5</v>
      </c>
      <c r="BB290" s="17">
        <f t="shared" si="163"/>
        <v>0</v>
      </c>
      <c r="BC290" s="17"/>
      <c r="BD290" s="178">
        <v>281</v>
      </c>
      <c r="BE290" s="214">
        <f t="shared" si="172"/>
        <v>1.47E-5</v>
      </c>
      <c r="BF290" s="178">
        <f t="shared" si="164"/>
        <v>0</v>
      </c>
      <c r="BG290" s="245">
        <f t="shared" si="165"/>
        <v>2.9E-5</v>
      </c>
      <c r="BH290" s="17">
        <f t="shared" si="173"/>
        <v>0</v>
      </c>
      <c r="BI290" s="178">
        <v>281</v>
      </c>
      <c r="BJ290" s="87">
        <f t="shared" si="174"/>
        <v>1.2999999999999999E-5</v>
      </c>
      <c r="BK290" s="215">
        <f t="shared" si="166"/>
        <v>0</v>
      </c>
      <c r="BL290" s="245">
        <f t="shared" si="175"/>
        <v>2.9E-5</v>
      </c>
      <c r="BM290" s="17">
        <f t="shared" si="176"/>
        <v>0</v>
      </c>
      <c r="BN290" s="178">
        <v>281</v>
      </c>
      <c r="BO290" s="87">
        <f t="shared" si="177"/>
        <v>1.2999999999999999E-5</v>
      </c>
      <c r="BP290" s="215">
        <f t="shared" si="167"/>
        <v>0</v>
      </c>
      <c r="BR290" s="126"/>
      <c r="BS290" s="126"/>
      <c r="BU290" s="178"/>
      <c r="BV290" s="179" t="str">
        <f t="shared" si="178"/>
        <v/>
      </c>
      <c r="BW290" s="179" t="str">
        <f t="shared" si="179"/>
        <v/>
      </c>
      <c r="BX290" s="179" t="str">
        <f t="shared" si="180"/>
        <v/>
      </c>
      <c r="BY290" s="179" t="str">
        <f t="shared" si="181"/>
        <v/>
      </c>
      <c r="BZ290" s="179" t="str">
        <f t="shared" si="182"/>
        <v/>
      </c>
      <c r="CA290" s="179" t="str">
        <f t="shared" si="183"/>
        <v/>
      </c>
      <c r="CB290" s="179" t="str">
        <f t="shared" si="184"/>
        <v/>
      </c>
      <c r="CC290" s="179" t="str">
        <f t="shared" si="185"/>
        <v/>
      </c>
      <c r="CD290" s="179" t="str">
        <f t="shared" si="186"/>
        <v/>
      </c>
      <c r="CE290" s="179" t="str">
        <f t="shared" si="187"/>
        <v/>
      </c>
      <c r="CF290" s="179" t="str">
        <f t="shared" si="188"/>
        <v/>
      </c>
      <c r="CG290" s="179" t="str">
        <f t="shared" si="189"/>
        <v/>
      </c>
      <c r="CH290" s="166"/>
      <c r="CI290" s="166"/>
      <c r="CJ290" s="166"/>
      <c r="CK290" s="166" t="s">
        <v>150</v>
      </c>
      <c r="CL290" s="166"/>
    </row>
    <row r="291" spans="1:90" ht="14.25" customHeight="1" thickBot="1" x14ac:dyDescent="0.3">
      <c r="A291" s="211">
        <v>281</v>
      </c>
      <c r="B291" s="88"/>
      <c r="C291" s="201"/>
      <c r="D291" s="94"/>
      <c r="E291" s="321" t="s">
        <v>93</v>
      </c>
      <c r="F291" s="96"/>
      <c r="G291" s="100"/>
      <c r="H291" s="100"/>
      <c r="I291" s="100"/>
      <c r="J291" s="100"/>
      <c r="K291" s="100"/>
      <c r="L291" s="100"/>
      <c r="M291" s="210"/>
      <c r="N291" s="234">
        <f t="shared" si="190"/>
        <v>0</v>
      </c>
      <c r="O291" s="308"/>
      <c r="P291" s="343"/>
      <c r="Q291" s="309"/>
      <c r="R291" s="324" t="s">
        <v>67</v>
      </c>
      <c r="S291" s="209">
        <f t="shared" si="193"/>
        <v>0</v>
      </c>
      <c r="T291" s="209">
        <f t="shared" si="194"/>
        <v>0</v>
      </c>
      <c r="U291" s="209"/>
      <c r="V291" s="209">
        <f t="shared" si="195"/>
        <v>0</v>
      </c>
      <c r="W291" s="209"/>
      <c r="X291" s="209">
        <f t="shared" si="196"/>
        <v>0</v>
      </c>
      <c r="Y291" s="209">
        <f t="shared" si="197"/>
        <v>0</v>
      </c>
      <c r="Z291" s="351"/>
      <c r="AA291" s="234">
        <f t="shared" si="191"/>
        <v>0</v>
      </c>
      <c r="AB291" s="314">
        <f t="shared" si="168"/>
        <v>0</v>
      </c>
      <c r="AC291" s="314"/>
      <c r="AD291" s="314">
        <f t="shared" si="169"/>
        <v>0</v>
      </c>
      <c r="AE291" s="324" t="s">
        <v>87</v>
      </c>
      <c r="AF291" s="82">
        <f t="shared" si="198"/>
        <v>0</v>
      </c>
      <c r="AG291" s="337">
        <f t="shared" si="199"/>
        <v>0</v>
      </c>
      <c r="AH291" s="337"/>
      <c r="AI291" s="337">
        <f t="shared" si="200"/>
        <v>0</v>
      </c>
      <c r="AJ291" s="337"/>
      <c r="AK291" s="337">
        <f t="shared" si="201"/>
        <v>0</v>
      </c>
      <c r="AL291" s="338">
        <f t="shared" si="202"/>
        <v>0</v>
      </c>
      <c r="AM291" s="354"/>
      <c r="AN291" s="91">
        <f t="shared" si="192"/>
        <v>0</v>
      </c>
      <c r="AO291" s="96">
        <f t="shared" si="170"/>
        <v>0</v>
      </c>
      <c r="AP291" s="210"/>
      <c r="AQ291" s="97">
        <f t="shared" si="171"/>
        <v>0</v>
      </c>
      <c r="AR291" s="105"/>
      <c r="AS291" s="102"/>
      <c r="AT291" s="237"/>
      <c r="AU291" s="231"/>
      <c r="AV291" s="93"/>
      <c r="AW291" s="231"/>
      <c r="AX291" s="93"/>
      <c r="AY291" s="231"/>
      <c r="AZ291" s="93"/>
      <c r="BA291" s="17">
        <f t="shared" si="162"/>
        <v>2.9099999999999999E-5</v>
      </c>
      <c r="BB291" s="17">
        <f t="shared" si="163"/>
        <v>0</v>
      </c>
      <c r="BC291" s="17"/>
      <c r="BD291" s="178">
        <v>282</v>
      </c>
      <c r="BE291" s="214">
        <f t="shared" si="172"/>
        <v>1.4599999999999999E-5</v>
      </c>
      <c r="BF291" s="178">
        <f t="shared" si="164"/>
        <v>0</v>
      </c>
      <c r="BG291" s="245">
        <f t="shared" si="165"/>
        <v>2.9099999999999999E-5</v>
      </c>
      <c r="BH291" s="17">
        <f t="shared" si="173"/>
        <v>0</v>
      </c>
      <c r="BI291" s="178">
        <v>282</v>
      </c>
      <c r="BJ291" s="87">
        <f t="shared" si="174"/>
        <v>1.29E-5</v>
      </c>
      <c r="BK291" s="215">
        <f t="shared" si="166"/>
        <v>0</v>
      </c>
      <c r="BL291" s="245">
        <f t="shared" si="175"/>
        <v>2.9099999999999999E-5</v>
      </c>
      <c r="BM291" s="17">
        <f t="shared" si="176"/>
        <v>0</v>
      </c>
      <c r="BN291" s="178">
        <v>282</v>
      </c>
      <c r="BO291" s="87">
        <f t="shared" si="177"/>
        <v>1.29E-5</v>
      </c>
      <c r="BP291" s="215">
        <f t="shared" si="167"/>
        <v>0</v>
      </c>
      <c r="BR291" s="126"/>
      <c r="BS291" s="126"/>
      <c r="BU291" s="178"/>
      <c r="BV291" s="179" t="str">
        <f t="shared" si="178"/>
        <v/>
      </c>
      <c r="BW291" s="179" t="str">
        <f t="shared" si="179"/>
        <v/>
      </c>
      <c r="BX291" s="179" t="str">
        <f t="shared" si="180"/>
        <v/>
      </c>
      <c r="BY291" s="179" t="str">
        <f t="shared" si="181"/>
        <v/>
      </c>
      <c r="BZ291" s="179" t="str">
        <f t="shared" si="182"/>
        <v/>
      </c>
      <c r="CA291" s="179" t="str">
        <f t="shared" si="183"/>
        <v/>
      </c>
      <c r="CB291" s="179" t="str">
        <f t="shared" si="184"/>
        <v/>
      </c>
      <c r="CC291" s="179" t="str">
        <f t="shared" si="185"/>
        <v/>
      </c>
      <c r="CD291" s="179" t="str">
        <f t="shared" si="186"/>
        <v/>
      </c>
      <c r="CE291" s="179" t="str">
        <f t="shared" si="187"/>
        <v/>
      </c>
      <c r="CF291" s="179" t="str">
        <f t="shared" si="188"/>
        <v/>
      </c>
      <c r="CG291" s="179" t="str">
        <f t="shared" si="189"/>
        <v/>
      </c>
      <c r="CH291" s="166"/>
      <c r="CI291" s="166"/>
      <c r="CJ291" s="166"/>
      <c r="CK291" s="166" t="s">
        <v>150</v>
      </c>
      <c r="CL291" s="166"/>
    </row>
    <row r="292" spans="1:90" ht="14.25" customHeight="1" thickBot="1" x14ac:dyDescent="0.3">
      <c r="A292" s="213">
        <v>282</v>
      </c>
      <c r="B292" s="89"/>
      <c r="C292" s="199"/>
      <c r="D292" s="146"/>
      <c r="E292" s="319" t="s">
        <v>93</v>
      </c>
      <c r="F292" s="221"/>
      <c r="G292" s="222"/>
      <c r="H292" s="222"/>
      <c r="I292" s="222"/>
      <c r="J292" s="222"/>
      <c r="K292" s="222"/>
      <c r="L292" s="222"/>
      <c r="M292" s="331"/>
      <c r="N292" s="303">
        <f t="shared" si="190"/>
        <v>0</v>
      </c>
      <c r="O292" s="304"/>
      <c r="P292" s="341"/>
      <c r="Q292" s="305"/>
      <c r="R292" s="322" t="s">
        <v>67</v>
      </c>
      <c r="S292" s="209">
        <f t="shared" si="193"/>
        <v>0</v>
      </c>
      <c r="T292" s="209">
        <f t="shared" si="194"/>
        <v>0</v>
      </c>
      <c r="U292" s="209"/>
      <c r="V292" s="209">
        <f t="shared" si="195"/>
        <v>0</v>
      </c>
      <c r="W292" s="209"/>
      <c r="X292" s="209">
        <f t="shared" si="196"/>
        <v>0</v>
      </c>
      <c r="Y292" s="209">
        <f t="shared" si="197"/>
        <v>0</v>
      </c>
      <c r="Z292" s="303"/>
      <c r="AA292" s="303">
        <f t="shared" si="191"/>
        <v>0</v>
      </c>
      <c r="AB292" s="314">
        <f t="shared" si="168"/>
        <v>0</v>
      </c>
      <c r="AC292" s="314"/>
      <c r="AD292" s="314">
        <f t="shared" si="169"/>
        <v>0</v>
      </c>
      <c r="AE292" s="325" t="s">
        <v>148</v>
      </c>
      <c r="AF292" s="15">
        <f t="shared" si="198"/>
        <v>0</v>
      </c>
      <c r="AG292" s="232">
        <f t="shared" si="199"/>
        <v>0</v>
      </c>
      <c r="AH292" s="232"/>
      <c r="AI292" s="232">
        <f t="shared" si="200"/>
        <v>0</v>
      </c>
      <c r="AJ292" s="232"/>
      <c r="AK292" s="232">
        <f t="shared" si="201"/>
        <v>0</v>
      </c>
      <c r="AL292" s="7">
        <f t="shared" si="202"/>
        <v>0</v>
      </c>
      <c r="AM292" s="352"/>
      <c r="AN292" s="22">
        <f t="shared" si="192"/>
        <v>0</v>
      </c>
      <c r="AO292" s="15">
        <f t="shared" si="170"/>
        <v>0</v>
      </c>
      <c r="AP292" s="345"/>
      <c r="AQ292" s="7">
        <f t="shared" si="171"/>
        <v>0</v>
      </c>
      <c r="AR292" s="103"/>
      <c r="AS292" s="101"/>
      <c r="AT292" s="236"/>
      <c r="AU292" s="235"/>
      <c r="AV292" s="92"/>
      <c r="AW292" s="235"/>
      <c r="AX292" s="92"/>
      <c r="AY292" s="235"/>
      <c r="AZ292" s="92"/>
      <c r="BA292" s="17">
        <f t="shared" si="162"/>
        <v>2.9199999999999998E-5</v>
      </c>
      <c r="BB292" s="17">
        <f t="shared" si="163"/>
        <v>0</v>
      </c>
      <c r="BC292" s="17"/>
      <c r="BD292" s="178">
        <v>283</v>
      </c>
      <c r="BE292" s="214">
        <f t="shared" si="172"/>
        <v>1.45E-5</v>
      </c>
      <c r="BF292" s="178">
        <f t="shared" si="164"/>
        <v>0</v>
      </c>
      <c r="BG292" s="245">
        <f t="shared" si="165"/>
        <v>2.9199999999999998E-5</v>
      </c>
      <c r="BH292" s="17">
        <f t="shared" si="173"/>
        <v>0</v>
      </c>
      <c r="BI292" s="178">
        <v>283</v>
      </c>
      <c r="BJ292" s="87">
        <f t="shared" si="174"/>
        <v>1.2799999999999999E-5</v>
      </c>
      <c r="BK292" s="215">
        <f t="shared" si="166"/>
        <v>0</v>
      </c>
      <c r="BL292" s="245">
        <f t="shared" si="175"/>
        <v>2.9199999999999998E-5</v>
      </c>
      <c r="BM292" s="17">
        <f t="shared" si="176"/>
        <v>0</v>
      </c>
      <c r="BN292" s="178">
        <v>283</v>
      </c>
      <c r="BO292" s="87">
        <f t="shared" si="177"/>
        <v>1.2799999999999999E-5</v>
      </c>
      <c r="BP292" s="215">
        <f t="shared" si="167"/>
        <v>0</v>
      </c>
      <c r="BR292" s="126"/>
      <c r="BS292" s="126"/>
      <c r="BU292" s="178"/>
      <c r="BV292" s="179" t="str">
        <f t="shared" si="178"/>
        <v/>
      </c>
      <c r="BW292" s="179" t="str">
        <f t="shared" si="179"/>
        <v/>
      </c>
      <c r="BX292" s="179" t="str">
        <f t="shared" si="180"/>
        <v/>
      </c>
      <c r="BY292" s="179" t="str">
        <f t="shared" si="181"/>
        <v/>
      </c>
      <c r="BZ292" s="179" t="str">
        <f t="shared" si="182"/>
        <v/>
      </c>
      <c r="CA292" s="179" t="str">
        <f t="shared" si="183"/>
        <v/>
      </c>
      <c r="CB292" s="179" t="str">
        <f t="shared" si="184"/>
        <v/>
      </c>
      <c r="CC292" s="179" t="str">
        <f t="shared" si="185"/>
        <v/>
      </c>
      <c r="CD292" s="179" t="str">
        <f t="shared" si="186"/>
        <v/>
      </c>
      <c r="CE292" s="179" t="str">
        <f t="shared" si="187"/>
        <v/>
      </c>
      <c r="CF292" s="179" t="str">
        <f t="shared" si="188"/>
        <v/>
      </c>
      <c r="CG292" s="179" t="str">
        <f t="shared" si="189"/>
        <v/>
      </c>
      <c r="CH292" s="166"/>
      <c r="CI292" s="166"/>
      <c r="CJ292" s="166"/>
      <c r="CK292" s="166" t="s">
        <v>150</v>
      </c>
      <c r="CL292" s="166"/>
    </row>
    <row r="293" spans="1:90" ht="14.25" customHeight="1" x14ac:dyDescent="0.25">
      <c r="A293" s="211">
        <v>283</v>
      </c>
      <c r="B293" s="219"/>
      <c r="C293" s="200"/>
      <c r="D293" s="145"/>
      <c r="E293" s="320" t="s">
        <v>93</v>
      </c>
      <c r="F293" s="209"/>
      <c r="G293" s="313"/>
      <c r="H293" s="313"/>
      <c r="I293" s="313"/>
      <c r="J293" s="313"/>
      <c r="K293" s="313"/>
      <c r="L293" s="313"/>
      <c r="M293" s="339"/>
      <c r="N293" s="233">
        <f t="shared" si="190"/>
        <v>0</v>
      </c>
      <c r="O293" s="306"/>
      <c r="P293" s="342"/>
      <c r="Q293" s="307"/>
      <c r="R293" s="323" t="s">
        <v>67</v>
      </c>
      <c r="S293" s="209">
        <f t="shared" si="193"/>
        <v>0</v>
      </c>
      <c r="T293" s="209">
        <f t="shared" si="194"/>
        <v>0</v>
      </c>
      <c r="U293" s="209"/>
      <c r="V293" s="209">
        <f t="shared" si="195"/>
        <v>0</v>
      </c>
      <c r="W293" s="209"/>
      <c r="X293" s="209">
        <f t="shared" si="196"/>
        <v>0</v>
      </c>
      <c r="Y293" s="209">
        <f t="shared" si="197"/>
        <v>0</v>
      </c>
      <c r="Z293" s="233"/>
      <c r="AA293" s="233">
        <f t="shared" si="191"/>
        <v>0</v>
      </c>
      <c r="AB293" s="314">
        <f t="shared" si="168"/>
        <v>0</v>
      </c>
      <c r="AC293" s="314"/>
      <c r="AD293" s="314">
        <f t="shared" si="169"/>
        <v>0</v>
      </c>
      <c r="AE293" s="323" t="s">
        <v>87</v>
      </c>
      <c r="AF293" s="81">
        <f t="shared" si="198"/>
        <v>0</v>
      </c>
      <c r="AG293" s="335">
        <f t="shared" si="199"/>
        <v>0</v>
      </c>
      <c r="AH293" s="335"/>
      <c r="AI293" s="335">
        <f t="shared" si="200"/>
        <v>0</v>
      </c>
      <c r="AJ293" s="335"/>
      <c r="AK293" s="335">
        <f t="shared" si="201"/>
        <v>0</v>
      </c>
      <c r="AL293" s="336">
        <f t="shared" si="202"/>
        <v>0</v>
      </c>
      <c r="AM293" s="353"/>
      <c r="AN293" s="22">
        <f t="shared" si="192"/>
        <v>0</v>
      </c>
      <c r="AO293" s="209">
        <f t="shared" si="170"/>
        <v>0</v>
      </c>
      <c r="AP293" s="339"/>
      <c r="AQ293" s="125">
        <f t="shared" si="171"/>
        <v>0</v>
      </c>
      <c r="AR293" s="104"/>
      <c r="AS293" s="217"/>
      <c r="AT293" s="216"/>
      <c r="AU293" s="230"/>
      <c r="AV293" s="220"/>
      <c r="AW293" s="230"/>
      <c r="AX293" s="220"/>
      <c r="AY293" s="230"/>
      <c r="AZ293" s="220"/>
      <c r="BA293" s="17">
        <f t="shared" si="162"/>
        <v>2.9299999999999997E-5</v>
      </c>
      <c r="BB293" s="17">
        <f t="shared" si="163"/>
        <v>0</v>
      </c>
      <c r="BC293" s="17"/>
      <c r="BD293" s="178">
        <v>284</v>
      </c>
      <c r="BE293" s="214">
        <f t="shared" si="172"/>
        <v>1.4399999999999999E-5</v>
      </c>
      <c r="BF293" s="178">
        <f t="shared" si="164"/>
        <v>0</v>
      </c>
      <c r="BG293" s="245">
        <f t="shared" si="165"/>
        <v>2.9299999999999997E-5</v>
      </c>
      <c r="BH293" s="17">
        <f t="shared" si="173"/>
        <v>0</v>
      </c>
      <c r="BI293" s="178">
        <v>284</v>
      </c>
      <c r="BJ293" s="87">
        <f t="shared" si="174"/>
        <v>1.2699999999999999E-5</v>
      </c>
      <c r="BK293" s="215">
        <f t="shared" si="166"/>
        <v>0</v>
      </c>
      <c r="BL293" s="245">
        <f t="shared" si="175"/>
        <v>2.9299999999999997E-5</v>
      </c>
      <c r="BM293" s="17">
        <f t="shared" si="176"/>
        <v>0</v>
      </c>
      <c r="BN293" s="178">
        <v>284</v>
      </c>
      <c r="BO293" s="87">
        <f t="shared" si="177"/>
        <v>1.2699999999999999E-5</v>
      </c>
      <c r="BP293" s="215">
        <f t="shared" si="167"/>
        <v>0</v>
      </c>
      <c r="BR293" s="126"/>
      <c r="BS293" s="126"/>
      <c r="BU293" s="178"/>
      <c r="BV293" s="179" t="str">
        <f t="shared" si="178"/>
        <v/>
      </c>
      <c r="BW293" s="179" t="str">
        <f t="shared" si="179"/>
        <v/>
      </c>
      <c r="BX293" s="179" t="str">
        <f t="shared" si="180"/>
        <v/>
      </c>
      <c r="BY293" s="179" t="str">
        <f t="shared" si="181"/>
        <v/>
      </c>
      <c r="BZ293" s="179" t="str">
        <f t="shared" si="182"/>
        <v/>
      </c>
      <c r="CA293" s="179" t="str">
        <f t="shared" si="183"/>
        <v/>
      </c>
      <c r="CB293" s="179" t="str">
        <f t="shared" si="184"/>
        <v/>
      </c>
      <c r="CC293" s="179" t="str">
        <f t="shared" si="185"/>
        <v/>
      </c>
      <c r="CD293" s="179" t="str">
        <f t="shared" si="186"/>
        <v/>
      </c>
      <c r="CE293" s="179" t="str">
        <f t="shared" si="187"/>
        <v/>
      </c>
      <c r="CF293" s="179" t="str">
        <f t="shared" si="188"/>
        <v/>
      </c>
      <c r="CG293" s="179" t="str">
        <f t="shared" si="189"/>
        <v/>
      </c>
      <c r="CH293" s="166"/>
      <c r="CI293" s="166"/>
      <c r="CJ293" s="166"/>
      <c r="CK293" s="166" t="s">
        <v>150</v>
      </c>
      <c r="CL293" s="166"/>
    </row>
    <row r="294" spans="1:90" ht="14.25" customHeight="1" thickBot="1" x14ac:dyDescent="0.3">
      <c r="A294" s="213">
        <v>284</v>
      </c>
      <c r="B294" s="88"/>
      <c r="C294" s="201"/>
      <c r="D294" s="94"/>
      <c r="E294" s="321" t="s">
        <v>93</v>
      </c>
      <c r="F294" s="96"/>
      <c r="G294" s="100"/>
      <c r="H294" s="100"/>
      <c r="I294" s="100"/>
      <c r="J294" s="100"/>
      <c r="K294" s="100"/>
      <c r="L294" s="100"/>
      <c r="M294" s="210"/>
      <c r="N294" s="234">
        <f t="shared" si="190"/>
        <v>0</v>
      </c>
      <c r="O294" s="308"/>
      <c r="P294" s="343"/>
      <c r="Q294" s="309"/>
      <c r="R294" s="324" t="s">
        <v>67</v>
      </c>
      <c r="S294" s="209">
        <f t="shared" si="193"/>
        <v>0</v>
      </c>
      <c r="T294" s="209">
        <f t="shared" si="194"/>
        <v>0</v>
      </c>
      <c r="U294" s="209"/>
      <c r="V294" s="209">
        <f t="shared" si="195"/>
        <v>0</v>
      </c>
      <c r="W294" s="209"/>
      <c r="X294" s="209">
        <f t="shared" si="196"/>
        <v>0</v>
      </c>
      <c r="Y294" s="209">
        <f t="shared" si="197"/>
        <v>0</v>
      </c>
      <c r="Z294" s="351"/>
      <c r="AA294" s="234">
        <f t="shared" si="191"/>
        <v>0</v>
      </c>
      <c r="AB294" s="314">
        <f t="shared" si="168"/>
        <v>0</v>
      </c>
      <c r="AC294" s="314"/>
      <c r="AD294" s="314">
        <f t="shared" si="169"/>
        <v>0</v>
      </c>
      <c r="AE294" s="324" t="s">
        <v>87</v>
      </c>
      <c r="AF294" s="82">
        <f t="shared" si="198"/>
        <v>0</v>
      </c>
      <c r="AG294" s="337">
        <f t="shared" si="199"/>
        <v>0</v>
      </c>
      <c r="AH294" s="337"/>
      <c r="AI294" s="337">
        <f t="shared" si="200"/>
        <v>0</v>
      </c>
      <c r="AJ294" s="337"/>
      <c r="AK294" s="337">
        <f t="shared" si="201"/>
        <v>0</v>
      </c>
      <c r="AL294" s="338">
        <f t="shared" si="202"/>
        <v>0</v>
      </c>
      <c r="AM294" s="354"/>
      <c r="AN294" s="91">
        <f t="shared" si="192"/>
        <v>0</v>
      </c>
      <c r="AO294" s="96">
        <f t="shared" si="170"/>
        <v>0</v>
      </c>
      <c r="AP294" s="210"/>
      <c r="AQ294" s="97">
        <f t="shared" si="171"/>
        <v>0</v>
      </c>
      <c r="AR294" s="105"/>
      <c r="AS294" s="102"/>
      <c r="AT294" s="237"/>
      <c r="AU294" s="231"/>
      <c r="AV294" s="93"/>
      <c r="AW294" s="231"/>
      <c r="AX294" s="93"/>
      <c r="AY294" s="231"/>
      <c r="AZ294" s="93"/>
      <c r="BA294" s="17">
        <f t="shared" si="162"/>
        <v>2.94E-5</v>
      </c>
      <c r="BB294" s="17">
        <f t="shared" si="163"/>
        <v>0</v>
      </c>
      <c r="BC294" s="17"/>
      <c r="BD294" s="178">
        <v>285</v>
      </c>
      <c r="BE294" s="214">
        <f t="shared" si="172"/>
        <v>1.4299999999999999E-5</v>
      </c>
      <c r="BF294" s="178">
        <f t="shared" si="164"/>
        <v>0</v>
      </c>
      <c r="BG294" s="245">
        <f t="shared" si="165"/>
        <v>2.94E-5</v>
      </c>
      <c r="BH294" s="17">
        <f t="shared" si="173"/>
        <v>0</v>
      </c>
      <c r="BI294" s="178">
        <v>285</v>
      </c>
      <c r="BJ294" s="87">
        <f t="shared" si="174"/>
        <v>1.26E-5</v>
      </c>
      <c r="BK294" s="215">
        <f t="shared" si="166"/>
        <v>0</v>
      </c>
      <c r="BL294" s="245">
        <f t="shared" si="175"/>
        <v>2.94E-5</v>
      </c>
      <c r="BM294" s="17">
        <f t="shared" si="176"/>
        <v>0</v>
      </c>
      <c r="BN294" s="178">
        <v>285</v>
      </c>
      <c r="BO294" s="87">
        <f t="shared" si="177"/>
        <v>1.26E-5</v>
      </c>
      <c r="BP294" s="215">
        <f t="shared" si="167"/>
        <v>0</v>
      </c>
      <c r="BR294" s="126"/>
      <c r="BS294" s="126"/>
      <c r="BU294" s="178"/>
      <c r="BV294" s="179" t="str">
        <f t="shared" si="178"/>
        <v/>
      </c>
      <c r="BW294" s="179" t="str">
        <f t="shared" si="179"/>
        <v/>
      </c>
      <c r="BX294" s="179" t="str">
        <f t="shared" si="180"/>
        <v/>
      </c>
      <c r="BY294" s="179" t="str">
        <f t="shared" si="181"/>
        <v/>
      </c>
      <c r="BZ294" s="179" t="str">
        <f t="shared" si="182"/>
        <v/>
      </c>
      <c r="CA294" s="179" t="str">
        <f t="shared" si="183"/>
        <v/>
      </c>
      <c r="CB294" s="179" t="str">
        <f t="shared" si="184"/>
        <v/>
      </c>
      <c r="CC294" s="179" t="str">
        <f t="shared" si="185"/>
        <v/>
      </c>
      <c r="CD294" s="179" t="str">
        <f t="shared" si="186"/>
        <v/>
      </c>
      <c r="CE294" s="179" t="str">
        <f t="shared" si="187"/>
        <v/>
      </c>
      <c r="CF294" s="179" t="str">
        <f t="shared" si="188"/>
        <v/>
      </c>
      <c r="CG294" s="179" t="str">
        <f t="shared" si="189"/>
        <v/>
      </c>
      <c r="CH294" s="166"/>
      <c r="CI294" s="166"/>
      <c r="CJ294" s="166"/>
      <c r="CK294" s="166" t="s">
        <v>150</v>
      </c>
      <c r="CL294" s="166"/>
    </row>
    <row r="295" spans="1:90" ht="14.25" customHeight="1" x14ac:dyDescent="0.25">
      <c r="A295" s="211">
        <v>285</v>
      </c>
      <c r="B295" s="89"/>
      <c r="C295" s="199"/>
      <c r="D295" s="146"/>
      <c r="E295" s="319" t="s">
        <v>93</v>
      </c>
      <c r="F295" s="221"/>
      <c r="G295" s="222"/>
      <c r="H295" s="222"/>
      <c r="I295" s="222"/>
      <c r="J295" s="222"/>
      <c r="K295" s="222"/>
      <c r="L295" s="222"/>
      <c r="M295" s="331"/>
      <c r="N295" s="303">
        <f t="shared" si="190"/>
        <v>0</v>
      </c>
      <c r="O295" s="304"/>
      <c r="P295" s="341"/>
      <c r="Q295" s="305"/>
      <c r="R295" s="322" t="s">
        <v>67</v>
      </c>
      <c r="S295" s="209">
        <f t="shared" si="193"/>
        <v>0</v>
      </c>
      <c r="T295" s="209">
        <f t="shared" si="194"/>
        <v>0</v>
      </c>
      <c r="U295" s="209"/>
      <c r="V295" s="209">
        <f t="shared" si="195"/>
        <v>0</v>
      </c>
      <c r="W295" s="209"/>
      <c r="X295" s="209">
        <f t="shared" si="196"/>
        <v>0</v>
      </c>
      <c r="Y295" s="209">
        <f t="shared" si="197"/>
        <v>0</v>
      </c>
      <c r="Z295" s="303"/>
      <c r="AA295" s="303">
        <f t="shared" si="191"/>
        <v>0</v>
      </c>
      <c r="AB295" s="314">
        <f t="shared" si="168"/>
        <v>0</v>
      </c>
      <c r="AC295" s="314"/>
      <c r="AD295" s="314">
        <f t="shared" si="169"/>
        <v>0</v>
      </c>
      <c r="AE295" s="325" t="s">
        <v>148</v>
      </c>
      <c r="AF295" s="15">
        <f t="shared" si="198"/>
        <v>0</v>
      </c>
      <c r="AG295" s="232">
        <f t="shared" si="199"/>
        <v>0</v>
      </c>
      <c r="AH295" s="232"/>
      <c r="AI295" s="232">
        <f t="shared" si="200"/>
        <v>0</v>
      </c>
      <c r="AJ295" s="232"/>
      <c r="AK295" s="232">
        <f t="shared" si="201"/>
        <v>0</v>
      </c>
      <c r="AL295" s="7">
        <f t="shared" si="202"/>
        <v>0</v>
      </c>
      <c r="AM295" s="352"/>
      <c r="AN295" s="22">
        <f t="shared" si="192"/>
        <v>0</v>
      </c>
      <c r="AO295" s="15">
        <f t="shared" si="170"/>
        <v>0</v>
      </c>
      <c r="AP295" s="345"/>
      <c r="AQ295" s="7">
        <f t="shared" si="171"/>
        <v>0</v>
      </c>
      <c r="AR295" s="103"/>
      <c r="AS295" s="101"/>
      <c r="AT295" s="236"/>
      <c r="AU295" s="235"/>
      <c r="AV295" s="92"/>
      <c r="AW295" s="235"/>
      <c r="AX295" s="92"/>
      <c r="AY295" s="235"/>
      <c r="AZ295" s="92"/>
      <c r="BA295" s="17">
        <f t="shared" si="162"/>
        <v>2.9499999999999999E-5</v>
      </c>
      <c r="BB295" s="17">
        <f t="shared" si="163"/>
        <v>0</v>
      </c>
      <c r="BC295" s="17"/>
      <c r="BD295" s="178">
        <v>286</v>
      </c>
      <c r="BE295" s="214">
        <f t="shared" si="172"/>
        <v>1.42E-5</v>
      </c>
      <c r="BF295" s="178">
        <f t="shared" si="164"/>
        <v>0</v>
      </c>
      <c r="BG295" s="245">
        <f t="shared" si="165"/>
        <v>2.9499999999999999E-5</v>
      </c>
      <c r="BH295" s="17">
        <f t="shared" si="173"/>
        <v>0</v>
      </c>
      <c r="BI295" s="178">
        <v>286</v>
      </c>
      <c r="BJ295" s="87">
        <f t="shared" si="174"/>
        <v>1.2499999999999999E-5</v>
      </c>
      <c r="BK295" s="215">
        <f t="shared" si="166"/>
        <v>0</v>
      </c>
      <c r="BL295" s="245">
        <f t="shared" si="175"/>
        <v>2.9499999999999999E-5</v>
      </c>
      <c r="BM295" s="17">
        <f t="shared" si="176"/>
        <v>0</v>
      </c>
      <c r="BN295" s="178">
        <v>286</v>
      </c>
      <c r="BO295" s="87">
        <f t="shared" si="177"/>
        <v>1.2499999999999999E-5</v>
      </c>
      <c r="BP295" s="215">
        <f t="shared" si="167"/>
        <v>0</v>
      </c>
      <c r="BR295" s="126"/>
      <c r="BS295" s="126"/>
      <c r="BU295" s="178"/>
      <c r="BV295" s="179" t="str">
        <f t="shared" si="178"/>
        <v/>
      </c>
      <c r="BW295" s="179" t="str">
        <f t="shared" si="179"/>
        <v/>
      </c>
      <c r="BX295" s="179" t="str">
        <f t="shared" si="180"/>
        <v/>
      </c>
      <c r="BY295" s="179" t="str">
        <f t="shared" si="181"/>
        <v/>
      </c>
      <c r="BZ295" s="179" t="str">
        <f t="shared" si="182"/>
        <v/>
      </c>
      <c r="CA295" s="179" t="str">
        <f t="shared" si="183"/>
        <v/>
      </c>
      <c r="CB295" s="179" t="str">
        <f t="shared" si="184"/>
        <v/>
      </c>
      <c r="CC295" s="179" t="str">
        <f t="shared" si="185"/>
        <v/>
      </c>
      <c r="CD295" s="179" t="str">
        <f t="shared" si="186"/>
        <v/>
      </c>
      <c r="CE295" s="179" t="str">
        <f t="shared" si="187"/>
        <v/>
      </c>
      <c r="CF295" s="179" t="str">
        <f t="shared" si="188"/>
        <v/>
      </c>
      <c r="CG295" s="179" t="str">
        <f t="shared" si="189"/>
        <v/>
      </c>
      <c r="CH295" s="166"/>
      <c r="CI295" s="166"/>
      <c r="CJ295" s="166"/>
      <c r="CK295" s="166" t="s">
        <v>150</v>
      </c>
      <c r="CL295" s="166"/>
    </row>
    <row r="296" spans="1:90" ht="14.25" customHeight="1" thickBot="1" x14ac:dyDescent="0.3">
      <c r="A296" s="213">
        <v>286</v>
      </c>
      <c r="B296" s="219"/>
      <c r="C296" s="200"/>
      <c r="D296" s="145"/>
      <c r="E296" s="320" t="s">
        <v>93</v>
      </c>
      <c r="F296" s="209"/>
      <c r="G296" s="313"/>
      <c r="H296" s="313"/>
      <c r="I296" s="313"/>
      <c r="J296" s="313"/>
      <c r="K296" s="313"/>
      <c r="L296" s="313"/>
      <c r="M296" s="339"/>
      <c r="N296" s="233">
        <f t="shared" si="190"/>
        <v>0</v>
      </c>
      <c r="O296" s="306"/>
      <c r="P296" s="342"/>
      <c r="Q296" s="307"/>
      <c r="R296" s="323" t="s">
        <v>67</v>
      </c>
      <c r="S296" s="209">
        <f t="shared" si="193"/>
        <v>0</v>
      </c>
      <c r="T296" s="209">
        <f t="shared" si="194"/>
        <v>0</v>
      </c>
      <c r="U296" s="209"/>
      <c r="V296" s="209">
        <f t="shared" si="195"/>
        <v>0</v>
      </c>
      <c r="W296" s="209"/>
      <c r="X296" s="209">
        <f t="shared" si="196"/>
        <v>0</v>
      </c>
      <c r="Y296" s="209">
        <f t="shared" si="197"/>
        <v>0</v>
      </c>
      <c r="Z296" s="233"/>
      <c r="AA296" s="233">
        <f t="shared" si="191"/>
        <v>0</v>
      </c>
      <c r="AB296" s="314">
        <f t="shared" si="168"/>
        <v>0</v>
      </c>
      <c r="AC296" s="314"/>
      <c r="AD296" s="314">
        <f t="shared" si="169"/>
        <v>0</v>
      </c>
      <c r="AE296" s="323" t="s">
        <v>87</v>
      </c>
      <c r="AF296" s="81">
        <f t="shared" si="198"/>
        <v>0</v>
      </c>
      <c r="AG296" s="335">
        <f t="shared" si="199"/>
        <v>0</v>
      </c>
      <c r="AH296" s="335"/>
      <c r="AI296" s="335">
        <f t="shared" si="200"/>
        <v>0</v>
      </c>
      <c r="AJ296" s="335"/>
      <c r="AK296" s="335">
        <f t="shared" si="201"/>
        <v>0</v>
      </c>
      <c r="AL296" s="336">
        <f t="shared" si="202"/>
        <v>0</v>
      </c>
      <c r="AM296" s="353"/>
      <c r="AN296" s="22">
        <f t="shared" si="192"/>
        <v>0</v>
      </c>
      <c r="AO296" s="209">
        <f t="shared" si="170"/>
        <v>0</v>
      </c>
      <c r="AP296" s="339"/>
      <c r="AQ296" s="125">
        <f t="shared" si="171"/>
        <v>0</v>
      </c>
      <c r="AR296" s="104"/>
      <c r="AS296" s="217"/>
      <c r="AT296" s="216"/>
      <c r="AU296" s="230"/>
      <c r="AV296" s="220"/>
      <c r="AW296" s="230"/>
      <c r="AX296" s="220"/>
      <c r="AY296" s="230"/>
      <c r="AZ296" s="220"/>
      <c r="BA296" s="17">
        <f t="shared" si="162"/>
        <v>2.9599999999999998E-5</v>
      </c>
      <c r="BB296" s="17">
        <f t="shared" si="163"/>
        <v>0</v>
      </c>
      <c r="BC296" s="17"/>
      <c r="BD296" s="178">
        <v>287</v>
      </c>
      <c r="BE296" s="214">
        <f t="shared" si="172"/>
        <v>1.4099999999999999E-5</v>
      </c>
      <c r="BF296" s="178">
        <f t="shared" si="164"/>
        <v>0</v>
      </c>
      <c r="BG296" s="245">
        <f t="shared" si="165"/>
        <v>2.9599999999999998E-5</v>
      </c>
      <c r="BH296" s="17">
        <f t="shared" si="173"/>
        <v>0</v>
      </c>
      <c r="BI296" s="178">
        <v>287</v>
      </c>
      <c r="BJ296" s="87">
        <f t="shared" si="174"/>
        <v>1.24E-5</v>
      </c>
      <c r="BK296" s="215">
        <f t="shared" si="166"/>
        <v>0</v>
      </c>
      <c r="BL296" s="245">
        <f t="shared" si="175"/>
        <v>2.9599999999999998E-5</v>
      </c>
      <c r="BM296" s="17">
        <f t="shared" si="176"/>
        <v>0</v>
      </c>
      <c r="BN296" s="178">
        <v>287</v>
      </c>
      <c r="BO296" s="87">
        <f t="shared" si="177"/>
        <v>1.24E-5</v>
      </c>
      <c r="BP296" s="215">
        <f t="shared" si="167"/>
        <v>0</v>
      </c>
      <c r="BR296" s="126"/>
      <c r="BS296" s="126"/>
      <c r="BU296" s="178"/>
      <c r="BV296" s="179" t="str">
        <f t="shared" si="178"/>
        <v/>
      </c>
      <c r="BW296" s="179" t="str">
        <f t="shared" si="179"/>
        <v/>
      </c>
      <c r="BX296" s="179" t="str">
        <f t="shared" si="180"/>
        <v/>
      </c>
      <c r="BY296" s="179" t="str">
        <f t="shared" si="181"/>
        <v/>
      </c>
      <c r="BZ296" s="179" t="str">
        <f t="shared" si="182"/>
        <v/>
      </c>
      <c r="CA296" s="179" t="str">
        <f t="shared" si="183"/>
        <v/>
      </c>
      <c r="CB296" s="179" t="str">
        <f t="shared" si="184"/>
        <v/>
      </c>
      <c r="CC296" s="179" t="str">
        <f t="shared" si="185"/>
        <v/>
      </c>
      <c r="CD296" s="179" t="str">
        <f t="shared" si="186"/>
        <v/>
      </c>
      <c r="CE296" s="179" t="str">
        <f t="shared" si="187"/>
        <v/>
      </c>
      <c r="CF296" s="179" t="str">
        <f t="shared" si="188"/>
        <v/>
      </c>
      <c r="CG296" s="179" t="str">
        <f t="shared" si="189"/>
        <v/>
      </c>
      <c r="CH296" s="166"/>
      <c r="CI296" s="166"/>
      <c r="CJ296" s="166"/>
      <c r="CK296" s="166" t="s">
        <v>150</v>
      </c>
      <c r="CL296" s="166"/>
    </row>
    <row r="297" spans="1:90" ht="14.25" customHeight="1" thickBot="1" x14ac:dyDescent="0.3">
      <c r="A297" s="211">
        <v>287</v>
      </c>
      <c r="B297" s="88"/>
      <c r="C297" s="201"/>
      <c r="D297" s="94"/>
      <c r="E297" s="321" t="s">
        <v>93</v>
      </c>
      <c r="F297" s="96"/>
      <c r="G297" s="100"/>
      <c r="H297" s="100"/>
      <c r="I297" s="100"/>
      <c r="J297" s="100"/>
      <c r="K297" s="100"/>
      <c r="L297" s="100"/>
      <c r="M297" s="210"/>
      <c r="N297" s="234">
        <f t="shared" si="190"/>
        <v>0</v>
      </c>
      <c r="O297" s="308"/>
      <c r="P297" s="343"/>
      <c r="Q297" s="309"/>
      <c r="R297" s="324" t="s">
        <v>67</v>
      </c>
      <c r="S297" s="209">
        <f t="shared" si="193"/>
        <v>0</v>
      </c>
      <c r="T297" s="209">
        <f t="shared" si="194"/>
        <v>0</v>
      </c>
      <c r="U297" s="209"/>
      <c r="V297" s="209">
        <f t="shared" si="195"/>
        <v>0</v>
      </c>
      <c r="W297" s="209"/>
      <c r="X297" s="209">
        <f t="shared" si="196"/>
        <v>0</v>
      </c>
      <c r="Y297" s="209">
        <f t="shared" si="197"/>
        <v>0</v>
      </c>
      <c r="Z297" s="351"/>
      <c r="AA297" s="234">
        <f t="shared" si="191"/>
        <v>0</v>
      </c>
      <c r="AB297" s="314">
        <f t="shared" si="168"/>
        <v>0</v>
      </c>
      <c r="AC297" s="314"/>
      <c r="AD297" s="314">
        <f t="shared" si="169"/>
        <v>0</v>
      </c>
      <c r="AE297" s="324" t="s">
        <v>87</v>
      </c>
      <c r="AF297" s="82">
        <f t="shared" si="198"/>
        <v>0</v>
      </c>
      <c r="AG297" s="337">
        <f t="shared" si="199"/>
        <v>0</v>
      </c>
      <c r="AH297" s="337"/>
      <c r="AI297" s="337">
        <f t="shared" si="200"/>
        <v>0</v>
      </c>
      <c r="AJ297" s="337"/>
      <c r="AK297" s="337">
        <f t="shared" si="201"/>
        <v>0</v>
      </c>
      <c r="AL297" s="338">
        <f t="shared" si="202"/>
        <v>0</v>
      </c>
      <c r="AM297" s="354"/>
      <c r="AN297" s="91">
        <f t="shared" si="192"/>
        <v>0</v>
      </c>
      <c r="AO297" s="96">
        <f t="shared" si="170"/>
        <v>0</v>
      </c>
      <c r="AP297" s="210"/>
      <c r="AQ297" s="97">
        <f t="shared" si="171"/>
        <v>0</v>
      </c>
      <c r="AR297" s="105"/>
      <c r="AS297" s="102"/>
      <c r="AT297" s="237"/>
      <c r="AU297" s="231"/>
      <c r="AV297" s="93"/>
      <c r="AW297" s="231"/>
      <c r="AX297" s="93"/>
      <c r="AY297" s="231"/>
      <c r="AZ297" s="93"/>
      <c r="BA297" s="17">
        <f t="shared" si="162"/>
        <v>2.97E-5</v>
      </c>
      <c r="BB297" s="17">
        <f t="shared" si="163"/>
        <v>0</v>
      </c>
      <c r="BC297" s="17"/>
      <c r="BD297" s="178">
        <v>288</v>
      </c>
      <c r="BE297" s="214">
        <f t="shared" si="172"/>
        <v>1.4E-5</v>
      </c>
      <c r="BF297" s="178">
        <f t="shared" si="164"/>
        <v>0</v>
      </c>
      <c r="BG297" s="245">
        <f t="shared" si="165"/>
        <v>2.97E-5</v>
      </c>
      <c r="BH297" s="17">
        <f t="shared" si="173"/>
        <v>0</v>
      </c>
      <c r="BI297" s="178">
        <v>288</v>
      </c>
      <c r="BJ297" s="87">
        <f t="shared" si="174"/>
        <v>1.2299999999999999E-5</v>
      </c>
      <c r="BK297" s="215">
        <f t="shared" si="166"/>
        <v>0</v>
      </c>
      <c r="BL297" s="245">
        <f t="shared" si="175"/>
        <v>2.97E-5</v>
      </c>
      <c r="BM297" s="17">
        <f t="shared" si="176"/>
        <v>0</v>
      </c>
      <c r="BN297" s="178">
        <v>288</v>
      </c>
      <c r="BO297" s="87">
        <f t="shared" si="177"/>
        <v>1.2299999999999999E-5</v>
      </c>
      <c r="BP297" s="215">
        <f t="shared" si="167"/>
        <v>0</v>
      </c>
      <c r="BR297" s="126"/>
      <c r="BS297" s="126"/>
      <c r="BU297" s="178"/>
      <c r="BV297" s="179" t="str">
        <f t="shared" si="178"/>
        <v/>
      </c>
      <c r="BW297" s="179" t="str">
        <f t="shared" si="179"/>
        <v/>
      </c>
      <c r="BX297" s="179" t="str">
        <f t="shared" si="180"/>
        <v/>
      </c>
      <c r="BY297" s="179" t="str">
        <f t="shared" si="181"/>
        <v/>
      </c>
      <c r="BZ297" s="179" t="str">
        <f t="shared" si="182"/>
        <v/>
      </c>
      <c r="CA297" s="179" t="str">
        <f t="shared" si="183"/>
        <v/>
      </c>
      <c r="CB297" s="179" t="str">
        <f t="shared" si="184"/>
        <v/>
      </c>
      <c r="CC297" s="179" t="str">
        <f t="shared" si="185"/>
        <v/>
      </c>
      <c r="CD297" s="179" t="str">
        <f t="shared" si="186"/>
        <v/>
      </c>
      <c r="CE297" s="179" t="str">
        <f t="shared" si="187"/>
        <v/>
      </c>
      <c r="CF297" s="179" t="str">
        <f t="shared" si="188"/>
        <v/>
      </c>
      <c r="CG297" s="179" t="str">
        <f t="shared" si="189"/>
        <v/>
      </c>
      <c r="CH297" s="166"/>
      <c r="CI297" s="166"/>
      <c r="CJ297" s="166"/>
      <c r="CK297" s="166" t="s">
        <v>150</v>
      </c>
      <c r="CL297" s="166"/>
    </row>
    <row r="298" spans="1:90" ht="14.25" customHeight="1" thickBot="1" x14ac:dyDescent="0.3">
      <c r="A298" s="213">
        <v>288</v>
      </c>
      <c r="B298" s="89"/>
      <c r="C298" s="199"/>
      <c r="D298" s="146"/>
      <c r="E298" s="319" t="s">
        <v>93</v>
      </c>
      <c r="F298" s="221"/>
      <c r="G298" s="222"/>
      <c r="H298" s="222"/>
      <c r="I298" s="222"/>
      <c r="J298" s="222"/>
      <c r="K298" s="222"/>
      <c r="L298" s="222"/>
      <c r="M298" s="331"/>
      <c r="N298" s="303">
        <f t="shared" si="190"/>
        <v>0</v>
      </c>
      <c r="O298" s="304"/>
      <c r="P298" s="341"/>
      <c r="Q298" s="305"/>
      <c r="R298" s="322" t="s">
        <v>67</v>
      </c>
      <c r="S298" s="209">
        <f t="shared" si="193"/>
        <v>0</v>
      </c>
      <c r="T298" s="209">
        <f t="shared" si="194"/>
        <v>0</v>
      </c>
      <c r="U298" s="209"/>
      <c r="V298" s="209">
        <f t="shared" si="195"/>
        <v>0</v>
      </c>
      <c r="W298" s="209"/>
      <c r="X298" s="209">
        <f t="shared" si="196"/>
        <v>0</v>
      </c>
      <c r="Y298" s="209">
        <f t="shared" si="197"/>
        <v>0</v>
      </c>
      <c r="Z298" s="303"/>
      <c r="AA298" s="303">
        <f t="shared" si="191"/>
        <v>0</v>
      </c>
      <c r="AB298" s="314">
        <f t="shared" si="168"/>
        <v>0</v>
      </c>
      <c r="AC298" s="314"/>
      <c r="AD298" s="314">
        <f t="shared" si="169"/>
        <v>0</v>
      </c>
      <c r="AE298" s="325" t="s">
        <v>148</v>
      </c>
      <c r="AF298" s="15">
        <f t="shared" si="198"/>
        <v>0</v>
      </c>
      <c r="AG298" s="232">
        <f t="shared" si="199"/>
        <v>0</v>
      </c>
      <c r="AH298" s="232"/>
      <c r="AI298" s="232">
        <f t="shared" si="200"/>
        <v>0</v>
      </c>
      <c r="AJ298" s="232"/>
      <c r="AK298" s="232">
        <f t="shared" si="201"/>
        <v>0</v>
      </c>
      <c r="AL298" s="7">
        <f t="shared" si="202"/>
        <v>0</v>
      </c>
      <c r="AM298" s="352"/>
      <c r="AN298" s="22">
        <f t="shared" si="192"/>
        <v>0</v>
      </c>
      <c r="AO298" s="15">
        <f t="shared" si="170"/>
        <v>0</v>
      </c>
      <c r="AP298" s="345"/>
      <c r="AQ298" s="7">
        <f t="shared" si="171"/>
        <v>0</v>
      </c>
      <c r="AR298" s="103"/>
      <c r="AS298" s="101"/>
      <c r="AT298" s="236"/>
      <c r="AU298" s="235"/>
      <c r="AV298" s="92"/>
      <c r="AW298" s="235"/>
      <c r="AX298" s="92"/>
      <c r="AY298" s="235"/>
      <c r="AZ298" s="92"/>
      <c r="BA298" s="17">
        <f t="shared" si="162"/>
        <v>2.9799999999999999E-5</v>
      </c>
      <c r="BB298" s="17">
        <f t="shared" si="163"/>
        <v>0</v>
      </c>
      <c r="BC298" s="17"/>
      <c r="BD298" s="178">
        <v>289</v>
      </c>
      <c r="BE298" s="214">
        <f t="shared" si="172"/>
        <v>1.3899999999999999E-5</v>
      </c>
      <c r="BF298" s="178">
        <f t="shared" si="164"/>
        <v>0</v>
      </c>
      <c r="BG298" s="245">
        <f t="shared" si="165"/>
        <v>2.9799999999999999E-5</v>
      </c>
      <c r="BH298" s="17">
        <f t="shared" si="173"/>
        <v>0</v>
      </c>
      <c r="BI298" s="178">
        <v>289</v>
      </c>
      <c r="BJ298" s="87">
        <f t="shared" si="174"/>
        <v>1.22E-5</v>
      </c>
      <c r="BK298" s="215">
        <f t="shared" si="166"/>
        <v>0</v>
      </c>
      <c r="BL298" s="245">
        <f t="shared" si="175"/>
        <v>2.9799999999999999E-5</v>
      </c>
      <c r="BM298" s="17">
        <f t="shared" si="176"/>
        <v>0</v>
      </c>
      <c r="BN298" s="178">
        <v>289</v>
      </c>
      <c r="BO298" s="87">
        <f t="shared" si="177"/>
        <v>1.22E-5</v>
      </c>
      <c r="BP298" s="215">
        <f t="shared" si="167"/>
        <v>0</v>
      </c>
      <c r="BR298" s="126"/>
      <c r="BS298" s="126"/>
      <c r="BU298" s="178"/>
      <c r="BV298" s="179" t="str">
        <f t="shared" si="178"/>
        <v/>
      </c>
      <c r="BW298" s="179" t="str">
        <f t="shared" si="179"/>
        <v/>
      </c>
      <c r="BX298" s="179" t="str">
        <f t="shared" si="180"/>
        <v/>
      </c>
      <c r="BY298" s="179" t="str">
        <f t="shared" si="181"/>
        <v/>
      </c>
      <c r="BZ298" s="179" t="str">
        <f t="shared" si="182"/>
        <v/>
      </c>
      <c r="CA298" s="179" t="str">
        <f t="shared" si="183"/>
        <v/>
      </c>
      <c r="CB298" s="179" t="str">
        <f t="shared" si="184"/>
        <v/>
      </c>
      <c r="CC298" s="179" t="str">
        <f t="shared" si="185"/>
        <v/>
      </c>
      <c r="CD298" s="179" t="str">
        <f t="shared" si="186"/>
        <v/>
      </c>
      <c r="CE298" s="179" t="str">
        <f t="shared" si="187"/>
        <v/>
      </c>
      <c r="CF298" s="179" t="str">
        <f t="shared" si="188"/>
        <v/>
      </c>
      <c r="CG298" s="179" t="str">
        <f t="shared" si="189"/>
        <v/>
      </c>
      <c r="CH298" s="166"/>
      <c r="CI298" s="166"/>
      <c r="CJ298" s="166"/>
      <c r="CK298" s="166" t="s">
        <v>150</v>
      </c>
      <c r="CL298" s="166"/>
    </row>
    <row r="299" spans="1:90" ht="14.25" customHeight="1" x14ac:dyDescent="0.25">
      <c r="A299" s="211">
        <v>289</v>
      </c>
      <c r="B299" s="219"/>
      <c r="C299" s="200"/>
      <c r="D299" s="145"/>
      <c r="E299" s="320" t="s">
        <v>93</v>
      </c>
      <c r="F299" s="209"/>
      <c r="G299" s="313"/>
      <c r="H299" s="313"/>
      <c r="I299" s="313"/>
      <c r="J299" s="313"/>
      <c r="K299" s="313"/>
      <c r="L299" s="313"/>
      <c r="M299" s="339"/>
      <c r="N299" s="233">
        <f t="shared" si="190"/>
        <v>0</v>
      </c>
      <c r="O299" s="306"/>
      <c r="P299" s="342"/>
      <c r="Q299" s="307"/>
      <c r="R299" s="323" t="s">
        <v>67</v>
      </c>
      <c r="S299" s="209">
        <f t="shared" si="193"/>
        <v>0</v>
      </c>
      <c r="T299" s="209">
        <f t="shared" si="194"/>
        <v>0</v>
      </c>
      <c r="U299" s="209"/>
      <c r="V299" s="209">
        <f t="shared" si="195"/>
        <v>0</v>
      </c>
      <c r="W299" s="209"/>
      <c r="X299" s="209">
        <f t="shared" si="196"/>
        <v>0</v>
      </c>
      <c r="Y299" s="209">
        <f t="shared" si="197"/>
        <v>0</v>
      </c>
      <c r="Z299" s="233"/>
      <c r="AA299" s="233">
        <f t="shared" si="191"/>
        <v>0</v>
      </c>
      <c r="AB299" s="314">
        <f t="shared" si="168"/>
        <v>0</v>
      </c>
      <c r="AC299" s="314"/>
      <c r="AD299" s="314">
        <f t="shared" si="169"/>
        <v>0</v>
      </c>
      <c r="AE299" s="323" t="s">
        <v>87</v>
      </c>
      <c r="AF299" s="81">
        <f t="shared" si="198"/>
        <v>0</v>
      </c>
      <c r="AG299" s="335">
        <f t="shared" si="199"/>
        <v>0</v>
      </c>
      <c r="AH299" s="335"/>
      <c r="AI299" s="335">
        <f t="shared" si="200"/>
        <v>0</v>
      </c>
      <c r="AJ299" s="335"/>
      <c r="AK299" s="335">
        <f t="shared" si="201"/>
        <v>0</v>
      </c>
      <c r="AL299" s="336">
        <f t="shared" si="202"/>
        <v>0</v>
      </c>
      <c r="AM299" s="353"/>
      <c r="AN299" s="22">
        <f t="shared" si="192"/>
        <v>0</v>
      </c>
      <c r="AO299" s="209">
        <f t="shared" si="170"/>
        <v>0</v>
      </c>
      <c r="AP299" s="339"/>
      <c r="AQ299" s="125">
        <f t="shared" si="171"/>
        <v>0</v>
      </c>
      <c r="AR299" s="104"/>
      <c r="AS299" s="217"/>
      <c r="AT299" s="216"/>
      <c r="AU299" s="230"/>
      <c r="AV299" s="220"/>
      <c r="AW299" s="230"/>
      <c r="AX299" s="220"/>
      <c r="AY299" s="230"/>
      <c r="AZ299" s="220"/>
      <c r="BA299" s="17">
        <f t="shared" si="162"/>
        <v>2.9899999999999998E-5</v>
      </c>
      <c r="BB299" s="17">
        <f t="shared" si="163"/>
        <v>0</v>
      </c>
      <c r="BC299" s="17"/>
      <c r="BD299" s="178">
        <v>290</v>
      </c>
      <c r="BE299" s="214">
        <f t="shared" si="172"/>
        <v>1.38E-5</v>
      </c>
      <c r="BF299" s="178">
        <f t="shared" si="164"/>
        <v>0</v>
      </c>
      <c r="BG299" s="245">
        <f t="shared" si="165"/>
        <v>2.9899999999999998E-5</v>
      </c>
      <c r="BH299" s="17">
        <f t="shared" si="173"/>
        <v>0</v>
      </c>
      <c r="BI299" s="178">
        <v>290</v>
      </c>
      <c r="BJ299" s="87">
        <f t="shared" si="174"/>
        <v>1.2099999999999999E-5</v>
      </c>
      <c r="BK299" s="215">
        <f t="shared" si="166"/>
        <v>0</v>
      </c>
      <c r="BL299" s="245">
        <f t="shared" si="175"/>
        <v>2.9899999999999998E-5</v>
      </c>
      <c r="BM299" s="17">
        <f t="shared" si="176"/>
        <v>0</v>
      </c>
      <c r="BN299" s="178">
        <v>290</v>
      </c>
      <c r="BO299" s="87">
        <f t="shared" si="177"/>
        <v>1.2099999999999999E-5</v>
      </c>
      <c r="BP299" s="215">
        <f t="shared" si="167"/>
        <v>0</v>
      </c>
      <c r="BR299" s="126"/>
      <c r="BS299" s="126"/>
      <c r="BU299" s="178"/>
      <c r="BV299" s="179" t="str">
        <f t="shared" si="178"/>
        <v/>
      </c>
      <c r="BW299" s="179" t="str">
        <f t="shared" si="179"/>
        <v/>
      </c>
      <c r="BX299" s="179" t="str">
        <f t="shared" si="180"/>
        <v/>
      </c>
      <c r="BY299" s="179" t="str">
        <f t="shared" si="181"/>
        <v/>
      </c>
      <c r="BZ299" s="179" t="str">
        <f t="shared" si="182"/>
        <v/>
      </c>
      <c r="CA299" s="179" t="str">
        <f t="shared" si="183"/>
        <v/>
      </c>
      <c r="CB299" s="179" t="str">
        <f t="shared" si="184"/>
        <v/>
      </c>
      <c r="CC299" s="179" t="str">
        <f t="shared" si="185"/>
        <v/>
      </c>
      <c r="CD299" s="179" t="str">
        <f t="shared" si="186"/>
        <v/>
      </c>
      <c r="CE299" s="179" t="str">
        <f t="shared" si="187"/>
        <v/>
      </c>
      <c r="CF299" s="179" t="str">
        <f t="shared" si="188"/>
        <v/>
      </c>
      <c r="CG299" s="179" t="str">
        <f t="shared" si="189"/>
        <v/>
      </c>
      <c r="CH299" s="166"/>
      <c r="CI299" s="166"/>
      <c r="CJ299" s="166"/>
      <c r="CK299" s="166" t="s">
        <v>150</v>
      </c>
      <c r="CL299" s="166"/>
    </row>
    <row r="300" spans="1:90" ht="14.25" customHeight="1" thickBot="1" x14ac:dyDescent="0.3">
      <c r="A300" s="213">
        <v>290</v>
      </c>
      <c r="B300" s="88"/>
      <c r="C300" s="201"/>
      <c r="D300" s="94"/>
      <c r="E300" s="321" t="s">
        <v>93</v>
      </c>
      <c r="F300" s="96"/>
      <c r="G300" s="100"/>
      <c r="H300" s="100"/>
      <c r="I300" s="100"/>
      <c r="J300" s="100"/>
      <c r="K300" s="100"/>
      <c r="L300" s="100"/>
      <c r="M300" s="210"/>
      <c r="N300" s="234">
        <f t="shared" si="190"/>
        <v>0</v>
      </c>
      <c r="O300" s="308"/>
      <c r="P300" s="343"/>
      <c r="Q300" s="309"/>
      <c r="R300" s="324" t="s">
        <v>67</v>
      </c>
      <c r="S300" s="209">
        <f t="shared" si="193"/>
        <v>0</v>
      </c>
      <c r="T300" s="209">
        <f t="shared" si="194"/>
        <v>0</v>
      </c>
      <c r="U300" s="209"/>
      <c r="V300" s="209">
        <f t="shared" si="195"/>
        <v>0</v>
      </c>
      <c r="W300" s="209"/>
      <c r="X300" s="209">
        <f t="shared" si="196"/>
        <v>0</v>
      </c>
      <c r="Y300" s="209">
        <f t="shared" si="197"/>
        <v>0</v>
      </c>
      <c r="Z300" s="351"/>
      <c r="AA300" s="234">
        <f t="shared" si="191"/>
        <v>0</v>
      </c>
      <c r="AB300" s="314">
        <f t="shared" si="168"/>
        <v>0</v>
      </c>
      <c r="AC300" s="314"/>
      <c r="AD300" s="314">
        <f t="shared" si="169"/>
        <v>0</v>
      </c>
      <c r="AE300" s="324" t="s">
        <v>87</v>
      </c>
      <c r="AF300" s="82">
        <f t="shared" si="198"/>
        <v>0</v>
      </c>
      <c r="AG300" s="337">
        <f t="shared" si="199"/>
        <v>0</v>
      </c>
      <c r="AH300" s="337"/>
      <c r="AI300" s="337">
        <f t="shared" si="200"/>
        <v>0</v>
      </c>
      <c r="AJ300" s="337"/>
      <c r="AK300" s="337">
        <f t="shared" si="201"/>
        <v>0</v>
      </c>
      <c r="AL300" s="338">
        <f t="shared" si="202"/>
        <v>0</v>
      </c>
      <c r="AM300" s="354"/>
      <c r="AN300" s="91">
        <f t="shared" si="192"/>
        <v>0</v>
      </c>
      <c r="AO300" s="96">
        <f t="shared" si="170"/>
        <v>0</v>
      </c>
      <c r="AP300" s="210"/>
      <c r="AQ300" s="97">
        <f t="shared" si="171"/>
        <v>0</v>
      </c>
      <c r="AR300" s="105"/>
      <c r="AS300" s="102"/>
      <c r="AT300" s="237"/>
      <c r="AU300" s="231"/>
      <c r="AV300" s="93"/>
      <c r="AW300" s="231"/>
      <c r="AX300" s="93"/>
      <c r="AY300" s="231"/>
      <c r="AZ300" s="93"/>
      <c r="BA300" s="17">
        <f t="shared" si="162"/>
        <v>2.9999999999999997E-5</v>
      </c>
      <c r="BB300" s="17">
        <f t="shared" si="163"/>
        <v>0</v>
      </c>
      <c r="BC300" s="17"/>
      <c r="BD300" s="178">
        <v>291</v>
      </c>
      <c r="BE300" s="214">
        <f t="shared" si="172"/>
        <v>1.3699999999999999E-5</v>
      </c>
      <c r="BF300" s="178">
        <f t="shared" si="164"/>
        <v>0</v>
      </c>
      <c r="BG300" s="245">
        <f t="shared" si="165"/>
        <v>2.9999999999999997E-5</v>
      </c>
      <c r="BH300" s="17">
        <f t="shared" si="173"/>
        <v>0</v>
      </c>
      <c r="BI300" s="178">
        <v>291</v>
      </c>
      <c r="BJ300" s="87">
        <f t="shared" si="174"/>
        <v>1.2E-5</v>
      </c>
      <c r="BK300" s="215">
        <f t="shared" si="166"/>
        <v>0</v>
      </c>
      <c r="BL300" s="245">
        <f t="shared" si="175"/>
        <v>2.9999999999999997E-5</v>
      </c>
      <c r="BM300" s="17">
        <f t="shared" si="176"/>
        <v>0</v>
      </c>
      <c r="BN300" s="178">
        <v>291</v>
      </c>
      <c r="BO300" s="87">
        <f t="shared" si="177"/>
        <v>1.2E-5</v>
      </c>
      <c r="BP300" s="215">
        <f t="shared" si="167"/>
        <v>0</v>
      </c>
      <c r="BR300" s="126"/>
      <c r="BS300" s="126"/>
      <c r="BU300" s="178"/>
      <c r="BV300" s="179" t="str">
        <f t="shared" si="178"/>
        <v/>
      </c>
      <c r="BW300" s="179" t="str">
        <f t="shared" si="179"/>
        <v/>
      </c>
      <c r="BX300" s="179" t="str">
        <f t="shared" si="180"/>
        <v/>
      </c>
      <c r="BY300" s="179" t="str">
        <f t="shared" si="181"/>
        <v/>
      </c>
      <c r="BZ300" s="179" t="str">
        <f t="shared" si="182"/>
        <v/>
      </c>
      <c r="CA300" s="179" t="str">
        <f t="shared" si="183"/>
        <v/>
      </c>
      <c r="CB300" s="179" t="str">
        <f t="shared" si="184"/>
        <v/>
      </c>
      <c r="CC300" s="179" t="str">
        <f t="shared" si="185"/>
        <v/>
      </c>
      <c r="CD300" s="179" t="str">
        <f t="shared" si="186"/>
        <v/>
      </c>
      <c r="CE300" s="179" t="str">
        <f t="shared" si="187"/>
        <v/>
      </c>
      <c r="CF300" s="179" t="str">
        <f t="shared" si="188"/>
        <v/>
      </c>
      <c r="CG300" s="179" t="str">
        <f t="shared" si="189"/>
        <v/>
      </c>
      <c r="CH300" s="166"/>
      <c r="CI300" s="166"/>
      <c r="CJ300" s="166"/>
      <c r="CK300" s="166" t="s">
        <v>150</v>
      </c>
      <c r="CL300" s="166"/>
    </row>
    <row r="301" spans="1:90" ht="14.25" customHeight="1" x14ac:dyDescent="0.25">
      <c r="A301" s="211">
        <v>291</v>
      </c>
      <c r="B301" s="89"/>
      <c r="C301" s="199"/>
      <c r="D301" s="146"/>
      <c r="E301" s="319" t="s">
        <v>93</v>
      </c>
      <c r="F301" s="221"/>
      <c r="G301" s="222"/>
      <c r="H301" s="222"/>
      <c r="I301" s="222"/>
      <c r="J301" s="222"/>
      <c r="K301" s="222"/>
      <c r="L301" s="222"/>
      <c r="M301" s="331"/>
      <c r="N301" s="303">
        <f t="shared" si="190"/>
        <v>0</v>
      </c>
      <c r="O301" s="304"/>
      <c r="P301" s="341"/>
      <c r="Q301" s="305"/>
      <c r="R301" s="322" t="s">
        <v>67</v>
      </c>
      <c r="S301" s="209">
        <f t="shared" si="193"/>
        <v>0</v>
      </c>
      <c r="T301" s="209">
        <f t="shared" si="194"/>
        <v>0</v>
      </c>
      <c r="U301" s="209"/>
      <c r="V301" s="209">
        <f t="shared" si="195"/>
        <v>0</v>
      </c>
      <c r="W301" s="209"/>
      <c r="X301" s="209">
        <f t="shared" si="196"/>
        <v>0</v>
      </c>
      <c r="Y301" s="209">
        <f t="shared" si="197"/>
        <v>0</v>
      </c>
      <c r="Z301" s="303"/>
      <c r="AA301" s="303">
        <f t="shared" si="191"/>
        <v>0</v>
      </c>
      <c r="AB301" s="314">
        <f t="shared" si="168"/>
        <v>0</v>
      </c>
      <c r="AC301" s="314"/>
      <c r="AD301" s="314">
        <f t="shared" si="169"/>
        <v>0</v>
      </c>
      <c r="AE301" s="325" t="s">
        <v>148</v>
      </c>
      <c r="AF301" s="15">
        <f t="shared" si="198"/>
        <v>0</v>
      </c>
      <c r="AG301" s="232">
        <f t="shared" si="199"/>
        <v>0</v>
      </c>
      <c r="AH301" s="232"/>
      <c r="AI301" s="232">
        <f t="shared" si="200"/>
        <v>0</v>
      </c>
      <c r="AJ301" s="232"/>
      <c r="AK301" s="232">
        <f t="shared" si="201"/>
        <v>0</v>
      </c>
      <c r="AL301" s="7">
        <f t="shared" si="202"/>
        <v>0</v>
      </c>
      <c r="AM301" s="352"/>
      <c r="AN301" s="22">
        <f t="shared" si="192"/>
        <v>0</v>
      </c>
      <c r="AO301" s="15">
        <f t="shared" si="170"/>
        <v>0</v>
      </c>
      <c r="AP301" s="345"/>
      <c r="AQ301" s="7">
        <f t="shared" si="171"/>
        <v>0</v>
      </c>
      <c r="AR301" s="103"/>
      <c r="AS301" s="101"/>
      <c r="AT301" s="236"/>
      <c r="AU301" s="235"/>
      <c r="AV301" s="92"/>
      <c r="AW301" s="235"/>
      <c r="AX301" s="92"/>
      <c r="AY301" s="235"/>
      <c r="AZ301" s="92"/>
      <c r="BA301" s="17">
        <f t="shared" si="162"/>
        <v>3.01E-5</v>
      </c>
      <c r="BB301" s="17">
        <f t="shared" si="163"/>
        <v>0</v>
      </c>
      <c r="BC301" s="17"/>
      <c r="BD301" s="178">
        <v>292</v>
      </c>
      <c r="BE301" s="214">
        <f t="shared" si="172"/>
        <v>1.3599999999999999E-5</v>
      </c>
      <c r="BF301" s="178">
        <f t="shared" si="164"/>
        <v>0</v>
      </c>
      <c r="BG301" s="245">
        <f t="shared" si="165"/>
        <v>3.01E-5</v>
      </c>
      <c r="BH301" s="17">
        <f t="shared" si="173"/>
        <v>0</v>
      </c>
      <c r="BI301" s="178">
        <v>292</v>
      </c>
      <c r="BJ301" s="87">
        <f t="shared" si="174"/>
        <v>1.19E-5</v>
      </c>
      <c r="BK301" s="215">
        <f t="shared" si="166"/>
        <v>0</v>
      </c>
      <c r="BL301" s="245">
        <f t="shared" si="175"/>
        <v>3.01E-5</v>
      </c>
      <c r="BM301" s="17">
        <f t="shared" si="176"/>
        <v>0</v>
      </c>
      <c r="BN301" s="178">
        <v>292</v>
      </c>
      <c r="BO301" s="87">
        <f t="shared" si="177"/>
        <v>1.19E-5</v>
      </c>
      <c r="BP301" s="215">
        <f t="shared" si="167"/>
        <v>0</v>
      </c>
      <c r="BR301" s="126"/>
      <c r="BS301" s="126"/>
      <c r="BU301" s="178"/>
      <c r="BV301" s="179" t="str">
        <f t="shared" si="178"/>
        <v/>
      </c>
      <c r="BW301" s="179" t="str">
        <f t="shared" si="179"/>
        <v/>
      </c>
      <c r="BX301" s="179" t="str">
        <f t="shared" si="180"/>
        <v/>
      </c>
      <c r="BY301" s="179" t="str">
        <f t="shared" si="181"/>
        <v/>
      </c>
      <c r="BZ301" s="179" t="str">
        <f t="shared" si="182"/>
        <v/>
      </c>
      <c r="CA301" s="179" t="str">
        <f t="shared" si="183"/>
        <v/>
      </c>
      <c r="CB301" s="179" t="str">
        <f t="shared" si="184"/>
        <v/>
      </c>
      <c r="CC301" s="179" t="str">
        <f t="shared" si="185"/>
        <v/>
      </c>
      <c r="CD301" s="179" t="str">
        <f t="shared" si="186"/>
        <v/>
      </c>
      <c r="CE301" s="179" t="str">
        <f t="shared" si="187"/>
        <v/>
      </c>
      <c r="CF301" s="179" t="str">
        <f t="shared" si="188"/>
        <v/>
      </c>
      <c r="CG301" s="179" t="str">
        <f t="shared" si="189"/>
        <v/>
      </c>
      <c r="CH301" s="166"/>
      <c r="CI301" s="166"/>
      <c r="CJ301" s="166"/>
      <c r="CK301" s="166" t="s">
        <v>150</v>
      </c>
      <c r="CL301" s="166"/>
    </row>
    <row r="302" spans="1:90" ht="14.25" customHeight="1" thickBot="1" x14ac:dyDescent="0.3">
      <c r="A302" s="213">
        <v>292</v>
      </c>
      <c r="B302" s="219"/>
      <c r="C302" s="200"/>
      <c r="D302" s="145"/>
      <c r="E302" s="320" t="s">
        <v>93</v>
      </c>
      <c r="F302" s="209"/>
      <c r="G302" s="313"/>
      <c r="H302" s="313"/>
      <c r="I302" s="313"/>
      <c r="J302" s="313"/>
      <c r="K302" s="313"/>
      <c r="L302" s="313"/>
      <c r="M302" s="339"/>
      <c r="N302" s="233">
        <f t="shared" si="190"/>
        <v>0</v>
      </c>
      <c r="O302" s="306"/>
      <c r="P302" s="342"/>
      <c r="Q302" s="307"/>
      <c r="R302" s="323" t="s">
        <v>67</v>
      </c>
      <c r="S302" s="209">
        <f t="shared" si="193"/>
        <v>0</v>
      </c>
      <c r="T302" s="209">
        <f t="shared" si="194"/>
        <v>0</v>
      </c>
      <c r="U302" s="209"/>
      <c r="V302" s="209">
        <f t="shared" si="195"/>
        <v>0</v>
      </c>
      <c r="W302" s="209"/>
      <c r="X302" s="209">
        <f t="shared" si="196"/>
        <v>0</v>
      </c>
      <c r="Y302" s="209">
        <f t="shared" si="197"/>
        <v>0</v>
      </c>
      <c r="Z302" s="233"/>
      <c r="AA302" s="233">
        <f t="shared" si="191"/>
        <v>0</v>
      </c>
      <c r="AB302" s="314">
        <f t="shared" si="168"/>
        <v>0</v>
      </c>
      <c r="AC302" s="314"/>
      <c r="AD302" s="314">
        <f t="shared" si="169"/>
        <v>0</v>
      </c>
      <c r="AE302" s="323" t="s">
        <v>87</v>
      </c>
      <c r="AF302" s="81">
        <f t="shared" si="198"/>
        <v>0</v>
      </c>
      <c r="AG302" s="335">
        <f t="shared" si="199"/>
        <v>0</v>
      </c>
      <c r="AH302" s="335"/>
      <c r="AI302" s="335">
        <f t="shared" si="200"/>
        <v>0</v>
      </c>
      <c r="AJ302" s="335"/>
      <c r="AK302" s="335">
        <f t="shared" si="201"/>
        <v>0</v>
      </c>
      <c r="AL302" s="336">
        <f t="shared" si="202"/>
        <v>0</v>
      </c>
      <c r="AM302" s="353"/>
      <c r="AN302" s="22">
        <f t="shared" si="192"/>
        <v>0</v>
      </c>
      <c r="AO302" s="209">
        <f t="shared" si="170"/>
        <v>0</v>
      </c>
      <c r="AP302" s="339"/>
      <c r="AQ302" s="125">
        <f t="shared" si="171"/>
        <v>0</v>
      </c>
      <c r="AR302" s="104"/>
      <c r="AS302" s="217"/>
      <c r="AT302" s="216"/>
      <c r="AU302" s="230"/>
      <c r="AV302" s="220"/>
      <c r="AW302" s="230"/>
      <c r="AX302" s="220"/>
      <c r="AY302" s="230"/>
      <c r="AZ302" s="220"/>
      <c r="BA302" s="17">
        <f t="shared" si="162"/>
        <v>3.0199999999999999E-5</v>
      </c>
      <c r="BB302" s="17">
        <f t="shared" si="163"/>
        <v>0</v>
      </c>
      <c r="BC302" s="17"/>
      <c r="BD302" s="178">
        <v>293</v>
      </c>
      <c r="BE302" s="214">
        <f t="shared" si="172"/>
        <v>1.3499999999999999E-5</v>
      </c>
      <c r="BF302" s="178">
        <f t="shared" si="164"/>
        <v>0</v>
      </c>
      <c r="BG302" s="245">
        <f t="shared" si="165"/>
        <v>3.0199999999999999E-5</v>
      </c>
      <c r="BH302" s="17">
        <f t="shared" si="173"/>
        <v>0</v>
      </c>
      <c r="BI302" s="178">
        <v>293</v>
      </c>
      <c r="BJ302" s="87">
        <f t="shared" si="174"/>
        <v>1.1799999999999999E-5</v>
      </c>
      <c r="BK302" s="215">
        <f t="shared" si="166"/>
        <v>0</v>
      </c>
      <c r="BL302" s="245">
        <f t="shared" si="175"/>
        <v>3.0199999999999999E-5</v>
      </c>
      <c r="BM302" s="17">
        <f t="shared" si="176"/>
        <v>0</v>
      </c>
      <c r="BN302" s="178">
        <v>293</v>
      </c>
      <c r="BO302" s="87">
        <f t="shared" si="177"/>
        <v>1.1799999999999999E-5</v>
      </c>
      <c r="BP302" s="215">
        <f t="shared" si="167"/>
        <v>0</v>
      </c>
      <c r="BR302" s="126"/>
      <c r="BS302" s="126"/>
      <c r="BU302" s="178"/>
      <c r="BV302" s="179" t="str">
        <f t="shared" si="178"/>
        <v/>
      </c>
      <c r="BW302" s="179" t="str">
        <f t="shared" si="179"/>
        <v/>
      </c>
      <c r="BX302" s="179" t="str">
        <f t="shared" si="180"/>
        <v/>
      </c>
      <c r="BY302" s="179" t="str">
        <f t="shared" si="181"/>
        <v/>
      </c>
      <c r="BZ302" s="179" t="str">
        <f t="shared" si="182"/>
        <v/>
      </c>
      <c r="CA302" s="179" t="str">
        <f t="shared" si="183"/>
        <v/>
      </c>
      <c r="CB302" s="179" t="str">
        <f t="shared" si="184"/>
        <v/>
      </c>
      <c r="CC302" s="179" t="str">
        <f t="shared" si="185"/>
        <v/>
      </c>
      <c r="CD302" s="179" t="str">
        <f t="shared" si="186"/>
        <v/>
      </c>
      <c r="CE302" s="179" t="str">
        <f t="shared" si="187"/>
        <v/>
      </c>
      <c r="CF302" s="179" t="str">
        <f t="shared" si="188"/>
        <v/>
      </c>
      <c r="CG302" s="179" t="str">
        <f t="shared" si="189"/>
        <v/>
      </c>
      <c r="CH302" s="166"/>
      <c r="CI302" s="166"/>
      <c r="CJ302" s="166"/>
      <c r="CK302" s="166" t="s">
        <v>150</v>
      </c>
      <c r="CL302" s="166"/>
    </row>
    <row r="303" spans="1:90" ht="14.25" customHeight="1" thickBot="1" x14ac:dyDescent="0.3">
      <c r="A303" s="211">
        <v>293</v>
      </c>
      <c r="B303" s="88"/>
      <c r="C303" s="201"/>
      <c r="D303" s="94"/>
      <c r="E303" s="321" t="s">
        <v>93</v>
      </c>
      <c r="F303" s="96"/>
      <c r="G303" s="100"/>
      <c r="H303" s="100"/>
      <c r="I303" s="100"/>
      <c r="J303" s="100"/>
      <c r="K303" s="100"/>
      <c r="L303" s="100"/>
      <c r="M303" s="210"/>
      <c r="N303" s="234">
        <f t="shared" si="190"/>
        <v>0</v>
      </c>
      <c r="O303" s="308"/>
      <c r="P303" s="343"/>
      <c r="Q303" s="309"/>
      <c r="R303" s="324" t="s">
        <v>67</v>
      </c>
      <c r="S303" s="209">
        <f t="shared" si="193"/>
        <v>0</v>
      </c>
      <c r="T303" s="209">
        <f t="shared" si="194"/>
        <v>0</v>
      </c>
      <c r="U303" s="209"/>
      <c r="V303" s="209">
        <f t="shared" si="195"/>
        <v>0</v>
      </c>
      <c r="W303" s="209"/>
      <c r="X303" s="209">
        <f t="shared" si="196"/>
        <v>0</v>
      </c>
      <c r="Y303" s="209">
        <f t="shared" si="197"/>
        <v>0</v>
      </c>
      <c r="Z303" s="351"/>
      <c r="AA303" s="234">
        <f t="shared" si="191"/>
        <v>0</v>
      </c>
      <c r="AB303" s="314">
        <f t="shared" si="168"/>
        <v>0</v>
      </c>
      <c r="AC303" s="314"/>
      <c r="AD303" s="314">
        <f t="shared" si="169"/>
        <v>0</v>
      </c>
      <c r="AE303" s="324" t="s">
        <v>87</v>
      </c>
      <c r="AF303" s="82">
        <f t="shared" si="198"/>
        <v>0</v>
      </c>
      <c r="AG303" s="337">
        <f t="shared" si="199"/>
        <v>0</v>
      </c>
      <c r="AH303" s="337"/>
      <c r="AI303" s="337">
        <f t="shared" si="200"/>
        <v>0</v>
      </c>
      <c r="AJ303" s="337"/>
      <c r="AK303" s="337">
        <f t="shared" si="201"/>
        <v>0</v>
      </c>
      <c r="AL303" s="338">
        <f t="shared" si="202"/>
        <v>0</v>
      </c>
      <c r="AM303" s="354"/>
      <c r="AN303" s="91">
        <f t="shared" si="192"/>
        <v>0</v>
      </c>
      <c r="AO303" s="96">
        <f t="shared" si="170"/>
        <v>0</v>
      </c>
      <c r="AP303" s="210"/>
      <c r="AQ303" s="97">
        <f t="shared" si="171"/>
        <v>0</v>
      </c>
      <c r="AR303" s="105"/>
      <c r="AS303" s="102"/>
      <c r="AT303" s="237"/>
      <c r="AU303" s="231"/>
      <c r="AV303" s="93"/>
      <c r="AW303" s="231"/>
      <c r="AX303" s="93"/>
      <c r="AY303" s="231"/>
      <c r="AZ303" s="93"/>
      <c r="BA303" s="17">
        <f t="shared" si="162"/>
        <v>3.0299999999999998E-5</v>
      </c>
      <c r="BB303" s="17">
        <f t="shared" si="163"/>
        <v>0</v>
      </c>
      <c r="BC303" s="17"/>
      <c r="BD303" s="178">
        <v>294</v>
      </c>
      <c r="BE303" s="214">
        <f t="shared" si="172"/>
        <v>1.3399999999999999E-5</v>
      </c>
      <c r="BF303" s="178">
        <f t="shared" si="164"/>
        <v>0</v>
      </c>
      <c r="BG303" s="245">
        <f t="shared" si="165"/>
        <v>3.0299999999999998E-5</v>
      </c>
      <c r="BH303" s="17">
        <f t="shared" si="173"/>
        <v>0</v>
      </c>
      <c r="BI303" s="178">
        <v>294</v>
      </c>
      <c r="BJ303" s="87">
        <f t="shared" si="174"/>
        <v>1.17E-5</v>
      </c>
      <c r="BK303" s="215">
        <f t="shared" si="166"/>
        <v>0</v>
      </c>
      <c r="BL303" s="245">
        <f t="shared" si="175"/>
        <v>3.0299999999999998E-5</v>
      </c>
      <c r="BM303" s="17">
        <f t="shared" si="176"/>
        <v>0</v>
      </c>
      <c r="BN303" s="178">
        <v>294</v>
      </c>
      <c r="BO303" s="87">
        <f t="shared" si="177"/>
        <v>1.17E-5</v>
      </c>
      <c r="BP303" s="215">
        <f t="shared" si="167"/>
        <v>0</v>
      </c>
      <c r="BR303" s="126"/>
      <c r="BS303" s="126"/>
      <c r="BU303" s="178"/>
      <c r="BV303" s="179" t="str">
        <f t="shared" si="178"/>
        <v/>
      </c>
      <c r="BW303" s="179" t="str">
        <f t="shared" si="179"/>
        <v/>
      </c>
      <c r="BX303" s="179" t="str">
        <f t="shared" si="180"/>
        <v/>
      </c>
      <c r="BY303" s="179" t="str">
        <f t="shared" si="181"/>
        <v/>
      </c>
      <c r="BZ303" s="179" t="str">
        <f t="shared" si="182"/>
        <v/>
      </c>
      <c r="CA303" s="179" t="str">
        <f t="shared" si="183"/>
        <v/>
      </c>
      <c r="CB303" s="179" t="str">
        <f t="shared" si="184"/>
        <v/>
      </c>
      <c r="CC303" s="179" t="str">
        <f t="shared" si="185"/>
        <v/>
      </c>
      <c r="CD303" s="179" t="str">
        <f t="shared" si="186"/>
        <v/>
      </c>
      <c r="CE303" s="179" t="str">
        <f t="shared" si="187"/>
        <v/>
      </c>
      <c r="CF303" s="179" t="str">
        <f t="shared" si="188"/>
        <v/>
      </c>
      <c r="CG303" s="179" t="str">
        <f t="shared" si="189"/>
        <v/>
      </c>
      <c r="CH303" s="166"/>
      <c r="CI303" s="166"/>
      <c r="CJ303" s="166"/>
      <c r="CK303" s="166" t="s">
        <v>150</v>
      </c>
      <c r="CL303" s="166"/>
    </row>
    <row r="304" spans="1:90" ht="14.25" customHeight="1" thickBot="1" x14ac:dyDescent="0.3">
      <c r="A304" s="213">
        <v>294</v>
      </c>
      <c r="B304" s="89"/>
      <c r="C304" s="199"/>
      <c r="D304" s="146"/>
      <c r="E304" s="319" t="s">
        <v>93</v>
      </c>
      <c r="F304" s="221"/>
      <c r="G304" s="222"/>
      <c r="H304" s="222"/>
      <c r="I304" s="222"/>
      <c r="J304" s="222"/>
      <c r="K304" s="222"/>
      <c r="L304" s="222"/>
      <c r="M304" s="331"/>
      <c r="N304" s="303">
        <f t="shared" si="190"/>
        <v>0</v>
      </c>
      <c r="O304" s="304"/>
      <c r="P304" s="341"/>
      <c r="Q304" s="305"/>
      <c r="R304" s="322" t="s">
        <v>67</v>
      </c>
      <c r="S304" s="209">
        <f t="shared" si="193"/>
        <v>0</v>
      </c>
      <c r="T304" s="209">
        <f t="shared" si="194"/>
        <v>0</v>
      </c>
      <c r="U304" s="209"/>
      <c r="V304" s="209">
        <f t="shared" si="195"/>
        <v>0</v>
      </c>
      <c r="W304" s="209"/>
      <c r="X304" s="209">
        <f t="shared" si="196"/>
        <v>0</v>
      </c>
      <c r="Y304" s="209">
        <f t="shared" si="197"/>
        <v>0</v>
      </c>
      <c r="Z304" s="303"/>
      <c r="AA304" s="303">
        <f t="shared" si="191"/>
        <v>0</v>
      </c>
      <c r="AB304" s="314">
        <f t="shared" si="168"/>
        <v>0</v>
      </c>
      <c r="AC304" s="314"/>
      <c r="AD304" s="314">
        <f t="shared" si="169"/>
        <v>0</v>
      </c>
      <c r="AE304" s="325" t="s">
        <v>148</v>
      </c>
      <c r="AF304" s="15">
        <f t="shared" si="198"/>
        <v>0</v>
      </c>
      <c r="AG304" s="232">
        <f t="shared" si="199"/>
        <v>0</v>
      </c>
      <c r="AH304" s="232"/>
      <c r="AI304" s="232">
        <f t="shared" si="200"/>
        <v>0</v>
      </c>
      <c r="AJ304" s="232"/>
      <c r="AK304" s="232">
        <f t="shared" si="201"/>
        <v>0</v>
      </c>
      <c r="AL304" s="7">
        <f t="shared" si="202"/>
        <v>0</v>
      </c>
      <c r="AM304" s="352"/>
      <c r="AN304" s="22">
        <f t="shared" si="192"/>
        <v>0</v>
      </c>
      <c r="AO304" s="15">
        <f t="shared" si="170"/>
        <v>0</v>
      </c>
      <c r="AP304" s="345"/>
      <c r="AQ304" s="7">
        <f t="shared" si="171"/>
        <v>0</v>
      </c>
      <c r="AR304" s="103"/>
      <c r="AS304" s="101"/>
      <c r="AT304" s="236"/>
      <c r="AU304" s="235"/>
      <c r="AV304" s="92"/>
      <c r="AW304" s="235"/>
      <c r="AX304" s="92"/>
      <c r="AY304" s="235"/>
      <c r="AZ304" s="92"/>
      <c r="BA304" s="17">
        <f t="shared" si="162"/>
        <v>3.04E-5</v>
      </c>
      <c r="BB304" s="17">
        <f t="shared" si="163"/>
        <v>0</v>
      </c>
      <c r="BC304" s="17"/>
      <c r="BD304" s="178">
        <v>295</v>
      </c>
      <c r="BE304" s="214">
        <f t="shared" si="172"/>
        <v>1.33E-5</v>
      </c>
      <c r="BF304" s="178">
        <f t="shared" si="164"/>
        <v>0</v>
      </c>
      <c r="BG304" s="245">
        <f t="shared" si="165"/>
        <v>3.04E-5</v>
      </c>
      <c r="BH304" s="17">
        <f t="shared" si="173"/>
        <v>0</v>
      </c>
      <c r="BI304" s="178">
        <v>295</v>
      </c>
      <c r="BJ304" s="87">
        <f t="shared" si="174"/>
        <v>1.1599999999999999E-5</v>
      </c>
      <c r="BK304" s="215">
        <f t="shared" si="166"/>
        <v>0</v>
      </c>
      <c r="BL304" s="245">
        <f t="shared" si="175"/>
        <v>3.04E-5</v>
      </c>
      <c r="BM304" s="17">
        <f t="shared" si="176"/>
        <v>0</v>
      </c>
      <c r="BN304" s="178">
        <v>295</v>
      </c>
      <c r="BO304" s="87">
        <f t="shared" si="177"/>
        <v>1.1599999999999999E-5</v>
      </c>
      <c r="BP304" s="215">
        <f t="shared" si="167"/>
        <v>0</v>
      </c>
      <c r="BR304" s="126"/>
      <c r="BS304" s="126"/>
      <c r="BU304" s="178"/>
      <c r="BV304" s="179" t="str">
        <f t="shared" si="178"/>
        <v/>
      </c>
      <c r="BW304" s="179" t="str">
        <f t="shared" si="179"/>
        <v/>
      </c>
      <c r="BX304" s="179" t="str">
        <f t="shared" si="180"/>
        <v/>
      </c>
      <c r="BY304" s="179" t="str">
        <f t="shared" si="181"/>
        <v/>
      </c>
      <c r="BZ304" s="179" t="str">
        <f t="shared" si="182"/>
        <v/>
      </c>
      <c r="CA304" s="179" t="str">
        <f t="shared" si="183"/>
        <v/>
      </c>
      <c r="CB304" s="179" t="str">
        <f t="shared" si="184"/>
        <v/>
      </c>
      <c r="CC304" s="179" t="str">
        <f t="shared" si="185"/>
        <v/>
      </c>
      <c r="CD304" s="179" t="str">
        <f t="shared" si="186"/>
        <v/>
      </c>
      <c r="CE304" s="179" t="str">
        <f t="shared" si="187"/>
        <v/>
      </c>
      <c r="CF304" s="179" t="str">
        <f t="shared" si="188"/>
        <v/>
      </c>
      <c r="CG304" s="179" t="str">
        <f t="shared" si="189"/>
        <v/>
      </c>
      <c r="CH304" s="166"/>
      <c r="CI304" s="166"/>
      <c r="CJ304" s="166"/>
      <c r="CK304" s="166" t="s">
        <v>150</v>
      </c>
      <c r="CL304" s="166"/>
    </row>
    <row r="305" spans="1:90" ht="14.25" customHeight="1" x14ac:dyDescent="0.25">
      <c r="A305" s="211">
        <v>295</v>
      </c>
      <c r="B305" s="219"/>
      <c r="C305" s="200"/>
      <c r="D305" s="145"/>
      <c r="E305" s="320" t="s">
        <v>93</v>
      </c>
      <c r="F305" s="209"/>
      <c r="G305" s="313"/>
      <c r="H305" s="313"/>
      <c r="I305" s="313"/>
      <c r="J305" s="313"/>
      <c r="K305" s="313"/>
      <c r="L305" s="313"/>
      <c r="M305" s="339"/>
      <c r="N305" s="233">
        <f t="shared" si="190"/>
        <v>0</v>
      </c>
      <c r="O305" s="306"/>
      <c r="P305" s="342"/>
      <c r="Q305" s="307"/>
      <c r="R305" s="323" t="s">
        <v>67</v>
      </c>
      <c r="S305" s="209">
        <f t="shared" si="193"/>
        <v>0</v>
      </c>
      <c r="T305" s="209">
        <f t="shared" si="194"/>
        <v>0</v>
      </c>
      <c r="U305" s="209"/>
      <c r="V305" s="209">
        <f t="shared" si="195"/>
        <v>0</v>
      </c>
      <c r="W305" s="209"/>
      <c r="X305" s="209">
        <f t="shared" si="196"/>
        <v>0</v>
      </c>
      <c r="Y305" s="209">
        <f t="shared" si="197"/>
        <v>0</v>
      </c>
      <c r="Z305" s="233"/>
      <c r="AA305" s="233">
        <f t="shared" si="191"/>
        <v>0</v>
      </c>
      <c r="AB305" s="314">
        <f t="shared" si="168"/>
        <v>0</v>
      </c>
      <c r="AC305" s="314"/>
      <c r="AD305" s="314">
        <f t="shared" si="169"/>
        <v>0</v>
      </c>
      <c r="AE305" s="323" t="s">
        <v>87</v>
      </c>
      <c r="AF305" s="81">
        <f t="shared" si="198"/>
        <v>0</v>
      </c>
      <c r="AG305" s="335">
        <f t="shared" si="199"/>
        <v>0</v>
      </c>
      <c r="AH305" s="335"/>
      <c r="AI305" s="335">
        <f t="shared" si="200"/>
        <v>0</v>
      </c>
      <c r="AJ305" s="335"/>
      <c r="AK305" s="335">
        <f t="shared" si="201"/>
        <v>0</v>
      </c>
      <c r="AL305" s="336">
        <f t="shared" si="202"/>
        <v>0</v>
      </c>
      <c r="AM305" s="353"/>
      <c r="AN305" s="22">
        <f t="shared" si="192"/>
        <v>0</v>
      </c>
      <c r="AO305" s="209">
        <f t="shared" si="170"/>
        <v>0</v>
      </c>
      <c r="AP305" s="339"/>
      <c r="AQ305" s="125">
        <f t="shared" si="171"/>
        <v>0</v>
      </c>
      <c r="AR305" s="104"/>
      <c r="AS305" s="217"/>
      <c r="AT305" s="216"/>
      <c r="AU305" s="230"/>
      <c r="AV305" s="220"/>
      <c r="AW305" s="230"/>
      <c r="AX305" s="220"/>
      <c r="AY305" s="230"/>
      <c r="AZ305" s="220"/>
      <c r="BA305" s="17">
        <f t="shared" si="162"/>
        <v>3.0499999999999999E-5</v>
      </c>
      <c r="BB305" s="17">
        <f t="shared" si="163"/>
        <v>0</v>
      </c>
      <c r="BC305" s="17"/>
      <c r="BD305" s="178">
        <v>296</v>
      </c>
      <c r="BE305" s="214">
        <f t="shared" si="172"/>
        <v>1.3199999999999999E-5</v>
      </c>
      <c r="BF305" s="178">
        <f t="shared" si="164"/>
        <v>0</v>
      </c>
      <c r="BG305" s="245">
        <f t="shared" si="165"/>
        <v>3.0499999999999999E-5</v>
      </c>
      <c r="BH305" s="17">
        <f t="shared" si="173"/>
        <v>0</v>
      </c>
      <c r="BI305" s="178">
        <v>296</v>
      </c>
      <c r="BJ305" s="87">
        <f t="shared" si="174"/>
        <v>1.15E-5</v>
      </c>
      <c r="BK305" s="215">
        <f t="shared" si="166"/>
        <v>0</v>
      </c>
      <c r="BL305" s="245">
        <f t="shared" si="175"/>
        <v>3.0499999999999999E-5</v>
      </c>
      <c r="BM305" s="17">
        <f t="shared" si="176"/>
        <v>0</v>
      </c>
      <c r="BN305" s="178">
        <v>296</v>
      </c>
      <c r="BO305" s="87">
        <f t="shared" si="177"/>
        <v>1.15E-5</v>
      </c>
      <c r="BP305" s="215">
        <f t="shared" si="167"/>
        <v>0</v>
      </c>
      <c r="BR305" s="126"/>
      <c r="BS305" s="126"/>
      <c r="BU305" s="178"/>
      <c r="BV305" s="179" t="str">
        <f t="shared" si="178"/>
        <v/>
      </c>
      <c r="BW305" s="179" t="str">
        <f t="shared" si="179"/>
        <v/>
      </c>
      <c r="BX305" s="179" t="str">
        <f t="shared" si="180"/>
        <v/>
      </c>
      <c r="BY305" s="179" t="str">
        <f t="shared" si="181"/>
        <v/>
      </c>
      <c r="BZ305" s="179" t="str">
        <f t="shared" si="182"/>
        <v/>
      </c>
      <c r="CA305" s="179" t="str">
        <f t="shared" si="183"/>
        <v/>
      </c>
      <c r="CB305" s="179" t="str">
        <f t="shared" si="184"/>
        <v/>
      </c>
      <c r="CC305" s="179" t="str">
        <f t="shared" si="185"/>
        <v/>
      </c>
      <c r="CD305" s="179" t="str">
        <f t="shared" si="186"/>
        <v/>
      </c>
      <c r="CE305" s="179" t="str">
        <f t="shared" si="187"/>
        <v/>
      </c>
      <c r="CF305" s="179" t="str">
        <f t="shared" si="188"/>
        <v/>
      </c>
      <c r="CG305" s="179" t="str">
        <f t="shared" si="189"/>
        <v/>
      </c>
      <c r="CH305" s="166"/>
      <c r="CI305" s="166"/>
      <c r="CJ305" s="166"/>
      <c r="CK305" s="166" t="s">
        <v>150</v>
      </c>
      <c r="CL305" s="166"/>
    </row>
    <row r="306" spans="1:90" ht="14.25" customHeight="1" thickBot="1" x14ac:dyDescent="0.3">
      <c r="A306" s="213">
        <v>296</v>
      </c>
      <c r="B306" s="88"/>
      <c r="C306" s="201"/>
      <c r="D306" s="94"/>
      <c r="E306" s="321" t="s">
        <v>93</v>
      </c>
      <c r="F306" s="96"/>
      <c r="G306" s="100"/>
      <c r="H306" s="100"/>
      <c r="I306" s="100"/>
      <c r="J306" s="100"/>
      <c r="K306" s="100"/>
      <c r="L306" s="100"/>
      <c r="M306" s="210"/>
      <c r="N306" s="234">
        <f t="shared" si="190"/>
        <v>0</v>
      </c>
      <c r="O306" s="308"/>
      <c r="P306" s="343"/>
      <c r="Q306" s="309"/>
      <c r="R306" s="324" t="s">
        <v>67</v>
      </c>
      <c r="S306" s="209">
        <f t="shared" si="193"/>
        <v>0</v>
      </c>
      <c r="T306" s="209">
        <f t="shared" si="194"/>
        <v>0</v>
      </c>
      <c r="U306" s="209"/>
      <c r="V306" s="209">
        <f t="shared" si="195"/>
        <v>0</v>
      </c>
      <c r="W306" s="209"/>
      <c r="X306" s="209">
        <f t="shared" si="196"/>
        <v>0</v>
      </c>
      <c r="Y306" s="209">
        <f t="shared" si="197"/>
        <v>0</v>
      </c>
      <c r="Z306" s="351"/>
      <c r="AA306" s="234">
        <f t="shared" si="191"/>
        <v>0</v>
      </c>
      <c r="AB306" s="314">
        <f t="shared" si="168"/>
        <v>0</v>
      </c>
      <c r="AC306" s="314"/>
      <c r="AD306" s="314">
        <f t="shared" si="169"/>
        <v>0</v>
      </c>
      <c r="AE306" s="324" t="s">
        <v>87</v>
      </c>
      <c r="AF306" s="82">
        <f t="shared" si="198"/>
        <v>0</v>
      </c>
      <c r="AG306" s="337">
        <f t="shared" si="199"/>
        <v>0</v>
      </c>
      <c r="AH306" s="337"/>
      <c r="AI306" s="337">
        <f t="shared" si="200"/>
        <v>0</v>
      </c>
      <c r="AJ306" s="337"/>
      <c r="AK306" s="337">
        <f t="shared" si="201"/>
        <v>0</v>
      </c>
      <c r="AL306" s="338">
        <f t="shared" si="202"/>
        <v>0</v>
      </c>
      <c r="AM306" s="354"/>
      <c r="AN306" s="91">
        <f t="shared" si="192"/>
        <v>0</v>
      </c>
      <c r="AO306" s="96">
        <f t="shared" si="170"/>
        <v>0</v>
      </c>
      <c r="AP306" s="210"/>
      <c r="AQ306" s="97">
        <f t="shared" si="171"/>
        <v>0</v>
      </c>
      <c r="AR306" s="105"/>
      <c r="AS306" s="102"/>
      <c r="AT306" s="237"/>
      <c r="AU306" s="231"/>
      <c r="AV306" s="93"/>
      <c r="AW306" s="231"/>
      <c r="AX306" s="93"/>
      <c r="AY306" s="231"/>
      <c r="AZ306" s="93"/>
      <c r="BA306" s="17">
        <f t="shared" si="162"/>
        <v>3.0599999999999998E-5</v>
      </c>
      <c r="BB306" s="17">
        <f t="shared" si="163"/>
        <v>0</v>
      </c>
      <c r="BC306" s="17"/>
      <c r="BD306" s="178">
        <v>297</v>
      </c>
      <c r="BE306" s="214">
        <f t="shared" si="172"/>
        <v>1.31E-5</v>
      </c>
      <c r="BF306" s="178">
        <f t="shared" si="164"/>
        <v>0</v>
      </c>
      <c r="BG306" s="245">
        <f t="shared" si="165"/>
        <v>3.0599999999999998E-5</v>
      </c>
      <c r="BH306" s="17">
        <f t="shared" si="173"/>
        <v>0</v>
      </c>
      <c r="BI306" s="178">
        <v>297</v>
      </c>
      <c r="BJ306" s="87">
        <f t="shared" si="174"/>
        <v>1.1399999999999999E-5</v>
      </c>
      <c r="BK306" s="215">
        <f t="shared" si="166"/>
        <v>0</v>
      </c>
      <c r="BL306" s="245">
        <f t="shared" si="175"/>
        <v>3.0599999999999998E-5</v>
      </c>
      <c r="BM306" s="17">
        <f t="shared" si="176"/>
        <v>0</v>
      </c>
      <c r="BN306" s="178">
        <v>297</v>
      </c>
      <c r="BO306" s="87">
        <f t="shared" si="177"/>
        <v>1.1399999999999999E-5</v>
      </c>
      <c r="BP306" s="215">
        <f t="shared" si="167"/>
        <v>0</v>
      </c>
      <c r="BR306" s="126"/>
      <c r="BS306" s="126"/>
      <c r="BU306" s="178"/>
      <c r="BV306" s="179" t="str">
        <f t="shared" si="178"/>
        <v/>
      </c>
      <c r="BW306" s="179" t="str">
        <f t="shared" si="179"/>
        <v/>
      </c>
      <c r="BX306" s="179" t="str">
        <f t="shared" si="180"/>
        <v/>
      </c>
      <c r="BY306" s="179" t="str">
        <f t="shared" si="181"/>
        <v/>
      </c>
      <c r="BZ306" s="179" t="str">
        <f t="shared" si="182"/>
        <v/>
      </c>
      <c r="CA306" s="179" t="str">
        <f t="shared" si="183"/>
        <v/>
      </c>
      <c r="CB306" s="179" t="str">
        <f t="shared" si="184"/>
        <v/>
      </c>
      <c r="CC306" s="179" t="str">
        <f t="shared" si="185"/>
        <v/>
      </c>
      <c r="CD306" s="179" t="str">
        <f t="shared" si="186"/>
        <v/>
      </c>
      <c r="CE306" s="179" t="str">
        <f t="shared" si="187"/>
        <v/>
      </c>
      <c r="CF306" s="179" t="str">
        <f t="shared" si="188"/>
        <v/>
      </c>
      <c r="CG306" s="179" t="str">
        <f t="shared" si="189"/>
        <v/>
      </c>
      <c r="CH306" s="166"/>
      <c r="CI306" s="166"/>
      <c r="CJ306" s="166"/>
      <c r="CK306" s="166" t="s">
        <v>150</v>
      </c>
      <c r="CL306" s="166"/>
    </row>
    <row r="307" spans="1:90" ht="14.25" customHeight="1" x14ac:dyDescent="0.25">
      <c r="A307" s="211">
        <v>297</v>
      </c>
      <c r="B307" s="89"/>
      <c r="C307" s="199"/>
      <c r="D307" s="146"/>
      <c r="E307" s="319" t="s">
        <v>93</v>
      </c>
      <c r="F307" s="221"/>
      <c r="G307" s="222"/>
      <c r="H307" s="222"/>
      <c r="I307" s="222"/>
      <c r="J307" s="222"/>
      <c r="K307" s="222"/>
      <c r="L307" s="222"/>
      <c r="M307" s="331"/>
      <c r="N307" s="303">
        <f t="shared" si="190"/>
        <v>0</v>
      </c>
      <c r="O307" s="304"/>
      <c r="P307" s="341"/>
      <c r="Q307" s="305"/>
      <c r="R307" s="322" t="s">
        <v>67</v>
      </c>
      <c r="S307" s="209">
        <f t="shared" si="193"/>
        <v>0</v>
      </c>
      <c r="T307" s="209">
        <f t="shared" si="194"/>
        <v>0</v>
      </c>
      <c r="U307" s="209"/>
      <c r="V307" s="209">
        <f t="shared" si="195"/>
        <v>0</v>
      </c>
      <c r="W307" s="209"/>
      <c r="X307" s="209">
        <f t="shared" si="196"/>
        <v>0</v>
      </c>
      <c r="Y307" s="209">
        <f t="shared" si="197"/>
        <v>0</v>
      </c>
      <c r="Z307" s="303"/>
      <c r="AA307" s="303">
        <f t="shared" si="191"/>
        <v>0</v>
      </c>
      <c r="AB307" s="314">
        <f t="shared" si="168"/>
        <v>0</v>
      </c>
      <c r="AC307" s="314"/>
      <c r="AD307" s="314">
        <f t="shared" si="169"/>
        <v>0</v>
      </c>
      <c r="AE307" s="325" t="s">
        <v>148</v>
      </c>
      <c r="AF307" s="15">
        <f t="shared" si="198"/>
        <v>0</v>
      </c>
      <c r="AG307" s="232">
        <f t="shared" si="199"/>
        <v>0</v>
      </c>
      <c r="AH307" s="232"/>
      <c r="AI307" s="232">
        <f t="shared" si="200"/>
        <v>0</v>
      </c>
      <c r="AJ307" s="232"/>
      <c r="AK307" s="232">
        <f t="shared" si="201"/>
        <v>0</v>
      </c>
      <c r="AL307" s="7">
        <f t="shared" si="202"/>
        <v>0</v>
      </c>
      <c r="AM307" s="352"/>
      <c r="AN307" s="22">
        <f t="shared" si="192"/>
        <v>0</v>
      </c>
      <c r="AO307" s="15">
        <f t="shared" si="170"/>
        <v>0</v>
      </c>
      <c r="AP307" s="345"/>
      <c r="AQ307" s="7">
        <f t="shared" si="171"/>
        <v>0</v>
      </c>
      <c r="AR307" s="103"/>
      <c r="AS307" s="101"/>
      <c r="AT307" s="236"/>
      <c r="AU307" s="235"/>
      <c r="AV307" s="92"/>
      <c r="AW307" s="235"/>
      <c r="AX307" s="92"/>
      <c r="AY307" s="235"/>
      <c r="AZ307" s="92"/>
      <c r="BA307" s="17">
        <f t="shared" si="162"/>
        <v>3.0700000000000001E-5</v>
      </c>
      <c r="BB307" s="17">
        <f t="shared" si="163"/>
        <v>0</v>
      </c>
      <c r="BC307" s="17"/>
      <c r="BD307" s="178">
        <v>298</v>
      </c>
      <c r="BE307" s="214">
        <f t="shared" si="172"/>
        <v>1.2999999999999999E-5</v>
      </c>
      <c r="BF307" s="178">
        <f t="shared" si="164"/>
        <v>0</v>
      </c>
      <c r="BG307" s="245">
        <f t="shared" si="165"/>
        <v>3.0700000000000001E-5</v>
      </c>
      <c r="BH307" s="17">
        <f t="shared" si="173"/>
        <v>0</v>
      </c>
      <c r="BI307" s="178">
        <v>298</v>
      </c>
      <c r="BJ307" s="87">
        <f t="shared" si="174"/>
        <v>1.13E-5</v>
      </c>
      <c r="BK307" s="215">
        <f t="shared" si="166"/>
        <v>0</v>
      </c>
      <c r="BL307" s="245">
        <f t="shared" si="175"/>
        <v>3.0700000000000001E-5</v>
      </c>
      <c r="BM307" s="17">
        <f t="shared" si="176"/>
        <v>0</v>
      </c>
      <c r="BN307" s="178">
        <v>298</v>
      </c>
      <c r="BO307" s="87">
        <f t="shared" si="177"/>
        <v>1.13E-5</v>
      </c>
      <c r="BP307" s="215">
        <f t="shared" si="167"/>
        <v>0</v>
      </c>
      <c r="BR307" s="126"/>
      <c r="BS307" s="126"/>
      <c r="BU307" s="178"/>
      <c r="BV307" s="179" t="str">
        <f t="shared" si="178"/>
        <v/>
      </c>
      <c r="BW307" s="179" t="str">
        <f t="shared" si="179"/>
        <v/>
      </c>
      <c r="BX307" s="179" t="str">
        <f t="shared" si="180"/>
        <v/>
      </c>
      <c r="BY307" s="179" t="str">
        <f t="shared" si="181"/>
        <v/>
      </c>
      <c r="BZ307" s="179" t="str">
        <f t="shared" si="182"/>
        <v/>
      </c>
      <c r="CA307" s="179" t="str">
        <f t="shared" si="183"/>
        <v/>
      </c>
      <c r="CB307" s="179" t="str">
        <f t="shared" si="184"/>
        <v/>
      </c>
      <c r="CC307" s="179" t="str">
        <f t="shared" si="185"/>
        <v/>
      </c>
      <c r="CD307" s="179" t="str">
        <f t="shared" si="186"/>
        <v/>
      </c>
      <c r="CE307" s="179" t="str">
        <f t="shared" si="187"/>
        <v/>
      </c>
      <c r="CF307" s="179" t="str">
        <f t="shared" si="188"/>
        <v/>
      </c>
      <c r="CG307" s="179" t="str">
        <f t="shared" si="189"/>
        <v/>
      </c>
      <c r="CH307" s="166"/>
      <c r="CI307" s="166"/>
      <c r="CJ307" s="166"/>
      <c r="CK307" s="166" t="s">
        <v>150</v>
      </c>
      <c r="CL307" s="166"/>
    </row>
    <row r="308" spans="1:90" ht="14.25" customHeight="1" thickBot="1" x14ac:dyDescent="0.3">
      <c r="A308" s="213">
        <v>298</v>
      </c>
      <c r="B308" s="219"/>
      <c r="C308" s="200"/>
      <c r="D308" s="145"/>
      <c r="E308" s="320" t="s">
        <v>93</v>
      </c>
      <c r="F308" s="209"/>
      <c r="G308" s="313"/>
      <c r="H308" s="313"/>
      <c r="I308" s="313"/>
      <c r="J308" s="313"/>
      <c r="K308" s="313"/>
      <c r="L308" s="313"/>
      <c r="M308" s="339"/>
      <c r="N308" s="233">
        <f t="shared" si="190"/>
        <v>0</v>
      </c>
      <c r="O308" s="306"/>
      <c r="P308" s="342"/>
      <c r="Q308" s="307"/>
      <c r="R308" s="323" t="s">
        <v>67</v>
      </c>
      <c r="S308" s="209">
        <f t="shared" si="193"/>
        <v>0</v>
      </c>
      <c r="T308" s="209">
        <f t="shared" si="194"/>
        <v>0</v>
      </c>
      <c r="U308" s="209"/>
      <c r="V308" s="209">
        <f t="shared" si="195"/>
        <v>0</v>
      </c>
      <c r="W308" s="209"/>
      <c r="X308" s="209">
        <f t="shared" si="196"/>
        <v>0</v>
      </c>
      <c r="Y308" s="209">
        <f t="shared" si="197"/>
        <v>0</v>
      </c>
      <c r="Z308" s="233"/>
      <c r="AA308" s="233">
        <f t="shared" si="191"/>
        <v>0</v>
      </c>
      <c r="AB308" s="314">
        <f t="shared" si="168"/>
        <v>0</v>
      </c>
      <c r="AC308" s="314"/>
      <c r="AD308" s="314">
        <f t="shared" si="169"/>
        <v>0</v>
      </c>
      <c r="AE308" s="323" t="s">
        <v>87</v>
      </c>
      <c r="AF308" s="81">
        <f t="shared" si="198"/>
        <v>0</v>
      </c>
      <c r="AG308" s="335">
        <f t="shared" si="199"/>
        <v>0</v>
      </c>
      <c r="AH308" s="335"/>
      <c r="AI308" s="335">
        <f t="shared" si="200"/>
        <v>0</v>
      </c>
      <c r="AJ308" s="335"/>
      <c r="AK308" s="335">
        <f t="shared" si="201"/>
        <v>0</v>
      </c>
      <c r="AL308" s="336">
        <f t="shared" si="202"/>
        <v>0</v>
      </c>
      <c r="AM308" s="353"/>
      <c r="AN308" s="22">
        <f t="shared" si="192"/>
        <v>0</v>
      </c>
      <c r="AO308" s="209">
        <f t="shared" si="170"/>
        <v>0</v>
      </c>
      <c r="AP308" s="339"/>
      <c r="AQ308" s="125">
        <f t="shared" si="171"/>
        <v>0</v>
      </c>
      <c r="AR308" s="104"/>
      <c r="AS308" s="217"/>
      <c r="AT308" s="216"/>
      <c r="AU308" s="230"/>
      <c r="AV308" s="220"/>
      <c r="AW308" s="230"/>
      <c r="AX308" s="220"/>
      <c r="AY308" s="230"/>
      <c r="AZ308" s="220"/>
      <c r="BA308" s="17">
        <f t="shared" si="162"/>
        <v>3.0799999999999996E-5</v>
      </c>
      <c r="BB308" s="17">
        <f t="shared" si="163"/>
        <v>0</v>
      </c>
      <c r="BC308" s="17"/>
      <c r="BD308" s="178">
        <v>299</v>
      </c>
      <c r="BE308" s="214">
        <f t="shared" si="172"/>
        <v>1.29E-5</v>
      </c>
      <c r="BF308" s="178">
        <f t="shared" si="164"/>
        <v>0</v>
      </c>
      <c r="BG308" s="245">
        <f t="shared" si="165"/>
        <v>3.0799999999999996E-5</v>
      </c>
      <c r="BH308" s="17">
        <f t="shared" si="173"/>
        <v>0</v>
      </c>
      <c r="BI308" s="178">
        <v>299</v>
      </c>
      <c r="BJ308" s="87">
        <f t="shared" si="174"/>
        <v>1.1199999999999999E-5</v>
      </c>
      <c r="BK308" s="215">
        <f t="shared" si="166"/>
        <v>0</v>
      </c>
      <c r="BL308" s="245">
        <f t="shared" si="175"/>
        <v>3.0799999999999996E-5</v>
      </c>
      <c r="BM308" s="17">
        <f t="shared" si="176"/>
        <v>0</v>
      </c>
      <c r="BN308" s="178">
        <v>299</v>
      </c>
      <c r="BO308" s="87">
        <f t="shared" si="177"/>
        <v>1.1199999999999999E-5</v>
      </c>
      <c r="BP308" s="215">
        <f t="shared" si="167"/>
        <v>0</v>
      </c>
      <c r="BR308" s="126"/>
      <c r="BS308" s="126"/>
      <c r="BU308" s="178"/>
      <c r="BV308" s="179" t="str">
        <f t="shared" si="178"/>
        <v/>
      </c>
      <c r="BW308" s="179" t="str">
        <f t="shared" si="179"/>
        <v/>
      </c>
      <c r="BX308" s="179" t="str">
        <f t="shared" si="180"/>
        <v/>
      </c>
      <c r="BY308" s="179" t="str">
        <f t="shared" si="181"/>
        <v/>
      </c>
      <c r="BZ308" s="179" t="str">
        <f t="shared" si="182"/>
        <v/>
      </c>
      <c r="CA308" s="179" t="str">
        <f t="shared" si="183"/>
        <v/>
      </c>
      <c r="CB308" s="179" t="str">
        <f t="shared" si="184"/>
        <v/>
      </c>
      <c r="CC308" s="179" t="str">
        <f t="shared" si="185"/>
        <v/>
      </c>
      <c r="CD308" s="179" t="str">
        <f t="shared" si="186"/>
        <v/>
      </c>
      <c r="CE308" s="179" t="str">
        <f t="shared" si="187"/>
        <v/>
      </c>
      <c r="CF308" s="179" t="str">
        <f t="shared" si="188"/>
        <v/>
      </c>
      <c r="CG308" s="179" t="str">
        <f t="shared" si="189"/>
        <v/>
      </c>
      <c r="CH308" s="166"/>
      <c r="CI308" s="166"/>
      <c r="CJ308" s="166"/>
      <c r="CK308" s="166" t="s">
        <v>150</v>
      </c>
      <c r="CL308" s="166"/>
    </row>
    <row r="309" spans="1:90" ht="14.25" customHeight="1" thickBot="1" x14ac:dyDescent="0.3">
      <c r="A309" s="211">
        <v>299</v>
      </c>
      <c r="B309" s="88"/>
      <c r="C309" s="201"/>
      <c r="D309" s="94"/>
      <c r="E309" s="321" t="s">
        <v>93</v>
      </c>
      <c r="F309" s="96"/>
      <c r="G309" s="100"/>
      <c r="H309" s="100"/>
      <c r="I309" s="100"/>
      <c r="J309" s="100"/>
      <c r="K309" s="100"/>
      <c r="L309" s="100"/>
      <c r="M309" s="210"/>
      <c r="N309" s="234">
        <f t="shared" si="190"/>
        <v>0</v>
      </c>
      <c r="O309" s="308"/>
      <c r="P309" s="343"/>
      <c r="Q309" s="309"/>
      <c r="R309" s="324" t="s">
        <v>67</v>
      </c>
      <c r="S309" s="209">
        <f t="shared" si="193"/>
        <v>0</v>
      </c>
      <c r="T309" s="209">
        <f t="shared" si="194"/>
        <v>0</v>
      </c>
      <c r="U309" s="209"/>
      <c r="V309" s="209">
        <f t="shared" si="195"/>
        <v>0</v>
      </c>
      <c r="W309" s="209"/>
      <c r="X309" s="209">
        <f t="shared" si="196"/>
        <v>0</v>
      </c>
      <c r="Y309" s="209">
        <f t="shared" si="197"/>
        <v>0</v>
      </c>
      <c r="Z309" s="351"/>
      <c r="AA309" s="234">
        <f t="shared" si="191"/>
        <v>0</v>
      </c>
      <c r="AB309" s="314">
        <f t="shared" si="168"/>
        <v>0</v>
      </c>
      <c r="AC309" s="314"/>
      <c r="AD309" s="314">
        <f t="shared" si="169"/>
        <v>0</v>
      </c>
      <c r="AE309" s="324" t="s">
        <v>87</v>
      </c>
      <c r="AF309" s="82">
        <f t="shared" si="198"/>
        <v>0</v>
      </c>
      <c r="AG309" s="337">
        <f t="shared" si="199"/>
        <v>0</v>
      </c>
      <c r="AH309" s="337"/>
      <c r="AI309" s="337">
        <f t="shared" si="200"/>
        <v>0</v>
      </c>
      <c r="AJ309" s="337"/>
      <c r="AK309" s="337">
        <f t="shared" si="201"/>
        <v>0</v>
      </c>
      <c r="AL309" s="338">
        <f t="shared" si="202"/>
        <v>0</v>
      </c>
      <c r="AM309" s="354"/>
      <c r="AN309" s="91">
        <f t="shared" si="192"/>
        <v>0</v>
      </c>
      <c r="AO309" s="96">
        <f t="shared" si="170"/>
        <v>0</v>
      </c>
      <c r="AP309" s="210"/>
      <c r="AQ309" s="97">
        <f t="shared" si="171"/>
        <v>0</v>
      </c>
      <c r="AR309" s="105"/>
      <c r="AS309" s="102"/>
      <c r="AT309" s="237"/>
      <c r="AU309" s="231"/>
      <c r="AV309" s="93"/>
      <c r="AW309" s="231"/>
      <c r="AX309" s="93"/>
      <c r="AY309" s="231"/>
      <c r="AZ309" s="93"/>
      <c r="BA309" s="17">
        <f t="shared" si="162"/>
        <v>3.0899999999999999E-5</v>
      </c>
      <c r="BB309" s="17">
        <f t="shared" si="163"/>
        <v>0</v>
      </c>
      <c r="BC309" s="17"/>
      <c r="BD309" s="178">
        <v>300</v>
      </c>
      <c r="BE309" s="214">
        <f t="shared" si="172"/>
        <v>1.2799999999999999E-5</v>
      </c>
      <c r="BF309" s="178">
        <f t="shared" si="164"/>
        <v>0</v>
      </c>
      <c r="BG309" s="245">
        <f t="shared" si="165"/>
        <v>3.0899999999999999E-5</v>
      </c>
      <c r="BH309" s="17">
        <f t="shared" si="173"/>
        <v>0</v>
      </c>
      <c r="BI309" s="178">
        <v>300</v>
      </c>
      <c r="BJ309" s="87">
        <f t="shared" si="174"/>
        <v>1.1099999999999999E-5</v>
      </c>
      <c r="BK309" s="215">
        <f t="shared" si="166"/>
        <v>0</v>
      </c>
      <c r="BL309" s="245">
        <f t="shared" si="175"/>
        <v>3.0899999999999999E-5</v>
      </c>
      <c r="BM309" s="17">
        <f t="shared" si="176"/>
        <v>0</v>
      </c>
      <c r="BN309" s="178">
        <v>300</v>
      </c>
      <c r="BO309" s="87">
        <f t="shared" si="177"/>
        <v>1.1099999999999999E-5</v>
      </c>
      <c r="BP309" s="215">
        <f t="shared" si="167"/>
        <v>0</v>
      </c>
      <c r="BR309" s="126"/>
      <c r="BS309" s="126"/>
      <c r="BU309" s="178"/>
      <c r="BV309" s="179" t="str">
        <f t="shared" si="178"/>
        <v/>
      </c>
      <c r="BW309" s="179" t="str">
        <f t="shared" si="179"/>
        <v/>
      </c>
      <c r="BX309" s="179" t="str">
        <f t="shared" si="180"/>
        <v/>
      </c>
      <c r="BY309" s="179" t="str">
        <f t="shared" si="181"/>
        <v/>
      </c>
      <c r="BZ309" s="179" t="str">
        <f t="shared" si="182"/>
        <v/>
      </c>
      <c r="CA309" s="179" t="str">
        <f t="shared" si="183"/>
        <v/>
      </c>
      <c r="CB309" s="179" t="str">
        <f t="shared" si="184"/>
        <v/>
      </c>
      <c r="CC309" s="179" t="str">
        <f t="shared" si="185"/>
        <v/>
      </c>
      <c r="CD309" s="179" t="str">
        <f t="shared" si="186"/>
        <v/>
      </c>
      <c r="CE309" s="179" t="str">
        <f t="shared" si="187"/>
        <v/>
      </c>
      <c r="CF309" s="179" t="str">
        <f t="shared" si="188"/>
        <v/>
      </c>
      <c r="CG309" s="179" t="str">
        <f t="shared" si="189"/>
        <v/>
      </c>
      <c r="CH309" s="166"/>
      <c r="CI309" s="166"/>
      <c r="CJ309" s="166"/>
      <c r="CK309" s="166" t="s">
        <v>150</v>
      </c>
      <c r="CL309" s="166"/>
    </row>
    <row r="310" spans="1:90" ht="14.25" customHeight="1" thickBot="1" x14ac:dyDescent="0.3">
      <c r="A310" s="213">
        <v>300</v>
      </c>
      <c r="B310" s="89"/>
      <c r="C310" s="199"/>
      <c r="D310" s="146"/>
      <c r="E310" s="319" t="s">
        <v>93</v>
      </c>
      <c r="F310" s="221"/>
      <c r="G310" s="222"/>
      <c r="H310" s="222"/>
      <c r="I310" s="222"/>
      <c r="J310" s="222"/>
      <c r="K310" s="222"/>
      <c r="L310" s="222"/>
      <c r="M310" s="331"/>
      <c r="N310" s="303">
        <f t="shared" si="190"/>
        <v>0</v>
      </c>
      <c r="O310" s="304"/>
      <c r="P310" s="341"/>
      <c r="Q310" s="305"/>
      <c r="R310" s="322" t="s">
        <v>67</v>
      </c>
      <c r="S310" s="209">
        <f t="shared" si="193"/>
        <v>0</v>
      </c>
      <c r="T310" s="209">
        <f t="shared" si="194"/>
        <v>0</v>
      </c>
      <c r="U310" s="209"/>
      <c r="V310" s="209">
        <f t="shared" si="195"/>
        <v>0</v>
      </c>
      <c r="W310" s="209"/>
      <c r="X310" s="209">
        <f t="shared" si="196"/>
        <v>0</v>
      </c>
      <c r="Y310" s="209">
        <f t="shared" si="197"/>
        <v>0</v>
      </c>
      <c r="Z310" s="303"/>
      <c r="AA310" s="303">
        <f t="shared" si="191"/>
        <v>0</v>
      </c>
      <c r="AB310" s="314">
        <f t="shared" si="168"/>
        <v>0</v>
      </c>
      <c r="AC310" s="314"/>
      <c r="AD310" s="314">
        <f t="shared" si="169"/>
        <v>0</v>
      </c>
      <c r="AE310" s="325" t="s">
        <v>148</v>
      </c>
      <c r="AF310" s="15">
        <f t="shared" si="198"/>
        <v>0</v>
      </c>
      <c r="AG310" s="232">
        <f t="shared" si="199"/>
        <v>0</v>
      </c>
      <c r="AH310" s="232"/>
      <c r="AI310" s="232">
        <f t="shared" si="200"/>
        <v>0</v>
      </c>
      <c r="AJ310" s="232"/>
      <c r="AK310" s="232">
        <f t="shared" si="201"/>
        <v>0</v>
      </c>
      <c r="AL310" s="7">
        <f t="shared" si="202"/>
        <v>0</v>
      </c>
      <c r="AM310" s="352"/>
      <c r="AN310" s="22">
        <f t="shared" si="192"/>
        <v>0</v>
      </c>
      <c r="AO310" s="15">
        <f t="shared" si="170"/>
        <v>0</v>
      </c>
      <c r="AP310" s="345"/>
      <c r="AQ310" s="7">
        <f t="shared" si="171"/>
        <v>0</v>
      </c>
      <c r="AR310" s="103"/>
      <c r="AS310" s="101"/>
      <c r="AT310" s="236"/>
      <c r="AU310" s="235"/>
      <c r="AV310" s="92"/>
      <c r="AW310" s="235"/>
      <c r="AX310" s="92"/>
      <c r="AY310" s="235"/>
      <c r="AZ310" s="92"/>
      <c r="BA310" s="17">
        <f t="shared" si="162"/>
        <v>3.1000000000000001E-5</v>
      </c>
      <c r="BB310" s="17">
        <f t="shared" si="163"/>
        <v>0</v>
      </c>
      <c r="BC310" s="17"/>
      <c r="BD310" s="178">
        <v>301</v>
      </c>
      <c r="BE310" s="214">
        <f t="shared" si="172"/>
        <v>1.2699999999999999E-5</v>
      </c>
      <c r="BF310" s="178">
        <f t="shared" si="164"/>
        <v>0</v>
      </c>
      <c r="BG310" s="245">
        <f t="shared" si="165"/>
        <v>3.1000000000000001E-5</v>
      </c>
      <c r="BH310" s="17">
        <f t="shared" si="173"/>
        <v>0</v>
      </c>
      <c r="BI310" s="178">
        <v>301</v>
      </c>
      <c r="BJ310" s="87">
        <f t="shared" si="174"/>
        <v>1.1E-5</v>
      </c>
      <c r="BK310" s="215">
        <f t="shared" si="166"/>
        <v>0</v>
      </c>
      <c r="BL310" s="245">
        <f t="shared" si="175"/>
        <v>3.1000000000000001E-5</v>
      </c>
      <c r="BM310" s="17">
        <f t="shared" si="176"/>
        <v>0</v>
      </c>
      <c r="BN310" s="178">
        <v>301</v>
      </c>
      <c r="BO310" s="87">
        <f t="shared" si="177"/>
        <v>1.1E-5</v>
      </c>
      <c r="BP310" s="215">
        <f t="shared" si="167"/>
        <v>0</v>
      </c>
      <c r="BR310" s="126"/>
      <c r="BS310" s="126"/>
      <c r="BU310" s="178"/>
      <c r="BV310" s="179" t="str">
        <f t="shared" si="178"/>
        <v/>
      </c>
      <c r="BW310" s="179" t="str">
        <f t="shared" si="179"/>
        <v/>
      </c>
      <c r="BX310" s="179" t="str">
        <f t="shared" si="180"/>
        <v/>
      </c>
      <c r="BY310" s="179" t="str">
        <f t="shared" si="181"/>
        <v/>
      </c>
      <c r="BZ310" s="179" t="str">
        <f t="shared" si="182"/>
        <v/>
      </c>
      <c r="CA310" s="179" t="str">
        <f t="shared" si="183"/>
        <v/>
      </c>
      <c r="CB310" s="179" t="str">
        <f t="shared" si="184"/>
        <v/>
      </c>
      <c r="CC310" s="179" t="str">
        <f t="shared" si="185"/>
        <v/>
      </c>
      <c r="CD310" s="179" t="str">
        <f t="shared" si="186"/>
        <v/>
      </c>
      <c r="CE310" s="179" t="str">
        <f t="shared" si="187"/>
        <v/>
      </c>
      <c r="CF310" s="179" t="str">
        <f t="shared" si="188"/>
        <v/>
      </c>
      <c r="CG310" s="179" t="str">
        <f t="shared" si="189"/>
        <v/>
      </c>
      <c r="CH310" s="166"/>
      <c r="CI310" s="166"/>
      <c r="CJ310" s="166"/>
      <c r="CK310" s="166" t="s">
        <v>150</v>
      </c>
      <c r="CL310" s="166"/>
    </row>
    <row r="311" spans="1:90" ht="14.25" customHeight="1" x14ac:dyDescent="0.25">
      <c r="A311" s="211">
        <v>301</v>
      </c>
      <c r="B311" s="219"/>
      <c r="C311" s="200"/>
      <c r="D311" s="145"/>
      <c r="E311" s="320" t="s">
        <v>93</v>
      </c>
      <c r="F311" s="209"/>
      <c r="G311" s="313"/>
      <c r="H311" s="313"/>
      <c r="I311" s="313"/>
      <c r="J311" s="313"/>
      <c r="K311" s="313"/>
      <c r="L311" s="313"/>
      <c r="M311" s="339"/>
      <c r="N311" s="233">
        <f t="shared" si="190"/>
        <v>0</v>
      </c>
      <c r="O311" s="306"/>
      <c r="P311" s="342"/>
      <c r="Q311" s="307"/>
      <c r="R311" s="323" t="s">
        <v>67</v>
      </c>
      <c r="S311" s="209">
        <f t="shared" si="193"/>
        <v>0</v>
      </c>
      <c r="T311" s="209">
        <f t="shared" si="194"/>
        <v>0</v>
      </c>
      <c r="U311" s="209"/>
      <c r="V311" s="209">
        <f t="shared" si="195"/>
        <v>0</v>
      </c>
      <c r="W311" s="209"/>
      <c r="X311" s="209">
        <f t="shared" si="196"/>
        <v>0</v>
      </c>
      <c r="Y311" s="209">
        <f t="shared" si="197"/>
        <v>0</v>
      </c>
      <c r="Z311" s="233"/>
      <c r="AA311" s="233">
        <f t="shared" si="191"/>
        <v>0</v>
      </c>
      <c r="AB311" s="314">
        <f t="shared" si="168"/>
        <v>0</v>
      </c>
      <c r="AC311" s="314"/>
      <c r="AD311" s="314">
        <f t="shared" si="169"/>
        <v>0</v>
      </c>
      <c r="AE311" s="323" t="s">
        <v>87</v>
      </c>
      <c r="AF311" s="81">
        <f t="shared" si="198"/>
        <v>0</v>
      </c>
      <c r="AG311" s="335">
        <f t="shared" si="199"/>
        <v>0</v>
      </c>
      <c r="AH311" s="335"/>
      <c r="AI311" s="335">
        <f t="shared" si="200"/>
        <v>0</v>
      </c>
      <c r="AJ311" s="335"/>
      <c r="AK311" s="335">
        <f t="shared" si="201"/>
        <v>0</v>
      </c>
      <c r="AL311" s="336">
        <f t="shared" si="202"/>
        <v>0</v>
      </c>
      <c r="AM311" s="353"/>
      <c r="AN311" s="22">
        <f t="shared" si="192"/>
        <v>0</v>
      </c>
      <c r="AO311" s="209">
        <f t="shared" si="170"/>
        <v>0</v>
      </c>
      <c r="AP311" s="339"/>
      <c r="AQ311" s="125">
        <f t="shared" si="171"/>
        <v>0</v>
      </c>
      <c r="AR311" s="104"/>
      <c r="AS311" s="217"/>
      <c r="AT311" s="216"/>
      <c r="AU311" s="230"/>
      <c r="AV311" s="220"/>
      <c r="AW311" s="230"/>
      <c r="AX311" s="220"/>
      <c r="AY311" s="230"/>
      <c r="AZ311" s="220"/>
      <c r="BA311" s="17">
        <f t="shared" si="162"/>
        <v>3.1099999999999997E-5</v>
      </c>
      <c r="BB311" s="17">
        <f t="shared" si="163"/>
        <v>0</v>
      </c>
      <c r="BC311" s="17"/>
      <c r="BD311" s="178">
        <v>302</v>
      </c>
      <c r="BE311" s="214">
        <f t="shared" si="172"/>
        <v>1.26E-5</v>
      </c>
      <c r="BF311" s="178">
        <f t="shared" si="164"/>
        <v>0</v>
      </c>
      <c r="BG311" s="245">
        <f t="shared" si="165"/>
        <v>3.1099999999999997E-5</v>
      </c>
      <c r="BH311" s="17">
        <f t="shared" si="173"/>
        <v>0</v>
      </c>
      <c r="BI311" s="178">
        <v>302</v>
      </c>
      <c r="BJ311" s="87">
        <f t="shared" si="174"/>
        <v>1.0899999999999999E-5</v>
      </c>
      <c r="BK311" s="215">
        <f t="shared" si="166"/>
        <v>0</v>
      </c>
      <c r="BL311" s="245">
        <f t="shared" si="175"/>
        <v>3.1099999999999997E-5</v>
      </c>
      <c r="BM311" s="17">
        <f t="shared" si="176"/>
        <v>0</v>
      </c>
      <c r="BN311" s="178">
        <v>302</v>
      </c>
      <c r="BO311" s="87">
        <f t="shared" si="177"/>
        <v>1.0899999999999999E-5</v>
      </c>
      <c r="BP311" s="215">
        <f t="shared" si="167"/>
        <v>0</v>
      </c>
      <c r="BR311" s="126"/>
      <c r="BS311" s="126"/>
      <c r="BU311" s="178"/>
      <c r="BV311" s="179" t="str">
        <f t="shared" si="178"/>
        <v/>
      </c>
      <c r="BW311" s="179" t="str">
        <f t="shared" si="179"/>
        <v/>
      </c>
      <c r="BX311" s="179" t="str">
        <f t="shared" si="180"/>
        <v/>
      </c>
      <c r="BY311" s="179" t="str">
        <f t="shared" si="181"/>
        <v/>
      </c>
      <c r="BZ311" s="179" t="str">
        <f t="shared" si="182"/>
        <v/>
      </c>
      <c r="CA311" s="179" t="str">
        <f t="shared" si="183"/>
        <v/>
      </c>
      <c r="CB311" s="179" t="str">
        <f t="shared" si="184"/>
        <v/>
      </c>
      <c r="CC311" s="179" t="str">
        <f t="shared" si="185"/>
        <v/>
      </c>
      <c r="CD311" s="179" t="str">
        <f t="shared" si="186"/>
        <v/>
      </c>
      <c r="CE311" s="179" t="str">
        <f t="shared" si="187"/>
        <v/>
      </c>
      <c r="CF311" s="179" t="str">
        <f t="shared" si="188"/>
        <v/>
      </c>
      <c r="CG311" s="179" t="str">
        <f t="shared" si="189"/>
        <v/>
      </c>
      <c r="CH311" s="166"/>
      <c r="CI311" s="166"/>
      <c r="CJ311" s="166"/>
      <c r="CK311" s="166" t="s">
        <v>150</v>
      </c>
      <c r="CL311" s="166"/>
    </row>
    <row r="312" spans="1:90" ht="14.25" customHeight="1" thickBot="1" x14ac:dyDescent="0.3">
      <c r="A312" s="213">
        <v>302</v>
      </c>
      <c r="B312" s="88"/>
      <c r="C312" s="201"/>
      <c r="D312" s="94"/>
      <c r="E312" s="321" t="s">
        <v>93</v>
      </c>
      <c r="F312" s="96"/>
      <c r="G312" s="100"/>
      <c r="H312" s="100"/>
      <c r="I312" s="100"/>
      <c r="J312" s="100"/>
      <c r="K312" s="100"/>
      <c r="L312" s="100"/>
      <c r="M312" s="210"/>
      <c r="N312" s="234">
        <f t="shared" si="190"/>
        <v>0</v>
      </c>
      <c r="O312" s="308"/>
      <c r="P312" s="343"/>
      <c r="Q312" s="309"/>
      <c r="R312" s="324" t="s">
        <v>67</v>
      </c>
      <c r="S312" s="209">
        <f t="shared" si="193"/>
        <v>0</v>
      </c>
      <c r="T312" s="209">
        <f t="shared" si="194"/>
        <v>0</v>
      </c>
      <c r="U312" s="209"/>
      <c r="V312" s="209">
        <f t="shared" si="195"/>
        <v>0</v>
      </c>
      <c r="W312" s="209"/>
      <c r="X312" s="209">
        <f t="shared" si="196"/>
        <v>0</v>
      </c>
      <c r="Y312" s="209">
        <f t="shared" si="197"/>
        <v>0</v>
      </c>
      <c r="Z312" s="351"/>
      <c r="AA312" s="234">
        <f t="shared" si="191"/>
        <v>0</v>
      </c>
      <c r="AB312" s="314">
        <f t="shared" si="168"/>
        <v>0</v>
      </c>
      <c r="AC312" s="314"/>
      <c r="AD312" s="314">
        <f t="shared" si="169"/>
        <v>0</v>
      </c>
      <c r="AE312" s="324" t="s">
        <v>87</v>
      </c>
      <c r="AF312" s="82">
        <f t="shared" si="198"/>
        <v>0</v>
      </c>
      <c r="AG312" s="337">
        <f t="shared" si="199"/>
        <v>0</v>
      </c>
      <c r="AH312" s="337"/>
      <c r="AI312" s="337">
        <f t="shared" si="200"/>
        <v>0</v>
      </c>
      <c r="AJ312" s="337"/>
      <c r="AK312" s="337">
        <f t="shared" si="201"/>
        <v>0</v>
      </c>
      <c r="AL312" s="338">
        <f t="shared" si="202"/>
        <v>0</v>
      </c>
      <c r="AM312" s="354"/>
      <c r="AN312" s="91">
        <f t="shared" si="192"/>
        <v>0</v>
      </c>
      <c r="AO312" s="96">
        <f t="shared" si="170"/>
        <v>0</v>
      </c>
      <c r="AP312" s="210"/>
      <c r="AQ312" s="97">
        <f t="shared" si="171"/>
        <v>0</v>
      </c>
      <c r="AR312" s="105"/>
      <c r="AS312" s="102"/>
      <c r="AT312" s="237"/>
      <c r="AU312" s="231"/>
      <c r="AV312" s="93"/>
      <c r="AW312" s="231"/>
      <c r="AX312" s="93"/>
      <c r="AY312" s="231"/>
      <c r="AZ312" s="93"/>
      <c r="BA312" s="17">
        <f t="shared" si="162"/>
        <v>3.1199999999999999E-5</v>
      </c>
      <c r="BB312" s="17">
        <f t="shared" si="163"/>
        <v>0</v>
      </c>
      <c r="BC312" s="17"/>
      <c r="BD312" s="178">
        <v>303</v>
      </c>
      <c r="BE312" s="214">
        <f t="shared" si="172"/>
        <v>1.2499999999999999E-5</v>
      </c>
      <c r="BF312" s="178">
        <f t="shared" si="164"/>
        <v>0</v>
      </c>
      <c r="BG312" s="245">
        <f t="shared" si="165"/>
        <v>3.1199999999999999E-5</v>
      </c>
      <c r="BH312" s="17">
        <f t="shared" si="173"/>
        <v>0</v>
      </c>
      <c r="BI312" s="178">
        <v>303</v>
      </c>
      <c r="BJ312" s="87">
        <f t="shared" si="174"/>
        <v>1.08E-5</v>
      </c>
      <c r="BK312" s="215">
        <f t="shared" si="166"/>
        <v>0</v>
      </c>
      <c r="BL312" s="245">
        <f t="shared" si="175"/>
        <v>3.1199999999999999E-5</v>
      </c>
      <c r="BM312" s="17">
        <f t="shared" si="176"/>
        <v>0</v>
      </c>
      <c r="BN312" s="178">
        <v>303</v>
      </c>
      <c r="BO312" s="87">
        <f t="shared" si="177"/>
        <v>1.08E-5</v>
      </c>
      <c r="BP312" s="215">
        <f t="shared" si="167"/>
        <v>0</v>
      </c>
      <c r="BR312" s="126"/>
      <c r="BS312" s="126"/>
      <c r="BU312" s="178"/>
      <c r="BV312" s="179" t="str">
        <f t="shared" si="178"/>
        <v/>
      </c>
      <c r="BW312" s="179" t="str">
        <f t="shared" si="179"/>
        <v/>
      </c>
      <c r="BX312" s="179" t="str">
        <f t="shared" si="180"/>
        <v/>
      </c>
      <c r="BY312" s="179" t="str">
        <f t="shared" si="181"/>
        <v/>
      </c>
      <c r="BZ312" s="179" t="str">
        <f t="shared" si="182"/>
        <v/>
      </c>
      <c r="CA312" s="179" t="str">
        <f t="shared" si="183"/>
        <v/>
      </c>
      <c r="CB312" s="179" t="str">
        <f t="shared" si="184"/>
        <v/>
      </c>
      <c r="CC312" s="179" t="str">
        <f t="shared" si="185"/>
        <v/>
      </c>
      <c r="CD312" s="179" t="str">
        <f t="shared" si="186"/>
        <v/>
      </c>
      <c r="CE312" s="179" t="str">
        <f t="shared" si="187"/>
        <v/>
      </c>
      <c r="CF312" s="179" t="str">
        <f t="shared" si="188"/>
        <v/>
      </c>
      <c r="CG312" s="179" t="str">
        <f t="shared" si="189"/>
        <v/>
      </c>
      <c r="CH312" s="166"/>
      <c r="CI312" s="166"/>
      <c r="CJ312" s="166"/>
      <c r="CK312" s="166" t="s">
        <v>150</v>
      </c>
      <c r="CL312" s="166"/>
    </row>
    <row r="313" spans="1:90" ht="14.25" customHeight="1" x14ac:dyDescent="0.25">
      <c r="A313" s="211">
        <v>303</v>
      </c>
      <c r="B313" s="89"/>
      <c r="C313" s="199"/>
      <c r="D313" s="146"/>
      <c r="E313" s="319" t="s">
        <v>93</v>
      </c>
      <c r="F313" s="221"/>
      <c r="G313" s="222"/>
      <c r="H313" s="222"/>
      <c r="I313" s="222"/>
      <c r="J313" s="222"/>
      <c r="K313" s="222"/>
      <c r="L313" s="222"/>
      <c r="M313" s="331"/>
      <c r="N313" s="303">
        <f t="shared" si="190"/>
        <v>0</v>
      </c>
      <c r="O313" s="304"/>
      <c r="P313" s="341"/>
      <c r="Q313" s="305"/>
      <c r="R313" s="322" t="s">
        <v>67</v>
      </c>
      <c r="S313" s="209">
        <f t="shared" ref="S313:S376" si="203">F313</f>
        <v>0</v>
      </c>
      <c r="T313" s="209">
        <f t="shared" si="194"/>
        <v>0</v>
      </c>
      <c r="U313" s="209"/>
      <c r="V313" s="209">
        <f t="shared" si="195"/>
        <v>0</v>
      </c>
      <c r="W313" s="209"/>
      <c r="X313" s="209">
        <f t="shared" si="196"/>
        <v>0</v>
      </c>
      <c r="Y313" s="209">
        <f t="shared" si="197"/>
        <v>0</v>
      </c>
      <c r="Z313" s="303"/>
      <c r="AA313" s="303">
        <f t="shared" si="191"/>
        <v>0</v>
      </c>
      <c r="AB313" s="314">
        <f t="shared" si="168"/>
        <v>0</v>
      </c>
      <c r="AC313" s="314"/>
      <c r="AD313" s="314">
        <f t="shared" si="169"/>
        <v>0</v>
      </c>
      <c r="AE313" s="325" t="s">
        <v>148</v>
      </c>
      <c r="AF313" s="15">
        <f t="shared" si="198"/>
        <v>0</v>
      </c>
      <c r="AG313" s="232">
        <f t="shared" si="199"/>
        <v>0</v>
      </c>
      <c r="AH313" s="232"/>
      <c r="AI313" s="232">
        <f t="shared" si="200"/>
        <v>0</v>
      </c>
      <c r="AJ313" s="232"/>
      <c r="AK313" s="232">
        <f t="shared" si="201"/>
        <v>0</v>
      </c>
      <c r="AL313" s="7">
        <f t="shared" si="202"/>
        <v>0</v>
      </c>
      <c r="AM313" s="352"/>
      <c r="AN313" s="22">
        <f t="shared" si="192"/>
        <v>0</v>
      </c>
      <c r="AO313" s="15">
        <f t="shared" si="170"/>
        <v>0</v>
      </c>
      <c r="AP313" s="345"/>
      <c r="AQ313" s="7">
        <f t="shared" si="171"/>
        <v>0</v>
      </c>
      <c r="AR313" s="103"/>
      <c r="AS313" s="101"/>
      <c r="AT313" s="236"/>
      <c r="AU313" s="235"/>
      <c r="AV313" s="92"/>
      <c r="AW313" s="235"/>
      <c r="AX313" s="92"/>
      <c r="AY313" s="235"/>
      <c r="AZ313" s="92"/>
      <c r="BA313" s="17">
        <f t="shared" si="162"/>
        <v>3.1300000000000002E-5</v>
      </c>
      <c r="BB313" s="17">
        <f t="shared" si="163"/>
        <v>0</v>
      </c>
      <c r="BC313" s="17"/>
      <c r="BD313" s="178">
        <v>304</v>
      </c>
      <c r="BE313" s="214">
        <f t="shared" si="172"/>
        <v>1.24E-5</v>
      </c>
      <c r="BF313" s="178">
        <f t="shared" si="164"/>
        <v>0</v>
      </c>
      <c r="BG313" s="245">
        <f t="shared" si="165"/>
        <v>3.1300000000000002E-5</v>
      </c>
      <c r="BH313" s="17">
        <f t="shared" si="173"/>
        <v>0</v>
      </c>
      <c r="BI313" s="178">
        <v>304</v>
      </c>
      <c r="BJ313" s="87">
        <f t="shared" si="174"/>
        <v>1.0699999999999999E-5</v>
      </c>
      <c r="BK313" s="215">
        <f t="shared" si="166"/>
        <v>0</v>
      </c>
      <c r="BL313" s="245">
        <f t="shared" si="175"/>
        <v>3.1300000000000002E-5</v>
      </c>
      <c r="BM313" s="17">
        <f t="shared" si="176"/>
        <v>0</v>
      </c>
      <c r="BN313" s="178">
        <v>304</v>
      </c>
      <c r="BO313" s="87">
        <f t="shared" si="177"/>
        <v>1.0699999999999999E-5</v>
      </c>
      <c r="BP313" s="215">
        <f t="shared" si="167"/>
        <v>0</v>
      </c>
      <c r="BR313" s="126"/>
      <c r="BS313" s="126"/>
      <c r="BU313" s="178"/>
      <c r="BV313" s="179" t="str">
        <f t="shared" si="178"/>
        <v/>
      </c>
      <c r="BW313" s="179" t="str">
        <f t="shared" si="179"/>
        <v/>
      </c>
      <c r="BX313" s="179" t="str">
        <f t="shared" si="180"/>
        <v/>
      </c>
      <c r="BY313" s="179" t="str">
        <f t="shared" si="181"/>
        <v/>
      </c>
      <c r="BZ313" s="179" t="str">
        <f t="shared" si="182"/>
        <v/>
      </c>
      <c r="CA313" s="179" t="str">
        <f t="shared" si="183"/>
        <v/>
      </c>
      <c r="CB313" s="179" t="str">
        <f t="shared" si="184"/>
        <v/>
      </c>
      <c r="CC313" s="179" t="str">
        <f t="shared" si="185"/>
        <v/>
      </c>
      <c r="CD313" s="179" t="str">
        <f t="shared" si="186"/>
        <v/>
      </c>
      <c r="CE313" s="179" t="str">
        <f t="shared" si="187"/>
        <v/>
      </c>
      <c r="CF313" s="179" t="str">
        <f t="shared" si="188"/>
        <v/>
      </c>
      <c r="CG313" s="179" t="str">
        <f t="shared" si="189"/>
        <v/>
      </c>
      <c r="CH313" s="166"/>
      <c r="CI313" s="166"/>
      <c r="CJ313" s="166"/>
      <c r="CK313" s="166" t="s">
        <v>150</v>
      </c>
      <c r="CL313" s="166"/>
    </row>
    <row r="314" spans="1:90" ht="14.25" customHeight="1" thickBot="1" x14ac:dyDescent="0.3">
      <c r="A314" s="213">
        <v>304</v>
      </c>
      <c r="B314" s="219"/>
      <c r="C314" s="200"/>
      <c r="D314" s="145"/>
      <c r="E314" s="320" t="s">
        <v>93</v>
      </c>
      <c r="F314" s="209"/>
      <c r="G314" s="313"/>
      <c r="H314" s="313"/>
      <c r="I314" s="313"/>
      <c r="J314" s="313"/>
      <c r="K314" s="313"/>
      <c r="L314" s="313"/>
      <c r="M314" s="339"/>
      <c r="N314" s="233">
        <f t="shared" si="190"/>
        <v>0</v>
      </c>
      <c r="O314" s="306"/>
      <c r="P314" s="342"/>
      <c r="Q314" s="307"/>
      <c r="R314" s="323" t="s">
        <v>67</v>
      </c>
      <c r="S314" s="209">
        <f t="shared" si="203"/>
        <v>0</v>
      </c>
      <c r="T314" s="209">
        <f t="shared" ref="T314:T377" si="204">G314</f>
        <v>0</v>
      </c>
      <c r="U314" s="209"/>
      <c r="V314" s="209">
        <f t="shared" ref="V314:V377" si="205">I314</f>
        <v>0</v>
      </c>
      <c r="W314" s="209"/>
      <c r="X314" s="209">
        <f t="shared" ref="X314:X377" si="206">K314</f>
        <v>0</v>
      </c>
      <c r="Y314" s="209">
        <f t="shared" ref="Y314:Y377" si="207">L314</f>
        <v>0</v>
      </c>
      <c r="Z314" s="233"/>
      <c r="AA314" s="233">
        <f t="shared" si="191"/>
        <v>0</v>
      </c>
      <c r="AB314" s="314">
        <f t="shared" si="168"/>
        <v>0</v>
      </c>
      <c r="AC314" s="314"/>
      <c r="AD314" s="314">
        <f t="shared" si="169"/>
        <v>0</v>
      </c>
      <c r="AE314" s="323" t="s">
        <v>87</v>
      </c>
      <c r="AF314" s="81">
        <f t="shared" si="198"/>
        <v>0</v>
      </c>
      <c r="AG314" s="335">
        <f t="shared" si="199"/>
        <v>0</v>
      </c>
      <c r="AH314" s="335"/>
      <c r="AI314" s="335">
        <f t="shared" si="200"/>
        <v>0</v>
      </c>
      <c r="AJ314" s="335"/>
      <c r="AK314" s="335">
        <f t="shared" si="201"/>
        <v>0</v>
      </c>
      <c r="AL314" s="336">
        <f t="shared" si="202"/>
        <v>0</v>
      </c>
      <c r="AM314" s="353"/>
      <c r="AN314" s="22">
        <f t="shared" si="192"/>
        <v>0</v>
      </c>
      <c r="AO314" s="209">
        <f t="shared" si="170"/>
        <v>0</v>
      </c>
      <c r="AP314" s="339"/>
      <c r="AQ314" s="125">
        <f t="shared" si="171"/>
        <v>0</v>
      </c>
      <c r="AR314" s="104"/>
      <c r="AS314" s="217"/>
      <c r="AT314" s="216"/>
      <c r="AU314" s="230"/>
      <c r="AV314" s="220"/>
      <c r="AW314" s="230"/>
      <c r="AX314" s="220"/>
      <c r="AY314" s="230"/>
      <c r="AZ314" s="220"/>
      <c r="BA314" s="17">
        <f t="shared" si="162"/>
        <v>3.1399999999999998E-5</v>
      </c>
      <c r="BB314" s="17">
        <f t="shared" si="163"/>
        <v>0</v>
      </c>
      <c r="BC314" s="17"/>
      <c r="BD314" s="178">
        <v>305</v>
      </c>
      <c r="BE314" s="214">
        <f t="shared" si="172"/>
        <v>1.2299999999999999E-5</v>
      </c>
      <c r="BF314" s="178">
        <f t="shared" si="164"/>
        <v>0</v>
      </c>
      <c r="BG314" s="245">
        <f t="shared" si="165"/>
        <v>3.1399999999999998E-5</v>
      </c>
      <c r="BH314" s="17">
        <f t="shared" si="173"/>
        <v>0</v>
      </c>
      <c r="BI314" s="178">
        <v>305</v>
      </c>
      <c r="BJ314" s="87">
        <f t="shared" si="174"/>
        <v>1.06E-5</v>
      </c>
      <c r="BK314" s="215">
        <f t="shared" si="166"/>
        <v>0</v>
      </c>
      <c r="BL314" s="245">
        <f t="shared" si="175"/>
        <v>3.1399999999999998E-5</v>
      </c>
      <c r="BM314" s="17">
        <f t="shared" si="176"/>
        <v>0</v>
      </c>
      <c r="BN314" s="178">
        <v>305</v>
      </c>
      <c r="BO314" s="87">
        <f t="shared" si="177"/>
        <v>1.06E-5</v>
      </c>
      <c r="BP314" s="215">
        <f t="shared" si="167"/>
        <v>0</v>
      </c>
      <c r="BR314" s="126"/>
      <c r="BS314" s="126"/>
      <c r="BU314" s="178"/>
      <c r="BV314" s="179" t="str">
        <f t="shared" si="178"/>
        <v/>
      </c>
      <c r="BW314" s="179" t="str">
        <f t="shared" si="179"/>
        <v/>
      </c>
      <c r="BX314" s="179" t="str">
        <f t="shared" si="180"/>
        <v/>
      </c>
      <c r="BY314" s="179" t="str">
        <f t="shared" si="181"/>
        <v/>
      </c>
      <c r="BZ314" s="179" t="str">
        <f t="shared" si="182"/>
        <v/>
      </c>
      <c r="CA314" s="179" t="str">
        <f t="shared" si="183"/>
        <v/>
      </c>
      <c r="CB314" s="179" t="str">
        <f t="shared" si="184"/>
        <v/>
      </c>
      <c r="CC314" s="179" t="str">
        <f t="shared" si="185"/>
        <v/>
      </c>
      <c r="CD314" s="179" t="str">
        <f t="shared" si="186"/>
        <v/>
      </c>
      <c r="CE314" s="179" t="str">
        <f t="shared" si="187"/>
        <v/>
      </c>
      <c r="CF314" s="179" t="str">
        <f t="shared" si="188"/>
        <v/>
      </c>
      <c r="CG314" s="179" t="str">
        <f t="shared" si="189"/>
        <v/>
      </c>
      <c r="CH314" s="166"/>
      <c r="CI314" s="166"/>
      <c r="CJ314" s="166"/>
      <c r="CK314" s="166" t="s">
        <v>150</v>
      </c>
      <c r="CL314" s="166"/>
    </row>
    <row r="315" spans="1:90" ht="14.25" customHeight="1" thickBot="1" x14ac:dyDescent="0.3">
      <c r="A315" s="211">
        <v>305</v>
      </c>
      <c r="B315" s="88"/>
      <c r="C315" s="201"/>
      <c r="D315" s="94"/>
      <c r="E315" s="321" t="s">
        <v>93</v>
      </c>
      <c r="F315" s="96"/>
      <c r="G315" s="100"/>
      <c r="H315" s="100"/>
      <c r="I315" s="100"/>
      <c r="J315" s="100"/>
      <c r="K315" s="100"/>
      <c r="L315" s="100"/>
      <c r="M315" s="210"/>
      <c r="N315" s="234">
        <f t="shared" si="190"/>
        <v>0</v>
      </c>
      <c r="O315" s="308"/>
      <c r="P315" s="343"/>
      <c r="Q315" s="309"/>
      <c r="R315" s="324" t="s">
        <v>67</v>
      </c>
      <c r="S315" s="209">
        <f t="shared" si="203"/>
        <v>0</v>
      </c>
      <c r="T315" s="209">
        <f t="shared" si="204"/>
        <v>0</v>
      </c>
      <c r="U315" s="209"/>
      <c r="V315" s="209">
        <f t="shared" si="205"/>
        <v>0</v>
      </c>
      <c r="W315" s="209"/>
      <c r="X315" s="209">
        <f t="shared" si="206"/>
        <v>0</v>
      </c>
      <c r="Y315" s="209">
        <f t="shared" si="207"/>
        <v>0</v>
      </c>
      <c r="Z315" s="351"/>
      <c r="AA315" s="234">
        <f t="shared" si="191"/>
        <v>0</v>
      </c>
      <c r="AB315" s="314">
        <f t="shared" si="168"/>
        <v>0</v>
      </c>
      <c r="AC315" s="314"/>
      <c r="AD315" s="314">
        <f t="shared" si="169"/>
        <v>0</v>
      </c>
      <c r="AE315" s="324" t="s">
        <v>87</v>
      </c>
      <c r="AF315" s="82">
        <f t="shared" si="198"/>
        <v>0</v>
      </c>
      <c r="AG315" s="337">
        <f t="shared" si="199"/>
        <v>0</v>
      </c>
      <c r="AH315" s="337"/>
      <c r="AI315" s="337">
        <f t="shared" si="200"/>
        <v>0</v>
      </c>
      <c r="AJ315" s="337"/>
      <c r="AK315" s="337">
        <f t="shared" si="201"/>
        <v>0</v>
      </c>
      <c r="AL315" s="338">
        <f t="shared" si="202"/>
        <v>0</v>
      </c>
      <c r="AM315" s="354"/>
      <c r="AN315" s="91">
        <f t="shared" si="192"/>
        <v>0</v>
      </c>
      <c r="AO315" s="96">
        <f t="shared" si="170"/>
        <v>0</v>
      </c>
      <c r="AP315" s="210"/>
      <c r="AQ315" s="97">
        <f t="shared" si="171"/>
        <v>0</v>
      </c>
      <c r="AR315" s="105"/>
      <c r="AS315" s="102"/>
      <c r="AT315" s="237"/>
      <c r="AU315" s="231"/>
      <c r="AV315" s="93"/>
      <c r="AW315" s="231"/>
      <c r="AX315" s="93"/>
      <c r="AY315" s="231"/>
      <c r="AZ315" s="93"/>
      <c r="BA315" s="17">
        <f t="shared" si="162"/>
        <v>3.15E-5</v>
      </c>
      <c r="BB315" s="17">
        <f t="shared" si="163"/>
        <v>0</v>
      </c>
      <c r="BC315" s="17"/>
      <c r="BD315" s="178">
        <v>306</v>
      </c>
      <c r="BE315" s="214">
        <f t="shared" si="172"/>
        <v>1.22E-5</v>
      </c>
      <c r="BF315" s="178">
        <f t="shared" si="164"/>
        <v>0</v>
      </c>
      <c r="BG315" s="245">
        <f t="shared" si="165"/>
        <v>3.15E-5</v>
      </c>
      <c r="BH315" s="17">
        <f t="shared" si="173"/>
        <v>0</v>
      </c>
      <c r="BI315" s="178">
        <v>306</v>
      </c>
      <c r="BJ315" s="87">
        <f t="shared" si="174"/>
        <v>1.0499999999999999E-5</v>
      </c>
      <c r="BK315" s="215">
        <f t="shared" si="166"/>
        <v>0</v>
      </c>
      <c r="BL315" s="245">
        <f t="shared" si="175"/>
        <v>3.15E-5</v>
      </c>
      <c r="BM315" s="17">
        <f t="shared" si="176"/>
        <v>0</v>
      </c>
      <c r="BN315" s="178">
        <v>306</v>
      </c>
      <c r="BO315" s="87">
        <f t="shared" si="177"/>
        <v>1.0499999999999999E-5</v>
      </c>
      <c r="BP315" s="215">
        <f t="shared" si="167"/>
        <v>0</v>
      </c>
      <c r="BR315" s="126"/>
      <c r="BS315" s="126"/>
      <c r="BU315" s="178"/>
      <c r="BV315" s="179" t="str">
        <f t="shared" si="178"/>
        <v/>
      </c>
      <c r="BW315" s="179" t="str">
        <f t="shared" si="179"/>
        <v/>
      </c>
      <c r="BX315" s="179" t="str">
        <f t="shared" si="180"/>
        <v/>
      </c>
      <c r="BY315" s="179" t="str">
        <f t="shared" si="181"/>
        <v/>
      </c>
      <c r="BZ315" s="179" t="str">
        <f t="shared" si="182"/>
        <v/>
      </c>
      <c r="CA315" s="179" t="str">
        <f t="shared" si="183"/>
        <v/>
      </c>
      <c r="CB315" s="179" t="str">
        <f t="shared" si="184"/>
        <v/>
      </c>
      <c r="CC315" s="179" t="str">
        <f t="shared" si="185"/>
        <v/>
      </c>
      <c r="CD315" s="179" t="str">
        <f t="shared" si="186"/>
        <v/>
      </c>
      <c r="CE315" s="179" t="str">
        <f t="shared" si="187"/>
        <v/>
      </c>
      <c r="CF315" s="179" t="str">
        <f t="shared" si="188"/>
        <v/>
      </c>
      <c r="CG315" s="179" t="str">
        <f t="shared" si="189"/>
        <v/>
      </c>
      <c r="CH315" s="166"/>
      <c r="CI315" s="166"/>
      <c r="CJ315" s="166"/>
      <c r="CK315" s="166" t="s">
        <v>150</v>
      </c>
      <c r="CL315" s="166"/>
    </row>
    <row r="316" spans="1:90" ht="14.25" customHeight="1" thickBot="1" x14ac:dyDescent="0.3">
      <c r="A316" s="213">
        <v>306</v>
      </c>
      <c r="B316" s="89"/>
      <c r="C316" s="199"/>
      <c r="D316" s="146"/>
      <c r="E316" s="319" t="s">
        <v>93</v>
      </c>
      <c r="F316" s="221"/>
      <c r="G316" s="222"/>
      <c r="H316" s="222"/>
      <c r="I316" s="222"/>
      <c r="J316" s="222"/>
      <c r="K316" s="222"/>
      <c r="L316" s="222"/>
      <c r="M316" s="331"/>
      <c r="N316" s="303">
        <f t="shared" si="190"/>
        <v>0</v>
      </c>
      <c r="O316" s="304"/>
      <c r="P316" s="341"/>
      <c r="Q316" s="305"/>
      <c r="R316" s="322" t="s">
        <v>67</v>
      </c>
      <c r="S316" s="209">
        <f t="shared" si="203"/>
        <v>0</v>
      </c>
      <c r="T316" s="209">
        <f t="shared" si="204"/>
        <v>0</v>
      </c>
      <c r="U316" s="209"/>
      <c r="V316" s="209">
        <f t="shared" si="205"/>
        <v>0</v>
      </c>
      <c r="W316" s="209"/>
      <c r="X316" s="209">
        <f t="shared" si="206"/>
        <v>0</v>
      </c>
      <c r="Y316" s="209">
        <f t="shared" si="207"/>
        <v>0</v>
      </c>
      <c r="Z316" s="303"/>
      <c r="AA316" s="303">
        <f t="shared" si="191"/>
        <v>0</v>
      </c>
      <c r="AB316" s="314">
        <f t="shared" si="168"/>
        <v>0</v>
      </c>
      <c r="AC316" s="314"/>
      <c r="AD316" s="314">
        <f t="shared" si="169"/>
        <v>0</v>
      </c>
      <c r="AE316" s="325" t="s">
        <v>148</v>
      </c>
      <c r="AF316" s="15">
        <f t="shared" si="198"/>
        <v>0</v>
      </c>
      <c r="AG316" s="232">
        <f t="shared" si="199"/>
        <v>0</v>
      </c>
      <c r="AH316" s="232"/>
      <c r="AI316" s="232">
        <f t="shared" si="200"/>
        <v>0</v>
      </c>
      <c r="AJ316" s="232"/>
      <c r="AK316" s="232">
        <f t="shared" si="201"/>
        <v>0</v>
      </c>
      <c r="AL316" s="7">
        <f t="shared" si="202"/>
        <v>0</v>
      </c>
      <c r="AM316" s="352"/>
      <c r="AN316" s="22">
        <f t="shared" si="192"/>
        <v>0</v>
      </c>
      <c r="AO316" s="15">
        <f t="shared" si="170"/>
        <v>0</v>
      </c>
      <c r="AP316" s="345"/>
      <c r="AQ316" s="7">
        <f t="shared" si="171"/>
        <v>0</v>
      </c>
      <c r="AR316" s="103"/>
      <c r="AS316" s="101"/>
      <c r="AT316" s="236"/>
      <c r="AU316" s="235"/>
      <c r="AV316" s="92"/>
      <c r="AW316" s="235"/>
      <c r="AX316" s="92"/>
      <c r="AY316" s="235"/>
      <c r="AZ316" s="92"/>
      <c r="BA316" s="17">
        <f t="shared" si="162"/>
        <v>3.1599999999999996E-5</v>
      </c>
      <c r="BB316" s="17">
        <f t="shared" si="163"/>
        <v>0</v>
      </c>
      <c r="BC316" s="17"/>
      <c r="BD316" s="178">
        <v>307</v>
      </c>
      <c r="BE316" s="214">
        <f t="shared" si="172"/>
        <v>1.2099999999999999E-5</v>
      </c>
      <c r="BF316" s="178">
        <f t="shared" si="164"/>
        <v>0</v>
      </c>
      <c r="BG316" s="245">
        <f t="shared" si="165"/>
        <v>3.1599999999999996E-5</v>
      </c>
      <c r="BH316" s="17">
        <f t="shared" si="173"/>
        <v>0</v>
      </c>
      <c r="BI316" s="178">
        <v>307</v>
      </c>
      <c r="BJ316" s="87">
        <f t="shared" si="174"/>
        <v>1.0399999999999999E-5</v>
      </c>
      <c r="BK316" s="215">
        <f t="shared" si="166"/>
        <v>0</v>
      </c>
      <c r="BL316" s="245">
        <f t="shared" si="175"/>
        <v>3.1599999999999996E-5</v>
      </c>
      <c r="BM316" s="17">
        <f t="shared" si="176"/>
        <v>0</v>
      </c>
      <c r="BN316" s="178">
        <v>307</v>
      </c>
      <c r="BO316" s="87">
        <f t="shared" si="177"/>
        <v>1.0399999999999999E-5</v>
      </c>
      <c r="BP316" s="215">
        <f t="shared" si="167"/>
        <v>0</v>
      </c>
      <c r="BR316" s="126"/>
      <c r="BS316" s="126"/>
      <c r="BU316" s="178"/>
      <c r="BV316" s="179" t="str">
        <f t="shared" si="178"/>
        <v/>
      </c>
      <c r="BW316" s="179" t="str">
        <f t="shared" si="179"/>
        <v/>
      </c>
      <c r="BX316" s="179" t="str">
        <f t="shared" si="180"/>
        <v/>
      </c>
      <c r="BY316" s="179" t="str">
        <f t="shared" si="181"/>
        <v/>
      </c>
      <c r="BZ316" s="179" t="str">
        <f t="shared" si="182"/>
        <v/>
      </c>
      <c r="CA316" s="179" t="str">
        <f t="shared" si="183"/>
        <v/>
      </c>
      <c r="CB316" s="179" t="str">
        <f t="shared" si="184"/>
        <v/>
      </c>
      <c r="CC316" s="179" t="str">
        <f t="shared" si="185"/>
        <v/>
      </c>
      <c r="CD316" s="179" t="str">
        <f t="shared" si="186"/>
        <v/>
      </c>
      <c r="CE316" s="179" t="str">
        <f t="shared" si="187"/>
        <v/>
      </c>
      <c r="CF316" s="179" t="str">
        <f t="shared" si="188"/>
        <v/>
      </c>
      <c r="CG316" s="179" t="str">
        <f t="shared" si="189"/>
        <v/>
      </c>
      <c r="CH316" s="166"/>
      <c r="CI316" s="166"/>
      <c r="CJ316" s="166"/>
      <c r="CK316" s="166" t="s">
        <v>150</v>
      </c>
      <c r="CL316" s="166"/>
    </row>
    <row r="317" spans="1:90" ht="14.25" customHeight="1" x14ac:dyDescent="0.25">
      <c r="A317" s="211">
        <v>307</v>
      </c>
      <c r="B317" s="219"/>
      <c r="C317" s="200"/>
      <c r="D317" s="145"/>
      <c r="E317" s="320" t="s">
        <v>93</v>
      </c>
      <c r="F317" s="209"/>
      <c r="G317" s="313"/>
      <c r="H317" s="313"/>
      <c r="I317" s="313"/>
      <c r="J317" s="313"/>
      <c r="K317" s="313"/>
      <c r="L317" s="313"/>
      <c r="M317" s="339"/>
      <c r="N317" s="233">
        <f t="shared" si="190"/>
        <v>0</v>
      </c>
      <c r="O317" s="306"/>
      <c r="P317" s="342"/>
      <c r="Q317" s="307"/>
      <c r="R317" s="323" t="s">
        <v>67</v>
      </c>
      <c r="S317" s="209">
        <f t="shared" si="203"/>
        <v>0</v>
      </c>
      <c r="T317" s="209">
        <f t="shared" si="204"/>
        <v>0</v>
      </c>
      <c r="U317" s="209"/>
      <c r="V317" s="209">
        <f t="shared" si="205"/>
        <v>0</v>
      </c>
      <c r="W317" s="209"/>
      <c r="X317" s="209">
        <f t="shared" si="206"/>
        <v>0</v>
      </c>
      <c r="Y317" s="209">
        <f t="shared" si="207"/>
        <v>0</v>
      </c>
      <c r="Z317" s="233"/>
      <c r="AA317" s="233">
        <f t="shared" si="191"/>
        <v>0</v>
      </c>
      <c r="AB317" s="314">
        <f t="shared" si="168"/>
        <v>0</v>
      </c>
      <c r="AC317" s="314"/>
      <c r="AD317" s="314">
        <f t="shared" si="169"/>
        <v>0</v>
      </c>
      <c r="AE317" s="323" t="s">
        <v>87</v>
      </c>
      <c r="AF317" s="81">
        <f t="shared" si="198"/>
        <v>0</v>
      </c>
      <c r="AG317" s="335">
        <f t="shared" si="199"/>
        <v>0</v>
      </c>
      <c r="AH317" s="335"/>
      <c r="AI317" s="335">
        <f t="shared" si="200"/>
        <v>0</v>
      </c>
      <c r="AJ317" s="335"/>
      <c r="AK317" s="335">
        <f t="shared" si="201"/>
        <v>0</v>
      </c>
      <c r="AL317" s="336">
        <f t="shared" si="202"/>
        <v>0</v>
      </c>
      <c r="AM317" s="353"/>
      <c r="AN317" s="22">
        <f t="shared" si="192"/>
        <v>0</v>
      </c>
      <c r="AO317" s="209">
        <f t="shared" si="170"/>
        <v>0</v>
      </c>
      <c r="AP317" s="339"/>
      <c r="AQ317" s="125">
        <f t="shared" si="171"/>
        <v>0</v>
      </c>
      <c r="AR317" s="104"/>
      <c r="AS317" s="217"/>
      <c r="AT317" s="216"/>
      <c r="AU317" s="230"/>
      <c r="AV317" s="220"/>
      <c r="AW317" s="230"/>
      <c r="AX317" s="220"/>
      <c r="AY317" s="230"/>
      <c r="AZ317" s="220"/>
      <c r="BA317" s="17">
        <f t="shared" si="162"/>
        <v>3.1699999999999998E-5</v>
      </c>
      <c r="BB317" s="17">
        <f t="shared" si="163"/>
        <v>0</v>
      </c>
      <c r="BC317" s="17"/>
      <c r="BD317" s="178">
        <v>308</v>
      </c>
      <c r="BE317" s="214">
        <f t="shared" si="172"/>
        <v>1.2E-5</v>
      </c>
      <c r="BF317" s="178">
        <f t="shared" si="164"/>
        <v>0</v>
      </c>
      <c r="BG317" s="245">
        <f t="shared" si="165"/>
        <v>3.1699999999999998E-5</v>
      </c>
      <c r="BH317" s="17">
        <f t="shared" si="173"/>
        <v>0</v>
      </c>
      <c r="BI317" s="178">
        <v>308</v>
      </c>
      <c r="BJ317" s="87">
        <f t="shared" si="174"/>
        <v>1.03E-5</v>
      </c>
      <c r="BK317" s="215">
        <f t="shared" si="166"/>
        <v>0</v>
      </c>
      <c r="BL317" s="245">
        <f t="shared" si="175"/>
        <v>3.1699999999999998E-5</v>
      </c>
      <c r="BM317" s="17">
        <f t="shared" si="176"/>
        <v>0</v>
      </c>
      <c r="BN317" s="178">
        <v>308</v>
      </c>
      <c r="BO317" s="87">
        <f t="shared" si="177"/>
        <v>1.03E-5</v>
      </c>
      <c r="BP317" s="215">
        <f t="shared" si="167"/>
        <v>0</v>
      </c>
      <c r="BR317" s="126"/>
      <c r="BS317" s="126"/>
      <c r="BU317" s="178"/>
      <c r="BV317" s="179" t="str">
        <f t="shared" si="178"/>
        <v/>
      </c>
      <c r="BW317" s="179" t="str">
        <f t="shared" si="179"/>
        <v/>
      </c>
      <c r="BX317" s="179" t="str">
        <f t="shared" si="180"/>
        <v/>
      </c>
      <c r="BY317" s="179" t="str">
        <f t="shared" si="181"/>
        <v/>
      </c>
      <c r="BZ317" s="179" t="str">
        <f t="shared" si="182"/>
        <v/>
      </c>
      <c r="CA317" s="179" t="str">
        <f t="shared" si="183"/>
        <v/>
      </c>
      <c r="CB317" s="179" t="str">
        <f t="shared" si="184"/>
        <v/>
      </c>
      <c r="CC317" s="179" t="str">
        <f t="shared" si="185"/>
        <v/>
      </c>
      <c r="CD317" s="179" t="str">
        <f t="shared" si="186"/>
        <v/>
      </c>
      <c r="CE317" s="179" t="str">
        <f t="shared" si="187"/>
        <v/>
      </c>
      <c r="CF317" s="179" t="str">
        <f t="shared" si="188"/>
        <v/>
      </c>
      <c r="CG317" s="179" t="str">
        <f t="shared" si="189"/>
        <v/>
      </c>
      <c r="CH317" s="166"/>
      <c r="CI317" s="166"/>
      <c r="CJ317" s="166"/>
      <c r="CK317" s="166" t="s">
        <v>150</v>
      </c>
      <c r="CL317" s="166"/>
    </row>
    <row r="318" spans="1:90" ht="14.25" customHeight="1" thickBot="1" x14ac:dyDescent="0.3">
      <c r="A318" s="213">
        <v>308</v>
      </c>
      <c r="B318" s="88"/>
      <c r="C318" s="201"/>
      <c r="D318" s="94"/>
      <c r="E318" s="321" t="s">
        <v>93</v>
      </c>
      <c r="F318" s="96"/>
      <c r="G318" s="100"/>
      <c r="H318" s="100"/>
      <c r="I318" s="100"/>
      <c r="J318" s="100"/>
      <c r="K318" s="100"/>
      <c r="L318" s="100"/>
      <c r="M318" s="210"/>
      <c r="N318" s="234">
        <f t="shared" si="190"/>
        <v>0</v>
      </c>
      <c r="O318" s="308"/>
      <c r="P318" s="343"/>
      <c r="Q318" s="309"/>
      <c r="R318" s="324" t="s">
        <v>67</v>
      </c>
      <c r="S318" s="209">
        <f t="shared" si="203"/>
        <v>0</v>
      </c>
      <c r="T318" s="209">
        <f t="shared" si="204"/>
        <v>0</v>
      </c>
      <c r="U318" s="209"/>
      <c r="V318" s="209">
        <f t="shared" si="205"/>
        <v>0</v>
      </c>
      <c r="W318" s="209"/>
      <c r="X318" s="209">
        <f t="shared" si="206"/>
        <v>0</v>
      </c>
      <c r="Y318" s="209">
        <f t="shared" si="207"/>
        <v>0</v>
      </c>
      <c r="Z318" s="351"/>
      <c r="AA318" s="234">
        <f t="shared" si="191"/>
        <v>0</v>
      </c>
      <c r="AB318" s="314">
        <f t="shared" si="168"/>
        <v>0</v>
      </c>
      <c r="AC318" s="314"/>
      <c r="AD318" s="314">
        <f t="shared" si="169"/>
        <v>0</v>
      </c>
      <c r="AE318" s="324" t="s">
        <v>87</v>
      </c>
      <c r="AF318" s="82">
        <f t="shared" si="198"/>
        <v>0</v>
      </c>
      <c r="AG318" s="337">
        <f t="shared" si="199"/>
        <v>0</v>
      </c>
      <c r="AH318" s="337"/>
      <c r="AI318" s="337">
        <f t="shared" si="200"/>
        <v>0</v>
      </c>
      <c r="AJ318" s="337"/>
      <c r="AK318" s="337">
        <f t="shared" si="201"/>
        <v>0</v>
      </c>
      <c r="AL318" s="338">
        <f t="shared" si="202"/>
        <v>0</v>
      </c>
      <c r="AM318" s="354"/>
      <c r="AN318" s="91">
        <f t="shared" si="192"/>
        <v>0</v>
      </c>
      <c r="AO318" s="96">
        <f t="shared" si="170"/>
        <v>0</v>
      </c>
      <c r="AP318" s="210"/>
      <c r="AQ318" s="97">
        <f t="shared" si="171"/>
        <v>0</v>
      </c>
      <c r="AR318" s="105"/>
      <c r="AS318" s="102"/>
      <c r="AT318" s="237"/>
      <c r="AU318" s="231"/>
      <c r="AV318" s="93"/>
      <c r="AW318" s="231"/>
      <c r="AX318" s="93"/>
      <c r="AY318" s="231"/>
      <c r="AZ318" s="93"/>
      <c r="BA318" s="17">
        <f t="shared" si="162"/>
        <v>3.18E-5</v>
      </c>
      <c r="BB318" s="17">
        <f t="shared" si="163"/>
        <v>0</v>
      </c>
      <c r="BC318" s="17"/>
      <c r="BD318" s="178">
        <v>309</v>
      </c>
      <c r="BE318" s="214">
        <f t="shared" si="172"/>
        <v>1.19E-5</v>
      </c>
      <c r="BF318" s="178">
        <f t="shared" si="164"/>
        <v>0</v>
      </c>
      <c r="BG318" s="245">
        <f t="shared" si="165"/>
        <v>3.18E-5</v>
      </c>
      <c r="BH318" s="17">
        <f t="shared" si="173"/>
        <v>0</v>
      </c>
      <c r="BI318" s="178">
        <v>309</v>
      </c>
      <c r="BJ318" s="87">
        <f t="shared" si="174"/>
        <v>1.0199999999999999E-5</v>
      </c>
      <c r="BK318" s="215">
        <f t="shared" si="166"/>
        <v>0</v>
      </c>
      <c r="BL318" s="245">
        <f t="shared" si="175"/>
        <v>3.18E-5</v>
      </c>
      <c r="BM318" s="17">
        <f t="shared" si="176"/>
        <v>0</v>
      </c>
      <c r="BN318" s="178">
        <v>309</v>
      </c>
      <c r="BO318" s="87">
        <f t="shared" si="177"/>
        <v>1.0199999999999999E-5</v>
      </c>
      <c r="BP318" s="215">
        <f t="shared" si="167"/>
        <v>0</v>
      </c>
      <c r="BR318" s="126"/>
      <c r="BS318" s="126"/>
      <c r="BU318" s="178"/>
      <c r="BV318" s="179" t="str">
        <f t="shared" si="178"/>
        <v/>
      </c>
      <c r="BW318" s="179" t="str">
        <f t="shared" si="179"/>
        <v/>
      </c>
      <c r="BX318" s="179" t="str">
        <f t="shared" si="180"/>
        <v/>
      </c>
      <c r="BY318" s="179" t="str">
        <f t="shared" si="181"/>
        <v/>
      </c>
      <c r="BZ318" s="179" t="str">
        <f t="shared" si="182"/>
        <v/>
      </c>
      <c r="CA318" s="179" t="str">
        <f t="shared" si="183"/>
        <v/>
      </c>
      <c r="CB318" s="179" t="str">
        <f t="shared" si="184"/>
        <v/>
      </c>
      <c r="CC318" s="179" t="str">
        <f t="shared" si="185"/>
        <v/>
      </c>
      <c r="CD318" s="179" t="str">
        <f t="shared" si="186"/>
        <v/>
      </c>
      <c r="CE318" s="179" t="str">
        <f t="shared" si="187"/>
        <v/>
      </c>
      <c r="CF318" s="179" t="str">
        <f t="shared" si="188"/>
        <v/>
      </c>
      <c r="CG318" s="179" t="str">
        <f t="shared" si="189"/>
        <v/>
      </c>
      <c r="CH318" s="166"/>
      <c r="CI318" s="166"/>
      <c r="CJ318" s="166"/>
      <c r="CK318" s="166" t="s">
        <v>150</v>
      </c>
      <c r="CL318" s="166"/>
    </row>
    <row r="319" spans="1:90" ht="14.25" customHeight="1" x14ac:dyDescent="0.25">
      <c r="A319" s="211">
        <v>309</v>
      </c>
      <c r="B319" s="89"/>
      <c r="C319" s="199"/>
      <c r="D319" s="146"/>
      <c r="E319" s="319" t="s">
        <v>93</v>
      </c>
      <c r="F319" s="221"/>
      <c r="G319" s="222"/>
      <c r="H319" s="222"/>
      <c r="I319" s="222"/>
      <c r="J319" s="222"/>
      <c r="K319" s="222"/>
      <c r="L319" s="222"/>
      <c r="M319" s="331"/>
      <c r="N319" s="303">
        <f t="shared" si="190"/>
        <v>0</v>
      </c>
      <c r="O319" s="304"/>
      <c r="P319" s="341"/>
      <c r="Q319" s="305"/>
      <c r="R319" s="322" t="s">
        <v>67</v>
      </c>
      <c r="S319" s="209">
        <f t="shared" si="203"/>
        <v>0</v>
      </c>
      <c r="T319" s="209">
        <f t="shared" si="204"/>
        <v>0</v>
      </c>
      <c r="U319" s="209"/>
      <c r="V319" s="209">
        <f t="shared" si="205"/>
        <v>0</v>
      </c>
      <c r="W319" s="209"/>
      <c r="X319" s="209">
        <f t="shared" si="206"/>
        <v>0</v>
      </c>
      <c r="Y319" s="209">
        <f t="shared" si="207"/>
        <v>0</v>
      </c>
      <c r="Z319" s="303"/>
      <c r="AA319" s="303">
        <f t="shared" si="191"/>
        <v>0</v>
      </c>
      <c r="AB319" s="314">
        <f t="shared" si="168"/>
        <v>0</v>
      </c>
      <c r="AC319" s="314"/>
      <c r="AD319" s="314">
        <f t="shared" si="169"/>
        <v>0</v>
      </c>
      <c r="AE319" s="325" t="s">
        <v>148</v>
      </c>
      <c r="AF319" s="15">
        <f t="shared" si="198"/>
        <v>0</v>
      </c>
      <c r="AG319" s="232">
        <f t="shared" si="199"/>
        <v>0</v>
      </c>
      <c r="AH319" s="232"/>
      <c r="AI319" s="232">
        <f t="shared" si="200"/>
        <v>0</v>
      </c>
      <c r="AJ319" s="232"/>
      <c r="AK319" s="232">
        <f t="shared" si="201"/>
        <v>0</v>
      </c>
      <c r="AL319" s="7">
        <f t="shared" si="202"/>
        <v>0</v>
      </c>
      <c r="AM319" s="352"/>
      <c r="AN319" s="22">
        <f t="shared" si="192"/>
        <v>0</v>
      </c>
      <c r="AO319" s="15">
        <f t="shared" si="170"/>
        <v>0</v>
      </c>
      <c r="AP319" s="345"/>
      <c r="AQ319" s="7">
        <f t="shared" si="171"/>
        <v>0</v>
      </c>
      <c r="AR319" s="103"/>
      <c r="AS319" s="101"/>
      <c r="AT319" s="236"/>
      <c r="AU319" s="235"/>
      <c r="AV319" s="92"/>
      <c r="AW319" s="235"/>
      <c r="AX319" s="92"/>
      <c r="AY319" s="235"/>
      <c r="AZ319" s="92"/>
      <c r="BA319" s="17">
        <f t="shared" si="162"/>
        <v>3.1899999999999996E-5</v>
      </c>
      <c r="BB319" s="17">
        <f t="shared" si="163"/>
        <v>0</v>
      </c>
      <c r="BC319" s="17"/>
      <c r="BD319" s="178">
        <v>310</v>
      </c>
      <c r="BE319" s="214">
        <f t="shared" si="172"/>
        <v>1.1799999999999999E-5</v>
      </c>
      <c r="BF319" s="178">
        <f t="shared" si="164"/>
        <v>0</v>
      </c>
      <c r="BG319" s="245">
        <f t="shared" si="165"/>
        <v>3.1899999999999996E-5</v>
      </c>
      <c r="BH319" s="17">
        <f t="shared" si="173"/>
        <v>0</v>
      </c>
      <c r="BI319" s="178">
        <v>310</v>
      </c>
      <c r="BJ319" s="87">
        <f t="shared" si="174"/>
        <v>1.01E-5</v>
      </c>
      <c r="BK319" s="215">
        <f t="shared" si="166"/>
        <v>0</v>
      </c>
      <c r="BL319" s="245">
        <f t="shared" si="175"/>
        <v>3.1899999999999996E-5</v>
      </c>
      <c r="BM319" s="17">
        <f t="shared" si="176"/>
        <v>0</v>
      </c>
      <c r="BN319" s="178">
        <v>310</v>
      </c>
      <c r="BO319" s="87">
        <f t="shared" si="177"/>
        <v>1.01E-5</v>
      </c>
      <c r="BP319" s="215">
        <f t="shared" si="167"/>
        <v>0</v>
      </c>
      <c r="BR319" s="126"/>
      <c r="BS319" s="126"/>
      <c r="BU319" s="178"/>
      <c r="BV319" s="179" t="str">
        <f t="shared" si="178"/>
        <v/>
      </c>
      <c r="BW319" s="179" t="str">
        <f t="shared" si="179"/>
        <v/>
      </c>
      <c r="BX319" s="179" t="str">
        <f t="shared" si="180"/>
        <v/>
      </c>
      <c r="BY319" s="179" t="str">
        <f t="shared" si="181"/>
        <v/>
      </c>
      <c r="BZ319" s="179" t="str">
        <f t="shared" si="182"/>
        <v/>
      </c>
      <c r="CA319" s="179" t="str">
        <f t="shared" si="183"/>
        <v/>
      </c>
      <c r="CB319" s="179" t="str">
        <f t="shared" si="184"/>
        <v/>
      </c>
      <c r="CC319" s="179" t="str">
        <f t="shared" si="185"/>
        <v/>
      </c>
      <c r="CD319" s="179" t="str">
        <f t="shared" si="186"/>
        <v/>
      </c>
      <c r="CE319" s="179" t="str">
        <f t="shared" si="187"/>
        <v/>
      </c>
      <c r="CF319" s="179" t="str">
        <f t="shared" si="188"/>
        <v/>
      </c>
      <c r="CG319" s="179" t="str">
        <f t="shared" si="189"/>
        <v/>
      </c>
      <c r="CH319" s="166"/>
      <c r="CI319" s="166"/>
      <c r="CJ319" s="166"/>
      <c r="CK319" s="166" t="s">
        <v>150</v>
      </c>
      <c r="CL319" s="166"/>
    </row>
    <row r="320" spans="1:90" ht="14.25" customHeight="1" thickBot="1" x14ac:dyDescent="0.3">
      <c r="A320" s="213">
        <v>310</v>
      </c>
      <c r="B320" s="219"/>
      <c r="C320" s="200"/>
      <c r="D320" s="145"/>
      <c r="E320" s="320" t="s">
        <v>93</v>
      </c>
      <c r="F320" s="209"/>
      <c r="G320" s="313"/>
      <c r="H320" s="313"/>
      <c r="I320" s="313"/>
      <c r="J320" s="313"/>
      <c r="K320" s="313"/>
      <c r="L320" s="313"/>
      <c r="M320" s="339"/>
      <c r="N320" s="233">
        <f t="shared" si="190"/>
        <v>0</v>
      </c>
      <c r="O320" s="306"/>
      <c r="P320" s="342"/>
      <c r="Q320" s="307"/>
      <c r="R320" s="323" t="s">
        <v>67</v>
      </c>
      <c r="S320" s="209">
        <f t="shared" si="203"/>
        <v>0</v>
      </c>
      <c r="T320" s="209">
        <f t="shared" si="204"/>
        <v>0</v>
      </c>
      <c r="U320" s="209"/>
      <c r="V320" s="209">
        <f t="shared" si="205"/>
        <v>0</v>
      </c>
      <c r="W320" s="209"/>
      <c r="X320" s="209">
        <f t="shared" si="206"/>
        <v>0</v>
      </c>
      <c r="Y320" s="209">
        <f t="shared" si="207"/>
        <v>0</v>
      </c>
      <c r="Z320" s="233"/>
      <c r="AA320" s="233">
        <f t="shared" si="191"/>
        <v>0</v>
      </c>
      <c r="AB320" s="314">
        <f t="shared" si="168"/>
        <v>0</v>
      </c>
      <c r="AC320" s="314"/>
      <c r="AD320" s="314">
        <f t="shared" si="169"/>
        <v>0</v>
      </c>
      <c r="AE320" s="323" t="s">
        <v>87</v>
      </c>
      <c r="AF320" s="81">
        <f t="shared" si="198"/>
        <v>0</v>
      </c>
      <c r="AG320" s="335">
        <f t="shared" si="199"/>
        <v>0</v>
      </c>
      <c r="AH320" s="335"/>
      <c r="AI320" s="335">
        <f t="shared" si="200"/>
        <v>0</v>
      </c>
      <c r="AJ320" s="335"/>
      <c r="AK320" s="335">
        <f t="shared" si="201"/>
        <v>0</v>
      </c>
      <c r="AL320" s="336">
        <f t="shared" si="202"/>
        <v>0</v>
      </c>
      <c r="AM320" s="353"/>
      <c r="AN320" s="22">
        <f t="shared" si="192"/>
        <v>0</v>
      </c>
      <c r="AO320" s="209">
        <f t="shared" si="170"/>
        <v>0</v>
      </c>
      <c r="AP320" s="339"/>
      <c r="AQ320" s="125">
        <f t="shared" si="171"/>
        <v>0</v>
      </c>
      <c r="AR320" s="104"/>
      <c r="AS320" s="217"/>
      <c r="AT320" s="216"/>
      <c r="AU320" s="230"/>
      <c r="AV320" s="220"/>
      <c r="AW320" s="230"/>
      <c r="AX320" s="220"/>
      <c r="AY320" s="230"/>
      <c r="AZ320" s="220"/>
      <c r="BA320" s="17">
        <f t="shared" si="162"/>
        <v>3.1999999999999999E-5</v>
      </c>
      <c r="BB320" s="17">
        <f t="shared" si="163"/>
        <v>0</v>
      </c>
      <c r="BC320" s="17"/>
      <c r="BD320" s="178">
        <v>311</v>
      </c>
      <c r="BE320" s="214">
        <f t="shared" si="172"/>
        <v>1.17E-5</v>
      </c>
      <c r="BF320" s="178">
        <f t="shared" si="164"/>
        <v>0</v>
      </c>
      <c r="BG320" s="245">
        <f t="shared" si="165"/>
        <v>3.1999999999999999E-5</v>
      </c>
      <c r="BH320" s="17">
        <f t="shared" si="173"/>
        <v>0</v>
      </c>
      <c r="BI320" s="178">
        <v>311</v>
      </c>
      <c r="BJ320" s="87">
        <f t="shared" si="174"/>
        <v>9.9999999999999991E-6</v>
      </c>
      <c r="BK320" s="215">
        <f t="shared" si="166"/>
        <v>0</v>
      </c>
      <c r="BL320" s="245">
        <f t="shared" si="175"/>
        <v>3.1999999999999999E-5</v>
      </c>
      <c r="BM320" s="17">
        <f t="shared" si="176"/>
        <v>0</v>
      </c>
      <c r="BN320" s="178">
        <v>311</v>
      </c>
      <c r="BO320" s="87">
        <f t="shared" si="177"/>
        <v>9.9999999999999991E-6</v>
      </c>
      <c r="BP320" s="215">
        <f t="shared" si="167"/>
        <v>0</v>
      </c>
      <c r="BR320" s="126"/>
      <c r="BS320" s="126"/>
      <c r="BU320" s="178"/>
      <c r="BV320" s="179" t="str">
        <f t="shared" si="178"/>
        <v/>
      </c>
      <c r="BW320" s="179" t="str">
        <f t="shared" si="179"/>
        <v/>
      </c>
      <c r="BX320" s="179" t="str">
        <f t="shared" si="180"/>
        <v/>
      </c>
      <c r="BY320" s="179" t="str">
        <f t="shared" si="181"/>
        <v/>
      </c>
      <c r="BZ320" s="179" t="str">
        <f t="shared" si="182"/>
        <v/>
      </c>
      <c r="CA320" s="179" t="str">
        <f t="shared" si="183"/>
        <v/>
      </c>
      <c r="CB320" s="179" t="str">
        <f t="shared" si="184"/>
        <v/>
      </c>
      <c r="CC320" s="179" t="str">
        <f t="shared" si="185"/>
        <v/>
      </c>
      <c r="CD320" s="179" t="str">
        <f t="shared" si="186"/>
        <v/>
      </c>
      <c r="CE320" s="179" t="str">
        <f t="shared" si="187"/>
        <v/>
      </c>
      <c r="CF320" s="179" t="str">
        <f t="shared" si="188"/>
        <v/>
      </c>
      <c r="CG320" s="179" t="str">
        <f t="shared" si="189"/>
        <v/>
      </c>
      <c r="CH320" s="166"/>
      <c r="CI320" s="166"/>
      <c r="CJ320" s="166"/>
      <c r="CK320" s="166" t="s">
        <v>150</v>
      </c>
      <c r="CL320" s="166"/>
    </row>
    <row r="321" spans="1:90" ht="14.25" customHeight="1" thickBot="1" x14ac:dyDescent="0.3">
      <c r="A321" s="211">
        <v>311</v>
      </c>
      <c r="B321" s="88"/>
      <c r="C321" s="201"/>
      <c r="D321" s="94"/>
      <c r="E321" s="321" t="s">
        <v>93</v>
      </c>
      <c r="F321" s="96"/>
      <c r="G321" s="100"/>
      <c r="H321" s="100"/>
      <c r="I321" s="100"/>
      <c r="J321" s="100"/>
      <c r="K321" s="100"/>
      <c r="L321" s="100"/>
      <c r="M321" s="210"/>
      <c r="N321" s="234">
        <f t="shared" si="190"/>
        <v>0</v>
      </c>
      <c r="O321" s="308"/>
      <c r="P321" s="343"/>
      <c r="Q321" s="309"/>
      <c r="R321" s="324" t="s">
        <v>67</v>
      </c>
      <c r="S321" s="209">
        <f t="shared" si="203"/>
        <v>0</v>
      </c>
      <c r="T321" s="209">
        <f t="shared" si="204"/>
        <v>0</v>
      </c>
      <c r="U321" s="209"/>
      <c r="V321" s="209">
        <f t="shared" si="205"/>
        <v>0</v>
      </c>
      <c r="W321" s="209"/>
      <c r="X321" s="209">
        <f t="shared" si="206"/>
        <v>0</v>
      </c>
      <c r="Y321" s="209">
        <f t="shared" si="207"/>
        <v>0</v>
      </c>
      <c r="Z321" s="351"/>
      <c r="AA321" s="234">
        <f t="shared" si="191"/>
        <v>0</v>
      </c>
      <c r="AB321" s="314">
        <f t="shared" si="168"/>
        <v>0</v>
      </c>
      <c r="AC321" s="314"/>
      <c r="AD321" s="314">
        <f t="shared" si="169"/>
        <v>0</v>
      </c>
      <c r="AE321" s="324" t="s">
        <v>87</v>
      </c>
      <c r="AF321" s="82">
        <f t="shared" si="198"/>
        <v>0</v>
      </c>
      <c r="AG321" s="337">
        <f t="shared" si="199"/>
        <v>0</v>
      </c>
      <c r="AH321" s="337"/>
      <c r="AI321" s="337">
        <f t="shared" si="200"/>
        <v>0</v>
      </c>
      <c r="AJ321" s="337"/>
      <c r="AK321" s="337">
        <f t="shared" si="201"/>
        <v>0</v>
      </c>
      <c r="AL321" s="338">
        <f t="shared" si="202"/>
        <v>0</v>
      </c>
      <c r="AM321" s="354"/>
      <c r="AN321" s="91">
        <f t="shared" si="192"/>
        <v>0</v>
      </c>
      <c r="AO321" s="96">
        <f t="shared" si="170"/>
        <v>0</v>
      </c>
      <c r="AP321" s="210"/>
      <c r="AQ321" s="97">
        <f t="shared" si="171"/>
        <v>0</v>
      </c>
      <c r="AR321" s="105"/>
      <c r="AS321" s="102"/>
      <c r="AT321" s="237"/>
      <c r="AU321" s="231"/>
      <c r="AV321" s="93"/>
      <c r="AW321" s="231"/>
      <c r="AX321" s="93"/>
      <c r="AY321" s="231"/>
      <c r="AZ321" s="93"/>
      <c r="BA321" s="17">
        <f t="shared" si="162"/>
        <v>3.2100000000000001E-5</v>
      </c>
      <c r="BB321" s="17">
        <f t="shared" si="163"/>
        <v>0</v>
      </c>
      <c r="BC321" s="17"/>
      <c r="BD321" s="178">
        <v>312</v>
      </c>
      <c r="BE321" s="214">
        <f t="shared" si="172"/>
        <v>1.1599999999999999E-5</v>
      </c>
      <c r="BF321" s="178">
        <f t="shared" si="164"/>
        <v>0</v>
      </c>
      <c r="BG321" s="245">
        <f t="shared" si="165"/>
        <v>3.2100000000000001E-5</v>
      </c>
      <c r="BH321" s="17">
        <f t="shared" si="173"/>
        <v>0</v>
      </c>
      <c r="BI321" s="178">
        <v>312</v>
      </c>
      <c r="BJ321" s="87">
        <f t="shared" si="174"/>
        <v>9.9000000000000001E-6</v>
      </c>
      <c r="BK321" s="215">
        <f t="shared" si="166"/>
        <v>0</v>
      </c>
      <c r="BL321" s="245">
        <f t="shared" si="175"/>
        <v>3.2100000000000001E-5</v>
      </c>
      <c r="BM321" s="17">
        <f t="shared" si="176"/>
        <v>0</v>
      </c>
      <c r="BN321" s="178">
        <v>312</v>
      </c>
      <c r="BO321" s="87">
        <f t="shared" si="177"/>
        <v>9.9000000000000001E-6</v>
      </c>
      <c r="BP321" s="215">
        <f t="shared" si="167"/>
        <v>0</v>
      </c>
      <c r="BR321" s="126"/>
      <c r="BS321" s="126"/>
      <c r="BU321" s="178"/>
      <c r="BV321" s="179" t="str">
        <f t="shared" si="178"/>
        <v/>
      </c>
      <c r="BW321" s="179" t="str">
        <f t="shared" si="179"/>
        <v/>
      </c>
      <c r="BX321" s="179" t="str">
        <f t="shared" si="180"/>
        <v/>
      </c>
      <c r="BY321" s="179" t="str">
        <f t="shared" si="181"/>
        <v/>
      </c>
      <c r="BZ321" s="179" t="str">
        <f t="shared" si="182"/>
        <v/>
      </c>
      <c r="CA321" s="179" t="str">
        <f t="shared" si="183"/>
        <v/>
      </c>
      <c r="CB321" s="179" t="str">
        <f t="shared" si="184"/>
        <v/>
      </c>
      <c r="CC321" s="179" t="str">
        <f t="shared" si="185"/>
        <v/>
      </c>
      <c r="CD321" s="179" t="str">
        <f t="shared" si="186"/>
        <v/>
      </c>
      <c r="CE321" s="179" t="str">
        <f t="shared" si="187"/>
        <v/>
      </c>
      <c r="CF321" s="179" t="str">
        <f t="shared" si="188"/>
        <v/>
      </c>
      <c r="CG321" s="179" t="str">
        <f t="shared" si="189"/>
        <v/>
      </c>
      <c r="CH321" s="166"/>
      <c r="CI321" s="166"/>
      <c r="CJ321" s="166"/>
      <c r="CK321" s="166" t="s">
        <v>150</v>
      </c>
      <c r="CL321" s="166"/>
    </row>
    <row r="322" spans="1:90" ht="14.25" customHeight="1" thickBot="1" x14ac:dyDescent="0.3">
      <c r="A322" s="213">
        <v>312</v>
      </c>
      <c r="B322" s="89"/>
      <c r="C322" s="199"/>
      <c r="D322" s="146"/>
      <c r="E322" s="319" t="s">
        <v>93</v>
      </c>
      <c r="F322" s="221"/>
      <c r="G322" s="222"/>
      <c r="H322" s="222"/>
      <c r="I322" s="222"/>
      <c r="J322" s="222"/>
      <c r="K322" s="222"/>
      <c r="L322" s="222"/>
      <c r="M322" s="331"/>
      <c r="N322" s="303">
        <f t="shared" si="190"/>
        <v>0</v>
      </c>
      <c r="O322" s="304"/>
      <c r="P322" s="341"/>
      <c r="Q322" s="305"/>
      <c r="R322" s="322" t="s">
        <v>67</v>
      </c>
      <c r="S322" s="209">
        <f t="shared" si="203"/>
        <v>0</v>
      </c>
      <c r="T322" s="209">
        <f t="shared" si="204"/>
        <v>0</v>
      </c>
      <c r="U322" s="209"/>
      <c r="V322" s="209">
        <f t="shared" si="205"/>
        <v>0</v>
      </c>
      <c r="W322" s="209"/>
      <c r="X322" s="209">
        <f t="shared" si="206"/>
        <v>0</v>
      </c>
      <c r="Y322" s="209">
        <f t="shared" si="207"/>
        <v>0</v>
      </c>
      <c r="Z322" s="303"/>
      <c r="AA322" s="303">
        <f t="shared" si="191"/>
        <v>0</v>
      </c>
      <c r="AB322" s="314">
        <f t="shared" si="168"/>
        <v>0</v>
      </c>
      <c r="AC322" s="314"/>
      <c r="AD322" s="314">
        <f t="shared" si="169"/>
        <v>0</v>
      </c>
      <c r="AE322" s="325" t="s">
        <v>148</v>
      </c>
      <c r="AF322" s="15">
        <f t="shared" si="198"/>
        <v>0</v>
      </c>
      <c r="AG322" s="232">
        <f t="shared" si="199"/>
        <v>0</v>
      </c>
      <c r="AH322" s="232"/>
      <c r="AI322" s="232">
        <f t="shared" si="200"/>
        <v>0</v>
      </c>
      <c r="AJ322" s="232"/>
      <c r="AK322" s="232">
        <f t="shared" si="201"/>
        <v>0</v>
      </c>
      <c r="AL322" s="7">
        <f t="shared" si="202"/>
        <v>0</v>
      </c>
      <c r="AM322" s="352"/>
      <c r="AN322" s="22">
        <f t="shared" si="192"/>
        <v>0</v>
      </c>
      <c r="AO322" s="15">
        <f t="shared" si="170"/>
        <v>0</v>
      </c>
      <c r="AP322" s="345"/>
      <c r="AQ322" s="7">
        <f t="shared" si="171"/>
        <v>0</v>
      </c>
      <c r="AR322" s="103"/>
      <c r="AS322" s="101"/>
      <c r="AT322" s="236"/>
      <c r="AU322" s="235"/>
      <c r="AV322" s="92"/>
      <c r="AW322" s="235"/>
      <c r="AX322" s="92"/>
      <c r="AY322" s="235"/>
      <c r="AZ322" s="92"/>
      <c r="BA322" s="17">
        <f t="shared" si="162"/>
        <v>3.2199999999999997E-5</v>
      </c>
      <c r="BB322" s="17">
        <f t="shared" si="163"/>
        <v>0</v>
      </c>
      <c r="BC322" s="17"/>
      <c r="BD322" s="178">
        <v>313</v>
      </c>
      <c r="BE322" s="214">
        <f t="shared" si="172"/>
        <v>1.15E-5</v>
      </c>
      <c r="BF322" s="178">
        <f t="shared" si="164"/>
        <v>0</v>
      </c>
      <c r="BG322" s="245">
        <f t="shared" si="165"/>
        <v>3.2199999999999997E-5</v>
      </c>
      <c r="BH322" s="17">
        <f t="shared" si="173"/>
        <v>0</v>
      </c>
      <c r="BI322" s="178">
        <v>313</v>
      </c>
      <c r="BJ322" s="87">
        <f t="shared" si="174"/>
        <v>9.7999999999999993E-6</v>
      </c>
      <c r="BK322" s="215">
        <f t="shared" si="166"/>
        <v>0</v>
      </c>
      <c r="BL322" s="245">
        <f t="shared" si="175"/>
        <v>3.2199999999999997E-5</v>
      </c>
      <c r="BM322" s="17">
        <f t="shared" si="176"/>
        <v>0</v>
      </c>
      <c r="BN322" s="178">
        <v>313</v>
      </c>
      <c r="BO322" s="87">
        <f t="shared" si="177"/>
        <v>9.7999999999999993E-6</v>
      </c>
      <c r="BP322" s="215">
        <f t="shared" si="167"/>
        <v>0</v>
      </c>
      <c r="BR322" s="126"/>
      <c r="BS322" s="126"/>
      <c r="BU322" s="178"/>
      <c r="BV322" s="179" t="str">
        <f t="shared" si="178"/>
        <v/>
      </c>
      <c r="BW322" s="179" t="str">
        <f t="shared" si="179"/>
        <v/>
      </c>
      <c r="BX322" s="179" t="str">
        <f t="shared" si="180"/>
        <v/>
      </c>
      <c r="BY322" s="179" t="str">
        <f t="shared" si="181"/>
        <v/>
      </c>
      <c r="BZ322" s="179" t="str">
        <f t="shared" si="182"/>
        <v/>
      </c>
      <c r="CA322" s="179" t="str">
        <f t="shared" si="183"/>
        <v/>
      </c>
      <c r="CB322" s="179" t="str">
        <f t="shared" si="184"/>
        <v/>
      </c>
      <c r="CC322" s="179" t="str">
        <f t="shared" si="185"/>
        <v/>
      </c>
      <c r="CD322" s="179" t="str">
        <f t="shared" si="186"/>
        <v/>
      </c>
      <c r="CE322" s="179" t="str">
        <f t="shared" si="187"/>
        <v/>
      </c>
      <c r="CF322" s="179" t="str">
        <f t="shared" si="188"/>
        <v/>
      </c>
      <c r="CG322" s="179" t="str">
        <f t="shared" si="189"/>
        <v/>
      </c>
      <c r="CH322" s="166"/>
      <c r="CI322" s="166"/>
      <c r="CJ322" s="166"/>
      <c r="CK322" s="166" t="s">
        <v>150</v>
      </c>
      <c r="CL322" s="166"/>
    </row>
    <row r="323" spans="1:90" ht="14.25" customHeight="1" x14ac:dyDescent="0.25">
      <c r="A323" s="211">
        <v>313</v>
      </c>
      <c r="B323" s="219"/>
      <c r="C323" s="200"/>
      <c r="D323" s="145"/>
      <c r="E323" s="320" t="s">
        <v>93</v>
      </c>
      <c r="F323" s="209"/>
      <c r="G323" s="313"/>
      <c r="H323" s="313"/>
      <c r="I323" s="313"/>
      <c r="J323" s="313"/>
      <c r="K323" s="313"/>
      <c r="L323" s="313"/>
      <c r="M323" s="339"/>
      <c r="N323" s="233">
        <f t="shared" si="190"/>
        <v>0</v>
      </c>
      <c r="O323" s="306"/>
      <c r="P323" s="342"/>
      <c r="Q323" s="307"/>
      <c r="R323" s="323" t="s">
        <v>67</v>
      </c>
      <c r="S323" s="209">
        <f t="shared" si="203"/>
        <v>0</v>
      </c>
      <c r="T323" s="209">
        <f t="shared" si="204"/>
        <v>0</v>
      </c>
      <c r="U323" s="209"/>
      <c r="V323" s="209">
        <f t="shared" si="205"/>
        <v>0</v>
      </c>
      <c r="W323" s="209"/>
      <c r="X323" s="209">
        <f t="shared" si="206"/>
        <v>0</v>
      </c>
      <c r="Y323" s="209">
        <f t="shared" si="207"/>
        <v>0</v>
      </c>
      <c r="Z323" s="233"/>
      <c r="AA323" s="233">
        <f t="shared" si="191"/>
        <v>0</v>
      </c>
      <c r="AB323" s="314">
        <f t="shared" si="168"/>
        <v>0</v>
      </c>
      <c r="AC323" s="314"/>
      <c r="AD323" s="314">
        <f t="shared" si="169"/>
        <v>0</v>
      </c>
      <c r="AE323" s="323" t="s">
        <v>87</v>
      </c>
      <c r="AF323" s="81">
        <f t="shared" si="198"/>
        <v>0</v>
      </c>
      <c r="AG323" s="335">
        <f t="shared" si="199"/>
        <v>0</v>
      </c>
      <c r="AH323" s="335"/>
      <c r="AI323" s="335">
        <f t="shared" si="200"/>
        <v>0</v>
      </c>
      <c r="AJ323" s="335"/>
      <c r="AK323" s="335">
        <f t="shared" si="201"/>
        <v>0</v>
      </c>
      <c r="AL323" s="336">
        <f t="shared" si="202"/>
        <v>0</v>
      </c>
      <c r="AM323" s="353"/>
      <c r="AN323" s="22">
        <f t="shared" si="192"/>
        <v>0</v>
      </c>
      <c r="AO323" s="209">
        <f t="shared" si="170"/>
        <v>0</v>
      </c>
      <c r="AP323" s="339"/>
      <c r="AQ323" s="125">
        <f t="shared" si="171"/>
        <v>0</v>
      </c>
      <c r="AR323" s="104"/>
      <c r="AS323" s="217"/>
      <c r="AT323" s="216"/>
      <c r="AU323" s="230"/>
      <c r="AV323" s="220"/>
      <c r="AW323" s="230"/>
      <c r="AX323" s="220"/>
      <c r="AY323" s="230"/>
      <c r="AZ323" s="220"/>
      <c r="BA323" s="17">
        <f t="shared" si="162"/>
        <v>3.2299999999999999E-5</v>
      </c>
      <c r="BB323" s="17">
        <f t="shared" si="163"/>
        <v>0</v>
      </c>
      <c r="BC323" s="17"/>
      <c r="BD323" s="178">
        <v>314</v>
      </c>
      <c r="BE323" s="214">
        <f t="shared" si="172"/>
        <v>1.1399999999999999E-5</v>
      </c>
      <c r="BF323" s="178">
        <f t="shared" si="164"/>
        <v>0</v>
      </c>
      <c r="BG323" s="245">
        <f t="shared" si="165"/>
        <v>3.2299999999999999E-5</v>
      </c>
      <c r="BH323" s="17">
        <f t="shared" si="173"/>
        <v>0</v>
      </c>
      <c r="BI323" s="178">
        <v>314</v>
      </c>
      <c r="BJ323" s="87">
        <f t="shared" si="174"/>
        <v>9.7000000000000003E-6</v>
      </c>
      <c r="BK323" s="215">
        <f t="shared" si="166"/>
        <v>0</v>
      </c>
      <c r="BL323" s="245">
        <f t="shared" si="175"/>
        <v>3.2299999999999999E-5</v>
      </c>
      <c r="BM323" s="17">
        <f t="shared" si="176"/>
        <v>0</v>
      </c>
      <c r="BN323" s="178">
        <v>314</v>
      </c>
      <c r="BO323" s="87">
        <f t="shared" si="177"/>
        <v>9.7000000000000003E-6</v>
      </c>
      <c r="BP323" s="215">
        <f t="shared" si="167"/>
        <v>0</v>
      </c>
      <c r="BR323" s="126"/>
      <c r="BS323" s="126"/>
      <c r="BU323" s="178"/>
      <c r="BV323" s="179" t="str">
        <f t="shared" si="178"/>
        <v/>
      </c>
      <c r="BW323" s="179" t="str">
        <f t="shared" si="179"/>
        <v/>
      </c>
      <c r="BX323" s="179" t="str">
        <f t="shared" si="180"/>
        <v/>
      </c>
      <c r="BY323" s="179" t="str">
        <f t="shared" si="181"/>
        <v/>
      </c>
      <c r="BZ323" s="179" t="str">
        <f t="shared" si="182"/>
        <v/>
      </c>
      <c r="CA323" s="179" t="str">
        <f t="shared" si="183"/>
        <v/>
      </c>
      <c r="CB323" s="179" t="str">
        <f t="shared" si="184"/>
        <v/>
      </c>
      <c r="CC323" s="179" t="str">
        <f t="shared" si="185"/>
        <v/>
      </c>
      <c r="CD323" s="179" t="str">
        <f t="shared" si="186"/>
        <v/>
      </c>
      <c r="CE323" s="179" t="str">
        <f t="shared" si="187"/>
        <v/>
      </c>
      <c r="CF323" s="179" t="str">
        <f t="shared" si="188"/>
        <v/>
      </c>
      <c r="CG323" s="179" t="str">
        <f t="shared" si="189"/>
        <v/>
      </c>
      <c r="CH323" s="166"/>
      <c r="CI323" s="166"/>
      <c r="CJ323" s="166"/>
      <c r="CK323" s="166" t="s">
        <v>150</v>
      </c>
      <c r="CL323" s="166"/>
    </row>
    <row r="324" spans="1:90" ht="14.25" customHeight="1" thickBot="1" x14ac:dyDescent="0.3">
      <c r="A324" s="213">
        <v>314</v>
      </c>
      <c r="B324" s="88"/>
      <c r="C324" s="201"/>
      <c r="D324" s="94"/>
      <c r="E324" s="321" t="s">
        <v>93</v>
      </c>
      <c r="F324" s="96"/>
      <c r="G324" s="100"/>
      <c r="H324" s="100"/>
      <c r="I324" s="100"/>
      <c r="J324" s="100"/>
      <c r="K324" s="100"/>
      <c r="L324" s="100"/>
      <c r="M324" s="210"/>
      <c r="N324" s="234">
        <f t="shared" si="190"/>
        <v>0</v>
      </c>
      <c r="O324" s="308"/>
      <c r="P324" s="343"/>
      <c r="Q324" s="309"/>
      <c r="R324" s="324" t="s">
        <v>67</v>
      </c>
      <c r="S324" s="209">
        <f t="shared" si="203"/>
        <v>0</v>
      </c>
      <c r="T324" s="209">
        <f t="shared" si="204"/>
        <v>0</v>
      </c>
      <c r="U324" s="209"/>
      <c r="V324" s="209">
        <f t="shared" si="205"/>
        <v>0</v>
      </c>
      <c r="W324" s="209"/>
      <c r="X324" s="209">
        <f t="shared" si="206"/>
        <v>0</v>
      </c>
      <c r="Y324" s="209">
        <f t="shared" si="207"/>
        <v>0</v>
      </c>
      <c r="Z324" s="351"/>
      <c r="AA324" s="234">
        <f t="shared" si="191"/>
        <v>0</v>
      </c>
      <c r="AB324" s="314">
        <f t="shared" si="168"/>
        <v>0</v>
      </c>
      <c r="AC324" s="314"/>
      <c r="AD324" s="314">
        <f t="shared" si="169"/>
        <v>0</v>
      </c>
      <c r="AE324" s="324" t="s">
        <v>87</v>
      </c>
      <c r="AF324" s="82">
        <f t="shared" si="198"/>
        <v>0</v>
      </c>
      <c r="AG324" s="337">
        <f t="shared" si="199"/>
        <v>0</v>
      </c>
      <c r="AH324" s="337"/>
      <c r="AI324" s="337">
        <f t="shared" si="200"/>
        <v>0</v>
      </c>
      <c r="AJ324" s="337"/>
      <c r="AK324" s="337">
        <f t="shared" si="201"/>
        <v>0</v>
      </c>
      <c r="AL324" s="338">
        <f t="shared" si="202"/>
        <v>0</v>
      </c>
      <c r="AM324" s="354"/>
      <c r="AN324" s="91">
        <f t="shared" si="192"/>
        <v>0</v>
      </c>
      <c r="AO324" s="96">
        <f t="shared" si="170"/>
        <v>0</v>
      </c>
      <c r="AP324" s="210"/>
      <c r="AQ324" s="97">
        <f t="shared" si="171"/>
        <v>0</v>
      </c>
      <c r="AR324" s="105"/>
      <c r="AS324" s="102"/>
      <c r="AT324" s="237"/>
      <c r="AU324" s="231"/>
      <c r="AV324" s="93"/>
      <c r="AW324" s="231"/>
      <c r="AX324" s="93"/>
      <c r="AY324" s="231"/>
      <c r="AZ324" s="93"/>
      <c r="BA324" s="17">
        <f t="shared" si="162"/>
        <v>3.2400000000000001E-5</v>
      </c>
      <c r="BB324" s="17">
        <f t="shared" si="163"/>
        <v>0</v>
      </c>
      <c r="BC324" s="17"/>
      <c r="BD324" s="178">
        <v>315</v>
      </c>
      <c r="BE324" s="214">
        <f t="shared" si="172"/>
        <v>1.13E-5</v>
      </c>
      <c r="BF324" s="178">
        <f t="shared" si="164"/>
        <v>0</v>
      </c>
      <c r="BG324" s="245">
        <f t="shared" si="165"/>
        <v>3.2400000000000001E-5</v>
      </c>
      <c r="BH324" s="17">
        <f t="shared" si="173"/>
        <v>0</v>
      </c>
      <c r="BI324" s="178">
        <v>315</v>
      </c>
      <c r="BJ324" s="87">
        <f t="shared" si="174"/>
        <v>9.5999999999999996E-6</v>
      </c>
      <c r="BK324" s="215">
        <f t="shared" si="166"/>
        <v>0</v>
      </c>
      <c r="BL324" s="245">
        <f t="shared" si="175"/>
        <v>3.2400000000000001E-5</v>
      </c>
      <c r="BM324" s="17">
        <f t="shared" si="176"/>
        <v>0</v>
      </c>
      <c r="BN324" s="178">
        <v>315</v>
      </c>
      <c r="BO324" s="87">
        <f t="shared" si="177"/>
        <v>9.5999999999999996E-6</v>
      </c>
      <c r="BP324" s="215">
        <f t="shared" si="167"/>
        <v>0</v>
      </c>
      <c r="BR324" s="126"/>
      <c r="BS324" s="126"/>
      <c r="BU324" s="178"/>
      <c r="BV324" s="179" t="str">
        <f t="shared" si="178"/>
        <v/>
      </c>
      <c r="BW324" s="179" t="str">
        <f t="shared" si="179"/>
        <v/>
      </c>
      <c r="BX324" s="179" t="str">
        <f t="shared" si="180"/>
        <v/>
      </c>
      <c r="BY324" s="179" t="str">
        <f t="shared" si="181"/>
        <v/>
      </c>
      <c r="BZ324" s="179" t="str">
        <f t="shared" si="182"/>
        <v/>
      </c>
      <c r="CA324" s="179" t="str">
        <f t="shared" si="183"/>
        <v/>
      </c>
      <c r="CB324" s="179" t="str">
        <f t="shared" si="184"/>
        <v/>
      </c>
      <c r="CC324" s="179" t="str">
        <f t="shared" si="185"/>
        <v/>
      </c>
      <c r="CD324" s="179" t="str">
        <f t="shared" si="186"/>
        <v/>
      </c>
      <c r="CE324" s="179" t="str">
        <f t="shared" si="187"/>
        <v/>
      </c>
      <c r="CF324" s="179" t="str">
        <f t="shared" si="188"/>
        <v/>
      </c>
      <c r="CG324" s="179" t="str">
        <f t="shared" si="189"/>
        <v/>
      </c>
      <c r="CH324" s="166"/>
      <c r="CI324" s="166"/>
      <c r="CJ324" s="166"/>
      <c r="CK324" s="166" t="s">
        <v>150</v>
      </c>
      <c r="CL324" s="166"/>
    </row>
    <row r="325" spans="1:90" ht="14.25" customHeight="1" x14ac:dyDescent="0.25">
      <c r="A325" s="211">
        <v>315</v>
      </c>
      <c r="B325" s="89"/>
      <c r="C325" s="199"/>
      <c r="D325" s="146"/>
      <c r="E325" s="319" t="s">
        <v>93</v>
      </c>
      <c r="F325" s="221"/>
      <c r="G325" s="222"/>
      <c r="H325" s="222"/>
      <c r="I325" s="222"/>
      <c r="J325" s="222"/>
      <c r="K325" s="222"/>
      <c r="L325" s="222"/>
      <c r="M325" s="331"/>
      <c r="N325" s="303">
        <f t="shared" si="190"/>
        <v>0</v>
      </c>
      <c r="O325" s="304"/>
      <c r="P325" s="341"/>
      <c r="Q325" s="305"/>
      <c r="R325" s="322" t="s">
        <v>67</v>
      </c>
      <c r="S325" s="209">
        <f t="shared" si="203"/>
        <v>0</v>
      </c>
      <c r="T325" s="209">
        <f t="shared" si="204"/>
        <v>0</v>
      </c>
      <c r="U325" s="209"/>
      <c r="V325" s="209">
        <f t="shared" si="205"/>
        <v>0</v>
      </c>
      <c r="W325" s="209"/>
      <c r="X325" s="209">
        <f t="shared" si="206"/>
        <v>0</v>
      </c>
      <c r="Y325" s="209">
        <f t="shared" si="207"/>
        <v>0</v>
      </c>
      <c r="Z325" s="303"/>
      <c r="AA325" s="303">
        <f t="shared" si="191"/>
        <v>0</v>
      </c>
      <c r="AB325" s="314">
        <f t="shared" si="168"/>
        <v>0</v>
      </c>
      <c r="AC325" s="314"/>
      <c r="AD325" s="314">
        <f t="shared" si="169"/>
        <v>0</v>
      </c>
      <c r="AE325" s="325" t="s">
        <v>148</v>
      </c>
      <c r="AF325" s="15">
        <f t="shared" si="198"/>
        <v>0</v>
      </c>
      <c r="AG325" s="232">
        <f t="shared" si="199"/>
        <v>0</v>
      </c>
      <c r="AH325" s="232"/>
      <c r="AI325" s="232">
        <f t="shared" si="200"/>
        <v>0</v>
      </c>
      <c r="AJ325" s="232"/>
      <c r="AK325" s="232">
        <f t="shared" si="201"/>
        <v>0</v>
      </c>
      <c r="AL325" s="7">
        <f t="shared" si="202"/>
        <v>0</v>
      </c>
      <c r="AM325" s="352"/>
      <c r="AN325" s="22">
        <f t="shared" si="192"/>
        <v>0</v>
      </c>
      <c r="AO325" s="15">
        <f t="shared" si="170"/>
        <v>0</v>
      </c>
      <c r="AP325" s="345"/>
      <c r="AQ325" s="7">
        <f t="shared" si="171"/>
        <v>0</v>
      </c>
      <c r="AR325" s="103"/>
      <c r="AS325" s="101"/>
      <c r="AT325" s="236"/>
      <c r="AU325" s="235"/>
      <c r="AV325" s="92"/>
      <c r="AW325" s="235"/>
      <c r="AX325" s="92"/>
      <c r="AY325" s="235"/>
      <c r="AZ325" s="92"/>
      <c r="BA325" s="17">
        <f t="shared" si="162"/>
        <v>3.2499999999999997E-5</v>
      </c>
      <c r="BB325" s="17">
        <f t="shared" si="163"/>
        <v>0</v>
      </c>
      <c r="BC325" s="17"/>
      <c r="BD325" s="178">
        <v>316</v>
      </c>
      <c r="BE325" s="214">
        <f t="shared" si="172"/>
        <v>1.1199999999999999E-5</v>
      </c>
      <c r="BF325" s="178">
        <f t="shared" si="164"/>
        <v>0</v>
      </c>
      <c r="BG325" s="245">
        <f t="shared" si="165"/>
        <v>3.2499999999999997E-5</v>
      </c>
      <c r="BH325" s="17">
        <f t="shared" si="173"/>
        <v>0</v>
      </c>
      <c r="BI325" s="178">
        <v>316</v>
      </c>
      <c r="BJ325" s="87">
        <f t="shared" si="174"/>
        <v>9.4999999999999988E-6</v>
      </c>
      <c r="BK325" s="215">
        <f t="shared" si="166"/>
        <v>0</v>
      </c>
      <c r="BL325" s="245">
        <f t="shared" si="175"/>
        <v>3.2499999999999997E-5</v>
      </c>
      <c r="BM325" s="17">
        <f t="shared" si="176"/>
        <v>0</v>
      </c>
      <c r="BN325" s="178">
        <v>316</v>
      </c>
      <c r="BO325" s="87">
        <f t="shared" si="177"/>
        <v>9.4999999999999988E-6</v>
      </c>
      <c r="BP325" s="215">
        <f t="shared" si="167"/>
        <v>0</v>
      </c>
      <c r="BR325" s="126"/>
      <c r="BS325" s="126"/>
      <c r="BU325" s="178"/>
      <c r="BV325" s="179" t="str">
        <f t="shared" si="178"/>
        <v/>
      </c>
      <c r="BW325" s="179" t="str">
        <f t="shared" si="179"/>
        <v/>
      </c>
      <c r="BX325" s="179" t="str">
        <f t="shared" si="180"/>
        <v/>
      </c>
      <c r="BY325" s="179" t="str">
        <f t="shared" si="181"/>
        <v/>
      </c>
      <c r="BZ325" s="179" t="str">
        <f t="shared" si="182"/>
        <v/>
      </c>
      <c r="CA325" s="179" t="str">
        <f t="shared" si="183"/>
        <v/>
      </c>
      <c r="CB325" s="179" t="str">
        <f t="shared" si="184"/>
        <v/>
      </c>
      <c r="CC325" s="179" t="str">
        <f t="shared" si="185"/>
        <v/>
      </c>
      <c r="CD325" s="179" t="str">
        <f t="shared" si="186"/>
        <v/>
      </c>
      <c r="CE325" s="179" t="str">
        <f t="shared" si="187"/>
        <v/>
      </c>
      <c r="CF325" s="179" t="str">
        <f t="shared" si="188"/>
        <v/>
      </c>
      <c r="CG325" s="179" t="str">
        <f t="shared" si="189"/>
        <v/>
      </c>
      <c r="CH325" s="166"/>
      <c r="CI325" s="166"/>
      <c r="CJ325" s="166"/>
      <c r="CK325" s="166" t="s">
        <v>150</v>
      </c>
      <c r="CL325" s="166"/>
    </row>
    <row r="326" spans="1:90" ht="14.25" customHeight="1" thickBot="1" x14ac:dyDescent="0.3">
      <c r="A326" s="213">
        <v>316</v>
      </c>
      <c r="B326" s="219"/>
      <c r="C326" s="200"/>
      <c r="D326" s="145"/>
      <c r="E326" s="320" t="s">
        <v>93</v>
      </c>
      <c r="F326" s="209"/>
      <c r="G326" s="313"/>
      <c r="H326" s="313"/>
      <c r="I326" s="313"/>
      <c r="J326" s="313"/>
      <c r="K326" s="313"/>
      <c r="L326" s="313"/>
      <c r="M326" s="339"/>
      <c r="N326" s="233">
        <f t="shared" si="190"/>
        <v>0</v>
      </c>
      <c r="O326" s="306"/>
      <c r="P326" s="342"/>
      <c r="Q326" s="307"/>
      <c r="R326" s="323" t="s">
        <v>67</v>
      </c>
      <c r="S326" s="209">
        <f t="shared" si="203"/>
        <v>0</v>
      </c>
      <c r="T326" s="209">
        <f t="shared" si="204"/>
        <v>0</v>
      </c>
      <c r="U326" s="209"/>
      <c r="V326" s="209">
        <f t="shared" si="205"/>
        <v>0</v>
      </c>
      <c r="W326" s="209"/>
      <c r="X326" s="209">
        <f t="shared" si="206"/>
        <v>0</v>
      </c>
      <c r="Y326" s="209">
        <f t="shared" si="207"/>
        <v>0</v>
      </c>
      <c r="Z326" s="233"/>
      <c r="AA326" s="233">
        <f t="shared" si="191"/>
        <v>0</v>
      </c>
      <c r="AB326" s="314">
        <f t="shared" si="168"/>
        <v>0</v>
      </c>
      <c r="AC326" s="314"/>
      <c r="AD326" s="314">
        <f t="shared" si="169"/>
        <v>0</v>
      </c>
      <c r="AE326" s="323" t="s">
        <v>87</v>
      </c>
      <c r="AF326" s="81">
        <f t="shared" si="198"/>
        <v>0</v>
      </c>
      <c r="AG326" s="335">
        <f t="shared" si="199"/>
        <v>0</v>
      </c>
      <c r="AH326" s="335"/>
      <c r="AI326" s="335">
        <f t="shared" si="200"/>
        <v>0</v>
      </c>
      <c r="AJ326" s="335"/>
      <c r="AK326" s="335">
        <f t="shared" si="201"/>
        <v>0</v>
      </c>
      <c r="AL326" s="336">
        <f t="shared" si="202"/>
        <v>0</v>
      </c>
      <c r="AM326" s="353"/>
      <c r="AN326" s="22">
        <f t="shared" si="192"/>
        <v>0</v>
      </c>
      <c r="AO326" s="209">
        <f t="shared" si="170"/>
        <v>0</v>
      </c>
      <c r="AP326" s="339"/>
      <c r="AQ326" s="125">
        <f t="shared" si="171"/>
        <v>0</v>
      </c>
      <c r="AR326" s="104"/>
      <c r="AS326" s="217"/>
      <c r="AT326" s="216"/>
      <c r="AU326" s="230"/>
      <c r="AV326" s="220"/>
      <c r="AW326" s="230"/>
      <c r="AX326" s="220"/>
      <c r="AY326" s="230"/>
      <c r="AZ326" s="220"/>
      <c r="BA326" s="17">
        <f t="shared" si="162"/>
        <v>3.26E-5</v>
      </c>
      <c r="BB326" s="17">
        <f t="shared" si="163"/>
        <v>0</v>
      </c>
      <c r="BC326" s="17"/>
      <c r="BD326" s="178">
        <v>317</v>
      </c>
      <c r="BE326" s="214">
        <f t="shared" si="172"/>
        <v>1.1099999999999999E-5</v>
      </c>
      <c r="BF326" s="178">
        <f t="shared" si="164"/>
        <v>0</v>
      </c>
      <c r="BG326" s="245">
        <f t="shared" si="165"/>
        <v>3.26E-5</v>
      </c>
      <c r="BH326" s="17">
        <f t="shared" si="173"/>
        <v>0</v>
      </c>
      <c r="BI326" s="178">
        <v>317</v>
      </c>
      <c r="BJ326" s="87">
        <f t="shared" si="174"/>
        <v>9.3999999999999998E-6</v>
      </c>
      <c r="BK326" s="215">
        <f t="shared" si="166"/>
        <v>0</v>
      </c>
      <c r="BL326" s="245">
        <f t="shared" si="175"/>
        <v>3.26E-5</v>
      </c>
      <c r="BM326" s="17">
        <f t="shared" si="176"/>
        <v>0</v>
      </c>
      <c r="BN326" s="178">
        <v>317</v>
      </c>
      <c r="BO326" s="87">
        <f t="shared" si="177"/>
        <v>9.3999999999999998E-6</v>
      </c>
      <c r="BP326" s="215">
        <f t="shared" si="167"/>
        <v>0</v>
      </c>
      <c r="BR326" s="126"/>
      <c r="BS326" s="126"/>
      <c r="BU326" s="178"/>
      <c r="BV326" s="179" t="str">
        <f t="shared" si="178"/>
        <v/>
      </c>
      <c r="BW326" s="179" t="str">
        <f t="shared" si="179"/>
        <v/>
      </c>
      <c r="BX326" s="179" t="str">
        <f t="shared" si="180"/>
        <v/>
      </c>
      <c r="BY326" s="179" t="str">
        <f t="shared" si="181"/>
        <v/>
      </c>
      <c r="BZ326" s="179" t="str">
        <f t="shared" si="182"/>
        <v/>
      </c>
      <c r="CA326" s="179" t="str">
        <f t="shared" si="183"/>
        <v/>
      </c>
      <c r="CB326" s="179" t="str">
        <f t="shared" si="184"/>
        <v/>
      </c>
      <c r="CC326" s="179" t="str">
        <f t="shared" si="185"/>
        <v/>
      </c>
      <c r="CD326" s="179" t="str">
        <f t="shared" si="186"/>
        <v/>
      </c>
      <c r="CE326" s="179" t="str">
        <f t="shared" si="187"/>
        <v/>
      </c>
      <c r="CF326" s="179" t="str">
        <f t="shared" si="188"/>
        <v/>
      </c>
      <c r="CG326" s="179" t="str">
        <f t="shared" si="189"/>
        <v/>
      </c>
      <c r="CH326" s="166"/>
      <c r="CI326" s="166"/>
      <c r="CJ326" s="166"/>
      <c r="CK326" s="166" t="s">
        <v>150</v>
      </c>
      <c r="CL326" s="166"/>
    </row>
    <row r="327" spans="1:90" ht="14.25" customHeight="1" thickBot="1" x14ac:dyDescent="0.3">
      <c r="A327" s="211">
        <v>317</v>
      </c>
      <c r="B327" s="88"/>
      <c r="C327" s="201"/>
      <c r="D327" s="94"/>
      <c r="E327" s="321" t="s">
        <v>93</v>
      </c>
      <c r="F327" s="96"/>
      <c r="G327" s="100"/>
      <c r="H327" s="100"/>
      <c r="I327" s="100"/>
      <c r="J327" s="100"/>
      <c r="K327" s="100"/>
      <c r="L327" s="100"/>
      <c r="M327" s="210"/>
      <c r="N327" s="234">
        <f t="shared" si="190"/>
        <v>0</v>
      </c>
      <c r="O327" s="308"/>
      <c r="P327" s="343"/>
      <c r="Q327" s="309"/>
      <c r="R327" s="324" t="s">
        <v>67</v>
      </c>
      <c r="S327" s="209">
        <f t="shared" si="203"/>
        <v>0</v>
      </c>
      <c r="T327" s="209">
        <f t="shared" si="204"/>
        <v>0</v>
      </c>
      <c r="U327" s="209"/>
      <c r="V327" s="209">
        <f t="shared" si="205"/>
        <v>0</v>
      </c>
      <c r="W327" s="209"/>
      <c r="X327" s="209">
        <f t="shared" si="206"/>
        <v>0</v>
      </c>
      <c r="Y327" s="209">
        <f t="shared" si="207"/>
        <v>0</v>
      </c>
      <c r="Z327" s="351"/>
      <c r="AA327" s="234">
        <f t="shared" si="191"/>
        <v>0</v>
      </c>
      <c r="AB327" s="314">
        <f t="shared" si="168"/>
        <v>0</v>
      </c>
      <c r="AC327" s="314"/>
      <c r="AD327" s="314">
        <f t="shared" si="169"/>
        <v>0</v>
      </c>
      <c r="AE327" s="324" t="s">
        <v>87</v>
      </c>
      <c r="AF327" s="82">
        <f t="shared" si="198"/>
        <v>0</v>
      </c>
      <c r="AG327" s="337">
        <f t="shared" si="199"/>
        <v>0</v>
      </c>
      <c r="AH327" s="337"/>
      <c r="AI327" s="337">
        <f t="shared" si="200"/>
        <v>0</v>
      </c>
      <c r="AJ327" s="337"/>
      <c r="AK327" s="337">
        <f t="shared" si="201"/>
        <v>0</v>
      </c>
      <c r="AL327" s="338">
        <f t="shared" si="202"/>
        <v>0</v>
      </c>
      <c r="AM327" s="354"/>
      <c r="AN327" s="91">
        <f t="shared" si="192"/>
        <v>0</v>
      </c>
      <c r="AO327" s="96">
        <f t="shared" si="170"/>
        <v>0</v>
      </c>
      <c r="AP327" s="210"/>
      <c r="AQ327" s="97">
        <f t="shared" si="171"/>
        <v>0</v>
      </c>
      <c r="AR327" s="105"/>
      <c r="AS327" s="102"/>
      <c r="AT327" s="237"/>
      <c r="AU327" s="231"/>
      <c r="AV327" s="93"/>
      <c r="AW327" s="231"/>
      <c r="AX327" s="93"/>
      <c r="AY327" s="231"/>
      <c r="AZ327" s="93"/>
      <c r="BA327" s="17">
        <f t="shared" si="162"/>
        <v>3.2699999999999995E-5</v>
      </c>
      <c r="BB327" s="17">
        <f t="shared" si="163"/>
        <v>0</v>
      </c>
      <c r="BC327" s="17"/>
      <c r="BD327" s="178">
        <v>318</v>
      </c>
      <c r="BE327" s="214">
        <f t="shared" si="172"/>
        <v>1.1E-5</v>
      </c>
      <c r="BF327" s="178">
        <f t="shared" si="164"/>
        <v>0</v>
      </c>
      <c r="BG327" s="245">
        <f t="shared" si="165"/>
        <v>3.2699999999999995E-5</v>
      </c>
      <c r="BH327" s="17">
        <f t="shared" si="173"/>
        <v>0</v>
      </c>
      <c r="BI327" s="178">
        <v>318</v>
      </c>
      <c r="BJ327" s="87">
        <f t="shared" si="174"/>
        <v>9.299999999999999E-6</v>
      </c>
      <c r="BK327" s="215">
        <f t="shared" si="166"/>
        <v>0</v>
      </c>
      <c r="BL327" s="245">
        <f t="shared" si="175"/>
        <v>3.2699999999999995E-5</v>
      </c>
      <c r="BM327" s="17">
        <f t="shared" si="176"/>
        <v>0</v>
      </c>
      <c r="BN327" s="178">
        <v>318</v>
      </c>
      <c r="BO327" s="87">
        <f t="shared" si="177"/>
        <v>9.299999999999999E-6</v>
      </c>
      <c r="BP327" s="215">
        <f t="shared" si="167"/>
        <v>0</v>
      </c>
      <c r="BR327" s="126"/>
      <c r="BS327" s="126"/>
      <c r="BU327" s="178"/>
      <c r="BV327" s="179" t="str">
        <f t="shared" si="178"/>
        <v/>
      </c>
      <c r="BW327" s="179" t="str">
        <f t="shared" si="179"/>
        <v/>
      </c>
      <c r="BX327" s="179" t="str">
        <f t="shared" si="180"/>
        <v/>
      </c>
      <c r="BY327" s="179" t="str">
        <f t="shared" si="181"/>
        <v/>
      </c>
      <c r="BZ327" s="179" t="str">
        <f t="shared" si="182"/>
        <v/>
      </c>
      <c r="CA327" s="179" t="str">
        <f t="shared" si="183"/>
        <v/>
      </c>
      <c r="CB327" s="179" t="str">
        <f t="shared" si="184"/>
        <v/>
      </c>
      <c r="CC327" s="179" t="str">
        <f t="shared" si="185"/>
        <v/>
      </c>
      <c r="CD327" s="179" t="str">
        <f t="shared" si="186"/>
        <v/>
      </c>
      <c r="CE327" s="179" t="str">
        <f t="shared" si="187"/>
        <v/>
      </c>
      <c r="CF327" s="179" t="str">
        <f t="shared" si="188"/>
        <v/>
      </c>
      <c r="CG327" s="179" t="str">
        <f t="shared" si="189"/>
        <v/>
      </c>
      <c r="CH327" s="166"/>
      <c r="CI327" s="166"/>
      <c r="CJ327" s="166"/>
      <c r="CK327" s="166" t="s">
        <v>150</v>
      </c>
      <c r="CL327" s="166"/>
    </row>
    <row r="328" spans="1:90" ht="14.25" customHeight="1" thickBot="1" x14ac:dyDescent="0.3">
      <c r="A328" s="213">
        <v>318</v>
      </c>
      <c r="B328" s="89"/>
      <c r="C328" s="199"/>
      <c r="D328" s="146"/>
      <c r="E328" s="319" t="s">
        <v>93</v>
      </c>
      <c r="F328" s="221"/>
      <c r="G328" s="222"/>
      <c r="H328" s="222"/>
      <c r="I328" s="222"/>
      <c r="J328" s="222"/>
      <c r="K328" s="222"/>
      <c r="L328" s="222"/>
      <c r="M328" s="331"/>
      <c r="N328" s="303">
        <f t="shared" si="190"/>
        <v>0</v>
      </c>
      <c r="O328" s="304"/>
      <c r="P328" s="341"/>
      <c r="Q328" s="305"/>
      <c r="R328" s="322" t="s">
        <v>67</v>
      </c>
      <c r="S328" s="209">
        <f t="shared" si="203"/>
        <v>0</v>
      </c>
      <c r="T328" s="209">
        <f t="shared" si="204"/>
        <v>0</v>
      </c>
      <c r="U328" s="209"/>
      <c r="V328" s="209">
        <f t="shared" si="205"/>
        <v>0</v>
      </c>
      <c r="W328" s="209"/>
      <c r="X328" s="209">
        <f t="shared" si="206"/>
        <v>0</v>
      </c>
      <c r="Y328" s="209">
        <f t="shared" si="207"/>
        <v>0</v>
      </c>
      <c r="Z328" s="303"/>
      <c r="AA328" s="303">
        <f t="shared" si="191"/>
        <v>0</v>
      </c>
      <c r="AB328" s="314">
        <f t="shared" si="168"/>
        <v>0</v>
      </c>
      <c r="AC328" s="314"/>
      <c r="AD328" s="314">
        <f t="shared" si="169"/>
        <v>0</v>
      </c>
      <c r="AE328" s="325" t="s">
        <v>148</v>
      </c>
      <c r="AF328" s="15">
        <f t="shared" si="198"/>
        <v>0</v>
      </c>
      <c r="AG328" s="232">
        <f t="shared" si="199"/>
        <v>0</v>
      </c>
      <c r="AH328" s="232"/>
      <c r="AI328" s="232">
        <f t="shared" si="200"/>
        <v>0</v>
      </c>
      <c r="AJ328" s="232"/>
      <c r="AK328" s="232">
        <f t="shared" si="201"/>
        <v>0</v>
      </c>
      <c r="AL328" s="7">
        <f t="shared" si="202"/>
        <v>0</v>
      </c>
      <c r="AM328" s="352"/>
      <c r="AN328" s="22">
        <f t="shared" si="192"/>
        <v>0</v>
      </c>
      <c r="AO328" s="15">
        <f t="shared" si="170"/>
        <v>0</v>
      </c>
      <c r="AP328" s="345"/>
      <c r="AQ328" s="7">
        <f t="shared" si="171"/>
        <v>0</v>
      </c>
      <c r="AR328" s="103"/>
      <c r="AS328" s="101"/>
      <c r="AT328" s="236"/>
      <c r="AU328" s="235"/>
      <c r="AV328" s="92"/>
      <c r="AW328" s="235"/>
      <c r="AX328" s="92"/>
      <c r="AY328" s="235"/>
      <c r="AZ328" s="92"/>
      <c r="BA328" s="17">
        <f t="shared" si="162"/>
        <v>3.2799999999999998E-5</v>
      </c>
      <c r="BB328" s="17">
        <f t="shared" si="163"/>
        <v>0</v>
      </c>
      <c r="BC328" s="17"/>
      <c r="BD328" s="178">
        <v>319</v>
      </c>
      <c r="BE328" s="214">
        <f t="shared" si="172"/>
        <v>1.0899999999999999E-5</v>
      </c>
      <c r="BF328" s="178">
        <f t="shared" si="164"/>
        <v>0</v>
      </c>
      <c r="BG328" s="245">
        <f t="shared" si="165"/>
        <v>3.2799999999999998E-5</v>
      </c>
      <c r="BH328" s="17">
        <f t="shared" si="173"/>
        <v>0</v>
      </c>
      <c r="BI328" s="178">
        <v>319</v>
      </c>
      <c r="BJ328" s="87">
        <f t="shared" si="174"/>
        <v>9.2E-6</v>
      </c>
      <c r="BK328" s="215">
        <f t="shared" si="166"/>
        <v>0</v>
      </c>
      <c r="BL328" s="245">
        <f t="shared" si="175"/>
        <v>3.2799999999999998E-5</v>
      </c>
      <c r="BM328" s="17">
        <f t="shared" si="176"/>
        <v>0</v>
      </c>
      <c r="BN328" s="178">
        <v>319</v>
      </c>
      <c r="BO328" s="87">
        <f t="shared" si="177"/>
        <v>9.2E-6</v>
      </c>
      <c r="BP328" s="215">
        <f t="shared" si="167"/>
        <v>0</v>
      </c>
      <c r="BR328" s="126"/>
      <c r="BS328" s="126"/>
      <c r="BU328" s="178"/>
      <c r="BV328" s="179" t="str">
        <f t="shared" si="178"/>
        <v/>
      </c>
      <c r="BW328" s="179" t="str">
        <f t="shared" si="179"/>
        <v/>
      </c>
      <c r="BX328" s="179" t="str">
        <f t="shared" si="180"/>
        <v/>
      </c>
      <c r="BY328" s="179" t="str">
        <f t="shared" si="181"/>
        <v/>
      </c>
      <c r="BZ328" s="179" t="str">
        <f t="shared" si="182"/>
        <v/>
      </c>
      <c r="CA328" s="179" t="str">
        <f t="shared" si="183"/>
        <v/>
      </c>
      <c r="CB328" s="179" t="str">
        <f t="shared" si="184"/>
        <v/>
      </c>
      <c r="CC328" s="179" t="str">
        <f t="shared" si="185"/>
        <v/>
      </c>
      <c r="CD328" s="179" t="str">
        <f t="shared" si="186"/>
        <v/>
      </c>
      <c r="CE328" s="179" t="str">
        <f t="shared" si="187"/>
        <v/>
      </c>
      <c r="CF328" s="179" t="str">
        <f t="shared" si="188"/>
        <v/>
      </c>
      <c r="CG328" s="179" t="str">
        <f t="shared" si="189"/>
        <v/>
      </c>
      <c r="CH328" s="166"/>
      <c r="CI328" s="166"/>
      <c r="CJ328" s="166"/>
      <c r="CK328" s="166" t="s">
        <v>150</v>
      </c>
      <c r="CL328" s="166"/>
    </row>
    <row r="329" spans="1:90" ht="14.25" customHeight="1" x14ac:dyDescent="0.25">
      <c r="A329" s="211">
        <v>319</v>
      </c>
      <c r="B329" s="219"/>
      <c r="C329" s="200"/>
      <c r="D329" s="145"/>
      <c r="E329" s="320" t="s">
        <v>93</v>
      </c>
      <c r="F329" s="209"/>
      <c r="G329" s="313"/>
      <c r="H329" s="313"/>
      <c r="I329" s="313"/>
      <c r="J329" s="313"/>
      <c r="K329" s="313"/>
      <c r="L329" s="313"/>
      <c r="M329" s="339"/>
      <c r="N329" s="233">
        <f t="shared" si="190"/>
        <v>0</v>
      </c>
      <c r="O329" s="306"/>
      <c r="P329" s="342"/>
      <c r="Q329" s="307"/>
      <c r="R329" s="323" t="s">
        <v>67</v>
      </c>
      <c r="S329" s="209">
        <f t="shared" si="203"/>
        <v>0</v>
      </c>
      <c r="T329" s="209">
        <f t="shared" si="204"/>
        <v>0</v>
      </c>
      <c r="U329" s="209"/>
      <c r="V329" s="209">
        <f t="shared" si="205"/>
        <v>0</v>
      </c>
      <c r="W329" s="209"/>
      <c r="X329" s="209">
        <f t="shared" si="206"/>
        <v>0</v>
      </c>
      <c r="Y329" s="209">
        <f t="shared" si="207"/>
        <v>0</v>
      </c>
      <c r="Z329" s="233"/>
      <c r="AA329" s="233">
        <f t="shared" si="191"/>
        <v>0</v>
      </c>
      <c r="AB329" s="314">
        <f t="shared" si="168"/>
        <v>0</v>
      </c>
      <c r="AC329" s="314"/>
      <c r="AD329" s="314">
        <f t="shared" si="169"/>
        <v>0</v>
      </c>
      <c r="AE329" s="323" t="s">
        <v>87</v>
      </c>
      <c r="AF329" s="81">
        <f t="shared" si="198"/>
        <v>0</v>
      </c>
      <c r="AG329" s="335">
        <f t="shared" si="199"/>
        <v>0</v>
      </c>
      <c r="AH329" s="335"/>
      <c r="AI329" s="335">
        <f t="shared" si="200"/>
        <v>0</v>
      </c>
      <c r="AJ329" s="335"/>
      <c r="AK329" s="335">
        <f t="shared" si="201"/>
        <v>0</v>
      </c>
      <c r="AL329" s="336">
        <f t="shared" si="202"/>
        <v>0</v>
      </c>
      <c r="AM329" s="353"/>
      <c r="AN329" s="22">
        <f t="shared" si="192"/>
        <v>0</v>
      </c>
      <c r="AO329" s="209">
        <f t="shared" si="170"/>
        <v>0</v>
      </c>
      <c r="AP329" s="339"/>
      <c r="AQ329" s="125">
        <f t="shared" si="171"/>
        <v>0</v>
      </c>
      <c r="AR329" s="104"/>
      <c r="AS329" s="217"/>
      <c r="AT329" s="216"/>
      <c r="AU329" s="230"/>
      <c r="AV329" s="220"/>
      <c r="AW329" s="230"/>
      <c r="AX329" s="220"/>
      <c r="AY329" s="230"/>
      <c r="AZ329" s="220"/>
      <c r="BA329" s="17">
        <f t="shared" si="162"/>
        <v>3.29E-5</v>
      </c>
      <c r="BB329" s="17">
        <f t="shared" si="163"/>
        <v>0</v>
      </c>
      <c r="BC329" s="17"/>
      <c r="BD329" s="178">
        <v>320</v>
      </c>
      <c r="BE329" s="214">
        <f t="shared" si="172"/>
        <v>1.08E-5</v>
      </c>
      <c r="BF329" s="178">
        <f t="shared" si="164"/>
        <v>0</v>
      </c>
      <c r="BG329" s="245">
        <f t="shared" si="165"/>
        <v>3.29E-5</v>
      </c>
      <c r="BH329" s="17">
        <f t="shared" si="173"/>
        <v>0</v>
      </c>
      <c r="BI329" s="178">
        <v>320</v>
      </c>
      <c r="BJ329" s="87">
        <f t="shared" si="174"/>
        <v>9.0999999999999993E-6</v>
      </c>
      <c r="BK329" s="215">
        <f t="shared" si="166"/>
        <v>0</v>
      </c>
      <c r="BL329" s="245">
        <f t="shared" si="175"/>
        <v>3.29E-5</v>
      </c>
      <c r="BM329" s="17">
        <f t="shared" si="176"/>
        <v>0</v>
      </c>
      <c r="BN329" s="178">
        <v>320</v>
      </c>
      <c r="BO329" s="87">
        <f t="shared" si="177"/>
        <v>9.0999999999999993E-6</v>
      </c>
      <c r="BP329" s="215">
        <f t="shared" si="167"/>
        <v>0</v>
      </c>
      <c r="BR329" s="126"/>
      <c r="BS329" s="126"/>
      <c r="BU329" s="178"/>
      <c r="BV329" s="179" t="str">
        <f t="shared" si="178"/>
        <v/>
      </c>
      <c r="BW329" s="179" t="str">
        <f t="shared" si="179"/>
        <v/>
      </c>
      <c r="BX329" s="179" t="str">
        <f t="shared" si="180"/>
        <v/>
      </c>
      <c r="BY329" s="179" t="str">
        <f t="shared" si="181"/>
        <v/>
      </c>
      <c r="BZ329" s="179" t="str">
        <f t="shared" si="182"/>
        <v/>
      </c>
      <c r="CA329" s="179" t="str">
        <f t="shared" si="183"/>
        <v/>
      </c>
      <c r="CB329" s="179" t="str">
        <f t="shared" si="184"/>
        <v/>
      </c>
      <c r="CC329" s="179" t="str">
        <f t="shared" si="185"/>
        <v/>
      </c>
      <c r="CD329" s="179" t="str">
        <f t="shared" si="186"/>
        <v/>
      </c>
      <c r="CE329" s="179" t="str">
        <f t="shared" si="187"/>
        <v/>
      </c>
      <c r="CF329" s="179" t="str">
        <f t="shared" si="188"/>
        <v/>
      </c>
      <c r="CG329" s="179" t="str">
        <f t="shared" si="189"/>
        <v/>
      </c>
      <c r="CH329" s="166"/>
      <c r="CI329" s="166"/>
      <c r="CJ329" s="166"/>
      <c r="CK329" s="166" t="s">
        <v>150</v>
      </c>
      <c r="CL329" s="166"/>
    </row>
    <row r="330" spans="1:90" ht="14.25" customHeight="1" thickBot="1" x14ac:dyDescent="0.3">
      <c r="A330" s="213">
        <v>320</v>
      </c>
      <c r="B330" s="88"/>
      <c r="C330" s="201"/>
      <c r="D330" s="94"/>
      <c r="E330" s="321" t="s">
        <v>93</v>
      </c>
      <c r="F330" s="96"/>
      <c r="G330" s="100"/>
      <c r="H330" s="100"/>
      <c r="I330" s="100"/>
      <c r="J330" s="100"/>
      <c r="K330" s="100"/>
      <c r="L330" s="100"/>
      <c r="M330" s="210"/>
      <c r="N330" s="234">
        <f t="shared" si="190"/>
        <v>0</v>
      </c>
      <c r="O330" s="308"/>
      <c r="P330" s="343"/>
      <c r="Q330" s="309"/>
      <c r="R330" s="324" t="s">
        <v>67</v>
      </c>
      <c r="S330" s="209">
        <f t="shared" si="203"/>
        <v>0</v>
      </c>
      <c r="T330" s="209">
        <f t="shared" si="204"/>
        <v>0</v>
      </c>
      <c r="U330" s="209"/>
      <c r="V330" s="209">
        <f t="shared" si="205"/>
        <v>0</v>
      </c>
      <c r="W330" s="209"/>
      <c r="X330" s="209">
        <f t="shared" si="206"/>
        <v>0</v>
      </c>
      <c r="Y330" s="209">
        <f t="shared" si="207"/>
        <v>0</v>
      </c>
      <c r="Z330" s="351"/>
      <c r="AA330" s="234">
        <f t="shared" si="191"/>
        <v>0</v>
      </c>
      <c r="AB330" s="314">
        <f t="shared" si="168"/>
        <v>0</v>
      </c>
      <c r="AC330" s="314"/>
      <c r="AD330" s="314">
        <f t="shared" si="169"/>
        <v>0</v>
      </c>
      <c r="AE330" s="324" t="s">
        <v>87</v>
      </c>
      <c r="AF330" s="82">
        <f t="shared" si="198"/>
        <v>0</v>
      </c>
      <c r="AG330" s="337">
        <f t="shared" si="199"/>
        <v>0</v>
      </c>
      <c r="AH330" s="337"/>
      <c r="AI330" s="337">
        <f t="shared" si="200"/>
        <v>0</v>
      </c>
      <c r="AJ330" s="337"/>
      <c r="AK330" s="337">
        <f t="shared" si="201"/>
        <v>0</v>
      </c>
      <c r="AL330" s="338">
        <f t="shared" si="202"/>
        <v>0</v>
      </c>
      <c r="AM330" s="354"/>
      <c r="AN330" s="91">
        <f t="shared" si="192"/>
        <v>0</v>
      </c>
      <c r="AO330" s="96">
        <f t="shared" si="170"/>
        <v>0</v>
      </c>
      <c r="AP330" s="210"/>
      <c r="AQ330" s="97">
        <f t="shared" si="171"/>
        <v>0</v>
      </c>
      <c r="AR330" s="105"/>
      <c r="AS330" s="102"/>
      <c r="AT330" s="237"/>
      <c r="AU330" s="231"/>
      <c r="AV330" s="93"/>
      <c r="AW330" s="231"/>
      <c r="AX330" s="93"/>
      <c r="AY330" s="231"/>
      <c r="AZ330" s="93"/>
      <c r="BA330" s="17">
        <f t="shared" ref="BA330:BA393" si="208">N330+ROW()*0.0000001</f>
        <v>3.2999999999999996E-5</v>
      </c>
      <c r="BB330" s="17">
        <f t="shared" ref="BB330:BB393" si="209">B330</f>
        <v>0</v>
      </c>
      <c r="BC330" s="17"/>
      <c r="BD330" s="178">
        <v>321</v>
      </c>
      <c r="BE330" s="214">
        <f t="shared" si="172"/>
        <v>1.0699999999999999E-5</v>
      </c>
      <c r="BF330" s="178">
        <f t="shared" ref="BF330:BF393" si="210">IFERROR(VLOOKUP(BE330,الترتيب1,2,0),"")</f>
        <v>0</v>
      </c>
      <c r="BG330" s="245">
        <f t="shared" ref="BG330:BG393" si="211">AA330+ROW()*0.0000001</f>
        <v>3.2999999999999996E-5</v>
      </c>
      <c r="BH330" s="17">
        <f t="shared" si="173"/>
        <v>0</v>
      </c>
      <c r="BI330" s="178">
        <v>321</v>
      </c>
      <c r="BJ330" s="87">
        <f t="shared" si="174"/>
        <v>9.0000000000000002E-6</v>
      </c>
      <c r="BK330" s="215">
        <f t="shared" ref="BK330:BK393" si="212">IFERROR(VLOOKUP(BJ330,الترتيب2,2,0),"")</f>
        <v>0</v>
      </c>
      <c r="BL330" s="245">
        <f t="shared" si="175"/>
        <v>3.2999999999999996E-5</v>
      </c>
      <c r="BM330" s="17">
        <f t="shared" si="176"/>
        <v>0</v>
      </c>
      <c r="BN330" s="178">
        <v>321</v>
      </c>
      <c r="BO330" s="87">
        <f t="shared" si="177"/>
        <v>9.0000000000000002E-6</v>
      </c>
      <c r="BP330" s="215">
        <f t="shared" ref="BP330:BP393" si="213">IFERROR(VLOOKUP(BO330,الترتيب3,2,0),"")</f>
        <v>0</v>
      </c>
      <c r="BR330" s="126"/>
      <c r="BS330" s="126"/>
      <c r="BU330" s="178"/>
      <c r="BV330" s="179" t="str">
        <f t="shared" si="178"/>
        <v/>
      </c>
      <c r="BW330" s="179" t="str">
        <f t="shared" si="179"/>
        <v/>
      </c>
      <c r="BX330" s="179" t="str">
        <f t="shared" si="180"/>
        <v/>
      </c>
      <c r="BY330" s="179" t="str">
        <f t="shared" si="181"/>
        <v/>
      </c>
      <c r="BZ330" s="179" t="str">
        <f t="shared" si="182"/>
        <v/>
      </c>
      <c r="CA330" s="179" t="str">
        <f t="shared" si="183"/>
        <v/>
      </c>
      <c r="CB330" s="179" t="str">
        <f t="shared" si="184"/>
        <v/>
      </c>
      <c r="CC330" s="179" t="str">
        <f t="shared" si="185"/>
        <v/>
      </c>
      <c r="CD330" s="179" t="str">
        <f t="shared" si="186"/>
        <v/>
      </c>
      <c r="CE330" s="179" t="str">
        <f t="shared" si="187"/>
        <v/>
      </c>
      <c r="CF330" s="179" t="str">
        <f t="shared" si="188"/>
        <v/>
      </c>
      <c r="CG330" s="179" t="str">
        <f t="shared" si="189"/>
        <v/>
      </c>
      <c r="CH330" s="166"/>
      <c r="CI330" s="166"/>
      <c r="CJ330" s="166"/>
      <c r="CK330" s="166" t="s">
        <v>150</v>
      </c>
      <c r="CL330" s="166"/>
    </row>
    <row r="331" spans="1:90" ht="14.25" customHeight="1" x14ac:dyDescent="0.25">
      <c r="A331" s="211">
        <v>321</v>
      </c>
      <c r="B331" s="89"/>
      <c r="C331" s="199"/>
      <c r="D331" s="146"/>
      <c r="E331" s="319" t="s">
        <v>93</v>
      </c>
      <c r="F331" s="221"/>
      <c r="G331" s="222"/>
      <c r="H331" s="222"/>
      <c r="I331" s="222"/>
      <c r="J331" s="222"/>
      <c r="K331" s="222"/>
      <c r="L331" s="222"/>
      <c r="M331" s="331"/>
      <c r="N331" s="303">
        <f t="shared" si="190"/>
        <v>0</v>
      </c>
      <c r="O331" s="304"/>
      <c r="P331" s="341"/>
      <c r="Q331" s="305"/>
      <c r="R331" s="322" t="s">
        <v>67</v>
      </c>
      <c r="S331" s="209">
        <f t="shared" si="203"/>
        <v>0</v>
      </c>
      <c r="T331" s="209">
        <f t="shared" si="204"/>
        <v>0</v>
      </c>
      <c r="U331" s="209"/>
      <c r="V331" s="209">
        <f t="shared" si="205"/>
        <v>0</v>
      </c>
      <c r="W331" s="209"/>
      <c r="X331" s="209">
        <f t="shared" si="206"/>
        <v>0</v>
      </c>
      <c r="Y331" s="209">
        <f t="shared" si="207"/>
        <v>0</v>
      </c>
      <c r="Z331" s="303"/>
      <c r="AA331" s="303">
        <f t="shared" si="191"/>
        <v>0</v>
      </c>
      <c r="AB331" s="314">
        <f t="shared" ref="AB331:AB394" si="214">O331</f>
        <v>0</v>
      </c>
      <c r="AC331" s="314"/>
      <c r="AD331" s="314">
        <f t="shared" ref="AD331:AD394" si="215">Q331</f>
        <v>0</v>
      </c>
      <c r="AE331" s="325" t="s">
        <v>148</v>
      </c>
      <c r="AF331" s="15">
        <f t="shared" si="198"/>
        <v>0</v>
      </c>
      <c r="AG331" s="232">
        <f t="shared" si="199"/>
        <v>0</v>
      </c>
      <c r="AH331" s="232"/>
      <c r="AI331" s="232">
        <f t="shared" si="200"/>
        <v>0</v>
      </c>
      <c r="AJ331" s="232"/>
      <c r="AK331" s="232">
        <f t="shared" si="201"/>
        <v>0</v>
      </c>
      <c r="AL331" s="7">
        <f t="shared" si="202"/>
        <v>0</v>
      </c>
      <c r="AM331" s="352"/>
      <c r="AN331" s="22">
        <f t="shared" si="192"/>
        <v>0</v>
      </c>
      <c r="AO331" s="15">
        <f t="shared" ref="AO331:AO394" si="216">AB331</f>
        <v>0</v>
      </c>
      <c r="AP331" s="345"/>
      <c r="AQ331" s="7">
        <f t="shared" ref="AQ331:AQ394" si="217">AD331</f>
        <v>0</v>
      </c>
      <c r="AR331" s="103"/>
      <c r="AS331" s="101"/>
      <c r="AT331" s="236"/>
      <c r="AU331" s="235"/>
      <c r="AV331" s="92"/>
      <c r="AW331" s="235"/>
      <c r="AX331" s="92"/>
      <c r="AY331" s="235"/>
      <c r="AZ331" s="92"/>
      <c r="BA331" s="17">
        <f t="shared" si="208"/>
        <v>3.3099999999999998E-5</v>
      </c>
      <c r="BB331" s="17">
        <f t="shared" si="209"/>
        <v>0</v>
      </c>
      <c r="BC331" s="17"/>
      <c r="BD331" s="178">
        <v>322</v>
      </c>
      <c r="BE331" s="214">
        <f t="shared" ref="BE331:BE394" si="218">IFERROR(LARGE($BA$11:$BA$410,BD331),"")</f>
        <v>1.06E-5</v>
      </c>
      <c r="BF331" s="178">
        <f t="shared" si="210"/>
        <v>0</v>
      </c>
      <c r="BG331" s="245">
        <f t="shared" si="211"/>
        <v>3.3099999999999998E-5</v>
      </c>
      <c r="BH331" s="17">
        <f t="shared" ref="BH331:BH394" si="219">BB331</f>
        <v>0</v>
      </c>
      <c r="BI331" s="178">
        <v>322</v>
      </c>
      <c r="BJ331" s="87">
        <f t="shared" ref="BJ331:BJ394" si="220">IFERROR(LARGE($BG$11:$BG$410,BI331),"")</f>
        <v>8.8999999999999995E-6</v>
      </c>
      <c r="BK331" s="215">
        <f t="shared" si="212"/>
        <v>0</v>
      </c>
      <c r="BL331" s="245">
        <f t="shared" ref="BL331:BL394" si="221">AN331+ROW()*0.0000001</f>
        <v>3.3099999999999998E-5</v>
      </c>
      <c r="BM331" s="17">
        <f t="shared" ref="BM331:BM394" si="222">BH331</f>
        <v>0</v>
      </c>
      <c r="BN331" s="178">
        <v>322</v>
      </c>
      <c r="BO331" s="87">
        <f t="shared" ref="BO331:BO394" si="223">IFERROR(LARGE($BL$11:$BL$410,BN331),"")</f>
        <v>8.8999999999999995E-6</v>
      </c>
      <c r="BP331" s="215">
        <f t="shared" si="213"/>
        <v>0</v>
      </c>
      <c r="BR331" s="126"/>
      <c r="BS331" s="126"/>
      <c r="BU331" s="178"/>
      <c r="BV331" s="179" t="str">
        <f t="shared" ref="BV331:BV394" si="224">MID($BT331,12,1)</f>
        <v/>
      </c>
      <c r="BW331" s="179" t="str">
        <f t="shared" ref="BW331:BW394" si="225">MID($BT331,11,1)</f>
        <v/>
      </c>
      <c r="BX331" s="179" t="str">
        <f t="shared" ref="BX331:BX394" si="226">MID($BT331,10,1)</f>
        <v/>
      </c>
      <c r="BY331" s="179" t="str">
        <f t="shared" ref="BY331:BY394" si="227">MID($BT331,9,1)</f>
        <v/>
      </c>
      <c r="BZ331" s="179" t="str">
        <f t="shared" ref="BZ331:BZ394" si="228">MID($BT331,8,1)</f>
        <v/>
      </c>
      <c r="CA331" s="179" t="str">
        <f t="shared" ref="CA331:CA394" si="229">MID($BT331,7,1)</f>
        <v/>
      </c>
      <c r="CB331" s="179" t="str">
        <f t="shared" ref="CB331:CB394" si="230">MID($BT331,6,1)</f>
        <v/>
      </c>
      <c r="CC331" s="179" t="str">
        <f t="shared" ref="CC331:CC394" si="231">MID($BT331,5,1)</f>
        <v/>
      </c>
      <c r="CD331" s="179" t="str">
        <f t="shared" ref="CD331:CD394" si="232">MID($BT331,4,1)</f>
        <v/>
      </c>
      <c r="CE331" s="179" t="str">
        <f t="shared" ref="CE331:CE394" si="233">MID($BT331,3,1)</f>
        <v/>
      </c>
      <c r="CF331" s="179" t="str">
        <f t="shared" ref="CF331:CF394" si="234">MID($BT331,2,1)</f>
        <v/>
      </c>
      <c r="CG331" s="179" t="str">
        <f t="shared" ref="CG331:CG394" si="235">MID($BT331,1,1)</f>
        <v/>
      </c>
      <c r="CH331" s="166"/>
      <c r="CI331" s="166"/>
      <c r="CJ331" s="166"/>
      <c r="CK331" s="166" t="s">
        <v>150</v>
      </c>
      <c r="CL331" s="166"/>
    </row>
    <row r="332" spans="1:90" ht="14.25" customHeight="1" thickBot="1" x14ac:dyDescent="0.3">
      <c r="A332" s="213">
        <v>322</v>
      </c>
      <c r="B332" s="219"/>
      <c r="C332" s="200"/>
      <c r="D332" s="145"/>
      <c r="E332" s="320" t="s">
        <v>93</v>
      </c>
      <c r="F332" s="209"/>
      <c r="G332" s="313"/>
      <c r="H332" s="313"/>
      <c r="I332" s="313"/>
      <c r="J332" s="313"/>
      <c r="K332" s="313"/>
      <c r="L332" s="313"/>
      <c r="M332" s="339"/>
      <c r="N332" s="233">
        <f t="shared" si="190"/>
        <v>0</v>
      </c>
      <c r="O332" s="306"/>
      <c r="P332" s="342"/>
      <c r="Q332" s="307"/>
      <c r="R332" s="323" t="s">
        <v>67</v>
      </c>
      <c r="S332" s="209">
        <f t="shared" si="203"/>
        <v>0</v>
      </c>
      <c r="T332" s="209">
        <f t="shared" si="204"/>
        <v>0</v>
      </c>
      <c r="U332" s="209"/>
      <c r="V332" s="209">
        <f t="shared" si="205"/>
        <v>0</v>
      </c>
      <c r="W332" s="209"/>
      <c r="X332" s="209">
        <f t="shared" si="206"/>
        <v>0</v>
      </c>
      <c r="Y332" s="209">
        <f t="shared" si="207"/>
        <v>0</v>
      </c>
      <c r="Z332" s="233"/>
      <c r="AA332" s="233">
        <f t="shared" si="191"/>
        <v>0</v>
      </c>
      <c r="AB332" s="314">
        <f t="shared" si="214"/>
        <v>0</v>
      </c>
      <c r="AC332" s="314"/>
      <c r="AD332" s="314">
        <f t="shared" si="215"/>
        <v>0</v>
      </c>
      <c r="AE332" s="323" t="s">
        <v>87</v>
      </c>
      <c r="AF332" s="81">
        <f t="shared" si="198"/>
        <v>0</v>
      </c>
      <c r="AG332" s="335">
        <f t="shared" si="199"/>
        <v>0</v>
      </c>
      <c r="AH332" s="335"/>
      <c r="AI332" s="335">
        <f t="shared" si="200"/>
        <v>0</v>
      </c>
      <c r="AJ332" s="335"/>
      <c r="AK332" s="335">
        <f t="shared" si="201"/>
        <v>0</v>
      </c>
      <c r="AL332" s="336">
        <f t="shared" si="202"/>
        <v>0</v>
      </c>
      <c r="AM332" s="353"/>
      <c r="AN332" s="22">
        <f t="shared" si="192"/>
        <v>0</v>
      </c>
      <c r="AO332" s="209">
        <f t="shared" si="216"/>
        <v>0</v>
      </c>
      <c r="AP332" s="339"/>
      <c r="AQ332" s="125">
        <f t="shared" si="217"/>
        <v>0</v>
      </c>
      <c r="AR332" s="104"/>
      <c r="AS332" s="217"/>
      <c r="AT332" s="216"/>
      <c r="AU332" s="230"/>
      <c r="AV332" s="220"/>
      <c r="AW332" s="230"/>
      <c r="AX332" s="220"/>
      <c r="AY332" s="230"/>
      <c r="AZ332" s="220"/>
      <c r="BA332" s="17">
        <f t="shared" si="208"/>
        <v>3.3200000000000001E-5</v>
      </c>
      <c r="BB332" s="17">
        <f t="shared" si="209"/>
        <v>0</v>
      </c>
      <c r="BC332" s="17"/>
      <c r="BD332" s="178">
        <v>323</v>
      </c>
      <c r="BE332" s="214">
        <f t="shared" si="218"/>
        <v>1.0499999999999999E-5</v>
      </c>
      <c r="BF332" s="178">
        <f t="shared" si="210"/>
        <v>0</v>
      </c>
      <c r="BG332" s="245">
        <f t="shared" si="211"/>
        <v>3.3200000000000001E-5</v>
      </c>
      <c r="BH332" s="17">
        <f t="shared" si="219"/>
        <v>0</v>
      </c>
      <c r="BI332" s="178">
        <v>323</v>
      </c>
      <c r="BJ332" s="87">
        <f t="shared" si="220"/>
        <v>8.8000000000000004E-6</v>
      </c>
      <c r="BK332" s="215">
        <f t="shared" si="212"/>
        <v>0</v>
      </c>
      <c r="BL332" s="245">
        <f t="shared" si="221"/>
        <v>3.3200000000000001E-5</v>
      </c>
      <c r="BM332" s="17">
        <f t="shared" si="222"/>
        <v>0</v>
      </c>
      <c r="BN332" s="178">
        <v>323</v>
      </c>
      <c r="BO332" s="87">
        <f t="shared" si="223"/>
        <v>8.8000000000000004E-6</v>
      </c>
      <c r="BP332" s="215">
        <f t="shared" si="213"/>
        <v>0</v>
      </c>
      <c r="BR332" s="126"/>
      <c r="BS332" s="126"/>
      <c r="BU332" s="178"/>
      <c r="BV332" s="179" t="str">
        <f t="shared" si="224"/>
        <v/>
      </c>
      <c r="BW332" s="179" t="str">
        <f t="shared" si="225"/>
        <v/>
      </c>
      <c r="BX332" s="179" t="str">
        <f t="shared" si="226"/>
        <v/>
      </c>
      <c r="BY332" s="179" t="str">
        <f t="shared" si="227"/>
        <v/>
      </c>
      <c r="BZ332" s="179" t="str">
        <f t="shared" si="228"/>
        <v/>
      </c>
      <c r="CA332" s="179" t="str">
        <f t="shared" si="229"/>
        <v/>
      </c>
      <c r="CB332" s="179" t="str">
        <f t="shared" si="230"/>
        <v/>
      </c>
      <c r="CC332" s="179" t="str">
        <f t="shared" si="231"/>
        <v/>
      </c>
      <c r="CD332" s="179" t="str">
        <f t="shared" si="232"/>
        <v/>
      </c>
      <c r="CE332" s="179" t="str">
        <f t="shared" si="233"/>
        <v/>
      </c>
      <c r="CF332" s="179" t="str">
        <f t="shared" si="234"/>
        <v/>
      </c>
      <c r="CG332" s="179" t="str">
        <f t="shared" si="235"/>
        <v/>
      </c>
      <c r="CH332" s="166"/>
      <c r="CI332" s="166"/>
      <c r="CJ332" s="166"/>
      <c r="CK332" s="166" t="s">
        <v>150</v>
      </c>
      <c r="CL332" s="166"/>
    </row>
    <row r="333" spans="1:90" ht="14.25" customHeight="1" thickBot="1" x14ac:dyDescent="0.3">
      <c r="A333" s="211">
        <v>323</v>
      </c>
      <c r="B333" s="88"/>
      <c r="C333" s="201"/>
      <c r="D333" s="94"/>
      <c r="E333" s="321" t="s">
        <v>93</v>
      </c>
      <c r="F333" s="96"/>
      <c r="G333" s="100"/>
      <c r="H333" s="100"/>
      <c r="I333" s="100"/>
      <c r="J333" s="100"/>
      <c r="K333" s="100"/>
      <c r="L333" s="100"/>
      <c r="M333" s="210"/>
      <c r="N333" s="234">
        <f t="shared" ref="N333:N396" si="236">SUM(F333:L333)</f>
        <v>0</v>
      </c>
      <c r="O333" s="308"/>
      <c r="P333" s="343"/>
      <c r="Q333" s="309"/>
      <c r="R333" s="324" t="s">
        <v>67</v>
      </c>
      <c r="S333" s="209">
        <f t="shared" si="203"/>
        <v>0</v>
      </c>
      <c r="T333" s="209">
        <f t="shared" si="204"/>
        <v>0</v>
      </c>
      <c r="U333" s="209"/>
      <c r="V333" s="209">
        <f t="shared" si="205"/>
        <v>0</v>
      </c>
      <c r="W333" s="209"/>
      <c r="X333" s="209">
        <f t="shared" si="206"/>
        <v>0</v>
      </c>
      <c r="Y333" s="209">
        <f t="shared" si="207"/>
        <v>0</v>
      </c>
      <c r="Z333" s="351"/>
      <c r="AA333" s="234">
        <f t="shared" ref="AA333:AA396" si="237">SUM(S333:Y333)</f>
        <v>0</v>
      </c>
      <c r="AB333" s="314">
        <f t="shared" si="214"/>
        <v>0</v>
      </c>
      <c r="AC333" s="314"/>
      <c r="AD333" s="314">
        <f t="shared" si="215"/>
        <v>0</v>
      </c>
      <c r="AE333" s="324" t="s">
        <v>87</v>
      </c>
      <c r="AF333" s="82">
        <f t="shared" si="198"/>
        <v>0</v>
      </c>
      <c r="AG333" s="337">
        <f t="shared" si="199"/>
        <v>0</v>
      </c>
      <c r="AH333" s="337"/>
      <c r="AI333" s="337">
        <f t="shared" si="200"/>
        <v>0</v>
      </c>
      <c r="AJ333" s="337"/>
      <c r="AK333" s="337">
        <f t="shared" si="201"/>
        <v>0</v>
      </c>
      <c r="AL333" s="338">
        <f t="shared" si="202"/>
        <v>0</v>
      </c>
      <c r="AM333" s="354"/>
      <c r="AN333" s="91">
        <f t="shared" ref="AN333:AN396" si="238">SUM(AF333:AL333)</f>
        <v>0</v>
      </c>
      <c r="AO333" s="96">
        <f t="shared" si="216"/>
        <v>0</v>
      </c>
      <c r="AP333" s="210"/>
      <c r="AQ333" s="97">
        <f t="shared" si="217"/>
        <v>0</v>
      </c>
      <c r="AR333" s="105"/>
      <c r="AS333" s="102"/>
      <c r="AT333" s="237"/>
      <c r="AU333" s="231"/>
      <c r="AV333" s="93"/>
      <c r="AW333" s="231"/>
      <c r="AX333" s="93"/>
      <c r="AY333" s="231"/>
      <c r="AZ333" s="93"/>
      <c r="BA333" s="17">
        <f t="shared" si="208"/>
        <v>3.3299999999999996E-5</v>
      </c>
      <c r="BB333" s="17">
        <f t="shared" si="209"/>
        <v>0</v>
      </c>
      <c r="BC333" s="17"/>
      <c r="BD333" s="178">
        <v>324</v>
      </c>
      <c r="BE333" s="214">
        <f t="shared" si="218"/>
        <v>1.0399999999999999E-5</v>
      </c>
      <c r="BF333" s="178">
        <f t="shared" si="210"/>
        <v>0</v>
      </c>
      <c r="BG333" s="245">
        <f t="shared" si="211"/>
        <v>3.3299999999999996E-5</v>
      </c>
      <c r="BH333" s="17">
        <f t="shared" si="219"/>
        <v>0</v>
      </c>
      <c r="BI333" s="178">
        <v>324</v>
      </c>
      <c r="BJ333" s="87">
        <f t="shared" si="220"/>
        <v>8.6999999999999997E-6</v>
      </c>
      <c r="BK333" s="215">
        <f t="shared" si="212"/>
        <v>0</v>
      </c>
      <c r="BL333" s="245">
        <f t="shared" si="221"/>
        <v>3.3299999999999996E-5</v>
      </c>
      <c r="BM333" s="17">
        <f t="shared" si="222"/>
        <v>0</v>
      </c>
      <c r="BN333" s="178">
        <v>324</v>
      </c>
      <c r="BO333" s="87">
        <f t="shared" si="223"/>
        <v>8.6999999999999997E-6</v>
      </c>
      <c r="BP333" s="215">
        <f t="shared" si="213"/>
        <v>0</v>
      </c>
      <c r="BR333" s="126"/>
      <c r="BS333" s="126"/>
      <c r="BU333" s="178"/>
      <c r="BV333" s="179" t="str">
        <f t="shared" si="224"/>
        <v/>
      </c>
      <c r="BW333" s="179" t="str">
        <f t="shared" si="225"/>
        <v/>
      </c>
      <c r="BX333" s="179" t="str">
        <f t="shared" si="226"/>
        <v/>
      </c>
      <c r="BY333" s="179" t="str">
        <f t="shared" si="227"/>
        <v/>
      </c>
      <c r="BZ333" s="179" t="str">
        <f t="shared" si="228"/>
        <v/>
      </c>
      <c r="CA333" s="179" t="str">
        <f t="shared" si="229"/>
        <v/>
      </c>
      <c r="CB333" s="179" t="str">
        <f t="shared" si="230"/>
        <v/>
      </c>
      <c r="CC333" s="179" t="str">
        <f t="shared" si="231"/>
        <v/>
      </c>
      <c r="CD333" s="179" t="str">
        <f t="shared" si="232"/>
        <v/>
      </c>
      <c r="CE333" s="179" t="str">
        <f t="shared" si="233"/>
        <v/>
      </c>
      <c r="CF333" s="179" t="str">
        <f t="shared" si="234"/>
        <v/>
      </c>
      <c r="CG333" s="179" t="str">
        <f t="shared" si="235"/>
        <v/>
      </c>
      <c r="CH333" s="166"/>
      <c r="CI333" s="166"/>
      <c r="CJ333" s="166"/>
      <c r="CK333" s="166" t="s">
        <v>150</v>
      </c>
      <c r="CL333" s="166"/>
    </row>
    <row r="334" spans="1:90" ht="14.25" customHeight="1" thickBot="1" x14ac:dyDescent="0.3">
      <c r="A334" s="213">
        <v>324</v>
      </c>
      <c r="B334" s="89"/>
      <c r="C334" s="199"/>
      <c r="D334" s="146"/>
      <c r="E334" s="319" t="s">
        <v>93</v>
      </c>
      <c r="F334" s="221"/>
      <c r="G334" s="222"/>
      <c r="H334" s="222"/>
      <c r="I334" s="222"/>
      <c r="J334" s="222"/>
      <c r="K334" s="222"/>
      <c r="L334" s="222"/>
      <c r="M334" s="331"/>
      <c r="N334" s="303">
        <f t="shared" si="236"/>
        <v>0</v>
      </c>
      <c r="O334" s="304"/>
      <c r="P334" s="341"/>
      <c r="Q334" s="305"/>
      <c r="R334" s="322" t="s">
        <v>67</v>
      </c>
      <c r="S334" s="209">
        <f t="shared" si="203"/>
        <v>0</v>
      </c>
      <c r="T334" s="209">
        <f t="shared" si="204"/>
        <v>0</v>
      </c>
      <c r="U334" s="209"/>
      <c r="V334" s="209">
        <f t="shared" si="205"/>
        <v>0</v>
      </c>
      <c r="W334" s="209"/>
      <c r="X334" s="209">
        <f t="shared" si="206"/>
        <v>0</v>
      </c>
      <c r="Y334" s="209">
        <f t="shared" si="207"/>
        <v>0</v>
      </c>
      <c r="Z334" s="303"/>
      <c r="AA334" s="303">
        <f t="shared" si="237"/>
        <v>0</v>
      </c>
      <c r="AB334" s="314">
        <f t="shared" si="214"/>
        <v>0</v>
      </c>
      <c r="AC334" s="314"/>
      <c r="AD334" s="314">
        <f t="shared" si="215"/>
        <v>0</v>
      </c>
      <c r="AE334" s="325" t="s">
        <v>148</v>
      </c>
      <c r="AF334" s="15">
        <f t="shared" ref="AF334:AF397" si="239">ROUND(F334*$AF$8/$F$8,0)</f>
        <v>0</v>
      </c>
      <c r="AG334" s="232">
        <f t="shared" ref="AG334:AG397" si="240">ROUND(G334*$AG$8/$G$8,0)</f>
        <v>0</v>
      </c>
      <c r="AH334" s="232"/>
      <c r="AI334" s="232">
        <f t="shared" ref="AI334:AI397" si="241">ROUND(I334*$AI$8/$I$8,0)</f>
        <v>0</v>
      </c>
      <c r="AJ334" s="232"/>
      <c r="AK334" s="232">
        <f t="shared" ref="AK334:AK397" si="242">ROUND(K334*$AK$8/$K$8,0)</f>
        <v>0</v>
      </c>
      <c r="AL334" s="7">
        <f t="shared" ref="AL334:AL397" si="243">ROUND(L334*$AL$8/$L$8,0)</f>
        <v>0</v>
      </c>
      <c r="AM334" s="352"/>
      <c r="AN334" s="22">
        <f t="shared" si="238"/>
        <v>0</v>
      </c>
      <c r="AO334" s="15">
        <f t="shared" si="216"/>
        <v>0</v>
      </c>
      <c r="AP334" s="345"/>
      <c r="AQ334" s="7">
        <f t="shared" si="217"/>
        <v>0</v>
      </c>
      <c r="AR334" s="103"/>
      <c r="AS334" s="101"/>
      <c r="AT334" s="236"/>
      <c r="AU334" s="235"/>
      <c r="AV334" s="92"/>
      <c r="AW334" s="235"/>
      <c r="AX334" s="92"/>
      <c r="AY334" s="235"/>
      <c r="AZ334" s="92"/>
      <c r="BA334" s="17">
        <f t="shared" si="208"/>
        <v>3.3399999999999999E-5</v>
      </c>
      <c r="BB334" s="17">
        <f t="shared" si="209"/>
        <v>0</v>
      </c>
      <c r="BC334" s="17"/>
      <c r="BD334" s="178">
        <v>325</v>
      </c>
      <c r="BE334" s="214">
        <f t="shared" si="218"/>
        <v>1.03E-5</v>
      </c>
      <c r="BF334" s="178">
        <f t="shared" si="210"/>
        <v>0</v>
      </c>
      <c r="BG334" s="245">
        <f t="shared" si="211"/>
        <v>3.3399999999999999E-5</v>
      </c>
      <c r="BH334" s="17">
        <f t="shared" si="219"/>
        <v>0</v>
      </c>
      <c r="BI334" s="178">
        <v>325</v>
      </c>
      <c r="BJ334" s="87">
        <f t="shared" si="220"/>
        <v>8.599999999999999E-6</v>
      </c>
      <c r="BK334" s="215">
        <f t="shared" si="212"/>
        <v>0</v>
      </c>
      <c r="BL334" s="245">
        <f t="shared" si="221"/>
        <v>3.3399999999999999E-5</v>
      </c>
      <c r="BM334" s="17">
        <f t="shared" si="222"/>
        <v>0</v>
      </c>
      <c r="BN334" s="178">
        <v>325</v>
      </c>
      <c r="BO334" s="87">
        <f t="shared" si="223"/>
        <v>8.599999999999999E-6</v>
      </c>
      <c r="BP334" s="215">
        <f t="shared" si="213"/>
        <v>0</v>
      </c>
      <c r="BR334" s="126"/>
      <c r="BS334" s="126"/>
      <c r="BU334" s="178"/>
      <c r="BV334" s="179" t="str">
        <f t="shared" si="224"/>
        <v/>
      </c>
      <c r="BW334" s="179" t="str">
        <f t="shared" si="225"/>
        <v/>
      </c>
      <c r="BX334" s="179" t="str">
        <f t="shared" si="226"/>
        <v/>
      </c>
      <c r="BY334" s="179" t="str">
        <f t="shared" si="227"/>
        <v/>
      </c>
      <c r="BZ334" s="179" t="str">
        <f t="shared" si="228"/>
        <v/>
      </c>
      <c r="CA334" s="179" t="str">
        <f t="shared" si="229"/>
        <v/>
      </c>
      <c r="CB334" s="179" t="str">
        <f t="shared" si="230"/>
        <v/>
      </c>
      <c r="CC334" s="179" t="str">
        <f t="shared" si="231"/>
        <v/>
      </c>
      <c r="CD334" s="179" t="str">
        <f t="shared" si="232"/>
        <v/>
      </c>
      <c r="CE334" s="179" t="str">
        <f t="shared" si="233"/>
        <v/>
      </c>
      <c r="CF334" s="179" t="str">
        <f t="shared" si="234"/>
        <v/>
      </c>
      <c r="CG334" s="179" t="str">
        <f t="shared" si="235"/>
        <v/>
      </c>
      <c r="CH334" s="166"/>
      <c r="CI334" s="166"/>
      <c r="CJ334" s="166"/>
      <c r="CK334" s="166" t="s">
        <v>150</v>
      </c>
      <c r="CL334" s="166"/>
    </row>
    <row r="335" spans="1:90" ht="14.25" customHeight="1" x14ac:dyDescent="0.25">
      <c r="A335" s="211">
        <v>325</v>
      </c>
      <c r="B335" s="219"/>
      <c r="C335" s="200"/>
      <c r="D335" s="145"/>
      <c r="E335" s="320" t="s">
        <v>93</v>
      </c>
      <c r="F335" s="209"/>
      <c r="G335" s="313"/>
      <c r="H335" s="313"/>
      <c r="I335" s="313"/>
      <c r="J335" s="313"/>
      <c r="K335" s="313"/>
      <c r="L335" s="313"/>
      <c r="M335" s="339"/>
      <c r="N335" s="233">
        <f t="shared" si="236"/>
        <v>0</v>
      </c>
      <c r="O335" s="306"/>
      <c r="P335" s="342"/>
      <c r="Q335" s="307"/>
      <c r="R335" s="323" t="s">
        <v>67</v>
      </c>
      <c r="S335" s="209">
        <f t="shared" si="203"/>
        <v>0</v>
      </c>
      <c r="T335" s="209">
        <f t="shared" si="204"/>
        <v>0</v>
      </c>
      <c r="U335" s="209"/>
      <c r="V335" s="209">
        <f t="shared" si="205"/>
        <v>0</v>
      </c>
      <c r="W335" s="209"/>
      <c r="X335" s="209">
        <f t="shared" si="206"/>
        <v>0</v>
      </c>
      <c r="Y335" s="209">
        <f t="shared" si="207"/>
        <v>0</v>
      </c>
      <c r="Z335" s="233"/>
      <c r="AA335" s="233">
        <f t="shared" si="237"/>
        <v>0</v>
      </c>
      <c r="AB335" s="314">
        <f t="shared" si="214"/>
        <v>0</v>
      </c>
      <c r="AC335" s="314"/>
      <c r="AD335" s="314">
        <f t="shared" si="215"/>
        <v>0</v>
      </c>
      <c r="AE335" s="323" t="s">
        <v>87</v>
      </c>
      <c r="AF335" s="81">
        <f t="shared" si="239"/>
        <v>0</v>
      </c>
      <c r="AG335" s="335">
        <f t="shared" si="240"/>
        <v>0</v>
      </c>
      <c r="AH335" s="335"/>
      <c r="AI335" s="335">
        <f t="shared" si="241"/>
        <v>0</v>
      </c>
      <c r="AJ335" s="335"/>
      <c r="AK335" s="335">
        <f t="shared" si="242"/>
        <v>0</v>
      </c>
      <c r="AL335" s="336">
        <f t="shared" si="243"/>
        <v>0</v>
      </c>
      <c r="AM335" s="353"/>
      <c r="AN335" s="22">
        <f t="shared" si="238"/>
        <v>0</v>
      </c>
      <c r="AO335" s="209">
        <f t="shared" si="216"/>
        <v>0</v>
      </c>
      <c r="AP335" s="339"/>
      <c r="AQ335" s="125">
        <f t="shared" si="217"/>
        <v>0</v>
      </c>
      <c r="AR335" s="104"/>
      <c r="AS335" s="217"/>
      <c r="AT335" s="216"/>
      <c r="AU335" s="230"/>
      <c r="AV335" s="220"/>
      <c r="AW335" s="230"/>
      <c r="AX335" s="220"/>
      <c r="AY335" s="230"/>
      <c r="AZ335" s="220"/>
      <c r="BA335" s="17">
        <f t="shared" si="208"/>
        <v>3.3500000000000001E-5</v>
      </c>
      <c r="BB335" s="17">
        <f t="shared" si="209"/>
        <v>0</v>
      </c>
      <c r="BC335" s="17"/>
      <c r="BD335" s="178">
        <v>326</v>
      </c>
      <c r="BE335" s="214">
        <f t="shared" si="218"/>
        <v>1.0199999999999999E-5</v>
      </c>
      <c r="BF335" s="178">
        <f t="shared" si="210"/>
        <v>0</v>
      </c>
      <c r="BG335" s="245">
        <f t="shared" si="211"/>
        <v>3.3500000000000001E-5</v>
      </c>
      <c r="BH335" s="17">
        <f t="shared" si="219"/>
        <v>0</v>
      </c>
      <c r="BI335" s="178">
        <v>326</v>
      </c>
      <c r="BJ335" s="87">
        <f t="shared" si="220"/>
        <v>8.4999999999999999E-6</v>
      </c>
      <c r="BK335" s="215">
        <f t="shared" si="212"/>
        <v>0</v>
      </c>
      <c r="BL335" s="245">
        <f t="shared" si="221"/>
        <v>3.3500000000000001E-5</v>
      </c>
      <c r="BM335" s="17">
        <f t="shared" si="222"/>
        <v>0</v>
      </c>
      <c r="BN335" s="178">
        <v>326</v>
      </c>
      <c r="BO335" s="87">
        <f t="shared" si="223"/>
        <v>8.4999999999999999E-6</v>
      </c>
      <c r="BP335" s="215">
        <f t="shared" si="213"/>
        <v>0</v>
      </c>
      <c r="BR335" s="126"/>
      <c r="BS335" s="126"/>
      <c r="BU335" s="178"/>
      <c r="BV335" s="179" t="str">
        <f t="shared" si="224"/>
        <v/>
      </c>
      <c r="BW335" s="179" t="str">
        <f t="shared" si="225"/>
        <v/>
      </c>
      <c r="BX335" s="179" t="str">
        <f t="shared" si="226"/>
        <v/>
      </c>
      <c r="BY335" s="179" t="str">
        <f t="shared" si="227"/>
        <v/>
      </c>
      <c r="BZ335" s="179" t="str">
        <f t="shared" si="228"/>
        <v/>
      </c>
      <c r="CA335" s="179" t="str">
        <f t="shared" si="229"/>
        <v/>
      </c>
      <c r="CB335" s="179" t="str">
        <f t="shared" si="230"/>
        <v/>
      </c>
      <c r="CC335" s="179" t="str">
        <f t="shared" si="231"/>
        <v/>
      </c>
      <c r="CD335" s="179" t="str">
        <f t="shared" si="232"/>
        <v/>
      </c>
      <c r="CE335" s="179" t="str">
        <f t="shared" si="233"/>
        <v/>
      </c>
      <c r="CF335" s="179" t="str">
        <f t="shared" si="234"/>
        <v/>
      </c>
      <c r="CG335" s="179" t="str">
        <f t="shared" si="235"/>
        <v/>
      </c>
      <c r="CH335" s="166"/>
      <c r="CI335" s="166"/>
      <c r="CJ335" s="166"/>
      <c r="CK335" s="166" t="s">
        <v>150</v>
      </c>
      <c r="CL335" s="166"/>
    </row>
    <row r="336" spans="1:90" ht="14.25" customHeight="1" thickBot="1" x14ac:dyDescent="0.3">
      <c r="A336" s="213">
        <v>326</v>
      </c>
      <c r="B336" s="88"/>
      <c r="C336" s="201"/>
      <c r="D336" s="94"/>
      <c r="E336" s="321" t="s">
        <v>93</v>
      </c>
      <c r="F336" s="96"/>
      <c r="G336" s="100"/>
      <c r="H336" s="100"/>
      <c r="I336" s="100"/>
      <c r="J336" s="100"/>
      <c r="K336" s="100"/>
      <c r="L336" s="100"/>
      <c r="M336" s="210"/>
      <c r="N336" s="234">
        <f t="shared" si="236"/>
        <v>0</v>
      </c>
      <c r="O336" s="308"/>
      <c r="P336" s="343"/>
      <c r="Q336" s="309"/>
      <c r="R336" s="324" t="s">
        <v>67</v>
      </c>
      <c r="S336" s="209">
        <f t="shared" si="203"/>
        <v>0</v>
      </c>
      <c r="T336" s="209">
        <f t="shared" si="204"/>
        <v>0</v>
      </c>
      <c r="U336" s="209"/>
      <c r="V336" s="209">
        <f t="shared" si="205"/>
        <v>0</v>
      </c>
      <c r="W336" s="209"/>
      <c r="X336" s="209">
        <f t="shared" si="206"/>
        <v>0</v>
      </c>
      <c r="Y336" s="209">
        <f t="shared" si="207"/>
        <v>0</v>
      </c>
      <c r="Z336" s="351"/>
      <c r="AA336" s="234">
        <f t="shared" si="237"/>
        <v>0</v>
      </c>
      <c r="AB336" s="314">
        <f t="shared" si="214"/>
        <v>0</v>
      </c>
      <c r="AC336" s="314"/>
      <c r="AD336" s="314">
        <f t="shared" si="215"/>
        <v>0</v>
      </c>
      <c r="AE336" s="324" t="s">
        <v>87</v>
      </c>
      <c r="AF336" s="82">
        <f t="shared" si="239"/>
        <v>0</v>
      </c>
      <c r="AG336" s="337">
        <f t="shared" si="240"/>
        <v>0</v>
      </c>
      <c r="AH336" s="337"/>
      <c r="AI336" s="337">
        <f t="shared" si="241"/>
        <v>0</v>
      </c>
      <c r="AJ336" s="337"/>
      <c r="AK336" s="337">
        <f t="shared" si="242"/>
        <v>0</v>
      </c>
      <c r="AL336" s="338">
        <f t="shared" si="243"/>
        <v>0</v>
      </c>
      <c r="AM336" s="354"/>
      <c r="AN336" s="91">
        <f t="shared" si="238"/>
        <v>0</v>
      </c>
      <c r="AO336" s="96">
        <f t="shared" si="216"/>
        <v>0</v>
      </c>
      <c r="AP336" s="210"/>
      <c r="AQ336" s="97">
        <f t="shared" si="217"/>
        <v>0</v>
      </c>
      <c r="AR336" s="105"/>
      <c r="AS336" s="102"/>
      <c r="AT336" s="237"/>
      <c r="AU336" s="231"/>
      <c r="AV336" s="93"/>
      <c r="AW336" s="231"/>
      <c r="AX336" s="93"/>
      <c r="AY336" s="231"/>
      <c r="AZ336" s="93"/>
      <c r="BA336" s="17">
        <f t="shared" si="208"/>
        <v>3.3599999999999997E-5</v>
      </c>
      <c r="BB336" s="17">
        <f t="shared" si="209"/>
        <v>0</v>
      </c>
      <c r="BC336" s="17"/>
      <c r="BD336" s="178">
        <v>327</v>
      </c>
      <c r="BE336" s="214">
        <f t="shared" si="218"/>
        <v>1.01E-5</v>
      </c>
      <c r="BF336" s="178">
        <f t="shared" si="210"/>
        <v>0</v>
      </c>
      <c r="BG336" s="245">
        <f t="shared" si="211"/>
        <v>3.3599999999999997E-5</v>
      </c>
      <c r="BH336" s="17">
        <f t="shared" si="219"/>
        <v>0</v>
      </c>
      <c r="BI336" s="178">
        <v>327</v>
      </c>
      <c r="BJ336" s="87">
        <f t="shared" si="220"/>
        <v>8.3999999999999992E-6</v>
      </c>
      <c r="BK336" s="215">
        <f t="shared" si="212"/>
        <v>0</v>
      </c>
      <c r="BL336" s="245">
        <f t="shared" si="221"/>
        <v>3.3599999999999997E-5</v>
      </c>
      <c r="BM336" s="17">
        <f t="shared" si="222"/>
        <v>0</v>
      </c>
      <c r="BN336" s="178">
        <v>327</v>
      </c>
      <c r="BO336" s="87">
        <f t="shared" si="223"/>
        <v>8.3999999999999992E-6</v>
      </c>
      <c r="BP336" s="215">
        <f t="shared" si="213"/>
        <v>0</v>
      </c>
      <c r="BR336" s="126"/>
      <c r="BS336" s="126"/>
      <c r="BU336" s="178"/>
      <c r="BV336" s="179" t="str">
        <f t="shared" si="224"/>
        <v/>
      </c>
      <c r="BW336" s="179" t="str">
        <f t="shared" si="225"/>
        <v/>
      </c>
      <c r="BX336" s="179" t="str">
        <f t="shared" si="226"/>
        <v/>
      </c>
      <c r="BY336" s="179" t="str">
        <f t="shared" si="227"/>
        <v/>
      </c>
      <c r="BZ336" s="179" t="str">
        <f t="shared" si="228"/>
        <v/>
      </c>
      <c r="CA336" s="179" t="str">
        <f t="shared" si="229"/>
        <v/>
      </c>
      <c r="CB336" s="179" t="str">
        <f t="shared" si="230"/>
        <v/>
      </c>
      <c r="CC336" s="179" t="str">
        <f t="shared" si="231"/>
        <v/>
      </c>
      <c r="CD336" s="179" t="str">
        <f t="shared" si="232"/>
        <v/>
      </c>
      <c r="CE336" s="179" t="str">
        <f t="shared" si="233"/>
        <v/>
      </c>
      <c r="CF336" s="179" t="str">
        <f t="shared" si="234"/>
        <v/>
      </c>
      <c r="CG336" s="179" t="str">
        <f t="shared" si="235"/>
        <v/>
      </c>
      <c r="CH336" s="166"/>
      <c r="CI336" s="166"/>
      <c r="CJ336" s="166"/>
      <c r="CK336" s="166" t="s">
        <v>150</v>
      </c>
      <c r="CL336" s="166"/>
    </row>
    <row r="337" spans="1:90" ht="14.25" customHeight="1" x14ac:dyDescent="0.25">
      <c r="A337" s="211">
        <v>327</v>
      </c>
      <c r="B337" s="89"/>
      <c r="C337" s="199"/>
      <c r="D337" s="146"/>
      <c r="E337" s="319" t="s">
        <v>93</v>
      </c>
      <c r="F337" s="221"/>
      <c r="G337" s="222"/>
      <c r="H337" s="222"/>
      <c r="I337" s="222"/>
      <c r="J337" s="222"/>
      <c r="K337" s="222"/>
      <c r="L337" s="222"/>
      <c r="M337" s="331"/>
      <c r="N337" s="303">
        <f t="shared" si="236"/>
        <v>0</v>
      </c>
      <c r="O337" s="304"/>
      <c r="P337" s="341"/>
      <c r="Q337" s="305"/>
      <c r="R337" s="322" t="s">
        <v>67</v>
      </c>
      <c r="S337" s="209">
        <f t="shared" si="203"/>
        <v>0</v>
      </c>
      <c r="T337" s="209">
        <f t="shared" si="204"/>
        <v>0</v>
      </c>
      <c r="U337" s="209"/>
      <c r="V337" s="209">
        <f t="shared" si="205"/>
        <v>0</v>
      </c>
      <c r="W337" s="209"/>
      <c r="X337" s="209">
        <f t="shared" si="206"/>
        <v>0</v>
      </c>
      <c r="Y337" s="209">
        <f t="shared" si="207"/>
        <v>0</v>
      </c>
      <c r="Z337" s="303"/>
      <c r="AA337" s="303">
        <f t="shared" si="237"/>
        <v>0</v>
      </c>
      <c r="AB337" s="314">
        <f t="shared" si="214"/>
        <v>0</v>
      </c>
      <c r="AC337" s="314"/>
      <c r="AD337" s="314">
        <f t="shared" si="215"/>
        <v>0</v>
      </c>
      <c r="AE337" s="325" t="s">
        <v>148</v>
      </c>
      <c r="AF337" s="15">
        <f t="shared" si="239"/>
        <v>0</v>
      </c>
      <c r="AG337" s="232">
        <f t="shared" si="240"/>
        <v>0</v>
      </c>
      <c r="AH337" s="232"/>
      <c r="AI337" s="232">
        <f t="shared" si="241"/>
        <v>0</v>
      </c>
      <c r="AJ337" s="232"/>
      <c r="AK337" s="232">
        <f t="shared" si="242"/>
        <v>0</v>
      </c>
      <c r="AL337" s="7">
        <f t="shared" si="243"/>
        <v>0</v>
      </c>
      <c r="AM337" s="352"/>
      <c r="AN337" s="22">
        <f t="shared" si="238"/>
        <v>0</v>
      </c>
      <c r="AO337" s="15">
        <f t="shared" si="216"/>
        <v>0</v>
      </c>
      <c r="AP337" s="345"/>
      <c r="AQ337" s="7">
        <f t="shared" si="217"/>
        <v>0</v>
      </c>
      <c r="AR337" s="103"/>
      <c r="AS337" s="101"/>
      <c r="AT337" s="236"/>
      <c r="AU337" s="235"/>
      <c r="AV337" s="92"/>
      <c r="AW337" s="235"/>
      <c r="AX337" s="92"/>
      <c r="AY337" s="235"/>
      <c r="AZ337" s="92"/>
      <c r="BA337" s="17">
        <f t="shared" si="208"/>
        <v>3.3699999999999999E-5</v>
      </c>
      <c r="BB337" s="17">
        <f t="shared" si="209"/>
        <v>0</v>
      </c>
      <c r="BC337" s="17"/>
      <c r="BD337" s="178">
        <v>328</v>
      </c>
      <c r="BE337" s="214">
        <f t="shared" si="218"/>
        <v>9.9999999999999991E-6</v>
      </c>
      <c r="BF337" s="178">
        <f t="shared" si="210"/>
        <v>0</v>
      </c>
      <c r="BG337" s="245">
        <f t="shared" si="211"/>
        <v>3.3699999999999999E-5</v>
      </c>
      <c r="BH337" s="17">
        <f t="shared" si="219"/>
        <v>0</v>
      </c>
      <c r="BI337" s="178">
        <v>328</v>
      </c>
      <c r="BJ337" s="87">
        <f t="shared" si="220"/>
        <v>8.3000000000000002E-6</v>
      </c>
      <c r="BK337" s="215">
        <f t="shared" si="212"/>
        <v>0</v>
      </c>
      <c r="BL337" s="245">
        <f t="shared" si="221"/>
        <v>3.3699999999999999E-5</v>
      </c>
      <c r="BM337" s="17">
        <f t="shared" si="222"/>
        <v>0</v>
      </c>
      <c r="BN337" s="178">
        <v>328</v>
      </c>
      <c r="BO337" s="87">
        <f t="shared" si="223"/>
        <v>8.3000000000000002E-6</v>
      </c>
      <c r="BP337" s="215">
        <f t="shared" si="213"/>
        <v>0</v>
      </c>
      <c r="BR337" s="126"/>
      <c r="BS337" s="126"/>
      <c r="BU337" s="178"/>
      <c r="BV337" s="179" t="str">
        <f t="shared" si="224"/>
        <v/>
      </c>
      <c r="BW337" s="179" t="str">
        <f t="shared" si="225"/>
        <v/>
      </c>
      <c r="BX337" s="179" t="str">
        <f t="shared" si="226"/>
        <v/>
      </c>
      <c r="BY337" s="179" t="str">
        <f t="shared" si="227"/>
        <v/>
      </c>
      <c r="BZ337" s="179" t="str">
        <f t="shared" si="228"/>
        <v/>
      </c>
      <c r="CA337" s="179" t="str">
        <f t="shared" si="229"/>
        <v/>
      </c>
      <c r="CB337" s="179" t="str">
        <f t="shared" si="230"/>
        <v/>
      </c>
      <c r="CC337" s="179" t="str">
        <f t="shared" si="231"/>
        <v/>
      </c>
      <c r="CD337" s="179" t="str">
        <f t="shared" si="232"/>
        <v/>
      </c>
      <c r="CE337" s="179" t="str">
        <f t="shared" si="233"/>
        <v/>
      </c>
      <c r="CF337" s="179" t="str">
        <f t="shared" si="234"/>
        <v/>
      </c>
      <c r="CG337" s="179" t="str">
        <f t="shared" si="235"/>
        <v/>
      </c>
      <c r="CH337" s="166"/>
      <c r="CI337" s="166"/>
      <c r="CJ337" s="166"/>
      <c r="CK337" s="166" t="s">
        <v>150</v>
      </c>
      <c r="CL337" s="166"/>
    </row>
    <row r="338" spans="1:90" ht="14.25" customHeight="1" thickBot="1" x14ac:dyDescent="0.3">
      <c r="A338" s="213">
        <v>328</v>
      </c>
      <c r="B338" s="219"/>
      <c r="C338" s="200"/>
      <c r="D338" s="145"/>
      <c r="E338" s="320" t="s">
        <v>93</v>
      </c>
      <c r="F338" s="209"/>
      <c r="G338" s="313"/>
      <c r="H338" s="313"/>
      <c r="I338" s="313"/>
      <c r="J338" s="313"/>
      <c r="K338" s="313"/>
      <c r="L338" s="313"/>
      <c r="M338" s="339"/>
      <c r="N338" s="233">
        <f t="shared" si="236"/>
        <v>0</v>
      </c>
      <c r="O338" s="306"/>
      <c r="P338" s="342"/>
      <c r="Q338" s="307"/>
      <c r="R338" s="323" t="s">
        <v>67</v>
      </c>
      <c r="S338" s="209">
        <f t="shared" si="203"/>
        <v>0</v>
      </c>
      <c r="T338" s="209">
        <f t="shared" si="204"/>
        <v>0</v>
      </c>
      <c r="U338" s="209"/>
      <c r="V338" s="209">
        <f t="shared" si="205"/>
        <v>0</v>
      </c>
      <c r="W338" s="209"/>
      <c r="X338" s="209">
        <f t="shared" si="206"/>
        <v>0</v>
      </c>
      <c r="Y338" s="209">
        <f t="shared" si="207"/>
        <v>0</v>
      </c>
      <c r="Z338" s="233"/>
      <c r="AA338" s="233">
        <f t="shared" si="237"/>
        <v>0</v>
      </c>
      <c r="AB338" s="314">
        <f t="shared" si="214"/>
        <v>0</v>
      </c>
      <c r="AC338" s="314"/>
      <c r="AD338" s="314">
        <f t="shared" si="215"/>
        <v>0</v>
      </c>
      <c r="AE338" s="323" t="s">
        <v>87</v>
      </c>
      <c r="AF338" s="81">
        <f t="shared" si="239"/>
        <v>0</v>
      </c>
      <c r="AG338" s="335">
        <f t="shared" si="240"/>
        <v>0</v>
      </c>
      <c r="AH338" s="335"/>
      <c r="AI338" s="335">
        <f t="shared" si="241"/>
        <v>0</v>
      </c>
      <c r="AJ338" s="335"/>
      <c r="AK338" s="335">
        <f t="shared" si="242"/>
        <v>0</v>
      </c>
      <c r="AL338" s="336">
        <f t="shared" si="243"/>
        <v>0</v>
      </c>
      <c r="AM338" s="353"/>
      <c r="AN338" s="22">
        <f t="shared" si="238"/>
        <v>0</v>
      </c>
      <c r="AO338" s="209">
        <f t="shared" si="216"/>
        <v>0</v>
      </c>
      <c r="AP338" s="339"/>
      <c r="AQ338" s="125">
        <f t="shared" si="217"/>
        <v>0</v>
      </c>
      <c r="AR338" s="104"/>
      <c r="AS338" s="217"/>
      <c r="AT338" s="216"/>
      <c r="AU338" s="230"/>
      <c r="AV338" s="220"/>
      <c r="AW338" s="230"/>
      <c r="AX338" s="220"/>
      <c r="AY338" s="230"/>
      <c r="AZ338" s="220"/>
      <c r="BA338" s="17">
        <f t="shared" si="208"/>
        <v>3.3800000000000002E-5</v>
      </c>
      <c r="BB338" s="17">
        <f t="shared" si="209"/>
        <v>0</v>
      </c>
      <c r="BC338" s="17"/>
      <c r="BD338" s="178">
        <v>329</v>
      </c>
      <c r="BE338" s="214">
        <f t="shared" si="218"/>
        <v>9.9000000000000001E-6</v>
      </c>
      <c r="BF338" s="178">
        <f t="shared" si="210"/>
        <v>0</v>
      </c>
      <c r="BG338" s="245">
        <f t="shared" si="211"/>
        <v>3.3800000000000002E-5</v>
      </c>
      <c r="BH338" s="17">
        <f t="shared" si="219"/>
        <v>0</v>
      </c>
      <c r="BI338" s="178">
        <v>329</v>
      </c>
      <c r="BJ338" s="87">
        <f t="shared" si="220"/>
        <v>8.1999999999999994E-6</v>
      </c>
      <c r="BK338" s="215">
        <f t="shared" si="212"/>
        <v>0</v>
      </c>
      <c r="BL338" s="245">
        <f t="shared" si="221"/>
        <v>3.3800000000000002E-5</v>
      </c>
      <c r="BM338" s="17">
        <f t="shared" si="222"/>
        <v>0</v>
      </c>
      <c r="BN338" s="178">
        <v>329</v>
      </c>
      <c r="BO338" s="87">
        <f t="shared" si="223"/>
        <v>8.1999999999999994E-6</v>
      </c>
      <c r="BP338" s="215">
        <f t="shared" si="213"/>
        <v>0</v>
      </c>
      <c r="BR338" s="126"/>
      <c r="BS338" s="126"/>
      <c r="BU338" s="178"/>
      <c r="BV338" s="179" t="str">
        <f t="shared" si="224"/>
        <v/>
      </c>
      <c r="BW338" s="179" t="str">
        <f t="shared" si="225"/>
        <v/>
      </c>
      <c r="BX338" s="179" t="str">
        <f t="shared" si="226"/>
        <v/>
      </c>
      <c r="BY338" s="179" t="str">
        <f t="shared" si="227"/>
        <v/>
      </c>
      <c r="BZ338" s="179" t="str">
        <f t="shared" si="228"/>
        <v/>
      </c>
      <c r="CA338" s="179" t="str">
        <f t="shared" si="229"/>
        <v/>
      </c>
      <c r="CB338" s="179" t="str">
        <f t="shared" si="230"/>
        <v/>
      </c>
      <c r="CC338" s="179" t="str">
        <f t="shared" si="231"/>
        <v/>
      </c>
      <c r="CD338" s="179" t="str">
        <f t="shared" si="232"/>
        <v/>
      </c>
      <c r="CE338" s="179" t="str">
        <f t="shared" si="233"/>
        <v/>
      </c>
      <c r="CF338" s="179" t="str">
        <f t="shared" si="234"/>
        <v/>
      </c>
      <c r="CG338" s="179" t="str">
        <f t="shared" si="235"/>
        <v/>
      </c>
      <c r="CH338" s="166"/>
      <c r="CI338" s="166"/>
      <c r="CJ338" s="166"/>
      <c r="CK338" s="166" t="s">
        <v>150</v>
      </c>
      <c r="CL338" s="166"/>
    </row>
    <row r="339" spans="1:90" ht="14.25" customHeight="1" thickBot="1" x14ac:dyDescent="0.3">
      <c r="A339" s="211">
        <v>329</v>
      </c>
      <c r="B339" s="88"/>
      <c r="C339" s="201"/>
      <c r="D339" s="94"/>
      <c r="E339" s="321" t="s">
        <v>93</v>
      </c>
      <c r="F339" s="96"/>
      <c r="G339" s="100"/>
      <c r="H339" s="100"/>
      <c r="I339" s="100"/>
      <c r="J339" s="100"/>
      <c r="K339" s="100"/>
      <c r="L339" s="100"/>
      <c r="M339" s="210"/>
      <c r="N339" s="234">
        <f t="shared" si="236"/>
        <v>0</v>
      </c>
      <c r="O339" s="308"/>
      <c r="P339" s="343"/>
      <c r="Q339" s="309"/>
      <c r="R339" s="324" t="s">
        <v>67</v>
      </c>
      <c r="S339" s="209">
        <f t="shared" si="203"/>
        <v>0</v>
      </c>
      <c r="T339" s="209">
        <f t="shared" si="204"/>
        <v>0</v>
      </c>
      <c r="U339" s="209"/>
      <c r="V339" s="209">
        <f t="shared" si="205"/>
        <v>0</v>
      </c>
      <c r="W339" s="209"/>
      <c r="X339" s="209">
        <f t="shared" si="206"/>
        <v>0</v>
      </c>
      <c r="Y339" s="209">
        <f t="shared" si="207"/>
        <v>0</v>
      </c>
      <c r="Z339" s="351"/>
      <c r="AA339" s="234">
        <f t="shared" si="237"/>
        <v>0</v>
      </c>
      <c r="AB339" s="314">
        <f t="shared" si="214"/>
        <v>0</v>
      </c>
      <c r="AC339" s="314"/>
      <c r="AD339" s="314">
        <f t="shared" si="215"/>
        <v>0</v>
      </c>
      <c r="AE339" s="324" t="s">
        <v>87</v>
      </c>
      <c r="AF339" s="82">
        <f t="shared" si="239"/>
        <v>0</v>
      </c>
      <c r="AG339" s="337">
        <f t="shared" si="240"/>
        <v>0</v>
      </c>
      <c r="AH339" s="337"/>
      <c r="AI339" s="337">
        <f t="shared" si="241"/>
        <v>0</v>
      </c>
      <c r="AJ339" s="337"/>
      <c r="AK339" s="337">
        <f t="shared" si="242"/>
        <v>0</v>
      </c>
      <c r="AL339" s="338">
        <f t="shared" si="243"/>
        <v>0</v>
      </c>
      <c r="AM339" s="354"/>
      <c r="AN339" s="91">
        <f t="shared" si="238"/>
        <v>0</v>
      </c>
      <c r="AO339" s="96">
        <f t="shared" si="216"/>
        <v>0</v>
      </c>
      <c r="AP339" s="210"/>
      <c r="AQ339" s="97">
        <f t="shared" si="217"/>
        <v>0</v>
      </c>
      <c r="AR339" s="105"/>
      <c r="AS339" s="102"/>
      <c r="AT339" s="237"/>
      <c r="AU339" s="231"/>
      <c r="AV339" s="93"/>
      <c r="AW339" s="231"/>
      <c r="AX339" s="93"/>
      <c r="AY339" s="231"/>
      <c r="AZ339" s="93"/>
      <c r="BA339" s="17">
        <f t="shared" si="208"/>
        <v>3.3899999999999997E-5</v>
      </c>
      <c r="BB339" s="17">
        <f t="shared" si="209"/>
        <v>0</v>
      </c>
      <c r="BC339" s="17"/>
      <c r="BD339" s="178">
        <v>330</v>
      </c>
      <c r="BE339" s="214">
        <f t="shared" si="218"/>
        <v>9.7999999999999993E-6</v>
      </c>
      <c r="BF339" s="178">
        <f t="shared" si="210"/>
        <v>0</v>
      </c>
      <c r="BG339" s="245">
        <f t="shared" si="211"/>
        <v>3.3899999999999997E-5</v>
      </c>
      <c r="BH339" s="17">
        <f t="shared" si="219"/>
        <v>0</v>
      </c>
      <c r="BI339" s="178">
        <v>330</v>
      </c>
      <c r="BJ339" s="87">
        <f t="shared" si="220"/>
        <v>8.1000000000000004E-6</v>
      </c>
      <c r="BK339" s="215">
        <f t="shared" si="212"/>
        <v>0</v>
      </c>
      <c r="BL339" s="245">
        <f t="shared" si="221"/>
        <v>3.3899999999999997E-5</v>
      </c>
      <c r="BM339" s="17">
        <f t="shared" si="222"/>
        <v>0</v>
      </c>
      <c r="BN339" s="178">
        <v>330</v>
      </c>
      <c r="BO339" s="87">
        <f t="shared" si="223"/>
        <v>8.1000000000000004E-6</v>
      </c>
      <c r="BP339" s="215">
        <f t="shared" si="213"/>
        <v>0</v>
      </c>
      <c r="BR339" s="126"/>
      <c r="BS339" s="126"/>
      <c r="BU339" s="178"/>
      <c r="BV339" s="179" t="str">
        <f t="shared" si="224"/>
        <v/>
      </c>
      <c r="BW339" s="179" t="str">
        <f t="shared" si="225"/>
        <v/>
      </c>
      <c r="BX339" s="179" t="str">
        <f t="shared" si="226"/>
        <v/>
      </c>
      <c r="BY339" s="179" t="str">
        <f t="shared" si="227"/>
        <v/>
      </c>
      <c r="BZ339" s="179" t="str">
        <f t="shared" si="228"/>
        <v/>
      </c>
      <c r="CA339" s="179" t="str">
        <f t="shared" si="229"/>
        <v/>
      </c>
      <c r="CB339" s="179" t="str">
        <f t="shared" si="230"/>
        <v/>
      </c>
      <c r="CC339" s="179" t="str">
        <f t="shared" si="231"/>
        <v/>
      </c>
      <c r="CD339" s="179" t="str">
        <f t="shared" si="232"/>
        <v/>
      </c>
      <c r="CE339" s="179" t="str">
        <f t="shared" si="233"/>
        <v/>
      </c>
      <c r="CF339" s="179" t="str">
        <f t="shared" si="234"/>
        <v/>
      </c>
      <c r="CG339" s="179" t="str">
        <f t="shared" si="235"/>
        <v/>
      </c>
      <c r="CH339" s="166"/>
      <c r="CI339" s="166"/>
      <c r="CJ339" s="166"/>
      <c r="CK339" s="166" t="s">
        <v>150</v>
      </c>
      <c r="CL339" s="166"/>
    </row>
    <row r="340" spans="1:90" ht="14.25" customHeight="1" thickBot="1" x14ac:dyDescent="0.3">
      <c r="A340" s="213">
        <v>330</v>
      </c>
      <c r="B340" s="89"/>
      <c r="C340" s="199"/>
      <c r="D340" s="146"/>
      <c r="E340" s="319" t="s">
        <v>93</v>
      </c>
      <c r="F340" s="221"/>
      <c r="G340" s="222"/>
      <c r="H340" s="222"/>
      <c r="I340" s="222"/>
      <c r="J340" s="222"/>
      <c r="K340" s="222"/>
      <c r="L340" s="222"/>
      <c r="M340" s="331"/>
      <c r="N340" s="303">
        <f t="shared" si="236"/>
        <v>0</v>
      </c>
      <c r="O340" s="304"/>
      <c r="P340" s="341"/>
      <c r="Q340" s="305"/>
      <c r="R340" s="322" t="s">
        <v>67</v>
      </c>
      <c r="S340" s="209">
        <f t="shared" si="203"/>
        <v>0</v>
      </c>
      <c r="T340" s="209">
        <f t="shared" si="204"/>
        <v>0</v>
      </c>
      <c r="U340" s="209"/>
      <c r="V340" s="209">
        <f t="shared" si="205"/>
        <v>0</v>
      </c>
      <c r="W340" s="209"/>
      <c r="X340" s="209">
        <f t="shared" si="206"/>
        <v>0</v>
      </c>
      <c r="Y340" s="209">
        <f t="shared" si="207"/>
        <v>0</v>
      </c>
      <c r="Z340" s="303"/>
      <c r="AA340" s="303">
        <f t="shared" si="237"/>
        <v>0</v>
      </c>
      <c r="AB340" s="314">
        <f t="shared" si="214"/>
        <v>0</v>
      </c>
      <c r="AC340" s="314"/>
      <c r="AD340" s="314">
        <f t="shared" si="215"/>
        <v>0</v>
      </c>
      <c r="AE340" s="325" t="s">
        <v>148</v>
      </c>
      <c r="AF340" s="15">
        <f t="shared" si="239"/>
        <v>0</v>
      </c>
      <c r="AG340" s="232">
        <f t="shared" si="240"/>
        <v>0</v>
      </c>
      <c r="AH340" s="232"/>
      <c r="AI340" s="232">
        <f t="shared" si="241"/>
        <v>0</v>
      </c>
      <c r="AJ340" s="232"/>
      <c r="AK340" s="232">
        <f t="shared" si="242"/>
        <v>0</v>
      </c>
      <c r="AL340" s="7">
        <f t="shared" si="243"/>
        <v>0</v>
      </c>
      <c r="AM340" s="352"/>
      <c r="AN340" s="22">
        <f t="shared" si="238"/>
        <v>0</v>
      </c>
      <c r="AO340" s="15">
        <f t="shared" si="216"/>
        <v>0</v>
      </c>
      <c r="AP340" s="345"/>
      <c r="AQ340" s="7">
        <f t="shared" si="217"/>
        <v>0</v>
      </c>
      <c r="AR340" s="103"/>
      <c r="AS340" s="101"/>
      <c r="AT340" s="236"/>
      <c r="AU340" s="235"/>
      <c r="AV340" s="92"/>
      <c r="AW340" s="235"/>
      <c r="AX340" s="92"/>
      <c r="AY340" s="235"/>
      <c r="AZ340" s="92"/>
      <c r="BA340" s="17">
        <f t="shared" si="208"/>
        <v>3.4E-5</v>
      </c>
      <c r="BB340" s="17">
        <f t="shared" si="209"/>
        <v>0</v>
      </c>
      <c r="BC340" s="17"/>
      <c r="BD340" s="178">
        <v>331</v>
      </c>
      <c r="BE340" s="214">
        <f t="shared" si="218"/>
        <v>9.7000000000000003E-6</v>
      </c>
      <c r="BF340" s="178">
        <f t="shared" si="210"/>
        <v>0</v>
      </c>
      <c r="BG340" s="245">
        <f t="shared" si="211"/>
        <v>3.4E-5</v>
      </c>
      <c r="BH340" s="17">
        <f t="shared" si="219"/>
        <v>0</v>
      </c>
      <c r="BI340" s="178">
        <v>331</v>
      </c>
      <c r="BJ340" s="87">
        <f t="shared" si="220"/>
        <v>7.9999999999999996E-6</v>
      </c>
      <c r="BK340" s="215">
        <f t="shared" si="212"/>
        <v>0</v>
      </c>
      <c r="BL340" s="245">
        <f t="shared" si="221"/>
        <v>3.4E-5</v>
      </c>
      <c r="BM340" s="17">
        <f t="shared" si="222"/>
        <v>0</v>
      </c>
      <c r="BN340" s="178">
        <v>331</v>
      </c>
      <c r="BO340" s="87">
        <f t="shared" si="223"/>
        <v>7.9999999999999996E-6</v>
      </c>
      <c r="BP340" s="215">
        <f t="shared" si="213"/>
        <v>0</v>
      </c>
      <c r="BR340" s="126"/>
      <c r="BS340" s="126"/>
      <c r="BU340" s="178"/>
      <c r="BV340" s="179" t="str">
        <f t="shared" si="224"/>
        <v/>
      </c>
      <c r="BW340" s="179" t="str">
        <f t="shared" si="225"/>
        <v/>
      </c>
      <c r="BX340" s="179" t="str">
        <f t="shared" si="226"/>
        <v/>
      </c>
      <c r="BY340" s="179" t="str">
        <f t="shared" si="227"/>
        <v/>
      </c>
      <c r="BZ340" s="179" t="str">
        <f t="shared" si="228"/>
        <v/>
      </c>
      <c r="CA340" s="179" t="str">
        <f t="shared" si="229"/>
        <v/>
      </c>
      <c r="CB340" s="179" t="str">
        <f t="shared" si="230"/>
        <v/>
      </c>
      <c r="CC340" s="179" t="str">
        <f t="shared" si="231"/>
        <v/>
      </c>
      <c r="CD340" s="179" t="str">
        <f t="shared" si="232"/>
        <v/>
      </c>
      <c r="CE340" s="179" t="str">
        <f t="shared" si="233"/>
        <v/>
      </c>
      <c r="CF340" s="179" t="str">
        <f t="shared" si="234"/>
        <v/>
      </c>
      <c r="CG340" s="179" t="str">
        <f t="shared" si="235"/>
        <v/>
      </c>
      <c r="CH340" s="166"/>
      <c r="CI340" s="166"/>
      <c r="CJ340" s="166"/>
      <c r="CK340" s="166" t="s">
        <v>150</v>
      </c>
      <c r="CL340" s="166"/>
    </row>
    <row r="341" spans="1:90" ht="14.25" customHeight="1" x14ac:dyDescent="0.25">
      <c r="A341" s="211">
        <v>331</v>
      </c>
      <c r="B341" s="219"/>
      <c r="C341" s="200"/>
      <c r="D341" s="145"/>
      <c r="E341" s="320" t="s">
        <v>93</v>
      </c>
      <c r="F341" s="209"/>
      <c r="G341" s="313"/>
      <c r="H341" s="313"/>
      <c r="I341" s="313"/>
      <c r="J341" s="313"/>
      <c r="K341" s="313"/>
      <c r="L341" s="313"/>
      <c r="M341" s="339"/>
      <c r="N341" s="233">
        <f t="shared" si="236"/>
        <v>0</v>
      </c>
      <c r="O341" s="306"/>
      <c r="P341" s="342"/>
      <c r="Q341" s="307"/>
      <c r="R341" s="323" t="s">
        <v>67</v>
      </c>
      <c r="S341" s="209">
        <f t="shared" si="203"/>
        <v>0</v>
      </c>
      <c r="T341" s="209">
        <f t="shared" si="204"/>
        <v>0</v>
      </c>
      <c r="U341" s="209"/>
      <c r="V341" s="209">
        <f t="shared" si="205"/>
        <v>0</v>
      </c>
      <c r="W341" s="209"/>
      <c r="X341" s="209">
        <f t="shared" si="206"/>
        <v>0</v>
      </c>
      <c r="Y341" s="209">
        <f t="shared" si="207"/>
        <v>0</v>
      </c>
      <c r="Z341" s="233"/>
      <c r="AA341" s="233">
        <f t="shared" si="237"/>
        <v>0</v>
      </c>
      <c r="AB341" s="314">
        <f t="shared" si="214"/>
        <v>0</v>
      </c>
      <c r="AC341" s="314"/>
      <c r="AD341" s="314">
        <f t="shared" si="215"/>
        <v>0</v>
      </c>
      <c r="AE341" s="323" t="s">
        <v>87</v>
      </c>
      <c r="AF341" s="81">
        <f t="shared" si="239"/>
        <v>0</v>
      </c>
      <c r="AG341" s="335">
        <f t="shared" si="240"/>
        <v>0</v>
      </c>
      <c r="AH341" s="335"/>
      <c r="AI341" s="335">
        <f t="shared" si="241"/>
        <v>0</v>
      </c>
      <c r="AJ341" s="335"/>
      <c r="AK341" s="335">
        <f t="shared" si="242"/>
        <v>0</v>
      </c>
      <c r="AL341" s="336">
        <f t="shared" si="243"/>
        <v>0</v>
      </c>
      <c r="AM341" s="353"/>
      <c r="AN341" s="22">
        <f t="shared" si="238"/>
        <v>0</v>
      </c>
      <c r="AO341" s="209">
        <f t="shared" si="216"/>
        <v>0</v>
      </c>
      <c r="AP341" s="339"/>
      <c r="AQ341" s="125">
        <f t="shared" si="217"/>
        <v>0</v>
      </c>
      <c r="AR341" s="104"/>
      <c r="AS341" s="217"/>
      <c r="AT341" s="216"/>
      <c r="AU341" s="230"/>
      <c r="AV341" s="220"/>
      <c r="AW341" s="230"/>
      <c r="AX341" s="220"/>
      <c r="AY341" s="230"/>
      <c r="AZ341" s="220"/>
      <c r="BA341" s="17">
        <f t="shared" si="208"/>
        <v>3.4099999999999995E-5</v>
      </c>
      <c r="BB341" s="17">
        <f t="shared" si="209"/>
        <v>0</v>
      </c>
      <c r="BC341" s="17"/>
      <c r="BD341" s="178">
        <v>332</v>
      </c>
      <c r="BE341" s="214">
        <f t="shared" si="218"/>
        <v>9.5999999999999996E-6</v>
      </c>
      <c r="BF341" s="178">
        <f t="shared" si="210"/>
        <v>0</v>
      </c>
      <c r="BG341" s="245">
        <f t="shared" si="211"/>
        <v>3.4099999999999995E-5</v>
      </c>
      <c r="BH341" s="17">
        <f t="shared" si="219"/>
        <v>0</v>
      </c>
      <c r="BI341" s="178">
        <v>332</v>
      </c>
      <c r="BJ341" s="87">
        <f t="shared" si="220"/>
        <v>7.8999999999999989E-6</v>
      </c>
      <c r="BK341" s="215">
        <f t="shared" si="212"/>
        <v>0</v>
      </c>
      <c r="BL341" s="245">
        <f t="shared" si="221"/>
        <v>3.4099999999999995E-5</v>
      </c>
      <c r="BM341" s="17">
        <f t="shared" si="222"/>
        <v>0</v>
      </c>
      <c r="BN341" s="178">
        <v>332</v>
      </c>
      <c r="BO341" s="87">
        <f t="shared" si="223"/>
        <v>7.8999999999999989E-6</v>
      </c>
      <c r="BP341" s="215">
        <f t="shared" si="213"/>
        <v>0</v>
      </c>
      <c r="BR341" s="126"/>
      <c r="BS341" s="126"/>
      <c r="BU341" s="178"/>
      <c r="BV341" s="179" t="str">
        <f t="shared" si="224"/>
        <v/>
      </c>
      <c r="BW341" s="179" t="str">
        <f t="shared" si="225"/>
        <v/>
      </c>
      <c r="BX341" s="179" t="str">
        <f t="shared" si="226"/>
        <v/>
      </c>
      <c r="BY341" s="179" t="str">
        <f t="shared" si="227"/>
        <v/>
      </c>
      <c r="BZ341" s="179" t="str">
        <f t="shared" si="228"/>
        <v/>
      </c>
      <c r="CA341" s="179" t="str">
        <f t="shared" si="229"/>
        <v/>
      </c>
      <c r="CB341" s="179" t="str">
        <f t="shared" si="230"/>
        <v/>
      </c>
      <c r="CC341" s="179" t="str">
        <f t="shared" si="231"/>
        <v/>
      </c>
      <c r="CD341" s="179" t="str">
        <f t="shared" si="232"/>
        <v/>
      </c>
      <c r="CE341" s="179" t="str">
        <f t="shared" si="233"/>
        <v/>
      </c>
      <c r="CF341" s="179" t="str">
        <f t="shared" si="234"/>
        <v/>
      </c>
      <c r="CG341" s="179" t="str">
        <f t="shared" si="235"/>
        <v/>
      </c>
      <c r="CH341" s="166"/>
      <c r="CI341" s="166"/>
      <c r="CJ341" s="166"/>
      <c r="CK341" s="166" t="s">
        <v>150</v>
      </c>
      <c r="CL341" s="166"/>
    </row>
    <row r="342" spans="1:90" ht="14.25" customHeight="1" thickBot="1" x14ac:dyDescent="0.3">
      <c r="A342" s="213">
        <v>332</v>
      </c>
      <c r="B342" s="88"/>
      <c r="C342" s="201"/>
      <c r="D342" s="94"/>
      <c r="E342" s="321" t="s">
        <v>93</v>
      </c>
      <c r="F342" s="96"/>
      <c r="G342" s="100"/>
      <c r="H342" s="100"/>
      <c r="I342" s="100"/>
      <c r="J342" s="100"/>
      <c r="K342" s="100"/>
      <c r="L342" s="100"/>
      <c r="M342" s="210"/>
      <c r="N342" s="234">
        <f t="shared" si="236"/>
        <v>0</v>
      </c>
      <c r="O342" s="308"/>
      <c r="P342" s="343"/>
      <c r="Q342" s="309"/>
      <c r="R342" s="324" t="s">
        <v>67</v>
      </c>
      <c r="S342" s="209">
        <f t="shared" si="203"/>
        <v>0</v>
      </c>
      <c r="T342" s="209">
        <f t="shared" si="204"/>
        <v>0</v>
      </c>
      <c r="U342" s="209"/>
      <c r="V342" s="209">
        <f t="shared" si="205"/>
        <v>0</v>
      </c>
      <c r="W342" s="209"/>
      <c r="X342" s="209">
        <f t="shared" si="206"/>
        <v>0</v>
      </c>
      <c r="Y342" s="209">
        <f t="shared" si="207"/>
        <v>0</v>
      </c>
      <c r="Z342" s="351"/>
      <c r="AA342" s="234">
        <f t="shared" si="237"/>
        <v>0</v>
      </c>
      <c r="AB342" s="314">
        <f t="shared" si="214"/>
        <v>0</v>
      </c>
      <c r="AC342" s="314"/>
      <c r="AD342" s="314">
        <f t="shared" si="215"/>
        <v>0</v>
      </c>
      <c r="AE342" s="324" t="s">
        <v>87</v>
      </c>
      <c r="AF342" s="82">
        <f t="shared" si="239"/>
        <v>0</v>
      </c>
      <c r="AG342" s="337">
        <f t="shared" si="240"/>
        <v>0</v>
      </c>
      <c r="AH342" s="337"/>
      <c r="AI342" s="337">
        <f t="shared" si="241"/>
        <v>0</v>
      </c>
      <c r="AJ342" s="337"/>
      <c r="AK342" s="337">
        <f t="shared" si="242"/>
        <v>0</v>
      </c>
      <c r="AL342" s="338">
        <f t="shared" si="243"/>
        <v>0</v>
      </c>
      <c r="AM342" s="354"/>
      <c r="AN342" s="91">
        <f t="shared" si="238"/>
        <v>0</v>
      </c>
      <c r="AO342" s="96">
        <f t="shared" si="216"/>
        <v>0</v>
      </c>
      <c r="AP342" s="210"/>
      <c r="AQ342" s="97">
        <f t="shared" si="217"/>
        <v>0</v>
      </c>
      <c r="AR342" s="105"/>
      <c r="AS342" s="102"/>
      <c r="AT342" s="237"/>
      <c r="AU342" s="231"/>
      <c r="AV342" s="93"/>
      <c r="AW342" s="231"/>
      <c r="AX342" s="93"/>
      <c r="AY342" s="231"/>
      <c r="AZ342" s="93"/>
      <c r="BA342" s="17">
        <f t="shared" si="208"/>
        <v>3.4199999999999998E-5</v>
      </c>
      <c r="BB342" s="17">
        <f t="shared" si="209"/>
        <v>0</v>
      </c>
      <c r="BC342" s="17"/>
      <c r="BD342" s="178">
        <v>333</v>
      </c>
      <c r="BE342" s="214">
        <f t="shared" si="218"/>
        <v>9.4999999999999988E-6</v>
      </c>
      <c r="BF342" s="178">
        <f t="shared" si="210"/>
        <v>0</v>
      </c>
      <c r="BG342" s="245">
        <f t="shared" si="211"/>
        <v>3.4199999999999998E-5</v>
      </c>
      <c r="BH342" s="17">
        <f t="shared" si="219"/>
        <v>0</v>
      </c>
      <c r="BI342" s="178">
        <v>333</v>
      </c>
      <c r="BJ342" s="87">
        <f t="shared" si="220"/>
        <v>7.7999999999999999E-6</v>
      </c>
      <c r="BK342" s="215">
        <f t="shared" si="212"/>
        <v>0</v>
      </c>
      <c r="BL342" s="245">
        <f t="shared" si="221"/>
        <v>3.4199999999999998E-5</v>
      </c>
      <c r="BM342" s="17">
        <f t="shared" si="222"/>
        <v>0</v>
      </c>
      <c r="BN342" s="178">
        <v>333</v>
      </c>
      <c r="BO342" s="87">
        <f t="shared" si="223"/>
        <v>7.7999999999999999E-6</v>
      </c>
      <c r="BP342" s="215">
        <f t="shared" si="213"/>
        <v>0</v>
      </c>
      <c r="BR342" s="126"/>
      <c r="BS342" s="126"/>
      <c r="BU342" s="178"/>
      <c r="BV342" s="179" t="str">
        <f t="shared" si="224"/>
        <v/>
      </c>
      <c r="BW342" s="179" t="str">
        <f t="shared" si="225"/>
        <v/>
      </c>
      <c r="BX342" s="179" t="str">
        <f t="shared" si="226"/>
        <v/>
      </c>
      <c r="BY342" s="179" t="str">
        <f t="shared" si="227"/>
        <v/>
      </c>
      <c r="BZ342" s="179" t="str">
        <f t="shared" si="228"/>
        <v/>
      </c>
      <c r="CA342" s="179" t="str">
        <f t="shared" si="229"/>
        <v/>
      </c>
      <c r="CB342" s="179" t="str">
        <f t="shared" si="230"/>
        <v/>
      </c>
      <c r="CC342" s="179" t="str">
        <f t="shared" si="231"/>
        <v/>
      </c>
      <c r="CD342" s="179" t="str">
        <f t="shared" si="232"/>
        <v/>
      </c>
      <c r="CE342" s="179" t="str">
        <f t="shared" si="233"/>
        <v/>
      </c>
      <c r="CF342" s="179" t="str">
        <f t="shared" si="234"/>
        <v/>
      </c>
      <c r="CG342" s="179" t="str">
        <f t="shared" si="235"/>
        <v/>
      </c>
      <c r="CH342" s="166"/>
      <c r="CI342" s="166"/>
      <c r="CJ342" s="166"/>
      <c r="CK342" s="166" t="s">
        <v>150</v>
      </c>
      <c r="CL342" s="166"/>
    </row>
    <row r="343" spans="1:90" ht="14.25" customHeight="1" x14ac:dyDescent="0.25">
      <c r="A343" s="211">
        <v>333</v>
      </c>
      <c r="B343" s="89"/>
      <c r="C343" s="199"/>
      <c r="D343" s="146"/>
      <c r="E343" s="319" t="s">
        <v>93</v>
      </c>
      <c r="F343" s="221"/>
      <c r="G343" s="222"/>
      <c r="H343" s="222"/>
      <c r="I343" s="222"/>
      <c r="J343" s="222"/>
      <c r="K343" s="222"/>
      <c r="L343" s="222"/>
      <c r="M343" s="331"/>
      <c r="N343" s="303">
        <f t="shared" si="236"/>
        <v>0</v>
      </c>
      <c r="O343" s="304"/>
      <c r="P343" s="341"/>
      <c r="Q343" s="305"/>
      <c r="R343" s="322" t="s">
        <v>67</v>
      </c>
      <c r="S343" s="209">
        <f t="shared" si="203"/>
        <v>0</v>
      </c>
      <c r="T343" s="209">
        <f t="shared" si="204"/>
        <v>0</v>
      </c>
      <c r="U343" s="209"/>
      <c r="V343" s="209">
        <f t="shared" si="205"/>
        <v>0</v>
      </c>
      <c r="W343" s="209"/>
      <c r="X343" s="209">
        <f t="shared" si="206"/>
        <v>0</v>
      </c>
      <c r="Y343" s="209">
        <f t="shared" si="207"/>
        <v>0</v>
      </c>
      <c r="Z343" s="303"/>
      <c r="AA343" s="303">
        <f t="shared" si="237"/>
        <v>0</v>
      </c>
      <c r="AB343" s="314">
        <f t="shared" si="214"/>
        <v>0</v>
      </c>
      <c r="AC343" s="314"/>
      <c r="AD343" s="314">
        <f t="shared" si="215"/>
        <v>0</v>
      </c>
      <c r="AE343" s="325" t="s">
        <v>148</v>
      </c>
      <c r="AF343" s="15">
        <f t="shared" si="239"/>
        <v>0</v>
      </c>
      <c r="AG343" s="232">
        <f t="shared" si="240"/>
        <v>0</v>
      </c>
      <c r="AH343" s="232"/>
      <c r="AI343" s="232">
        <f t="shared" si="241"/>
        <v>0</v>
      </c>
      <c r="AJ343" s="232"/>
      <c r="AK343" s="232">
        <f t="shared" si="242"/>
        <v>0</v>
      </c>
      <c r="AL343" s="7">
        <f t="shared" si="243"/>
        <v>0</v>
      </c>
      <c r="AM343" s="352"/>
      <c r="AN343" s="22">
        <f t="shared" si="238"/>
        <v>0</v>
      </c>
      <c r="AO343" s="15">
        <f t="shared" si="216"/>
        <v>0</v>
      </c>
      <c r="AP343" s="345"/>
      <c r="AQ343" s="7">
        <f t="shared" si="217"/>
        <v>0</v>
      </c>
      <c r="AR343" s="103"/>
      <c r="AS343" s="101"/>
      <c r="AT343" s="236"/>
      <c r="AU343" s="235"/>
      <c r="AV343" s="92"/>
      <c r="AW343" s="235"/>
      <c r="AX343" s="92"/>
      <c r="AY343" s="235"/>
      <c r="AZ343" s="92"/>
      <c r="BA343" s="17">
        <f t="shared" si="208"/>
        <v>3.43E-5</v>
      </c>
      <c r="BB343" s="17">
        <f t="shared" si="209"/>
        <v>0</v>
      </c>
      <c r="BC343" s="17"/>
      <c r="BD343" s="178">
        <v>334</v>
      </c>
      <c r="BE343" s="214">
        <f t="shared" si="218"/>
        <v>9.3999999999999998E-6</v>
      </c>
      <c r="BF343" s="178">
        <f t="shared" si="210"/>
        <v>0</v>
      </c>
      <c r="BG343" s="245">
        <f t="shared" si="211"/>
        <v>3.43E-5</v>
      </c>
      <c r="BH343" s="17">
        <f t="shared" si="219"/>
        <v>0</v>
      </c>
      <c r="BI343" s="178">
        <v>334</v>
      </c>
      <c r="BJ343" s="87">
        <f t="shared" si="220"/>
        <v>7.6999999999999991E-6</v>
      </c>
      <c r="BK343" s="215">
        <f t="shared" si="212"/>
        <v>0</v>
      </c>
      <c r="BL343" s="245">
        <f t="shared" si="221"/>
        <v>3.43E-5</v>
      </c>
      <c r="BM343" s="17">
        <f t="shared" si="222"/>
        <v>0</v>
      </c>
      <c r="BN343" s="178">
        <v>334</v>
      </c>
      <c r="BO343" s="87">
        <f t="shared" si="223"/>
        <v>7.6999999999999991E-6</v>
      </c>
      <c r="BP343" s="215">
        <f t="shared" si="213"/>
        <v>0</v>
      </c>
      <c r="BR343" s="126"/>
      <c r="BS343" s="126"/>
      <c r="BU343" s="178"/>
      <c r="BV343" s="179" t="str">
        <f t="shared" si="224"/>
        <v/>
      </c>
      <c r="BW343" s="179" t="str">
        <f t="shared" si="225"/>
        <v/>
      </c>
      <c r="BX343" s="179" t="str">
        <f t="shared" si="226"/>
        <v/>
      </c>
      <c r="BY343" s="179" t="str">
        <f t="shared" si="227"/>
        <v/>
      </c>
      <c r="BZ343" s="179" t="str">
        <f t="shared" si="228"/>
        <v/>
      </c>
      <c r="CA343" s="179" t="str">
        <f t="shared" si="229"/>
        <v/>
      </c>
      <c r="CB343" s="179" t="str">
        <f t="shared" si="230"/>
        <v/>
      </c>
      <c r="CC343" s="179" t="str">
        <f t="shared" si="231"/>
        <v/>
      </c>
      <c r="CD343" s="179" t="str">
        <f t="shared" si="232"/>
        <v/>
      </c>
      <c r="CE343" s="179" t="str">
        <f t="shared" si="233"/>
        <v/>
      </c>
      <c r="CF343" s="179" t="str">
        <f t="shared" si="234"/>
        <v/>
      </c>
      <c r="CG343" s="179" t="str">
        <f t="shared" si="235"/>
        <v/>
      </c>
      <c r="CH343" s="166"/>
      <c r="CI343" s="166"/>
      <c r="CJ343" s="166"/>
      <c r="CK343" s="166" t="s">
        <v>150</v>
      </c>
      <c r="CL343" s="166"/>
    </row>
    <row r="344" spans="1:90" ht="14.25" customHeight="1" thickBot="1" x14ac:dyDescent="0.3">
      <c r="A344" s="213">
        <v>334</v>
      </c>
      <c r="B344" s="219"/>
      <c r="C344" s="200"/>
      <c r="D344" s="145"/>
      <c r="E344" s="320" t="s">
        <v>93</v>
      </c>
      <c r="F344" s="209"/>
      <c r="G344" s="313"/>
      <c r="H344" s="313"/>
      <c r="I344" s="313"/>
      <c r="J344" s="313"/>
      <c r="K344" s="313"/>
      <c r="L344" s="313"/>
      <c r="M344" s="339"/>
      <c r="N344" s="233">
        <f t="shared" si="236"/>
        <v>0</v>
      </c>
      <c r="O344" s="306"/>
      <c r="P344" s="342"/>
      <c r="Q344" s="307"/>
      <c r="R344" s="323" t="s">
        <v>67</v>
      </c>
      <c r="S344" s="209">
        <f t="shared" si="203"/>
        <v>0</v>
      </c>
      <c r="T344" s="209">
        <f t="shared" si="204"/>
        <v>0</v>
      </c>
      <c r="U344" s="209"/>
      <c r="V344" s="209">
        <f t="shared" si="205"/>
        <v>0</v>
      </c>
      <c r="W344" s="209"/>
      <c r="X344" s="209">
        <f t="shared" si="206"/>
        <v>0</v>
      </c>
      <c r="Y344" s="209">
        <f t="shared" si="207"/>
        <v>0</v>
      </c>
      <c r="Z344" s="233"/>
      <c r="AA344" s="233">
        <f t="shared" si="237"/>
        <v>0</v>
      </c>
      <c r="AB344" s="314">
        <f t="shared" si="214"/>
        <v>0</v>
      </c>
      <c r="AC344" s="314"/>
      <c r="AD344" s="314">
        <f t="shared" si="215"/>
        <v>0</v>
      </c>
      <c r="AE344" s="323" t="s">
        <v>87</v>
      </c>
      <c r="AF344" s="81">
        <f t="shared" si="239"/>
        <v>0</v>
      </c>
      <c r="AG344" s="335">
        <f t="shared" si="240"/>
        <v>0</v>
      </c>
      <c r="AH344" s="335"/>
      <c r="AI344" s="335">
        <f t="shared" si="241"/>
        <v>0</v>
      </c>
      <c r="AJ344" s="335"/>
      <c r="AK344" s="335">
        <f t="shared" si="242"/>
        <v>0</v>
      </c>
      <c r="AL344" s="336">
        <f t="shared" si="243"/>
        <v>0</v>
      </c>
      <c r="AM344" s="353"/>
      <c r="AN344" s="22">
        <f t="shared" si="238"/>
        <v>0</v>
      </c>
      <c r="AO344" s="209">
        <f t="shared" si="216"/>
        <v>0</v>
      </c>
      <c r="AP344" s="339"/>
      <c r="AQ344" s="125">
        <f t="shared" si="217"/>
        <v>0</v>
      </c>
      <c r="AR344" s="104"/>
      <c r="AS344" s="217"/>
      <c r="AT344" s="216"/>
      <c r="AU344" s="230"/>
      <c r="AV344" s="220"/>
      <c r="AW344" s="230"/>
      <c r="AX344" s="220"/>
      <c r="AY344" s="230"/>
      <c r="AZ344" s="220"/>
      <c r="BA344" s="17">
        <f t="shared" si="208"/>
        <v>3.4399999999999996E-5</v>
      </c>
      <c r="BB344" s="17">
        <f t="shared" si="209"/>
        <v>0</v>
      </c>
      <c r="BC344" s="17"/>
      <c r="BD344" s="178">
        <v>335</v>
      </c>
      <c r="BE344" s="214">
        <f t="shared" si="218"/>
        <v>9.299999999999999E-6</v>
      </c>
      <c r="BF344" s="178">
        <f t="shared" si="210"/>
        <v>0</v>
      </c>
      <c r="BG344" s="245">
        <f t="shared" si="211"/>
        <v>3.4399999999999996E-5</v>
      </c>
      <c r="BH344" s="17">
        <f t="shared" si="219"/>
        <v>0</v>
      </c>
      <c r="BI344" s="178">
        <v>335</v>
      </c>
      <c r="BJ344" s="87">
        <f t="shared" si="220"/>
        <v>7.6000000000000001E-6</v>
      </c>
      <c r="BK344" s="215">
        <f t="shared" si="212"/>
        <v>0</v>
      </c>
      <c r="BL344" s="245">
        <f t="shared" si="221"/>
        <v>3.4399999999999996E-5</v>
      </c>
      <c r="BM344" s="17">
        <f t="shared" si="222"/>
        <v>0</v>
      </c>
      <c r="BN344" s="178">
        <v>335</v>
      </c>
      <c r="BO344" s="87">
        <f t="shared" si="223"/>
        <v>7.6000000000000001E-6</v>
      </c>
      <c r="BP344" s="215">
        <f t="shared" si="213"/>
        <v>0</v>
      </c>
      <c r="BR344" s="126"/>
      <c r="BS344" s="126"/>
      <c r="BU344" s="178"/>
      <c r="BV344" s="179" t="str">
        <f t="shared" si="224"/>
        <v/>
      </c>
      <c r="BW344" s="179" t="str">
        <f t="shared" si="225"/>
        <v/>
      </c>
      <c r="BX344" s="179" t="str">
        <f t="shared" si="226"/>
        <v/>
      </c>
      <c r="BY344" s="179" t="str">
        <f t="shared" si="227"/>
        <v/>
      </c>
      <c r="BZ344" s="179" t="str">
        <f t="shared" si="228"/>
        <v/>
      </c>
      <c r="CA344" s="179" t="str">
        <f t="shared" si="229"/>
        <v/>
      </c>
      <c r="CB344" s="179" t="str">
        <f t="shared" si="230"/>
        <v/>
      </c>
      <c r="CC344" s="179" t="str">
        <f t="shared" si="231"/>
        <v/>
      </c>
      <c r="CD344" s="179" t="str">
        <f t="shared" si="232"/>
        <v/>
      </c>
      <c r="CE344" s="179" t="str">
        <f t="shared" si="233"/>
        <v/>
      </c>
      <c r="CF344" s="179" t="str">
        <f t="shared" si="234"/>
        <v/>
      </c>
      <c r="CG344" s="179" t="str">
        <f t="shared" si="235"/>
        <v/>
      </c>
      <c r="CH344" s="166"/>
      <c r="CI344" s="166"/>
      <c r="CJ344" s="166"/>
      <c r="CK344" s="166" t="s">
        <v>150</v>
      </c>
      <c r="CL344" s="166"/>
    </row>
    <row r="345" spans="1:90" ht="14.25" customHeight="1" thickBot="1" x14ac:dyDescent="0.3">
      <c r="A345" s="211">
        <v>335</v>
      </c>
      <c r="B345" s="88"/>
      <c r="C345" s="201"/>
      <c r="D345" s="94"/>
      <c r="E345" s="321" t="s">
        <v>93</v>
      </c>
      <c r="F345" s="96"/>
      <c r="G345" s="100"/>
      <c r="H345" s="100"/>
      <c r="I345" s="100"/>
      <c r="J345" s="100"/>
      <c r="K345" s="100"/>
      <c r="L345" s="100"/>
      <c r="M345" s="210"/>
      <c r="N345" s="234">
        <f t="shared" si="236"/>
        <v>0</v>
      </c>
      <c r="O345" s="308"/>
      <c r="P345" s="343"/>
      <c r="Q345" s="309"/>
      <c r="R345" s="324" t="s">
        <v>67</v>
      </c>
      <c r="S345" s="209">
        <f t="shared" si="203"/>
        <v>0</v>
      </c>
      <c r="T345" s="209">
        <f t="shared" si="204"/>
        <v>0</v>
      </c>
      <c r="U345" s="209"/>
      <c r="V345" s="209">
        <f t="shared" si="205"/>
        <v>0</v>
      </c>
      <c r="W345" s="209"/>
      <c r="X345" s="209">
        <f t="shared" si="206"/>
        <v>0</v>
      </c>
      <c r="Y345" s="209">
        <f t="shared" si="207"/>
        <v>0</v>
      </c>
      <c r="Z345" s="351"/>
      <c r="AA345" s="234">
        <f t="shared" si="237"/>
        <v>0</v>
      </c>
      <c r="AB345" s="314">
        <f t="shared" si="214"/>
        <v>0</v>
      </c>
      <c r="AC345" s="314"/>
      <c r="AD345" s="314">
        <f t="shared" si="215"/>
        <v>0</v>
      </c>
      <c r="AE345" s="324" t="s">
        <v>87</v>
      </c>
      <c r="AF345" s="82">
        <f t="shared" si="239"/>
        <v>0</v>
      </c>
      <c r="AG345" s="337">
        <f t="shared" si="240"/>
        <v>0</v>
      </c>
      <c r="AH345" s="337"/>
      <c r="AI345" s="337">
        <f t="shared" si="241"/>
        <v>0</v>
      </c>
      <c r="AJ345" s="337"/>
      <c r="AK345" s="337">
        <f t="shared" si="242"/>
        <v>0</v>
      </c>
      <c r="AL345" s="338">
        <f t="shared" si="243"/>
        <v>0</v>
      </c>
      <c r="AM345" s="354"/>
      <c r="AN345" s="91">
        <f t="shared" si="238"/>
        <v>0</v>
      </c>
      <c r="AO345" s="96">
        <f t="shared" si="216"/>
        <v>0</v>
      </c>
      <c r="AP345" s="210"/>
      <c r="AQ345" s="97">
        <f t="shared" si="217"/>
        <v>0</v>
      </c>
      <c r="AR345" s="105"/>
      <c r="AS345" s="102"/>
      <c r="AT345" s="237"/>
      <c r="AU345" s="231"/>
      <c r="AV345" s="93"/>
      <c r="AW345" s="231"/>
      <c r="AX345" s="93"/>
      <c r="AY345" s="231"/>
      <c r="AZ345" s="93"/>
      <c r="BA345" s="17">
        <f t="shared" si="208"/>
        <v>3.4499999999999998E-5</v>
      </c>
      <c r="BB345" s="17">
        <f t="shared" si="209"/>
        <v>0</v>
      </c>
      <c r="BC345" s="17"/>
      <c r="BD345" s="178">
        <v>336</v>
      </c>
      <c r="BE345" s="214">
        <f t="shared" si="218"/>
        <v>9.2E-6</v>
      </c>
      <c r="BF345" s="178">
        <f t="shared" si="210"/>
        <v>0</v>
      </c>
      <c r="BG345" s="245">
        <f t="shared" si="211"/>
        <v>3.4499999999999998E-5</v>
      </c>
      <c r="BH345" s="17">
        <f t="shared" si="219"/>
        <v>0</v>
      </c>
      <c r="BI345" s="178">
        <v>336</v>
      </c>
      <c r="BJ345" s="87">
        <f t="shared" si="220"/>
        <v>7.4999999999999993E-6</v>
      </c>
      <c r="BK345" s="215">
        <f t="shared" si="212"/>
        <v>0</v>
      </c>
      <c r="BL345" s="245">
        <f t="shared" si="221"/>
        <v>3.4499999999999998E-5</v>
      </c>
      <c r="BM345" s="17">
        <f t="shared" si="222"/>
        <v>0</v>
      </c>
      <c r="BN345" s="178">
        <v>336</v>
      </c>
      <c r="BO345" s="87">
        <f t="shared" si="223"/>
        <v>7.4999999999999993E-6</v>
      </c>
      <c r="BP345" s="215">
        <f t="shared" si="213"/>
        <v>0</v>
      </c>
      <c r="BR345" s="126"/>
      <c r="BS345" s="126"/>
      <c r="BU345" s="178"/>
      <c r="BV345" s="179" t="str">
        <f t="shared" si="224"/>
        <v/>
      </c>
      <c r="BW345" s="179" t="str">
        <f t="shared" si="225"/>
        <v/>
      </c>
      <c r="BX345" s="179" t="str">
        <f t="shared" si="226"/>
        <v/>
      </c>
      <c r="BY345" s="179" t="str">
        <f t="shared" si="227"/>
        <v/>
      </c>
      <c r="BZ345" s="179" t="str">
        <f t="shared" si="228"/>
        <v/>
      </c>
      <c r="CA345" s="179" t="str">
        <f t="shared" si="229"/>
        <v/>
      </c>
      <c r="CB345" s="179" t="str">
        <f t="shared" si="230"/>
        <v/>
      </c>
      <c r="CC345" s="179" t="str">
        <f t="shared" si="231"/>
        <v/>
      </c>
      <c r="CD345" s="179" t="str">
        <f t="shared" si="232"/>
        <v/>
      </c>
      <c r="CE345" s="179" t="str">
        <f t="shared" si="233"/>
        <v/>
      </c>
      <c r="CF345" s="179" t="str">
        <f t="shared" si="234"/>
        <v/>
      </c>
      <c r="CG345" s="179" t="str">
        <f t="shared" si="235"/>
        <v/>
      </c>
      <c r="CH345" s="166"/>
      <c r="CI345" s="166"/>
      <c r="CJ345" s="166"/>
      <c r="CK345" s="166" t="s">
        <v>150</v>
      </c>
      <c r="CL345" s="166"/>
    </row>
    <row r="346" spans="1:90" ht="14.25" customHeight="1" thickBot="1" x14ac:dyDescent="0.3">
      <c r="A346" s="213">
        <v>336</v>
      </c>
      <c r="B346" s="89"/>
      <c r="C346" s="199"/>
      <c r="D346" s="146"/>
      <c r="E346" s="319" t="s">
        <v>93</v>
      </c>
      <c r="F346" s="221"/>
      <c r="G346" s="222"/>
      <c r="H346" s="222"/>
      <c r="I346" s="222"/>
      <c r="J346" s="222"/>
      <c r="K346" s="222"/>
      <c r="L346" s="222"/>
      <c r="M346" s="331"/>
      <c r="N346" s="303">
        <f t="shared" si="236"/>
        <v>0</v>
      </c>
      <c r="O346" s="304"/>
      <c r="P346" s="341"/>
      <c r="Q346" s="305"/>
      <c r="R346" s="322" t="s">
        <v>67</v>
      </c>
      <c r="S346" s="209">
        <f t="shared" si="203"/>
        <v>0</v>
      </c>
      <c r="T346" s="209">
        <f t="shared" si="204"/>
        <v>0</v>
      </c>
      <c r="U346" s="209"/>
      <c r="V346" s="209">
        <f t="shared" si="205"/>
        <v>0</v>
      </c>
      <c r="W346" s="209"/>
      <c r="X346" s="209">
        <f t="shared" si="206"/>
        <v>0</v>
      </c>
      <c r="Y346" s="209">
        <f t="shared" si="207"/>
        <v>0</v>
      </c>
      <c r="Z346" s="303"/>
      <c r="AA346" s="303">
        <f t="shared" si="237"/>
        <v>0</v>
      </c>
      <c r="AB346" s="314">
        <f t="shared" si="214"/>
        <v>0</v>
      </c>
      <c r="AC346" s="314"/>
      <c r="AD346" s="314">
        <f t="shared" si="215"/>
        <v>0</v>
      </c>
      <c r="AE346" s="325" t="s">
        <v>148</v>
      </c>
      <c r="AF346" s="15">
        <f t="shared" si="239"/>
        <v>0</v>
      </c>
      <c r="AG346" s="232">
        <f t="shared" si="240"/>
        <v>0</v>
      </c>
      <c r="AH346" s="232"/>
      <c r="AI346" s="232">
        <f t="shared" si="241"/>
        <v>0</v>
      </c>
      <c r="AJ346" s="232"/>
      <c r="AK346" s="232">
        <f t="shared" si="242"/>
        <v>0</v>
      </c>
      <c r="AL346" s="7">
        <f t="shared" si="243"/>
        <v>0</v>
      </c>
      <c r="AM346" s="352"/>
      <c r="AN346" s="22">
        <f t="shared" si="238"/>
        <v>0</v>
      </c>
      <c r="AO346" s="15">
        <f t="shared" si="216"/>
        <v>0</v>
      </c>
      <c r="AP346" s="345"/>
      <c r="AQ346" s="7">
        <f t="shared" si="217"/>
        <v>0</v>
      </c>
      <c r="AR346" s="103"/>
      <c r="AS346" s="101"/>
      <c r="AT346" s="236"/>
      <c r="AU346" s="235"/>
      <c r="AV346" s="92"/>
      <c r="AW346" s="235"/>
      <c r="AX346" s="92"/>
      <c r="AY346" s="235"/>
      <c r="AZ346" s="92"/>
      <c r="BA346" s="17">
        <f t="shared" si="208"/>
        <v>3.4600000000000001E-5</v>
      </c>
      <c r="BB346" s="17">
        <f t="shared" si="209"/>
        <v>0</v>
      </c>
      <c r="BC346" s="17"/>
      <c r="BD346" s="178">
        <v>337</v>
      </c>
      <c r="BE346" s="214">
        <f t="shared" si="218"/>
        <v>9.0999999999999993E-6</v>
      </c>
      <c r="BF346" s="178">
        <f t="shared" si="210"/>
        <v>0</v>
      </c>
      <c r="BG346" s="245">
        <f t="shared" si="211"/>
        <v>3.4600000000000001E-5</v>
      </c>
      <c r="BH346" s="17">
        <f t="shared" si="219"/>
        <v>0</v>
      </c>
      <c r="BI346" s="178">
        <v>337</v>
      </c>
      <c r="BJ346" s="87">
        <f t="shared" si="220"/>
        <v>7.3999999999999995E-6</v>
      </c>
      <c r="BK346" s="215">
        <f t="shared" si="212"/>
        <v>0</v>
      </c>
      <c r="BL346" s="245">
        <f t="shared" si="221"/>
        <v>3.4600000000000001E-5</v>
      </c>
      <c r="BM346" s="17">
        <f t="shared" si="222"/>
        <v>0</v>
      </c>
      <c r="BN346" s="178">
        <v>337</v>
      </c>
      <c r="BO346" s="87">
        <f t="shared" si="223"/>
        <v>7.3999999999999995E-6</v>
      </c>
      <c r="BP346" s="215">
        <f t="shared" si="213"/>
        <v>0</v>
      </c>
      <c r="BR346" s="126"/>
      <c r="BS346" s="126"/>
      <c r="BU346" s="178"/>
      <c r="BV346" s="179" t="str">
        <f t="shared" si="224"/>
        <v/>
      </c>
      <c r="BW346" s="179" t="str">
        <f t="shared" si="225"/>
        <v/>
      </c>
      <c r="BX346" s="179" t="str">
        <f t="shared" si="226"/>
        <v/>
      </c>
      <c r="BY346" s="179" t="str">
        <f t="shared" si="227"/>
        <v/>
      </c>
      <c r="BZ346" s="179" t="str">
        <f t="shared" si="228"/>
        <v/>
      </c>
      <c r="CA346" s="179" t="str">
        <f t="shared" si="229"/>
        <v/>
      </c>
      <c r="CB346" s="179" t="str">
        <f t="shared" si="230"/>
        <v/>
      </c>
      <c r="CC346" s="179" t="str">
        <f t="shared" si="231"/>
        <v/>
      </c>
      <c r="CD346" s="179" t="str">
        <f t="shared" si="232"/>
        <v/>
      </c>
      <c r="CE346" s="179" t="str">
        <f t="shared" si="233"/>
        <v/>
      </c>
      <c r="CF346" s="179" t="str">
        <f t="shared" si="234"/>
        <v/>
      </c>
      <c r="CG346" s="179" t="str">
        <f t="shared" si="235"/>
        <v/>
      </c>
      <c r="CH346" s="166"/>
      <c r="CI346" s="166"/>
      <c r="CJ346" s="166"/>
      <c r="CK346" s="166" t="s">
        <v>150</v>
      </c>
      <c r="CL346" s="166"/>
    </row>
    <row r="347" spans="1:90" ht="14.25" customHeight="1" x14ac:dyDescent="0.25">
      <c r="A347" s="211">
        <v>337</v>
      </c>
      <c r="B347" s="219"/>
      <c r="C347" s="200"/>
      <c r="D347" s="145"/>
      <c r="E347" s="320" t="s">
        <v>93</v>
      </c>
      <c r="F347" s="209"/>
      <c r="G347" s="313"/>
      <c r="H347" s="313"/>
      <c r="I347" s="313"/>
      <c r="J347" s="313"/>
      <c r="K347" s="313"/>
      <c r="L347" s="313"/>
      <c r="M347" s="339"/>
      <c r="N347" s="233">
        <f t="shared" si="236"/>
        <v>0</v>
      </c>
      <c r="O347" s="306"/>
      <c r="P347" s="342"/>
      <c r="Q347" s="307"/>
      <c r="R347" s="323" t="s">
        <v>67</v>
      </c>
      <c r="S347" s="209">
        <f t="shared" si="203"/>
        <v>0</v>
      </c>
      <c r="T347" s="209">
        <f t="shared" si="204"/>
        <v>0</v>
      </c>
      <c r="U347" s="209"/>
      <c r="V347" s="209">
        <f t="shared" si="205"/>
        <v>0</v>
      </c>
      <c r="W347" s="209"/>
      <c r="X347" s="209">
        <f t="shared" si="206"/>
        <v>0</v>
      </c>
      <c r="Y347" s="209">
        <f t="shared" si="207"/>
        <v>0</v>
      </c>
      <c r="Z347" s="233"/>
      <c r="AA347" s="233">
        <f t="shared" si="237"/>
        <v>0</v>
      </c>
      <c r="AB347" s="314">
        <f t="shared" si="214"/>
        <v>0</v>
      </c>
      <c r="AC347" s="314"/>
      <c r="AD347" s="314">
        <f t="shared" si="215"/>
        <v>0</v>
      </c>
      <c r="AE347" s="323" t="s">
        <v>87</v>
      </c>
      <c r="AF347" s="81">
        <f t="shared" si="239"/>
        <v>0</v>
      </c>
      <c r="AG347" s="335">
        <f t="shared" si="240"/>
        <v>0</v>
      </c>
      <c r="AH347" s="335"/>
      <c r="AI347" s="335">
        <f t="shared" si="241"/>
        <v>0</v>
      </c>
      <c r="AJ347" s="335"/>
      <c r="AK347" s="335">
        <f t="shared" si="242"/>
        <v>0</v>
      </c>
      <c r="AL347" s="336">
        <f t="shared" si="243"/>
        <v>0</v>
      </c>
      <c r="AM347" s="353"/>
      <c r="AN347" s="22">
        <f t="shared" si="238"/>
        <v>0</v>
      </c>
      <c r="AO347" s="209">
        <f t="shared" si="216"/>
        <v>0</v>
      </c>
      <c r="AP347" s="339"/>
      <c r="AQ347" s="125">
        <f t="shared" si="217"/>
        <v>0</v>
      </c>
      <c r="AR347" s="104"/>
      <c r="AS347" s="217"/>
      <c r="AT347" s="216"/>
      <c r="AU347" s="230"/>
      <c r="AV347" s="220"/>
      <c r="AW347" s="230"/>
      <c r="AX347" s="220"/>
      <c r="AY347" s="230"/>
      <c r="AZ347" s="220"/>
      <c r="BA347" s="17">
        <f t="shared" si="208"/>
        <v>3.4699999999999996E-5</v>
      </c>
      <c r="BB347" s="17">
        <f t="shared" si="209"/>
        <v>0</v>
      </c>
      <c r="BC347" s="17"/>
      <c r="BD347" s="178">
        <v>338</v>
      </c>
      <c r="BE347" s="214">
        <f t="shared" si="218"/>
        <v>9.0000000000000002E-6</v>
      </c>
      <c r="BF347" s="178">
        <f t="shared" si="210"/>
        <v>0</v>
      </c>
      <c r="BG347" s="245">
        <f t="shared" si="211"/>
        <v>3.4699999999999996E-5</v>
      </c>
      <c r="BH347" s="17">
        <f t="shared" si="219"/>
        <v>0</v>
      </c>
      <c r="BI347" s="178">
        <v>338</v>
      </c>
      <c r="BJ347" s="87">
        <f t="shared" si="220"/>
        <v>7.2999999999999996E-6</v>
      </c>
      <c r="BK347" s="215">
        <f t="shared" si="212"/>
        <v>0</v>
      </c>
      <c r="BL347" s="245">
        <f t="shared" si="221"/>
        <v>3.4699999999999996E-5</v>
      </c>
      <c r="BM347" s="17">
        <f t="shared" si="222"/>
        <v>0</v>
      </c>
      <c r="BN347" s="178">
        <v>338</v>
      </c>
      <c r="BO347" s="87">
        <f t="shared" si="223"/>
        <v>7.2999999999999996E-6</v>
      </c>
      <c r="BP347" s="215">
        <f t="shared" si="213"/>
        <v>0</v>
      </c>
      <c r="BR347" s="126"/>
      <c r="BS347" s="126"/>
      <c r="BU347" s="178"/>
      <c r="BV347" s="179" t="str">
        <f t="shared" si="224"/>
        <v/>
      </c>
      <c r="BW347" s="179" t="str">
        <f t="shared" si="225"/>
        <v/>
      </c>
      <c r="BX347" s="179" t="str">
        <f t="shared" si="226"/>
        <v/>
      </c>
      <c r="BY347" s="179" t="str">
        <f t="shared" si="227"/>
        <v/>
      </c>
      <c r="BZ347" s="179" t="str">
        <f t="shared" si="228"/>
        <v/>
      </c>
      <c r="CA347" s="179" t="str">
        <f t="shared" si="229"/>
        <v/>
      </c>
      <c r="CB347" s="179" t="str">
        <f t="shared" si="230"/>
        <v/>
      </c>
      <c r="CC347" s="179" t="str">
        <f t="shared" si="231"/>
        <v/>
      </c>
      <c r="CD347" s="179" t="str">
        <f t="shared" si="232"/>
        <v/>
      </c>
      <c r="CE347" s="179" t="str">
        <f t="shared" si="233"/>
        <v/>
      </c>
      <c r="CF347" s="179" t="str">
        <f t="shared" si="234"/>
        <v/>
      </c>
      <c r="CG347" s="179" t="str">
        <f t="shared" si="235"/>
        <v/>
      </c>
      <c r="CH347" s="166"/>
      <c r="CI347" s="166"/>
      <c r="CJ347" s="166"/>
      <c r="CK347" s="166" t="s">
        <v>150</v>
      </c>
      <c r="CL347" s="166"/>
    </row>
    <row r="348" spans="1:90" ht="14.25" customHeight="1" thickBot="1" x14ac:dyDescent="0.3">
      <c r="A348" s="213">
        <v>338</v>
      </c>
      <c r="B348" s="88"/>
      <c r="C348" s="201"/>
      <c r="D348" s="94"/>
      <c r="E348" s="321" t="s">
        <v>93</v>
      </c>
      <c r="F348" s="96"/>
      <c r="G348" s="100"/>
      <c r="H348" s="100"/>
      <c r="I348" s="100"/>
      <c r="J348" s="100"/>
      <c r="K348" s="100"/>
      <c r="L348" s="100"/>
      <c r="M348" s="210"/>
      <c r="N348" s="234">
        <f t="shared" si="236"/>
        <v>0</v>
      </c>
      <c r="O348" s="308"/>
      <c r="P348" s="343"/>
      <c r="Q348" s="309"/>
      <c r="R348" s="324" t="s">
        <v>67</v>
      </c>
      <c r="S348" s="209">
        <f t="shared" si="203"/>
        <v>0</v>
      </c>
      <c r="T348" s="209">
        <f t="shared" si="204"/>
        <v>0</v>
      </c>
      <c r="U348" s="209"/>
      <c r="V348" s="209">
        <f t="shared" si="205"/>
        <v>0</v>
      </c>
      <c r="W348" s="209"/>
      <c r="X348" s="209">
        <f t="shared" si="206"/>
        <v>0</v>
      </c>
      <c r="Y348" s="209">
        <f t="shared" si="207"/>
        <v>0</v>
      </c>
      <c r="Z348" s="351"/>
      <c r="AA348" s="234">
        <f t="shared" si="237"/>
        <v>0</v>
      </c>
      <c r="AB348" s="314">
        <f t="shared" si="214"/>
        <v>0</v>
      </c>
      <c r="AC348" s="314"/>
      <c r="AD348" s="314">
        <f t="shared" si="215"/>
        <v>0</v>
      </c>
      <c r="AE348" s="324" t="s">
        <v>87</v>
      </c>
      <c r="AF348" s="82">
        <f t="shared" si="239"/>
        <v>0</v>
      </c>
      <c r="AG348" s="337">
        <f t="shared" si="240"/>
        <v>0</v>
      </c>
      <c r="AH348" s="337"/>
      <c r="AI348" s="337">
        <f t="shared" si="241"/>
        <v>0</v>
      </c>
      <c r="AJ348" s="337"/>
      <c r="AK348" s="337">
        <f t="shared" si="242"/>
        <v>0</v>
      </c>
      <c r="AL348" s="338">
        <f t="shared" si="243"/>
        <v>0</v>
      </c>
      <c r="AM348" s="354"/>
      <c r="AN348" s="91">
        <f t="shared" si="238"/>
        <v>0</v>
      </c>
      <c r="AO348" s="96">
        <f t="shared" si="216"/>
        <v>0</v>
      </c>
      <c r="AP348" s="210"/>
      <c r="AQ348" s="97">
        <f t="shared" si="217"/>
        <v>0</v>
      </c>
      <c r="AR348" s="105"/>
      <c r="AS348" s="102"/>
      <c r="AT348" s="237"/>
      <c r="AU348" s="231"/>
      <c r="AV348" s="93"/>
      <c r="AW348" s="231"/>
      <c r="AX348" s="93"/>
      <c r="AY348" s="231"/>
      <c r="AZ348" s="93"/>
      <c r="BA348" s="17">
        <f t="shared" si="208"/>
        <v>3.4799999999999999E-5</v>
      </c>
      <c r="BB348" s="17">
        <f t="shared" si="209"/>
        <v>0</v>
      </c>
      <c r="BC348" s="17"/>
      <c r="BD348" s="178">
        <v>339</v>
      </c>
      <c r="BE348" s="214">
        <f t="shared" si="218"/>
        <v>8.8999999999999995E-6</v>
      </c>
      <c r="BF348" s="178">
        <f t="shared" si="210"/>
        <v>0</v>
      </c>
      <c r="BG348" s="245">
        <f t="shared" si="211"/>
        <v>3.4799999999999999E-5</v>
      </c>
      <c r="BH348" s="17">
        <f t="shared" si="219"/>
        <v>0</v>
      </c>
      <c r="BI348" s="178">
        <v>339</v>
      </c>
      <c r="BJ348" s="87">
        <f t="shared" si="220"/>
        <v>7.1999999999999997E-6</v>
      </c>
      <c r="BK348" s="215">
        <f t="shared" si="212"/>
        <v>0</v>
      </c>
      <c r="BL348" s="245">
        <f t="shared" si="221"/>
        <v>3.4799999999999999E-5</v>
      </c>
      <c r="BM348" s="17">
        <f t="shared" si="222"/>
        <v>0</v>
      </c>
      <c r="BN348" s="178">
        <v>339</v>
      </c>
      <c r="BO348" s="87">
        <f t="shared" si="223"/>
        <v>7.1999999999999997E-6</v>
      </c>
      <c r="BP348" s="215">
        <f t="shared" si="213"/>
        <v>0</v>
      </c>
      <c r="BR348" s="126"/>
      <c r="BS348" s="126"/>
      <c r="BU348" s="178"/>
      <c r="BV348" s="179" t="str">
        <f t="shared" si="224"/>
        <v/>
      </c>
      <c r="BW348" s="179" t="str">
        <f t="shared" si="225"/>
        <v/>
      </c>
      <c r="BX348" s="179" t="str">
        <f t="shared" si="226"/>
        <v/>
      </c>
      <c r="BY348" s="179" t="str">
        <f t="shared" si="227"/>
        <v/>
      </c>
      <c r="BZ348" s="179" t="str">
        <f t="shared" si="228"/>
        <v/>
      </c>
      <c r="CA348" s="179" t="str">
        <f t="shared" si="229"/>
        <v/>
      </c>
      <c r="CB348" s="179" t="str">
        <f t="shared" si="230"/>
        <v/>
      </c>
      <c r="CC348" s="179" t="str">
        <f t="shared" si="231"/>
        <v/>
      </c>
      <c r="CD348" s="179" t="str">
        <f t="shared" si="232"/>
        <v/>
      </c>
      <c r="CE348" s="179" t="str">
        <f t="shared" si="233"/>
        <v/>
      </c>
      <c r="CF348" s="179" t="str">
        <f t="shared" si="234"/>
        <v/>
      </c>
      <c r="CG348" s="179" t="str">
        <f t="shared" si="235"/>
        <v/>
      </c>
      <c r="CH348" s="166"/>
      <c r="CI348" s="166"/>
      <c r="CJ348" s="166"/>
      <c r="CK348" s="166" t="s">
        <v>150</v>
      </c>
      <c r="CL348" s="166"/>
    </row>
    <row r="349" spans="1:90" ht="14.25" customHeight="1" x14ac:dyDescent="0.25">
      <c r="A349" s="211">
        <v>339</v>
      </c>
      <c r="B349" s="89"/>
      <c r="C349" s="199"/>
      <c r="D349" s="146"/>
      <c r="E349" s="319" t="s">
        <v>93</v>
      </c>
      <c r="F349" s="221"/>
      <c r="G349" s="222"/>
      <c r="H349" s="222"/>
      <c r="I349" s="222"/>
      <c r="J349" s="222"/>
      <c r="K349" s="222"/>
      <c r="L349" s="222"/>
      <c r="M349" s="331"/>
      <c r="N349" s="303">
        <f t="shared" si="236"/>
        <v>0</v>
      </c>
      <c r="O349" s="304"/>
      <c r="P349" s="341"/>
      <c r="Q349" s="305"/>
      <c r="R349" s="322" t="s">
        <v>67</v>
      </c>
      <c r="S349" s="209">
        <f t="shared" si="203"/>
        <v>0</v>
      </c>
      <c r="T349" s="209">
        <f t="shared" si="204"/>
        <v>0</v>
      </c>
      <c r="U349" s="209"/>
      <c r="V349" s="209">
        <f t="shared" si="205"/>
        <v>0</v>
      </c>
      <c r="W349" s="209"/>
      <c r="X349" s="209">
        <f t="shared" si="206"/>
        <v>0</v>
      </c>
      <c r="Y349" s="209">
        <f t="shared" si="207"/>
        <v>0</v>
      </c>
      <c r="Z349" s="303"/>
      <c r="AA349" s="303">
        <f t="shared" si="237"/>
        <v>0</v>
      </c>
      <c r="AB349" s="314">
        <f t="shared" si="214"/>
        <v>0</v>
      </c>
      <c r="AC349" s="314"/>
      <c r="AD349" s="314">
        <f t="shared" si="215"/>
        <v>0</v>
      </c>
      <c r="AE349" s="325" t="s">
        <v>148</v>
      </c>
      <c r="AF349" s="15">
        <f t="shared" si="239"/>
        <v>0</v>
      </c>
      <c r="AG349" s="232">
        <f t="shared" si="240"/>
        <v>0</v>
      </c>
      <c r="AH349" s="232"/>
      <c r="AI349" s="232">
        <f t="shared" si="241"/>
        <v>0</v>
      </c>
      <c r="AJ349" s="232"/>
      <c r="AK349" s="232">
        <f t="shared" si="242"/>
        <v>0</v>
      </c>
      <c r="AL349" s="7">
        <f t="shared" si="243"/>
        <v>0</v>
      </c>
      <c r="AM349" s="352"/>
      <c r="AN349" s="22">
        <f t="shared" si="238"/>
        <v>0</v>
      </c>
      <c r="AO349" s="15">
        <f t="shared" si="216"/>
        <v>0</v>
      </c>
      <c r="AP349" s="345"/>
      <c r="AQ349" s="7">
        <f t="shared" si="217"/>
        <v>0</v>
      </c>
      <c r="AR349" s="103"/>
      <c r="AS349" s="101"/>
      <c r="AT349" s="236"/>
      <c r="AU349" s="235"/>
      <c r="AV349" s="92"/>
      <c r="AW349" s="235"/>
      <c r="AX349" s="92"/>
      <c r="AY349" s="235"/>
      <c r="AZ349" s="92"/>
      <c r="BA349" s="17">
        <f t="shared" si="208"/>
        <v>3.4900000000000001E-5</v>
      </c>
      <c r="BB349" s="17">
        <f t="shared" si="209"/>
        <v>0</v>
      </c>
      <c r="BC349" s="17"/>
      <c r="BD349" s="178">
        <v>340</v>
      </c>
      <c r="BE349" s="214">
        <f t="shared" si="218"/>
        <v>8.8000000000000004E-6</v>
      </c>
      <c r="BF349" s="178">
        <f t="shared" si="210"/>
        <v>0</v>
      </c>
      <c r="BG349" s="245">
        <f t="shared" si="211"/>
        <v>3.4900000000000001E-5</v>
      </c>
      <c r="BH349" s="17">
        <f t="shared" si="219"/>
        <v>0</v>
      </c>
      <c r="BI349" s="178">
        <v>340</v>
      </c>
      <c r="BJ349" s="87">
        <f t="shared" si="220"/>
        <v>7.0999999999999998E-6</v>
      </c>
      <c r="BK349" s="215">
        <f t="shared" si="212"/>
        <v>0</v>
      </c>
      <c r="BL349" s="245">
        <f t="shared" si="221"/>
        <v>3.4900000000000001E-5</v>
      </c>
      <c r="BM349" s="17">
        <f t="shared" si="222"/>
        <v>0</v>
      </c>
      <c r="BN349" s="178">
        <v>340</v>
      </c>
      <c r="BO349" s="87">
        <f t="shared" si="223"/>
        <v>7.0999999999999998E-6</v>
      </c>
      <c r="BP349" s="215">
        <f t="shared" si="213"/>
        <v>0</v>
      </c>
      <c r="BR349" s="126"/>
      <c r="BS349" s="126"/>
      <c r="BU349" s="178"/>
      <c r="BV349" s="179" t="str">
        <f t="shared" si="224"/>
        <v/>
      </c>
      <c r="BW349" s="179" t="str">
        <f t="shared" si="225"/>
        <v/>
      </c>
      <c r="BX349" s="179" t="str">
        <f t="shared" si="226"/>
        <v/>
      </c>
      <c r="BY349" s="179" t="str">
        <f t="shared" si="227"/>
        <v/>
      </c>
      <c r="BZ349" s="179" t="str">
        <f t="shared" si="228"/>
        <v/>
      </c>
      <c r="CA349" s="179" t="str">
        <f t="shared" si="229"/>
        <v/>
      </c>
      <c r="CB349" s="179" t="str">
        <f t="shared" si="230"/>
        <v/>
      </c>
      <c r="CC349" s="179" t="str">
        <f t="shared" si="231"/>
        <v/>
      </c>
      <c r="CD349" s="179" t="str">
        <f t="shared" si="232"/>
        <v/>
      </c>
      <c r="CE349" s="179" t="str">
        <f t="shared" si="233"/>
        <v/>
      </c>
      <c r="CF349" s="179" t="str">
        <f t="shared" si="234"/>
        <v/>
      </c>
      <c r="CG349" s="179" t="str">
        <f t="shared" si="235"/>
        <v/>
      </c>
      <c r="CH349" s="166"/>
      <c r="CI349" s="166"/>
      <c r="CJ349" s="166"/>
      <c r="CK349" s="166" t="s">
        <v>150</v>
      </c>
      <c r="CL349" s="166"/>
    </row>
    <row r="350" spans="1:90" ht="14.25" customHeight="1" thickBot="1" x14ac:dyDescent="0.3">
      <c r="A350" s="213">
        <v>340</v>
      </c>
      <c r="B350" s="219"/>
      <c r="C350" s="200"/>
      <c r="D350" s="145"/>
      <c r="E350" s="320" t="s">
        <v>93</v>
      </c>
      <c r="F350" s="209"/>
      <c r="G350" s="313"/>
      <c r="H350" s="313"/>
      <c r="I350" s="313"/>
      <c r="J350" s="313"/>
      <c r="K350" s="313"/>
      <c r="L350" s="313"/>
      <c r="M350" s="339"/>
      <c r="N350" s="233">
        <f t="shared" si="236"/>
        <v>0</v>
      </c>
      <c r="O350" s="306"/>
      <c r="P350" s="342"/>
      <c r="Q350" s="307"/>
      <c r="R350" s="323" t="s">
        <v>67</v>
      </c>
      <c r="S350" s="209">
        <f t="shared" si="203"/>
        <v>0</v>
      </c>
      <c r="T350" s="209">
        <f t="shared" si="204"/>
        <v>0</v>
      </c>
      <c r="U350" s="209"/>
      <c r="V350" s="209">
        <f t="shared" si="205"/>
        <v>0</v>
      </c>
      <c r="W350" s="209"/>
      <c r="X350" s="209">
        <f t="shared" si="206"/>
        <v>0</v>
      </c>
      <c r="Y350" s="209">
        <f t="shared" si="207"/>
        <v>0</v>
      </c>
      <c r="Z350" s="233"/>
      <c r="AA350" s="233">
        <f t="shared" si="237"/>
        <v>0</v>
      </c>
      <c r="AB350" s="314">
        <f t="shared" si="214"/>
        <v>0</v>
      </c>
      <c r="AC350" s="314"/>
      <c r="AD350" s="314">
        <f t="shared" si="215"/>
        <v>0</v>
      </c>
      <c r="AE350" s="323" t="s">
        <v>87</v>
      </c>
      <c r="AF350" s="81">
        <f t="shared" si="239"/>
        <v>0</v>
      </c>
      <c r="AG350" s="335">
        <f t="shared" si="240"/>
        <v>0</v>
      </c>
      <c r="AH350" s="335"/>
      <c r="AI350" s="335">
        <f t="shared" si="241"/>
        <v>0</v>
      </c>
      <c r="AJ350" s="335"/>
      <c r="AK350" s="335">
        <f t="shared" si="242"/>
        <v>0</v>
      </c>
      <c r="AL350" s="336">
        <f t="shared" si="243"/>
        <v>0</v>
      </c>
      <c r="AM350" s="353"/>
      <c r="AN350" s="22">
        <f t="shared" si="238"/>
        <v>0</v>
      </c>
      <c r="AO350" s="209">
        <f t="shared" si="216"/>
        <v>0</v>
      </c>
      <c r="AP350" s="339"/>
      <c r="AQ350" s="125">
        <f t="shared" si="217"/>
        <v>0</v>
      </c>
      <c r="AR350" s="104"/>
      <c r="AS350" s="217"/>
      <c r="AT350" s="216"/>
      <c r="AU350" s="230"/>
      <c r="AV350" s="220"/>
      <c r="AW350" s="230"/>
      <c r="AX350" s="220"/>
      <c r="AY350" s="230"/>
      <c r="AZ350" s="220"/>
      <c r="BA350" s="17">
        <f t="shared" si="208"/>
        <v>3.4999999999999997E-5</v>
      </c>
      <c r="BB350" s="17">
        <f t="shared" si="209"/>
        <v>0</v>
      </c>
      <c r="BC350" s="17"/>
      <c r="BD350" s="178">
        <v>341</v>
      </c>
      <c r="BE350" s="214">
        <f t="shared" si="218"/>
        <v>8.6999999999999997E-6</v>
      </c>
      <c r="BF350" s="178">
        <f t="shared" si="210"/>
        <v>0</v>
      </c>
      <c r="BG350" s="245">
        <f t="shared" si="211"/>
        <v>3.4999999999999997E-5</v>
      </c>
      <c r="BH350" s="17">
        <f t="shared" si="219"/>
        <v>0</v>
      </c>
      <c r="BI350" s="178">
        <v>341</v>
      </c>
      <c r="BJ350" s="87">
        <f t="shared" si="220"/>
        <v>6.9999999999999999E-6</v>
      </c>
      <c r="BK350" s="215">
        <f t="shared" si="212"/>
        <v>0</v>
      </c>
      <c r="BL350" s="245">
        <f t="shared" si="221"/>
        <v>3.4999999999999997E-5</v>
      </c>
      <c r="BM350" s="17">
        <f t="shared" si="222"/>
        <v>0</v>
      </c>
      <c r="BN350" s="178">
        <v>341</v>
      </c>
      <c r="BO350" s="87">
        <f t="shared" si="223"/>
        <v>6.9999999999999999E-6</v>
      </c>
      <c r="BP350" s="215">
        <f t="shared" si="213"/>
        <v>0</v>
      </c>
      <c r="BR350" s="126"/>
      <c r="BS350" s="126"/>
      <c r="BU350" s="178"/>
      <c r="BV350" s="179" t="str">
        <f t="shared" si="224"/>
        <v/>
      </c>
      <c r="BW350" s="179" t="str">
        <f t="shared" si="225"/>
        <v/>
      </c>
      <c r="BX350" s="179" t="str">
        <f t="shared" si="226"/>
        <v/>
      </c>
      <c r="BY350" s="179" t="str">
        <f t="shared" si="227"/>
        <v/>
      </c>
      <c r="BZ350" s="179" t="str">
        <f t="shared" si="228"/>
        <v/>
      </c>
      <c r="CA350" s="179" t="str">
        <f t="shared" si="229"/>
        <v/>
      </c>
      <c r="CB350" s="179" t="str">
        <f t="shared" si="230"/>
        <v/>
      </c>
      <c r="CC350" s="179" t="str">
        <f t="shared" si="231"/>
        <v/>
      </c>
      <c r="CD350" s="179" t="str">
        <f t="shared" si="232"/>
        <v/>
      </c>
      <c r="CE350" s="179" t="str">
        <f t="shared" si="233"/>
        <v/>
      </c>
      <c r="CF350" s="179" t="str">
        <f t="shared" si="234"/>
        <v/>
      </c>
      <c r="CG350" s="179" t="str">
        <f t="shared" si="235"/>
        <v/>
      </c>
      <c r="CH350" s="166"/>
      <c r="CI350" s="166"/>
      <c r="CJ350" s="166"/>
      <c r="CK350" s="166" t="s">
        <v>150</v>
      </c>
      <c r="CL350" s="166"/>
    </row>
    <row r="351" spans="1:90" ht="14.25" customHeight="1" thickBot="1" x14ac:dyDescent="0.3">
      <c r="A351" s="211">
        <v>341</v>
      </c>
      <c r="B351" s="88"/>
      <c r="C351" s="201"/>
      <c r="D351" s="94"/>
      <c r="E351" s="321" t="s">
        <v>93</v>
      </c>
      <c r="F351" s="96"/>
      <c r="G351" s="100"/>
      <c r="H351" s="100"/>
      <c r="I351" s="100"/>
      <c r="J351" s="100"/>
      <c r="K351" s="100"/>
      <c r="L351" s="100"/>
      <c r="M351" s="210"/>
      <c r="N351" s="234">
        <f t="shared" si="236"/>
        <v>0</v>
      </c>
      <c r="O351" s="308"/>
      <c r="P351" s="343"/>
      <c r="Q351" s="309"/>
      <c r="R351" s="324" t="s">
        <v>67</v>
      </c>
      <c r="S351" s="209">
        <f t="shared" si="203"/>
        <v>0</v>
      </c>
      <c r="T351" s="209">
        <f t="shared" si="204"/>
        <v>0</v>
      </c>
      <c r="U351" s="209"/>
      <c r="V351" s="209">
        <f t="shared" si="205"/>
        <v>0</v>
      </c>
      <c r="W351" s="209"/>
      <c r="X351" s="209">
        <f t="shared" si="206"/>
        <v>0</v>
      </c>
      <c r="Y351" s="209">
        <f t="shared" si="207"/>
        <v>0</v>
      </c>
      <c r="Z351" s="351"/>
      <c r="AA351" s="234">
        <f t="shared" si="237"/>
        <v>0</v>
      </c>
      <c r="AB351" s="314">
        <f t="shared" si="214"/>
        <v>0</v>
      </c>
      <c r="AC351" s="314"/>
      <c r="AD351" s="314">
        <f t="shared" si="215"/>
        <v>0</v>
      </c>
      <c r="AE351" s="324" t="s">
        <v>87</v>
      </c>
      <c r="AF351" s="82">
        <f t="shared" si="239"/>
        <v>0</v>
      </c>
      <c r="AG351" s="337">
        <f t="shared" si="240"/>
        <v>0</v>
      </c>
      <c r="AH351" s="337"/>
      <c r="AI351" s="337">
        <f t="shared" si="241"/>
        <v>0</v>
      </c>
      <c r="AJ351" s="337"/>
      <c r="AK351" s="337">
        <f t="shared" si="242"/>
        <v>0</v>
      </c>
      <c r="AL351" s="338">
        <f t="shared" si="243"/>
        <v>0</v>
      </c>
      <c r="AM351" s="354"/>
      <c r="AN351" s="91">
        <f t="shared" si="238"/>
        <v>0</v>
      </c>
      <c r="AO351" s="96">
        <f t="shared" si="216"/>
        <v>0</v>
      </c>
      <c r="AP351" s="210"/>
      <c r="AQ351" s="97">
        <f t="shared" si="217"/>
        <v>0</v>
      </c>
      <c r="AR351" s="105"/>
      <c r="AS351" s="102"/>
      <c r="AT351" s="237"/>
      <c r="AU351" s="231"/>
      <c r="AV351" s="93"/>
      <c r="AW351" s="231"/>
      <c r="AX351" s="93"/>
      <c r="AY351" s="231"/>
      <c r="AZ351" s="93"/>
      <c r="BA351" s="17">
        <f t="shared" si="208"/>
        <v>3.5099999999999999E-5</v>
      </c>
      <c r="BB351" s="17">
        <f t="shared" si="209"/>
        <v>0</v>
      </c>
      <c r="BC351" s="17"/>
      <c r="BD351" s="178">
        <v>342</v>
      </c>
      <c r="BE351" s="214">
        <f t="shared" si="218"/>
        <v>8.599999999999999E-6</v>
      </c>
      <c r="BF351" s="178">
        <f t="shared" si="210"/>
        <v>0</v>
      </c>
      <c r="BG351" s="245">
        <f t="shared" si="211"/>
        <v>3.5099999999999999E-5</v>
      </c>
      <c r="BH351" s="17">
        <f t="shared" si="219"/>
        <v>0</v>
      </c>
      <c r="BI351" s="178">
        <v>342</v>
      </c>
      <c r="BJ351" s="87">
        <f t="shared" si="220"/>
        <v>6.9E-6</v>
      </c>
      <c r="BK351" s="215">
        <f t="shared" si="212"/>
        <v>0</v>
      </c>
      <c r="BL351" s="245">
        <f t="shared" si="221"/>
        <v>3.5099999999999999E-5</v>
      </c>
      <c r="BM351" s="17">
        <f t="shared" si="222"/>
        <v>0</v>
      </c>
      <c r="BN351" s="178">
        <v>342</v>
      </c>
      <c r="BO351" s="87">
        <f t="shared" si="223"/>
        <v>6.9E-6</v>
      </c>
      <c r="BP351" s="215">
        <f t="shared" si="213"/>
        <v>0</v>
      </c>
      <c r="BR351" s="126"/>
      <c r="BS351" s="126"/>
      <c r="BU351" s="178"/>
      <c r="BV351" s="179" t="str">
        <f t="shared" si="224"/>
        <v/>
      </c>
      <c r="BW351" s="179" t="str">
        <f t="shared" si="225"/>
        <v/>
      </c>
      <c r="BX351" s="179" t="str">
        <f t="shared" si="226"/>
        <v/>
      </c>
      <c r="BY351" s="179" t="str">
        <f t="shared" si="227"/>
        <v/>
      </c>
      <c r="BZ351" s="179" t="str">
        <f t="shared" si="228"/>
        <v/>
      </c>
      <c r="CA351" s="179" t="str">
        <f t="shared" si="229"/>
        <v/>
      </c>
      <c r="CB351" s="179" t="str">
        <f t="shared" si="230"/>
        <v/>
      </c>
      <c r="CC351" s="179" t="str">
        <f t="shared" si="231"/>
        <v/>
      </c>
      <c r="CD351" s="179" t="str">
        <f t="shared" si="232"/>
        <v/>
      </c>
      <c r="CE351" s="179" t="str">
        <f t="shared" si="233"/>
        <v/>
      </c>
      <c r="CF351" s="179" t="str">
        <f t="shared" si="234"/>
        <v/>
      </c>
      <c r="CG351" s="179" t="str">
        <f t="shared" si="235"/>
        <v/>
      </c>
      <c r="CH351" s="166"/>
      <c r="CI351" s="166"/>
      <c r="CJ351" s="166"/>
      <c r="CK351" s="166" t="s">
        <v>150</v>
      </c>
      <c r="CL351" s="166"/>
    </row>
    <row r="352" spans="1:90" ht="14.25" customHeight="1" thickBot="1" x14ac:dyDescent="0.3">
      <c r="A352" s="213">
        <v>342</v>
      </c>
      <c r="B352" s="89"/>
      <c r="C352" s="199"/>
      <c r="D352" s="146"/>
      <c r="E352" s="319" t="s">
        <v>93</v>
      </c>
      <c r="F352" s="221"/>
      <c r="G352" s="222"/>
      <c r="H352" s="222"/>
      <c r="I352" s="222"/>
      <c r="J352" s="222"/>
      <c r="K352" s="222"/>
      <c r="L352" s="222"/>
      <c r="M352" s="331"/>
      <c r="N352" s="303">
        <f t="shared" si="236"/>
        <v>0</v>
      </c>
      <c r="O352" s="304"/>
      <c r="P352" s="341"/>
      <c r="Q352" s="305"/>
      <c r="R352" s="322" t="s">
        <v>67</v>
      </c>
      <c r="S352" s="209">
        <f t="shared" si="203"/>
        <v>0</v>
      </c>
      <c r="T352" s="209">
        <f t="shared" si="204"/>
        <v>0</v>
      </c>
      <c r="U352" s="209"/>
      <c r="V352" s="209">
        <f t="shared" si="205"/>
        <v>0</v>
      </c>
      <c r="W352" s="209"/>
      <c r="X352" s="209">
        <f t="shared" si="206"/>
        <v>0</v>
      </c>
      <c r="Y352" s="209">
        <f t="shared" si="207"/>
        <v>0</v>
      </c>
      <c r="Z352" s="303"/>
      <c r="AA352" s="303">
        <f t="shared" si="237"/>
        <v>0</v>
      </c>
      <c r="AB352" s="314">
        <f t="shared" si="214"/>
        <v>0</v>
      </c>
      <c r="AC352" s="314"/>
      <c r="AD352" s="314">
        <f t="shared" si="215"/>
        <v>0</v>
      </c>
      <c r="AE352" s="325" t="s">
        <v>148</v>
      </c>
      <c r="AF352" s="15">
        <f t="shared" si="239"/>
        <v>0</v>
      </c>
      <c r="AG352" s="232">
        <f t="shared" si="240"/>
        <v>0</v>
      </c>
      <c r="AH352" s="232"/>
      <c r="AI352" s="232">
        <f t="shared" si="241"/>
        <v>0</v>
      </c>
      <c r="AJ352" s="232"/>
      <c r="AK352" s="232">
        <f t="shared" si="242"/>
        <v>0</v>
      </c>
      <c r="AL352" s="7">
        <f t="shared" si="243"/>
        <v>0</v>
      </c>
      <c r="AM352" s="352"/>
      <c r="AN352" s="22">
        <f t="shared" si="238"/>
        <v>0</v>
      </c>
      <c r="AO352" s="15">
        <f t="shared" si="216"/>
        <v>0</v>
      </c>
      <c r="AP352" s="345"/>
      <c r="AQ352" s="7">
        <f t="shared" si="217"/>
        <v>0</v>
      </c>
      <c r="AR352" s="103"/>
      <c r="AS352" s="101"/>
      <c r="AT352" s="236"/>
      <c r="AU352" s="235"/>
      <c r="AV352" s="92"/>
      <c r="AW352" s="235"/>
      <c r="AX352" s="92"/>
      <c r="AY352" s="235"/>
      <c r="AZ352" s="92"/>
      <c r="BA352" s="17">
        <f t="shared" si="208"/>
        <v>3.5200000000000002E-5</v>
      </c>
      <c r="BB352" s="17">
        <f t="shared" si="209"/>
        <v>0</v>
      </c>
      <c r="BC352" s="17"/>
      <c r="BD352" s="178">
        <v>343</v>
      </c>
      <c r="BE352" s="214">
        <f t="shared" si="218"/>
        <v>8.4999999999999999E-6</v>
      </c>
      <c r="BF352" s="178">
        <f t="shared" si="210"/>
        <v>0</v>
      </c>
      <c r="BG352" s="245">
        <f t="shared" si="211"/>
        <v>3.5200000000000002E-5</v>
      </c>
      <c r="BH352" s="17">
        <f t="shared" si="219"/>
        <v>0</v>
      </c>
      <c r="BI352" s="178">
        <v>343</v>
      </c>
      <c r="BJ352" s="87">
        <f t="shared" si="220"/>
        <v>6.7999999999999993E-6</v>
      </c>
      <c r="BK352" s="215">
        <f t="shared" si="212"/>
        <v>0</v>
      </c>
      <c r="BL352" s="245">
        <f t="shared" si="221"/>
        <v>3.5200000000000002E-5</v>
      </c>
      <c r="BM352" s="17">
        <f t="shared" si="222"/>
        <v>0</v>
      </c>
      <c r="BN352" s="178">
        <v>343</v>
      </c>
      <c r="BO352" s="87">
        <f t="shared" si="223"/>
        <v>6.7999999999999993E-6</v>
      </c>
      <c r="BP352" s="215">
        <f t="shared" si="213"/>
        <v>0</v>
      </c>
      <c r="BR352" s="126"/>
      <c r="BS352" s="126"/>
      <c r="BU352" s="178"/>
      <c r="BV352" s="179" t="str">
        <f t="shared" si="224"/>
        <v/>
      </c>
      <c r="BW352" s="179" t="str">
        <f t="shared" si="225"/>
        <v/>
      </c>
      <c r="BX352" s="179" t="str">
        <f t="shared" si="226"/>
        <v/>
      </c>
      <c r="BY352" s="179" t="str">
        <f t="shared" si="227"/>
        <v/>
      </c>
      <c r="BZ352" s="179" t="str">
        <f t="shared" si="228"/>
        <v/>
      </c>
      <c r="CA352" s="179" t="str">
        <f t="shared" si="229"/>
        <v/>
      </c>
      <c r="CB352" s="179" t="str">
        <f t="shared" si="230"/>
        <v/>
      </c>
      <c r="CC352" s="179" t="str">
        <f t="shared" si="231"/>
        <v/>
      </c>
      <c r="CD352" s="179" t="str">
        <f t="shared" si="232"/>
        <v/>
      </c>
      <c r="CE352" s="179" t="str">
        <f t="shared" si="233"/>
        <v/>
      </c>
      <c r="CF352" s="179" t="str">
        <f t="shared" si="234"/>
        <v/>
      </c>
      <c r="CG352" s="179" t="str">
        <f t="shared" si="235"/>
        <v/>
      </c>
      <c r="CH352" s="166"/>
      <c r="CI352" s="166"/>
      <c r="CJ352" s="166"/>
      <c r="CK352" s="166" t="s">
        <v>150</v>
      </c>
      <c r="CL352" s="166"/>
    </row>
    <row r="353" spans="1:90" ht="14.25" customHeight="1" x14ac:dyDescent="0.25">
      <c r="A353" s="211">
        <v>343</v>
      </c>
      <c r="B353" s="219"/>
      <c r="C353" s="200"/>
      <c r="D353" s="145"/>
      <c r="E353" s="320" t="s">
        <v>93</v>
      </c>
      <c r="F353" s="209"/>
      <c r="G353" s="313"/>
      <c r="H353" s="313"/>
      <c r="I353" s="313"/>
      <c r="J353" s="313"/>
      <c r="K353" s="313"/>
      <c r="L353" s="313"/>
      <c r="M353" s="339"/>
      <c r="N353" s="233">
        <f t="shared" si="236"/>
        <v>0</v>
      </c>
      <c r="O353" s="306"/>
      <c r="P353" s="342"/>
      <c r="Q353" s="307"/>
      <c r="R353" s="323" t="s">
        <v>67</v>
      </c>
      <c r="S353" s="209">
        <f t="shared" si="203"/>
        <v>0</v>
      </c>
      <c r="T353" s="209">
        <f t="shared" si="204"/>
        <v>0</v>
      </c>
      <c r="U353" s="209"/>
      <c r="V353" s="209">
        <f t="shared" si="205"/>
        <v>0</v>
      </c>
      <c r="W353" s="209"/>
      <c r="X353" s="209">
        <f t="shared" si="206"/>
        <v>0</v>
      </c>
      <c r="Y353" s="209">
        <f t="shared" si="207"/>
        <v>0</v>
      </c>
      <c r="Z353" s="233"/>
      <c r="AA353" s="233">
        <f t="shared" si="237"/>
        <v>0</v>
      </c>
      <c r="AB353" s="314">
        <f t="shared" si="214"/>
        <v>0</v>
      </c>
      <c r="AC353" s="314"/>
      <c r="AD353" s="314">
        <f t="shared" si="215"/>
        <v>0</v>
      </c>
      <c r="AE353" s="323" t="s">
        <v>87</v>
      </c>
      <c r="AF353" s="81">
        <f t="shared" si="239"/>
        <v>0</v>
      </c>
      <c r="AG353" s="335">
        <f t="shared" si="240"/>
        <v>0</v>
      </c>
      <c r="AH353" s="335"/>
      <c r="AI353" s="335">
        <f t="shared" si="241"/>
        <v>0</v>
      </c>
      <c r="AJ353" s="335"/>
      <c r="AK353" s="335">
        <f t="shared" si="242"/>
        <v>0</v>
      </c>
      <c r="AL353" s="336">
        <f t="shared" si="243"/>
        <v>0</v>
      </c>
      <c r="AM353" s="353"/>
      <c r="AN353" s="22">
        <f t="shared" si="238"/>
        <v>0</v>
      </c>
      <c r="AO353" s="209">
        <f t="shared" si="216"/>
        <v>0</v>
      </c>
      <c r="AP353" s="339"/>
      <c r="AQ353" s="125">
        <f t="shared" si="217"/>
        <v>0</v>
      </c>
      <c r="AR353" s="104"/>
      <c r="AS353" s="217"/>
      <c r="AT353" s="216"/>
      <c r="AU353" s="230"/>
      <c r="AV353" s="220"/>
      <c r="AW353" s="230"/>
      <c r="AX353" s="220"/>
      <c r="AY353" s="230"/>
      <c r="AZ353" s="220"/>
      <c r="BA353" s="17">
        <f t="shared" si="208"/>
        <v>3.5299999999999997E-5</v>
      </c>
      <c r="BB353" s="17">
        <f t="shared" si="209"/>
        <v>0</v>
      </c>
      <c r="BC353" s="17"/>
      <c r="BD353" s="178">
        <v>344</v>
      </c>
      <c r="BE353" s="214">
        <f t="shared" si="218"/>
        <v>8.3999999999999992E-6</v>
      </c>
      <c r="BF353" s="178">
        <f t="shared" si="210"/>
        <v>0</v>
      </c>
      <c r="BG353" s="245">
        <f t="shared" si="211"/>
        <v>3.5299999999999997E-5</v>
      </c>
      <c r="BH353" s="17">
        <f t="shared" si="219"/>
        <v>0</v>
      </c>
      <c r="BI353" s="178">
        <v>344</v>
      </c>
      <c r="BJ353" s="87">
        <f t="shared" si="220"/>
        <v>6.6999999999999994E-6</v>
      </c>
      <c r="BK353" s="215">
        <f t="shared" si="212"/>
        <v>0</v>
      </c>
      <c r="BL353" s="245">
        <f t="shared" si="221"/>
        <v>3.5299999999999997E-5</v>
      </c>
      <c r="BM353" s="17">
        <f t="shared" si="222"/>
        <v>0</v>
      </c>
      <c r="BN353" s="178">
        <v>344</v>
      </c>
      <c r="BO353" s="87">
        <f t="shared" si="223"/>
        <v>6.6999999999999994E-6</v>
      </c>
      <c r="BP353" s="215">
        <f t="shared" si="213"/>
        <v>0</v>
      </c>
      <c r="BR353" s="126"/>
      <c r="BS353" s="126"/>
      <c r="BU353" s="178"/>
      <c r="BV353" s="179" t="str">
        <f t="shared" si="224"/>
        <v/>
      </c>
      <c r="BW353" s="179" t="str">
        <f t="shared" si="225"/>
        <v/>
      </c>
      <c r="BX353" s="179" t="str">
        <f t="shared" si="226"/>
        <v/>
      </c>
      <c r="BY353" s="179" t="str">
        <f t="shared" si="227"/>
        <v/>
      </c>
      <c r="BZ353" s="179" t="str">
        <f t="shared" si="228"/>
        <v/>
      </c>
      <c r="CA353" s="179" t="str">
        <f t="shared" si="229"/>
        <v/>
      </c>
      <c r="CB353" s="179" t="str">
        <f t="shared" si="230"/>
        <v/>
      </c>
      <c r="CC353" s="179" t="str">
        <f t="shared" si="231"/>
        <v/>
      </c>
      <c r="CD353" s="179" t="str">
        <f t="shared" si="232"/>
        <v/>
      </c>
      <c r="CE353" s="179" t="str">
        <f t="shared" si="233"/>
        <v/>
      </c>
      <c r="CF353" s="179" t="str">
        <f t="shared" si="234"/>
        <v/>
      </c>
      <c r="CG353" s="179" t="str">
        <f t="shared" si="235"/>
        <v/>
      </c>
      <c r="CH353" s="166"/>
      <c r="CI353" s="166"/>
      <c r="CJ353" s="166"/>
      <c r="CK353" s="166" t="s">
        <v>150</v>
      </c>
      <c r="CL353" s="166"/>
    </row>
    <row r="354" spans="1:90" ht="14.25" customHeight="1" thickBot="1" x14ac:dyDescent="0.3">
      <c r="A354" s="213">
        <v>344</v>
      </c>
      <c r="B354" s="88"/>
      <c r="C354" s="201"/>
      <c r="D354" s="94"/>
      <c r="E354" s="321" t="s">
        <v>93</v>
      </c>
      <c r="F354" s="96"/>
      <c r="G354" s="100"/>
      <c r="H354" s="100"/>
      <c r="I354" s="100"/>
      <c r="J354" s="100"/>
      <c r="K354" s="100"/>
      <c r="L354" s="100"/>
      <c r="M354" s="210"/>
      <c r="N354" s="234">
        <f t="shared" si="236"/>
        <v>0</v>
      </c>
      <c r="O354" s="308"/>
      <c r="P354" s="343"/>
      <c r="Q354" s="309"/>
      <c r="R354" s="324" t="s">
        <v>67</v>
      </c>
      <c r="S354" s="209">
        <f t="shared" si="203"/>
        <v>0</v>
      </c>
      <c r="T354" s="209">
        <f t="shared" si="204"/>
        <v>0</v>
      </c>
      <c r="U354" s="209"/>
      <c r="V354" s="209">
        <f t="shared" si="205"/>
        <v>0</v>
      </c>
      <c r="W354" s="209"/>
      <c r="X354" s="209">
        <f t="shared" si="206"/>
        <v>0</v>
      </c>
      <c r="Y354" s="209">
        <f t="shared" si="207"/>
        <v>0</v>
      </c>
      <c r="Z354" s="351"/>
      <c r="AA354" s="234">
        <f t="shared" si="237"/>
        <v>0</v>
      </c>
      <c r="AB354" s="314">
        <f t="shared" si="214"/>
        <v>0</v>
      </c>
      <c r="AC354" s="314"/>
      <c r="AD354" s="314">
        <f t="shared" si="215"/>
        <v>0</v>
      </c>
      <c r="AE354" s="324" t="s">
        <v>87</v>
      </c>
      <c r="AF354" s="82">
        <f t="shared" si="239"/>
        <v>0</v>
      </c>
      <c r="AG354" s="337">
        <f t="shared" si="240"/>
        <v>0</v>
      </c>
      <c r="AH354" s="337"/>
      <c r="AI354" s="337">
        <f t="shared" si="241"/>
        <v>0</v>
      </c>
      <c r="AJ354" s="337"/>
      <c r="AK354" s="337">
        <f t="shared" si="242"/>
        <v>0</v>
      </c>
      <c r="AL354" s="338">
        <f t="shared" si="243"/>
        <v>0</v>
      </c>
      <c r="AM354" s="354"/>
      <c r="AN354" s="91">
        <f t="shared" si="238"/>
        <v>0</v>
      </c>
      <c r="AO354" s="96">
        <f t="shared" si="216"/>
        <v>0</v>
      </c>
      <c r="AP354" s="210"/>
      <c r="AQ354" s="97">
        <f t="shared" si="217"/>
        <v>0</v>
      </c>
      <c r="AR354" s="105"/>
      <c r="AS354" s="102"/>
      <c r="AT354" s="237"/>
      <c r="AU354" s="231"/>
      <c r="AV354" s="93"/>
      <c r="AW354" s="231"/>
      <c r="AX354" s="93"/>
      <c r="AY354" s="231"/>
      <c r="AZ354" s="93"/>
      <c r="BA354" s="17">
        <f t="shared" si="208"/>
        <v>3.54E-5</v>
      </c>
      <c r="BB354" s="17">
        <f t="shared" si="209"/>
        <v>0</v>
      </c>
      <c r="BC354" s="17"/>
      <c r="BD354" s="178">
        <v>345</v>
      </c>
      <c r="BE354" s="214">
        <f t="shared" si="218"/>
        <v>8.3000000000000002E-6</v>
      </c>
      <c r="BF354" s="178">
        <f t="shared" si="210"/>
        <v>0</v>
      </c>
      <c r="BG354" s="245">
        <f t="shared" si="211"/>
        <v>3.54E-5</v>
      </c>
      <c r="BH354" s="17">
        <f t="shared" si="219"/>
        <v>0</v>
      </c>
      <c r="BI354" s="178">
        <v>345</v>
      </c>
      <c r="BJ354" s="87">
        <f t="shared" si="220"/>
        <v>6.5999999999999995E-6</v>
      </c>
      <c r="BK354" s="215">
        <f t="shared" si="212"/>
        <v>0</v>
      </c>
      <c r="BL354" s="245">
        <f t="shared" si="221"/>
        <v>3.54E-5</v>
      </c>
      <c r="BM354" s="17">
        <f t="shared" si="222"/>
        <v>0</v>
      </c>
      <c r="BN354" s="178">
        <v>345</v>
      </c>
      <c r="BO354" s="87">
        <f t="shared" si="223"/>
        <v>6.5999999999999995E-6</v>
      </c>
      <c r="BP354" s="215">
        <f t="shared" si="213"/>
        <v>0</v>
      </c>
      <c r="BR354" s="126"/>
      <c r="BS354" s="126"/>
      <c r="BU354" s="178"/>
      <c r="BV354" s="179" t="str">
        <f t="shared" si="224"/>
        <v/>
      </c>
      <c r="BW354" s="179" t="str">
        <f t="shared" si="225"/>
        <v/>
      </c>
      <c r="BX354" s="179" t="str">
        <f t="shared" si="226"/>
        <v/>
      </c>
      <c r="BY354" s="179" t="str">
        <f t="shared" si="227"/>
        <v/>
      </c>
      <c r="BZ354" s="179" t="str">
        <f t="shared" si="228"/>
        <v/>
      </c>
      <c r="CA354" s="179" t="str">
        <f t="shared" si="229"/>
        <v/>
      </c>
      <c r="CB354" s="179" t="str">
        <f t="shared" si="230"/>
        <v/>
      </c>
      <c r="CC354" s="179" t="str">
        <f t="shared" si="231"/>
        <v/>
      </c>
      <c r="CD354" s="179" t="str">
        <f t="shared" si="232"/>
        <v/>
      </c>
      <c r="CE354" s="179" t="str">
        <f t="shared" si="233"/>
        <v/>
      </c>
      <c r="CF354" s="179" t="str">
        <f t="shared" si="234"/>
        <v/>
      </c>
      <c r="CG354" s="179" t="str">
        <f t="shared" si="235"/>
        <v/>
      </c>
      <c r="CH354" s="166"/>
      <c r="CI354" s="166"/>
      <c r="CJ354" s="166"/>
      <c r="CK354" s="166" t="s">
        <v>150</v>
      </c>
      <c r="CL354" s="166"/>
    </row>
    <row r="355" spans="1:90" ht="14.25" customHeight="1" x14ac:dyDescent="0.25">
      <c r="A355" s="211">
        <v>345</v>
      </c>
      <c r="B355" s="89"/>
      <c r="C355" s="199"/>
      <c r="D355" s="146"/>
      <c r="E355" s="319" t="s">
        <v>93</v>
      </c>
      <c r="F355" s="221"/>
      <c r="G355" s="222"/>
      <c r="H355" s="222"/>
      <c r="I355" s="222"/>
      <c r="J355" s="222"/>
      <c r="K355" s="222"/>
      <c r="L355" s="222"/>
      <c r="M355" s="331"/>
      <c r="N355" s="303">
        <f t="shared" si="236"/>
        <v>0</v>
      </c>
      <c r="O355" s="304"/>
      <c r="P355" s="341"/>
      <c r="Q355" s="305"/>
      <c r="R355" s="322" t="s">
        <v>67</v>
      </c>
      <c r="S355" s="209">
        <f t="shared" si="203"/>
        <v>0</v>
      </c>
      <c r="T355" s="209">
        <f t="shared" si="204"/>
        <v>0</v>
      </c>
      <c r="U355" s="209"/>
      <c r="V355" s="209">
        <f t="shared" si="205"/>
        <v>0</v>
      </c>
      <c r="W355" s="209"/>
      <c r="X355" s="209">
        <f t="shared" si="206"/>
        <v>0</v>
      </c>
      <c r="Y355" s="209">
        <f t="shared" si="207"/>
        <v>0</v>
      </c>
      <c r="Z355" s="303"/>
      <c r="AA355" s="303">
        <f t="shared" si="237"/>
        <v>0</v>
      </c>
      <c r="AB355" s="314">
        <f t="shared" si="214"/>
        <v>0</v>
      </c>
      <c r="AC355" s="314"/>
      <c r="AD355" s="314">
        <f t="shared" si="215"/>
        <v>0</v>
      </c>
      <c r="AE355" s="325" t="s">
        <v>148</v>
      </c>
      <c r="AF355" s="15">
        <f t="shared" si="239"/>
        <v>0</v>
      </c>
      <c r="AG355" s="232">
        <f t="shared" si="240"/>
        <v>0</v>
      </c>
      <c r="AH355" s="232"/>
      <c r="AI355" s="232">
        <f t="shared" si="241"/>
        <v>0</v>
      </c>
      <c r="AJ355" s="232"/>
      <c r="AK355" s="232">
        <f t="shared" si="242"/>
        <v>0</v>
      </c>
      <c r="AL355" s="7">
        <f t="shared" si="243"/>
        <v>0</v>
      </c>
      <c r="AM355" s="352"/>
      <c r="AN355" s="22">
        <f t="shared" si="238"/>
        <v>0</v>
      </c>
      <c r="AO355" s="15">
        <f t="shared" si="216"/>
        <v>0</v>
      </c>
      <c r="AP355" s="345"/>
      <c r="AQ355" s="7">
        <f t="shared" si="217"/>
        <v>0</v>
      </c>
      <c r="AR355" s="103"/>
      <c r="AS355" s="101"/>
      <c r="AT355" s="236"/>
      <c r="AU355" s="235"/>
      <c r="AV355" s="92"/>
      <c r="AW355" s="235"/>
      <c r="AX355" s="92"/>
      <c r="AY355" s="235"/>
      <c r="AZ355" s="92"/>
      <c r="BA355" s="17">
        <f t="shared" si="208"/>
        <v>3.5499999999999996E-5</v>
      </c>
      <c r="BB355" s="17">
        <f t="shared" si="209"/>
        <v>0</v>
      </c>
      <c r="BC355" s="17"/>
      <c r="BD355" s="178">
        <v>346</v>
      </c>
      <c r="BE355" s="214">
        <f t="shared" si="218"/>
        <v>8.1999999999999994E-6</v>
      </c>
      <c r="BF355" s="178">
        <f t="shared" si="210"/>
        <v>0</v>
      </c>
      <c r="BG355" s="245">
        <f t="shared" si="211"/>
        <v>3.5499999999999996E-5</v>
      </c>
      <c r="BH355" s="17">
        <f t="shared" si="219"/>
        <v>0</v>
      </c>
      <c r="BI355" s="178">
        <v>346</v>
      </c>
      <c r="BJ355" s="87">
        <f t="shared" si="220"/>
        <v>6.4999999999999996E-6</v>
      </c>
      <c r="BK355" s="215">
        <f t="shared" si="212"/>
        <v>0</v>
      </c>
      <c r="BL355" s="245">
        <f t="shared" si="221"/>
        <v>3.5499999999999996E-5</v>
      </c>
      <c r="BM355" s="17">
        <f t="shared" si="222"/>
        <v>0</v>
      </c>
      <c r="BN355" s="178">
        <v>346</v>
      </c>
      <c r="BO355" s="87">
        <f t="shared" si="223"/>
        <v>6.4999999999999996E-6</v>
      </c>
      <c r="BP355" s="215">
        <f t="shared" si="213"/>
        <v>0</v>
      </c>
      <c r="BR355" s="126"/>
      <c r="BS355" s="126"/>
      <c r="BU355" s="178"/>
      <c r="BV355" s="179" t="str">
        <f t="shared" si="224"/>
        <v/>
      </c>
      <c r="BW355" s="179" t="str">
        <f t="shared" si="225"/>
        <v/>
      </c>
      <c r="BX355" s="179" t="str">
        <f t="shared" si="226"/>
        <v/>
      </c>
      <c r="BY355" s="179" t="str">
        <f t="shared" si="227"/>
        <v/>
      </c>
      <c r="BZ355" s="179" t="str">
        <f t="shared" si="228"/>
        <v/>
      </c>
      <c r="CA355" s="179" t="str">
        <f t="shared" si="229"/>
        <v/>
      </c>
      <c r="CB355" s="179" t="str">
        <f t="shared" si="230"/>
        <v/>
      </c>
      <c r="CC355" s="179" t="str">
        <f t="shared" si="231"/>
        <v/>
      </c>
      <c r="CD355" s="179" t="str">
        <f t="shared" si="232"/>
        <v/>
      </c>
      <c r="CE355" s="179" t="str">
        <f t="shared" si="233"/>
        <v/>
      </c>
      <c r="CF355" s="179" t="str">
        <f t="shared" si="234"/>
        <v/>
      </c>
      <c r="CG355" s="179" t="str">
        <f t="shared" si="235"/>
        <v/>
      </c>
      <c r="CH355" s="166"/>
      <c r="CI355" s="166"/>
      <c r="CJ355" s="166"/>
      <c r="CK355" s="166" t="s">
        <v>150</v>
      </c>
      <c r="CL355" s="166"/>
    </row>
    <row r="356" spans="1:90" ht="14.25" customHeight="1" thickBot="1" x14ac:dyDescent="0.3">
      <c r="A356" s="213">
        <v>346</v>
      </c>
      <c r="B356" s="219"/>
      <c r="C356" s="200"/>
      <c r="D356" s="145"/>
      <c r="E356" s="320" t="s">
        <v>93</v>
      </c>
      <c r="F356" s="209"/>
      <c r="G356" s="313"/>
      <c r="H356" s="313"/>
      <c r="I356" s="313"/>
      <c r="J356" s="313"/>
      <c r="K356" s="313"/>
      <c r="L356" s="313"/>
      <c r="M356" s="339"/>
      <c r="N356" s="233">
        <f t="shared" si="236"/>
        <v>0</v>
      </c>
      <c r="O356" s="306"/>
      <c r="P356" s="342"/>
      <c r="Q356" s="307"/>
      <c r="R356" s="323" t="s">
        <v>67</v>
      </c>
      <c r="S356" s="209">
        <f t="shared" si="203"/>
        <v>0</v>
      </c>
      <c r="T356" s="209">
        <f t="shared" si="204"/>
        <v>0</v>
      </c>
      <c r="U356" s="209"/>
      <c r="V356" s="209">
        <f t="shared" si="205"/>
        <v>0</v>
      </c>
      <c r="W356" s="209"/>
      <c r="X356" s="209">
        <f t="shared" si="206"/>
        <v>0</v>
      </c>
      <c r="Y356" s="209">
        <f t="shared" si="207"/>
        <v>0</v>
      </c>
      <c r="Z356" s="233"/>
      <c r="AA356" s="233">
        <f t="shared" si="237"/>
        <v>0</v>
      </c>
      <c r="AB356" s="314">
        <f t="shared" si="214"/>
        <v>0</v>
      </c>
      <c r="AC356" s="314"/>
      <c r="AD356" s="314">
        <f t="shared" si="215"/>
        <v>0</v>
      </c>
      <c r="AE356" s="323" t="s">
        <v>87</v>
      </c>
      <c r="AF356" s="81">
        <f t="shared" si="239"/>
        <v>0</v>
      </c>
      <c r="AG356" s="335">
        <f t="shared" si="240"/>
        <v>0</v>
      </c>
      <c r="AH356" s="335"/>
      <c r="AI356" s="335">
        <f t="shared" si="241"/>
        <v>0</v>
      </c>
      <c r="AJ356" s="335"/>
      <c r="AK356" s="335">
        <f t="shared" si="242"/>
        <v>0</v>
      </c>
      <c r="AL356" s="336">
        <f t="shared" si="243"/>
        <v>0</v>
      </c>
      <c r="AM356" s="353"/>
      <c r="AN356" s="22">
        <f t="shared" si="238"/>
        <v>0</v>
      </c>
      <c r="AO356" s="209">
        <f t="shared" si="216"/>
        <v>0</v>
      </c>
      <c r="AP356" s="339"/>
      <c r="AQ356" s="125">
        <f t="shared" si="217"/>
        <v>0</v>
      </c>
      <c r="AR356" s="104"/>
      <c r="AS356" s="217"/>
      <c r="AT356" s="216"/>
      <c r="AU356" s="230"/>
      <c r="AV356" s="220"/>
      <c r="AW356" s="230"/>
      <c r="AX356" s="220"/>
      <c r="AY356" s="230"/>
      <c r="AZ356" s="220"/>
      <c r="BA356" s="17">
        <f t="shared" si="208"/>
        <v>3.5599999999999998E-5</v>
      </c>
      <c r="BB356" s="17">
        <f t="shared" si="209"/>
        <v>0</v>
      </c>
      <c r="BC356" s="17"/>
      <c r="BD356" s="178">
        <v>347</v>
      </c>
      <c r="BE356" s="214">
        <f t="shared" si="218"/>
        <v>8.1000000000000004E-6</v>
      </c>
      <c r="BF356" s="178">
        <f t="shared" si="210"/>
        <v>0</v>
      </c>
      <c r="BG356" s="245">
        <f t="shared" si="211"/>
        <v>3.5599999999999998E-5</v>
      </c>
      <c r="BH356" s="17">
        <f t="shared" si="219"/>
        <v>0</v>
      </c>
      <c r="BI356" s="178">
        <v>347</v>
      </c>
      <c r="BJ356" s="87">
        <f t="shared" si="220"/>
        <v>6.3999999999999997E-6</v>
      </c>
      <c r="BK356" s="215">
        <f t="shared" si="212"/>
        <v>0</v>
      </c>
      <c r="BL356" s="245">
        <f t="shared" si="221"/>
        <v>3.5599999999999998E-5</v>
      </c>
      <c r="BM356" s="17">
        <f t="shared" si="222"/>
        <v>0</v>
      </c>
      <c r="BN356" s="178">
        <v>347</v>
      </c>
      <c r="BO356" s="87">
        <f t="shared" si="223"/>
        <v>6.3999999999999997E-6</v>
      </c>
      <c r="BP356" s="215">
        <f t="shared" si="213"/>
        <v>0</v>
      </c>
      <c r="BR356" s="126"/>
      <c r="BS356" s="126"/>
      <c r="BU356" s="178"/>
      <c r="BV356" s="179" t="str">
        <f t="shared" si="224"/>
        <v/>
      </c>
      <c r="BW356" s="179" t="str">
        <f t="shared" si="225"/>
        <v/>
      </c>
      <c r="BX356" s="179" t="str">
        <f t="shared" si="226"/>
        <v/>
      </c>
      <c r="BY356" s="179" t="str">
        <f t="shared" si="227"/>
        <v/>
      </c>
      <c r="BZ356" s="179" t="str">
        <f t="shared" si="228"/>
        <v/>
      </c>
      <c r="CA356" s="179" t="str">
        <f t="shared" si="229"/>
        <v/>
      </c>
      <c r="CB356" s="179" t="str">
        <f t="shared" si="230"/>
        <v/>
      </c>
      <c r="CC356" s="179" t="str">
        <f t="shared" si="231"/>
        <v/>
      </c>
      <c r="CD356" s="179" t="str">
        <f t="shared" si="232"/>
        <v/>
      </c>
      <c r="CE356" s="179" t="str">
        <f t="shared" si="233"/>
        <v/>
      </c>
      <c r="CF356" s="179" t="str">
        <f t="shared" si="234"/>
        <v/>
      </c>
      <c r="CG356" s="179" t="str">
        <f t="shared" si="235"/>
        <v/>
      </c>
      <c r="CH356" s="166"/>
      <c r="CI356" s="166"/>
      <c r="CJ356" s="166"/>
      <c r="CK356" s="166" t="s">
        <v>150</v>
      </c>
      <c r="CL356" s="166"/>
    </row>
    <row r="357" spans="1:90" ht="14.25" customHeight="1" thickBot="1" x14ac:dyDescent="0.3">
      <c r="A357" s="211">
        <v>347</v>
      </c>
      <c r="B357" s="88"/>
      <c r="C357" s="201"/>
      <c r="D357" s="94"/>
      <c r="E357" s="321" t="s">
        <v>93</v>
      </c>
      <c r="F357" s="96"/>
      <c r="G357" s="100"/>
      <c r="H357" s="100"/>
      <c r="I357" s="100"/>
      <c r="J357" s="100"/>
      <c r="K357" s="100"/>
      <c r="L357" s="100"/>
      <c r="M357" s="210"/>
      <c r="N357" s="234">
        <f t="shared" si="236"/>
        <v>0</v>
      </c>
      <c r="O357" s="308"/>
      <c r="P357" s="343"/>
      <c r="Q357" s="309"/>
      <c r="R357" s="324" t="s">
        <v>67</v>
      </c>
      <c r="S357" s="209">
        <f t="shared" si="203"/>
        <v>0</v>
      </c>
      <c r="T357" s="209">
        <f t="shared" si="204"/>
        <v>0</v>
      </c>
      <c r="U357" s="209"/>
      <c r="V357" s="209">
        <f t="shared" si="205"/>
        <v>0</v>
      </c>
      <c r="W357" s="209"/>
      <c r="X357" s="209">
        <f t="shared" si="206"/>
        <v>0</v>
      </c>
      <c r="Y357" s="209">
        <f t="shared" si="207"/>
        <v>0</v>
      </c>
      <c r="Z357" s="351"/>
      <c r="AA357" s="234">
        <f t="shared" si="237"/>
        <v>0</v>
      </c>
      <c r="AB357" s="314">
        <f t="shared" si="214"/>
        <v>0</v>
      </c>
      <c r="AC357" s="314"/>
      <c r="AD357" s="314">
        <f t="shared" si="215"/>
        <v>0</v>
      </c>
      <c r="AE357" s="324" t="s">
        <v>87</v>
      </c>
      <c r="AF357" s="82">
        <f t="shared" si="239"/>
        <v>0</v>
      </c>
      <c r="AG357" s="337">
        <f t="shared" si="240"/>
        <v>0</v>
      </c>
      <c r="AH357" s="337"/>
      <c r="AI357" s="337">
        <f t="shared" si="241"/>
        <v>0</v>
      </c>
      <c r="AJ357" s="337"/>
      <c r="AK357" s="337">
        <f t="shared" si="242"/>
        <v>0</v>
      </c>
      <c r="AL357" s="338">
        <f t="shared" si="243"/>
        <v>0</v>
      </c>
      <c r="AM357" s="354"/>
      <c r="AN357" s="91">
        <f t="shared" si="238"/>
        <v>0</v>
      </c>
      <c r="AO357" s="96">
        <f t="shared" si="216"/>
        <v>0</v>
      </c>
      <c r="AP357" s="210"/>
      <c r="AQ357" s="97">
        <f t="shared" si="217"/>
        <v>0</v>
      </c>
      <c r="AR357" s="105"/>
      <c r="AS357" s="102"/>
      <c r="AT357" s="237"/>
      <c r="AU357" s="231"/>
      <c r="AV357" s="93"/>
      <c r="AW357" s="231"/>
      <c r="AX357" s="93"/>
      <c r="AY357" s="231"/>
      <c r="AZ357" s="93"/>
      <c r="BA357" s="17">
        <f t="shared" si="208"/>
        <v>3.57E-5</v>
      </c>
      <c r="BB357" s="17">
        <f t="shared" si="209"/>
        <v>0</v>
      </c>
      <c r="BC357" s="17"/>
      <c r="BD357" s="178">
        <v>348</v>
      </c>
      <c r="BE357" s="214">
        <f t="shared" si="218"/>
        <v>7.9999999999999996E-6</v>
      </c>
      <c r="BF357" s="178">
        <f t="shared" si="210"/>
        <v>0</v>
      </c>
      <c r="BG357" s="245">
        <f t="shared" si="211"/>
        <v>3.57E-5</v>
      </c>
      <c r="BH357" s="17">
        <f t="shared" si="219"/>
        <v>0</v>
      </c>
      <c r="BI357" s="178">
        <v>348</v>
      </c>
      <c r="BJ357" s="87">
        <f t="shared" si="220"/>
        <v>6.2999999999999998E-6</v>
      </c>
      <c r="BK357" s="215">
        <f t="shared" si="212"/>
        <v>0</v>
      </c>
      <c r="BL357" s="245">
        <f t="shared" si="221"/>
        <v>3.57E-5</v>
      </c>
      <c r="BM357" s="17">
        <f t="shared" si="222"/>
        <v>0</v>
      </c>
      <c r="BN357" s="178">
        <v>348</v>
      </c>
      <c r="BO357" s="87">
        <f t="shared" si="223"/>
        <v>6.2999999999999998E-6</v>
      </c>
      <c r="BP357" s="215">
        <f t="shared" si="213"/>
        <v>0</v>
      </c>
      <c r="BR357" s="126"/>
      <c r="BS357" s="126"/>
      <c r="BU357" s="178"/>
      <c r="BV357" s="179" t="str">
        <f t="shared" si="224"/>
        <v/>
      </c>
      <c r="BW357" s="179" t="str">
        <f t="shared" si="225"/>
        <v/>
      </c>
      <c r="BX357" s="179" t="str">
        <f t="shared" si="226"/>
        <v/>
      </c>
      <c r="BY357" s="179" t="str">
        <f t="shared" si="227"/>
        <v/>
      </c>
      <c r="BZ357" s="179" t="str">
        <f t="shared" si="228"/>
        <v/>
      </c>
      <c r="CA357" s="179" t="str">
        <f t="shared" si="229"/>
        <v/>
      </c>
      <c r="CB357" s="179" t="str">
        <f t="shared" si="230"/>
        <v/>
      </c>
      <c r="CC357" s="179" t="str">
        <f t="shared" si="231"/>
        <v/>
      </c>
      <c r="CD357" s="179" t="str">
        <f t="shared" si="232"/>
        <v/>
      </c>
      <c r="CE357" s="179" t="str">
        <f t="shared" si="233"/>
        <v/>
      </c>
      <c r="CF357" s="179" t="str">
        <f t="shared" si="234"/>
        <v/>
      </c>
      <c r="CG357" s="179" t="str">
        <f t="shared" si="235"/>
        <v/>
      </c>
      <c r="CH357" s="166"/>
      <c r="CI357" s="166"/>
      <c r="CJ357" s="166"/>
      <c r="CK357" s="166" t="s">
        <v>150</v>
      </c>
      <c r="CL357" s="166"/>
    </row>
    <row r="358" spans="1:90" ht="14.25" customHeight="1" thickBot="1" x14ac:dyDescent="0.3">
      <c r="A358" s="213">
        <v>348</v>
      </c>
      <c r="B358" s="89"/>
      <c r="C358" s="199"/>
      <c r="D358" s="146"/>
      <c r="E358" s="319" t="s">
        <v>93</v>
      </c>
      <c r="F358" s="221"/>
      <c r="G358" s="222"/>
      <c r="H358" s="222"/>
      <c r="I358" s="222"/>
      <c r="J358" s="222"/>
      <c r="K358" s="222"/>
      <c r="L358" s="222"/>
      <c r="M358" s="331"/>
      <c r="N358" s="303">
        <f t="shared" si="236"/>
        <v>0</v>
      </c>
      <c r="O358" s="304"/>
      <c r="P358" s="341"/>
      <c r="Q358" s="305"/>
      <c r="R358" s="322" t="s">
        <v>67</v>
      </c>
      <c r="S358" s="209">
        <f t="shared" si="203"/>
        <v>0</v>
      </c>
      <c r="T358" s="209">
        <f t="shared" si="204"/>
        <v>0</v>
      </c>
      <c r="U358" s="209"/>
      <c r="V358" s="209">
        <f t="shared" si="205"/>
        <v>0</v>
      </c>
      <c r="W358" s="209"/>
      <c r="X358" s="209">
        <f t="shared" si="206"/>
        <v>0</v>
      </c>
      <c r="Y358" s="209">
        <f t="shared" si="207"/>
        <v>0</v>
      </c>
      <c r="Z358" s="303"/>
      <c r="AA358" s="303">
        <f t="shared" si="237"/>
        <v>0</v>
      </c>
      <c r="AB358" s="314">
        <f t="shared" si="214"/>
        <v>0</v>
      </c>
      <c r="AC358" s="314"/>
      <c r="AD358" s="314">
        <f t="shared" si="215"/>
        <v>0</v>
      </c>
      <c r="AE358" s="325" t="s">
        <v>148</v>
      </c>
      <c r="AF358" s="15">
        <f t="shared" si="239"/>
        <v>0</v>
      </c>
      <c r="AG358" s="232">
        <f t="shared" si="240"/>
        <v>0</v>
      </c>
      <c r="AH358" s="232"/>
      <c r="AI358" s="232">
        <f t="shared" si="241"/>
        <v>0</v>
      </c>
      <c r="AJ358" s="232"/>
      <c r="AK358" s="232">
        <f t="shared" si="242"/>
        <v>0</v>
      </c>
      <c r="AL358" s="7">
        <f t="shared" si="243"/>
        <v>0</v>
      </c>
      <c r="AM358" s="352"/>
      <c r="AN358" s="22">
        <f t="shared" si="238"/>
        <v>0</v>
      </c>
      <c r="AO358" s="15">
        <f t="shared" si="216"/>
        <v>0</v>
      </c>
      <c r="AP358" s="345"/>
      <c r="AQ358" s="7">
        <f t="shared" si="217"/>
        <v>0</v>
      </c>
      <c r="AR358" s="103"/>
      <c r="AS358" s="101"/>
      <c r="AT358" s="236"/>
      <c r="AU358" s="235"/>
      <c r="AV358" s="92"/>
      <c r="AW358" s="235"/>
      <c r="AX358" s="92"/>
      <c r="AY358" s="235"/>
      <c r="AZ358" s="92"/>
      <c r="BA358" s="17">
        <f t="shared" si="208"/>
        <v>3.5799999999999996E-5</v>
      </c>
      <c r="BB358" s="17">
        <f t="shared" si="209"/>
        <v>0</v>
      </c>
      <c r="BC358" s="17"/>
      <c r="BD358" s="178">
        <v>349</v>
      </c>
      <c r="BE358" s="214">
        <f t="shared" si="218"/>
        <v>7.8999999999999989E-6</v>
      </c>
      <c r="BF358" s="178">
        <f t="shared" si="210"/>
        <v>0</v>
      </c>
      <c r="BG358" s="245">
        <f t="shared" si="211"/>
        <v>3.5799999999999996E-5</v>
      </c>
      <c r="BH358" s="17">
        <f t="shared" si="219"/>
        <v>0</v>
      </c>
      <c r="BI358" s="178">
        <v>349</v>
      </c>
      <c r="BJ358" s="87">
        <f t="shared" si="220"/>
        <v>6.1999999999999999E-6</v>
      </c>
      <c r="BK358" s="215">
        <f t="shared" si="212"/>
        <v>0</v>
      </c>
      <c r="BL358" s="245">
        <f t="shared" si="221"/>
        <v>3.5799999999999996E-5</v>
      </c>
      <c r="BM358" s="17">
        <f t="shared" si="222"/>
        <v>0</v>
      </c>
      <c r="BN358" s="178">
        <v>349</v>
      </c>
      <c r="BO358" s="87">
        <f t="shared" si="223"/>
        <v>6.1999999999999999E-6</v>
      </c>
      <c r="BP358" s="215">
        <f t="shared" si="213"/>
        <v>0</v>
      </c>
      <c r="BR358" s="126"/>
      <c r="BS358" s="126"/>
      <c r="BU358" s="178"/>
      <c r="BV358" s="179" t="str">
        <f t="shared" si="224"/>
        <v/>
      </c>
      <c r="BW358" s="179" t="str">
        <f t="shared" si="225"/>
        <v/>
      </c>
      <c r="BX358" s="179" t="str">
        <f t="shared" si="226"/>
        <v/>
      </c>
      <c r="BY358" s="179" t="str">
        <f t="shared" si="227"/>
        <v/>
      </c>
      <c r="BZ358" s="179" t="str">
        <f t="shared" si="228"/>
        <v/>
      </c>
      <c r="CA358" s="179" t="str">
        <f t="shared" si="229"/>
        <v/>
      </c>
      <c r="CB358" s="179" t="str">
        <f t="shared" si="230"/>
        <v/>
      </c>
      <c r="CC358" s="179" t="str">
        <f t="shared" si="231"/>
        <v/>
      </c>
      <c r="CD358" s="179" t="str">
        <f t="shared" si="232"/>
        <v/>
      </c>
      <c r="CE358" s="179" t="str">
        <f t="shared" si="233"/>
        <v/>
      </c>
      <c r="CF358" s="179" t="str">
        <f t="shared" si="234"/>
        <v/>
      </c>
      <c r="CG358" s="179" t="str">
        <f t="shared" si="235"/>
        <v/>
      </c>
      <c r="CH358" s="166"/>
      <c r="CI358" s="166"/>
      <c r="CJ358" s="166"/>
      <c r="CK358" s="166" t="s">
        <v>150</v>
      </c>
      <c r="CL358" s="166"/>
    </row>
    <row r="359" spans="1:90" ht="14.25" customHeight="1" x14ac:dyDescent="0.25">
      <c r="A359" s="211">
        <v>349</v>
      </c>
      <c r="B359" s="219"/>
      <c r="C359" s="200"/>
      <c r="D359" s="145"/>
      <c r="E359" s="320" t="s">
        <v>93</v>
      </c>
      <c r="F359" s="209"/>
      <c r="G359" s="313"/>
      <c r="H359" s="313"/>
      <c r="I359" s="313"/>
      <c r="J359" s="313"/>
      <c r="K359" s="313"/>
      <c r="L359" s="313"/>
      <c r="M359" s="339"/>
      <c r="N359" s="233">
        <f t="shared" si="236"/>
        <v>0</v>
      </c>
      <c r="O359" s="306"/>
      <c r="P359" s="342"/>
      <c r="Q359" s="307"/>
      <c r="R359" s="323" t="s">
        <v>67</v>
      </c>
      <c r="S359" s="209">
        <f t="shared" si="203"/>
        <v>0</v>
      </c>
      <c r="T359" s="209">
        <f t="shared" si="204"/>
        <v>0</v>
      </c>
      <c r="U359" s="209"/>
      <c r="V359" s="209">
        <f t="shared" si="205"/>
        <v>0</v>
      </c>
      <c r="W359" s="209"/>
      <c r="X359" s="209">
        <f t="shared" si="206"/>
        <v>0</v>
      </c>
      <c r="Y359" s="209">
        <f t="shared" si="207"/>
        <v>0</v>
      </c>
      <c r="Z359" s="233"/>
      <c r="AA359" s="233">
        <f t="shared" si="237"/>
        <v>0</v>
      </c>
      <c r="AB359" s="314">
        <f t="shared" si="214"/>
        <v>0</v>
      </c>
      <c r="AC359" s="314"/>
      <c r="AD359" s="314">
        <f t="shared" si="215"/>
        <v>0</v>
      </c>
      <c r="AE359" s="323" t="s">
        <v>87</v>
      </c>
      <c r="AF359" s="81">
        <f t="shared" si="239"/>
        <v>0</v>
      </c>
      <c r="AG359" s="335">
        <f t="shared" si="240"/>
        <v>0</v>
      </c>
      <c r="AH359" s="335"/>
      <c r="AI359" s="335">
        <f t="shared" si="241"/>
        <v>0</v>
      </c>
      <c r="AJ359" s="335"/>
      <c r="AK359" s="335">
        <f t="shared" si="242"/>
        <v>0</v>
      </c>
      <c r="AL359" s="336">
        <f t="shared" si="243"/>
        <v>0</v>
      </c>
      <c r="AM359" s="353"/>
      <c r="AN359" s="22">
        <f t="shared" si="238"/>
        <v>0</v>
      </c>
      <c r="AO359" s="209">
        <f t="shared" si="216"/>
        <v>0</v>
      </c>
      <c r="AP359" s="339"/>
      <c r="AQ359" s="125">
        <f t="shared" si="217"/>
        <v>0</v>
      </c>
      <c r="AR359" s="104"/>
      <c r="AS359" s="217"/>
      <c r="AT359" s="216"/>
      <c r="AU359" s="230"/>
      <c r="AV359" s="220"/>
      <c r="AW359" s="230"/>
      <c r="AX359" s="220"/>
      <c r="AY359" s="230"/>
      <c r="AZ359" s="220"/>
      <c r="BA359" s="17">
        <f t="shared" si="208"/>
        <v>3.5899999999999998E-5</v>
      </c>
      <c r="BB359" s="17">
        <f t="shared" si="209"/>
        <v>0</v>
      </c>
      <c r="BC359" s="17"/>
      <c r="BD359" s="178">
        <v>350</v>
      </c>
      <c r="BE359" s="214">
        <f t="shared" si="218"/>
        <v>7.7999999999999999E-6</v>
      </c>
      <c r="BF359" s="178">
        <f t="shared" si="210"/>
        <v>0</v>
      </c>
      <c r="BG359" s="245">
        <f t="shared" si="211"/>
        <v>3.5899999999999998E-5</v>
      </c>
      <c r="BH359" s="17">
        <f t="shared" si="219"/>
        <v>0</v>
      </c>
      <c r="BI359" s="178">
        <v>350</v>
      </c>
      <c r="BJ359" s="87">
        <f t="shared" si="220"/>
        <v>6.1E-6</v>
      </c>
      <c r="BK359" s="215">
        <f t="shared" si="212"/>
        <v>0</v>
      </c>
      <c r="BL359" s="245">
        <f t="shared" si="221"/>
        <v>3.5899999999999998E-5</v>
      </c>
      <c r="BM359" s="17">
        <f t="shared" si="222"/>
        <v>0</v>
      </c>
      <c r="BN359" s="178">
        <v>350</v>
      </c>
      <c r="BO359" s="87">
        <f t="shared" si="223"/>
        <v>6.1E-6</v>
      </c>
      <c r="BP359" s="215">
        <f t="shared" si="213"/>
        <v>0</v>
      </c>
      <c r="BR359" s="126"/>
      <c r="BS359" s="126"/>
      <c r="BU359" s="178"/>
      <c r="BV359" s="179" t="str">
        <f t="shared" si="224"/>
        <v/>
      </c>
      <c r="BW359" s="179" t="str">
        <f t="shared" si="225"/>
        <v/>
      </c>
      <c r="BX359" s="179" t="str">
        <f t="shared" si="226"/>
        <v/>
      </c>
      <c r="BY359" s="179" t="str">
        <f t="shared" si="227"/>
        <v/>
      </c>
      <c r="BZ359" s="179" t="str">
        <f t="shared" si="228"/>
        <v/>
      </c>
      <c r="CA359" s="179" t="str">
        <f t="shared" si="229"/>
        <v/>
      </c>
      <c r="CB359" s="179" t="str">
        <f t="shared" si="230"/>
        <v/>
      </c>
      <c r="CC359" s="179" t="str">
        <f t="shared" si="231"/>
        <v/>
      </c>
      <c r="CD359" s="179" t="str">
        <f t="shared" si="232"/>
        <v/>
      </c>
      <c r="CE359" s="179" t="str">
        <f t="shared" si="233"/>
        <v/>
      </c>
      <c r="CF359" s="179" t="str">
        <f t="shared" si="234"/>
        <v/>
      </c>
      <c r="CG359" s="179" t="str">
        <f t="shared" si="235"/>
        <v/>
      </c>
      <c r="CH359" s="166"/>
      <c r="CI359" s="166"/>
      <c r="CJ359" s="166"/>
      <c r="CK359" s="166" t="s">
        <v>150</v>
      </c>
      <c r="CL359" s="166"/>
    </row>
    <row r="360" spans="1:90" ht="14.25" customHeight="1" thickBot="1" x14ac:dyDescent="0.3">
      <c r="A360" s="213">
        <v>350</v>
      </c>
      <c r="B360" s="88"/>
      <c r="C360" s="201"/>
      <c r="D360" s="94"/>
      <c r="E360" s="321" t="s">
        <v>93</v>
      </c>
      <c r="F360" s="96"/>
      <c r="G360" s="100"/>
      <c r="H360" s="100"/>
      <c r="I360" s="100"/>
      <c r="J360" s="100"/>
      <c r="K360" s="100"/>
      <c r="L360" s="100"/>
      <c r="M360" s="210"/>
      <c r="N360" s="234">
        <f t="shared" si="236"/>
        <v>0</v>
      </c>
      <c r="O360" s="308"/>
      <c r="P360" s="343"/>
      <c r="Q360" s="309"/>
      <c r="R360" s="324" t="s">
        <v>67</v>
      </c>
      <c r="S360" s="209">
        <f t="shared" si="203"/>
        <v>0</v>
      </c>
      <c r="T360" s="209">
        <f t="shared" si="204"/>
        <v>0</v>
      </c>
      <c r="U360" s="209"/>
      <c r="V360" s="209">
        <f t="shared" si="205"/>
        <v>0</v>
      </c>
      <c r="W360" s="209"/>
      <c r="X360" s="209">
        <f t="shared" si="206"/>
        <v>0</v>
      </c>
      <c r="Y360" s="209">
        <f t="shared" si="207"/>
        <v>0</v>
      </c>
      <c r="Z360" s="351"/>
      <c r="AA360" s="234">
        <f t="shared" si="237"/>
        <v>0</v>
      </c>
      <c r="AB360" s="314">
        <f t="shared" si="214"/>
        <v>0</v>
      </c>
      <c r="AC360" s="314"/>
      <c r="AD360" s="314">
        <f t="shared" si="215"/>
        <v>0</v>
      </c>
      <c r="AE360" s="324" t="s">
        <v>87</v>
      </c>
      <c r="AF360" s="82">
        <f t="shared" si="239"/>
        <v>0</v>
      </c>
      <c r="AG360" s="337">
        <f t="shared" si="240"/>
        <v>0</v>
      </c>
      <c r="AH360" s="337"/>
      <c r="AI360" s="337">
        <f t="shared" si="241"/>
        <v>0</v>
      </c>
      <c r="AJ360" s="337"/>
      <c r="AK360" s="337">
        <f t="shared" si="242"/>
        <v>0</v>
      </c>
      <c r="AL360" s="338">
        <f t="shared" si="243"/>
        <v>0</v>
      </c>
      <c r="AM360" s="354"/>
      <c r="AN360" s="91">
        <f t="shared" si="238"/>
        <v>0</v>
      </c>
      <c r="AO360" s="96">
        <f t="shared" si="216"/>
        <v>0</v>
      </c>
      <c r="AP360" s="210"/>
      <c r="AQ360" s="97">
        <f t="shared" si="217"/>
        <v>0</v>
      </c>
      <c r="AR360" s="105"/>
      <c r="AS360" s="102"/>
      <c r="AT360" s="237"/>
      <c r="AU360" s="231"/>
      <c r="AV360" s="93"/>
      <c r="AW360" s="231"/>
      <c r="AX360" s="93"/>
      <c r="AY360" s="231"/>
      <c r="AZ360" s="93"/>
      <c r="BA360" s="17">
        <f t="shared" si="208"/>
        <v>3.6000000000000001E-5</v>
      </c>
      <c r="BB360" s="17">
        <f t="shared" si="209"/>
        <v>0</v>
      </c>
      <c r="BC360" s="17"/>
      <c r="BD360" s="178">
        <v>351</v>
      </c>
      <c r="BE360" s="214">
        <f t="shared" si="218"/>
        <v>7.6999999999999991E-6</v>
      </c>
      <c r="BF360" s="178">
        <f t="shared" si="210"/>
        <v>0</v>
      </c>
      <c r="BG360" s="245">
        <f t="shared" si="211"/>
        <v>3.6000000000000001E-5</v>
      </c>
      <c r="BH360" s="17">
        <f t="shared" si="219"/>
        <v>0</v>
      </c>
      <c r="BI360" s="178">
        <v>351</v>
      </c>
      <c r="BJ360" s="87">
        <f t="shared" si="220"/>
        <v>6.0000000000000002E-6</v>
      </c>
      <c r="BK360" s="215">
        <f t="shared" si="212"/>
        <v>0</v>
      </c>
      <c r="BL360" s="245">
        <f t="shared" si="221"/>
        <v>3.6000000000000001E-5</v>
      </c>
      <c r="BM360" s="17">
        <f t="shared" si="222"/>
        <v>0</v>
      </c>
      <c r="BN360" s="178">
        <v>351</v>
      </c>
      <c r="BO360" s="87">
        <f t="shared" si="223"/>
        <v>6.0000000000000002E-6</v>
      </c>
      <c r="BP360" s="215">
        <f t="shared" si="213"/>
        <v>0</v>
      </c>
      <c r="BR360" s="126"/>
      <c r="BS360" s="126"/>
      <c r="BU360" s="178"/>
      <c r="BV360" s="179" t="str">
        <f t="shared" si="224"/>
        <v/>
      </c>
      <c r="BW360" s="179" t="str">
        <f t="shared" si="225"/>
        <v/>
      </c>
      <c r="BX360" s="179" t="str">
        <f t="shared" si="226"/>
        <v/>
      </c>
      <c r="BY360" s="179" t="str">
        <f t="shared" si="227"/>
        <v/>
      </c>
      <c r="BZ360" s="179" t="str">
        <f t="shared" si="228"/>
        <v/>
      </c>
      <c r="CA360" s="179" t="str">
        <f t="shared" si="229"/>
        <v/>
      </c>
      <c r="CB360" s="179" t="str">
        <f t="shared" si="230"/>
        <v/>
      </c>
      <c r="CC360" s="179" t="str">
        <f t="shared" si="231"/>
        <v/>
      </c>
      <c r="CD360" s="179" t="str">
        <f t="shared" si="232"/>
        <v/>
      </c>
      <c r="CE360" s="179" t="str">
        <f t="shared" si="233"/>
        <v/>
      </c>
      <c r="CF360" s="179" t="str">
        <f t="shared" si="234"/>
        <v/>
      </c>
      <c r="CG360" s="179" t="str">
        <f t="shared" si="235"/>
        <v/>
      </c>
      <c r="CH360" s="166"/>
      <c r="CI360" s="166"/>
      <c r="CJ360" s="166"/>
      <c r="CK360" s="166" t="s">
        <v>150</v>
      </c>
      <c r="CL360" s="166"/>
    </row>
    <row r="361" spans="1:90" ht="14.25" customHeight="1" x14ac:dyDescent="0.25">
      <c r="A361" s="211">
        <v>351</v>
      </c>
      <c r="B361" s="89"/>
      <c r="C361" s="199"/>
      <c r="D361" s="146"/>
      <c r="E361" s="319" t="s">
        <v>93</v>
      </c>
      <c r="F361" s="221"/>
      <c r="G361" s="222"/>
      <c r="H361" s="222"/>
      <c r="I361" s="222"/>
      <c r="J361" s="222"/>
      <c r="K361" s="222"/>
      <c r="L361" s="222"/>
      <c r="M361" s="331"/>
      <c r="N361" s="303">
        <f t="shared" si="236"/>
        <v>0</v>
      </c>
      <c r="O361" s="304"/>
      <c r="P361" s="341"/>
      <c r="Q361" s="305"/>
      <c r="R361" s="322" t="s">
        <v>67</v>
      </c>
      <c r="S361" s="209">
        <f t="shared" si="203"/>
        <v>0</v>
      </c>
      <c r="T361" s="209">
        <f t="shared" si="204"/>
        <v>0</v>
      </c>
      <c r="U361" s="209"/>
      <c r="V361" s="209">
        <f t="shared" si="205"/>
        <v>0</v>
      </c>
      <c r="W361" s="209"/>
      <c r="X361" s="209">
        <f t="shared" si="206"/>
        <v>0</v>
      </c>
      <c r="Y361" s="209">
        <f t="shared" si="207"/>
        <v>0</v>
      </c>
      <c r="Z361" s="303"/>
      <c r="AA361" s="303">
        <f t="shared" si="237"/>
        <v>0</v>
      </c>
      <c r="AB361" s="314">
        <f t="shared" si="214"/>
        <v>0</v>
      </c>
      <c r="AC361" s="314"/>
      <c r="AD361" s="314">
        <f t="shared" si="215"/>
        <v>0</v>
      </c>
      <c r="AE361" s="325" t="s">
        <v>148</v>
      </c>
      <c r="AF361" s="15">
        <f t="shared" si="239"/>
        <v>0</v>
      </c>
      <c r="AG361" s="232">
        <f t="shared" si="240"/>
        <v>0</v>
      </c>
      <c r="AH361" s="232"/>
      <c r="AI361" s="232">
        <f t="shared" si="241"/>
        <v>0</v>
      </c>
      <c r="AJ361" s="232"/>
      <c r="AK361" s="232">
        <f t="shared" si="242"/>
        <v>0</v>
      </c>
      <c r="AL361" s="7">
        <f t="shared" si="243"/>
        <v>0</v>
      </c>
      <c r="AM361" s="352"/>
      <c r="AN361" s="22">
        <f t="shared" si="238"/>
        <v>0</v>
      </c>
      <c r="AO361" s="15">
        <f t="shared" si="216"/>
        <v>0</v>
      </c>
      <c r="AP361" s="345"/>
      <c r="AQ361" s="7">
        <f t="shared" si="217"/>
        <v>0</v>
      </c>
      <c r="AR361" s="103"/>
      <c r="AS361" s="101"/>
      <c r="AT361" s="236"/>
      <c r="AU361" s="235"/>
      <c r="AV361" s="92"/>
      <c r="AW361" s="235"/>
      <c r="AX361" s="92"/>
      <c r="AY361" s="235"/>
      <c r="AZ361" s="92"/>
      <c r="BA361" s="17">
        <f t="shared" si="208"/>
        <v>3.6099999999999997E-5</v>
      </c>
      <c r="BB361" s="17">
        <f t="shared" si="209"/>
        <v>0</v>
      </c>
      <c r="BC361" s="17"/>
      <c r="BD361" s="178">
        <v>352</v>
      </c>
      <c r="BE361" s="214">
        <f t="shared" si="218"/>
        <v>7.6000000000000001E-6</v>
      </c>
      <c r="BF361" s="178">
        <f t="shared" si="210"/>
        <v>0</v>
      </c>
      <c r="BG361" s="245">
        <f t="shared" si="211"/>
        <v>3.6099999999999997E-5</v>
      </c>
      <c r="BH361" s="17">
        <f t="shared" si="219"/>
        <v>0</v>
      </c>
      <c r="BI361" s="178">
        <v>352</v>
      </c>
      <c r="BJ361" s="87">
        <f t="shared" si="220"/>
        <v>5.8999999999999994E-6</v>
      </c>
      <c r="BK361" s="215">
        <f t="shared" si="212"/>
        <v>0</v>
      </c>
      <c r="BL361" s="245">
        <f t="shared" si="221"/>
        <v>3.6099999999999997E-5</v>
      </c>
      <c r="BM361" s="17">
        <f t="shared" si="222"/>
        <v>0</v>
      </c>
      <c r="BN361" s="178">
        <v>352</v>
      </c>
      <c r="BO361" s="87">
        <f t="shared" si="223"/>
        <v>5.8999999999999994E-6</v>
      </c>
      <c r="BP361" s="215">
        <f t="shared" si="213"/>
        <v>0</v>
      </c>
      <c r="BR361" s="126"/>
      <c r="BS361" s="126"/>
      <c r="BU361" s="178"/>
      <c r="BV361" s="179" t="str">
        <f t="shared" si="224"/>
        <v/>
      </c>
      <c r="BW361" s="179" t="str">
        <f t="shared" si="225"/>
        <v/>
      </c>
      <c r="BX361" s="179" t="str">
        <f t="shared" si="226"/>
        <v/>
      </c>
      <c r="BY361" s="179" t="str">
        <f t="shared" si="227"/>
        <v/>
      </c>
      <c r="BZ361" s="179" t="str">
        <f t="shared" si="228"/>
        <v/>
      </c>
      <c r="CA361" s="179" t="str">
        <f t="shared" si="229"/>
        <v/>
      </c>
      <c r="CB361" s="179" t="str">
        <f t="shared" si="230"/>
        <v/>
      </c>
      <c r="CC361" s="179" t="str">
        <f t="shared" si="231"/>
        <v/>
      </c>
      <c r="CD361" s="179" t="str">
        <f t="shared" si="232"/>
        <v/>
      </c>
      <c r="CE361" s="179" t="str">
        <f t="shared" si="233"/>
        <v/>
      </c>
      <c r="CF361" s="179" t="str">
        <f t="shared" si="234"/>
        <v/>
      </c>
      <c r="CG361" s="179" t="str">
        <f t="shared" si="235"/>
        <v/>
      </c>
      <c r="CH361" s="166"/>
      <c r="CI361" s="166"/>
      <c r="CJ361" s="166"/>
      <c r="CK361" s="166" t="s">
        <v>150</v>
      </c>
      <c r="CL361" s="166"/>
    </row>
    <row r="362" spans="1:90" ht="14.25" customHeight="1" thickBot="1" x14ac:dyDescent="0.3">
      <c r="A362" s="213">
        <v>352</v>
      </c>
      <c r="B362" s="219"/>
      <c r="C362" s="200"/>
      <c r="D362" s="145"/>
      <c r="E362" s="320" t="s">
        <v>93</v>
      </c>
      <c r="F362" s="209"/>
      <c r="G362" s="313"/>
      <c r="H362" s="313"/>
      <c r="I362" s="313"/>
      <c r="J362" s="313"/>
      <c r="K362" s="313"/>
      <c r="L362" s="313"/>
      <c r="M362" s="339"/>
      <c r="N362" s="233">
        <f t="shared" si="236"/>
        <v>0</v>
      </c>
      <c r="O362" s="306"/>
      <c r="P362" s="342"/>
      <c r="Q362" s="307"/>
      <c r="R362" s="323" t="s">
        <v>67</v>
      </c>
      <c r="S362" s="209">
        <f t="shared" si="203"/>
        <v>0</v>
      </c>
      <c r="T362" s="209">
        <f t="shared" si="204"/>
        <v>0</v>
      </c>
      <c r="U362" s="209"/>
      <c r="V362" s="209">
        <f t="shared" si="205"/>
        <v>0</v>
      </c>
      <c r="W362" s="209"/>
      <c r="X362" s="209">
        <f t="shared" si="206"/>
        <v>0</v>
      </c>
      <c r="Y362" s="209">
        <f t="shared" si="207"/>
        <v>0</v>
      </c>
      <c r="Z362" s="233"/>
      <c r="AA362" s="233">
        <f t="shared" si="237"/>
        <v>0</v>
      </c>
      <c r="AB362" s="314">
        <f t="shared" si="214"/>
        <v>0</v>
      </c>
      <c r="AC362" s="314"/>
      <c r="AD362" s="314">
        <f t="shared" si="215"/>
        <v>0</v>
      </c>
      <c r="AE362" s="323" t="s">
        <v>87</v>
      </c>
      <c r="AF362" s="81">
        <f t="shared" si="239"/>
        <v>0</v>
      </c>
      <c r="AG362" s="335">
        <f t="shared" si="240"/>
        <v>0</v>
      </c>
      <c r="AH362" s="335"/>
      <c r="AI362" s="335">
        <f t="shared" si="241"/>
        <v>0</v>
      </c>
      <c r="AJ362" s="335"/>
      <c r="AK362" s="335">
        <f t="shared" si="242"/>
        <v>0</v>
      </c>
      <c r="AL362" s="336">
        <f t="shared" si="243"/>
        <v>0</v>
      </c>
      <c r="AM362" s="353"/>
      <c r="AN362" s="22">
        <f t="shared" si="238"/>
        <v>0</v>
      </c>
      <c r="AO362" s="209">
        <f t="shared" si="216"/>
        <v>0</v>
      </c>
      <c r="AP362" s="339"/>
      <c r="AQ362" s="125">
        <f t="shared" si="217"/>
        <v>0</v>
      </c>
      <c r="AR362" s="104"/>
      <c r="AS362" s="217"/>
      <c r="AT362" s="216"/>
      <c r="AU362" s="230"/>
      <c r="AV362" s="220"/>
      <c r="AW362" s="230"/>
      <c r="AX362" s="220"/>
      <c r="AY362" s="230"/>
      <c r="AZ362" s="220"/>
      <c r="BA362" s="17">
        <f t="shared" si="208"/>
        <v>3.6199999999999999E-5</v>
      </c>
      <c r="BB362" s="17">
        <f t="shared" si="209"/>
        <v>0</v>
      </c>
      <c r="BC362" s="17"/>
      <c r="BD362" s="178">
        <v>353</v>
      </c>
      <c r="BE362" s="214">
        <f t="shared" si="218"/>
        <v>7.4999999999999993E-6</v>
      </c>
      <c r="BF362" s="178">
        <f t="shared" si="210"/>
        <v>0</v>
      </c>
      <c r="BG362" s="245">
        <f t="shared" si="211"/>
        <v>3.6199999999999999E-5</v>
      </c>
      <c r="BH362" s="17">
        <f t="shared" si="219"/>
        <v>0</v>
      </c>
      <c r="BI362" s="178">
        <v>353</v>
      </c>
      <c r="BJ362" s="87">
        <f t="shared" si="220"/>
        <v>5.7999999999999995E-6</v>
      </c>
      <c r="BK362" s="215">
        <f t="shared" si="212"/>
        <v>0</v>
      </c>
      <c r="BL362" s="245">
        <f t="shared" si="221"/>
        <v>3.6199999999999999E-5</v>
      </c>
      <c r="BM362" s="17">
        <f t="shared" si="222"/>
        <v>0</v>
      </c>
      <c r="BN362" s="178">
        <v>353</v>
      </c>
      <c r="BO362" s="87">
        <f t="shared" si="223"/>
        <v>5.7999999999999995E-6</v>
      </c>
      <c r="BP362" s="215">
        <f t="shared" si="213"/>
        <v>0</v>
      </c>
      <c r="BR362" s="126"/>
      <c r="BS362" s="126"/>
      <c r="BU362" s="178"/>
      <c r="BV362" s="179" t="str">
        <f t="shared" si="224"/>
        <v/>
      </c>
      <c r="BW362" s="179" t="str">
        <f t="shared" si="225"/>
        <v/>
      </c>
      <c r="BX362" s="179" t="str">
        <f t="shared" si="226"/>
        <v/>
      </c>
      <c r="BY362" s="179" t="str">
        <f t="shared" si="227"/>
        <v/>
      </c>
      <c r="BZ362" s="179" t="str">
        <f t="shared" si="228"/>
        <v/>
      </c>
      <c r="CA362" s="179" t="str">
        <f t="shared" si="229"/>
        <v/>
      </c>
      <c r="CB362" s="179" t="str">
        <f t="shared" si="230"/>
        <v/>
      </c>
      <c r="CC362" s="179" t="str">
        <f t="shared" si="231"/>
        <v/>
      </c>
      <c r="CD362" s="179" t="str">
        <f t="shared" si="232"/>
        <v/>
      </c>
      <c r="CE362" s="179" t="str">
        <f t="shared" si="233"/>
        <v/>
      </c>
      <c r="CF362" s="179" t="str">
        <f t="shared" si="234"/>
        <v/>
      </c>
      <c r="CG362" s="179" t="str">
        <f t="shared" si="235"/>
        <v/>
      </c>
      <c r="CH362" s="166"/>
      <c r="CI362" s="166"/>
      <c r="CJ362" s="166"/>
      <c r="CK362" s="166" t="s">
        <v>150</v>
      </c>
      <c r="CL362" s="166"/>
    </row>
    <row r="363" spans="1:90" ht="14.25" customHeight="1" thickBot="1" x14ac:dyDescent="0.3">
      <c r="A363" s="211">
        <v>353</v>
      </c>
      <c r="B363" s="88"/>
      <c r="C363" s="201"/>
      <c r="D363" s="94"/>
      <c r="E363" s="321" t="s">
        <v>93</v>
      </c>
      <c r="F363" s="96"/>
      <c r="G363" s="100"/>
      <c r="H363" s="100"/>
      <c r="I363" s="100"/>
      <c r="J363" s="100"/>
      <c r="K363" s="100"/>
      <c r="L363" s="100"/>
      <c r="M363" s="210"/>
      <c r="N363" s="234">
        <f t="shared" si="236"/>
        <v>0</v>
      </c>
      <c r="O363" s="308"/>
      <c r="P363" s="343"/>
      <c r="Q363" s="309"/>
      <c r="R363" s="324" t="s">
        <v>67</v>
      </c>
      <c r="S363" s="209">
        <f t="shared" si="203"/>
        <v>0</v>
      </c>
      <c r="T363" s="209">
        <f t="shared" si="204"/>
        <v>0</v>
      </c>
      <c r="U363" s="209"/>
      <c r="V363" s="209">
        <f t="shared" si="205"/>
        <v>0</v>
      </c>
      <c r="W363" s="209"/>
      <c r="X363" s="209">
        <f t="shared" si="206"/>
        <v>0</v>
      </c>
      <c r="Y363" s="209">
        <f t="shared" si="207"/>
        <v>0</v>
      </c>
      <c r="Z363" s="351"/>
      <c r="AA363" s="234">
        <f t="shared" si="237"/>
        <v>0</v>
      </c>
      <c r="AB363" s="314">
        <f t="shared" si="214"/>
        <v>0</v>
      </c>
      <c r="AC363" s="314"/>
      <c r="AD363" s="314">
        <f t="shared" si="215"/>
        <v>0</v>
      </c>
      <c r="AE363" s="324" t="s">
        <v>87</v>
      </c>
      <c r="AF363" s="82">
        <f t="shared" si="239"/>
        <v>0</v>
      </c>
      <c r="AG363" s="337">
        <f t="shared" si="240"/>
        <v>0</v>
      </c>
      <c r="AH363" s="337"/>
      <c r="AI363" s="337">
        <f t="shared" si="241"/>
        <v>0</v>
      </c>
      <c r="AJ363" s="337"/>
      <c r="AK363" s="337">
        <f t="shared" si="242"/>
        <v>0</v>
      </c>
      <c r="AL363" s="338">
        <f t="shared" si="243"/>
        <v>0</v>
      </c>
      <c r="AM363" s="354"/>
      <c r="AN363" s="91">
        <f t="shared" si="238"/>
        <v>0</v>
      </c>
      <c r="AO363" s="96">
        <f t="shared" si="216"/>
        <v>0</v>
      </c>
      <c r="AP363" s="210"/>
      <c r="AQ363" s="97">
        <f t="shared" si="217"/>
        <v>0</v>
      </c>
      <c r="AR363" s="105"/>
      <c r="AS363" s="102"/>
      <c r="AT363" s="237"/>
      <c r="AU363" s="231"/>
      <c r="AV363" s="93"/>
      <c r="AW363" s="231"/>
      <c r="AX363" s="93"/>
      <c r="AY363" s="231"/>
      <c r="AZ363" s="93"/>
      <c r="BA363" s="17">
        <f t="shared" si="208"/>
        <v>3.6300000000000001E-5</v>
      </c>
      <c r="BB363" s="17">
        <f t="shared" si="209"/>
        <v>0</v>
      </c>
      <c r="BC363" s="17"/>
      <c r="BD363" s="178">
        <v>354</v>
      </c>
      <c r="BE363" s="214">
        <f t="shared" si="218"/>
        <v>7.3999999999999995E-6</v>
      </c>
      <c r="BF363" s="178">
        <f t="shared" si="210"/>
        <v>0</v>
      </c>
      <c r="BG363" s="245">
        <f t="shared" si="211"/>
        <v>3.6300000000000001E-5</v>
      </c>
      <c r="BH363" s="17">
        <f t="shared" si="219"/>
        <v>0</v>
      </c>
      <c r="BI363" s="178">
        <v>354</v>
      </c>
      <c r="BJ363" s="87">
        <f t="shared" si="220"/>
        <v>5.6999999999999996E-6</v>
      </c>
      <c r="BK363" s="215">
        <f t="shared" si="212"/>
        <v>0</v>
      </c>
      <c r="BL363" s="245">
        <f t="shared" si="221"/>
        <v>3.6300000000000001E-5</v>
      </c>
      <c r="BM363" s="17">
        <f t="shared" si="222"/>
        <v>0</v>
      </c>
      <c r="BN363" s="178">
        <v>354</v>
      </c>
      <c r="BO363" s="87">
        <f t="shared" si="223"/>
        <v>5.6999999999999996E-6</v>
      </c>
      <c r="BP363" s="215">
        <f t="shared" si="213"/>
        <v>0</v>
      </c>
      <c r="BR363" s="126"/>
      <c r="BS363" s="126"/>
      <c r="BU363" s="178"/>
      <c r="BV363" s="179" t="str">
        <f t="shared" si="224"/>
        <v/>
      </c>
      <c r="BW363" s="179" t="str">
        <f t="shared" si="225"/>
        <v/>
      </c>
      <c r="BX363" s="179" t="str">
        <f t="shared" si="226"/>
        <v/>
      </c>
      <c r="BY363" s="179" t="str">
        <f t="shared" si="227"/>
        <v/>
      </c>
      <c r="BZ363" s="179" t="str">
        <f t="shared" si="228"/>
        <v/>
      </c>
      <c r="CA363" s="179" t="str">
        <f t="shared" si="229"/>
        <v/>
      </c>
      <c r="CB363" s="179" t="str">
        <f t="shared" si="230"/>
        <v/>
      </c>
      <c r="CC363" s="179" t="str">
        <f t="shared" si="231"/>
        <v/>
      </c>
      <c r="CD363" s="179" t="str">
        <f t="shared" si="232"/>
        <v/>
      </c>
      <c r="CE363" s="179" t="str">
        <f t="shared" si="233"/>
        <v/>
      </c>
      <c r="CF363" s="179" t="str">
        <f t="shared" si="234"/>
        <v/>
      </c>
      <c r="CG363" s="179" t="str">
        <f t="shared" si="235"/>
        <v/>
      </c>
      <c r="CH363" s="166"/>
      <c r="CI363" s="166"/>
      <c r="CJ363" s="166"/>
      <c r="CK363" s="166" t="s">
        <v>150</v>
      </c>
      <c r="CL363" s="166"/>
    </row>
    <row r="364" spans="1:90" ht="14.25" customHeight="1" thickBot="1" x14ac:dyDescent="0.3">
      <c r="A364" s="213">
        <v>354</v>
      </c>
      <c r="B364" s="89"/>
      <c r="C364" s="199"/>
      <c r="D364" s="146"/>
      <c r="E364" s="319" t="s">
        <v>93</v>
      </c>
      <c r="F364" s="221"/>
      <c r="G364" s="222"/>
      <c r="H364" s="222"/>
      <c r="I364" s="222"/>
      <c r="J364" s="222"/>
      <c r="K364" s="222"/>
      <c r="L364" s="222"/>
      <c r="M364" s="331"/>
      <c r="N364" s="303">
        <f t="shared" si="236"/>
        <v>0</v>
      </c>
      <c r="O364" s="304"/>
      <c r="P364" s="341"/>
      <c r="Q364" s="305"/>
      <c r="R364" s="322" t="s">
        <v>67</v>
      </c>
      <c r="S364" s="209">
        <f t="shared" si="203"/>
        <v>0</v>
      </c>
      <c r="T364" s="209">
        <f t="shared" si="204"/>
        <v>0</v>
      </c>
      <c r="U364" s="209"/>
      <c r="V364" s="209">
        <f t="shared" si="205"/>
        <v>0</v>
      </c>
      <c r="W364" s="209"/>
      <c r="X364" s="209">
        <f t="shared" si="206"/>
        <v>0</v>
      </c>
      <c r="Y364" s="209">
        <f t="shared" si="207"/>
        <v>0</v>
      </c>
      <c r="Z364" s="303"/>
      <c r="AA364" s="303">
        <f t="shared" si="237"/>
        <v>0</v>
      </c>
      <c r="AB364" s="314">
        <f t="shared" si="214"/>
        <v>0</v>
      </c>
      <c r="AC364" s="314"/>
      <c r="AD364" s="314">
        <f t="shared" si="215"/>
        <v>0</v>
      </c>
      <c r="AE364" s="325" t="s">
        <v>148</v>
      </c>
      <c r="AF364" s="15">
        <f t="shared" si="239"/>
        <v>0</v>
      </c>
      <c r="AG364" s="232">
        <f t="shared" si="240"/>
        <v>0</v>
      </c>
      <c r="AH364" s="232"/>
      <c r="AI364" s="232">
        <f t="shared" si="241"/>
        <v>0</v>
      </c>
      <c r="AJ364" s="232"/>
      <c r="AK364" s="232">
        <f t="shared" si="242"/>
        <v>0</v>
      </c>
      <c r="AL364" s="7">
        <f t="shared" si="243"/>
        <v>0</v>
      </c>
      <c r="AM364" s="352"/>
      <c r="AN364" s="22">
        <f t="shared" si="238"/>
        <v>0</v>
      </c>
      <c r="AO364" s="15">
        <f t="shared" si="216"/>
        <v>0</v>
      </c>
      <c r="AP364" s="345"/>
      <c r="AQ364" s="7">
        <f t="shared" si="217"/>
        <v>0</v>
      </c>
      <c r="AR364" s="103"/>
      <c r="AS364" s="101"/>
      <c r="AT364" s="236"/>
      <c r="AU364" s="235"/>
      <c r="AV364" s="92"/>
      <c r="AW364" s="235"/>
      <c r="AX364" s="92"/>
      <c r="AY364" s="235"/>
      <c r="AZ364" s="92"/>
      <c r="BA364" s="17">
        <f t="shared" si="208"/>
        <v>3.6399999999999997E-5</v>
      </c>
      <c r="BB364" s="17">
        <f t="shared" si="209"/>
        <v>0</v>
      </c>
      <c r="BC364" s="17"/>
      <c r="BD364" s="178">
        <v>355</v>
      </c>
      <c r="BE364" s="214">
        <f t="shared" si="218"/>
        <v>7.2999999999999996E-6</v>
      </c>
      <c r="BF364" s="178">
        <f t="shared" si="210"/>
        <v>0</v>
      </c>
      <c r="BG364" s="245">
        <f t="shared" si="211"/>
        <v>3.6399999999999997E-5</v>
      </c>
      <c r="BH364" s="17">
        <f t="shared" si="219"/>
        <v>0</v>
      </c>
      <c r="BI364" s="178">
        <v>355</v>
      </c>
      <c r="BJ364" s="87">
        <f t="shared" si="220"/>
        <v>5.5999999999999997E-6</v>
      </c>
      <c r="BK364" s="215">
        <f t="shared" si="212"/>
        <v>0</v>
      </c>
      <c r="BL364" s="245">
        <f t="shared" si="221"/>
        <v>3.6399999999999997E-5</v>
      </c>
      <c r="BM364" s="17">
        <f t="shared" si="222"/>
        <v>0</v>
      </c>
      <c r="BN364" s="178">
        <v>355</v>
      </c>
      <c r="BO364" s="87">
        <f t="shared" si="223"/>
        <v>5.5999999999999997E-6</v>
      </c>
      <c r="BP364" s="215">
        <f t="shared" si="213"/>
        <v>0</v>
      </c>
      <c r="BR364" s="126"/>
      <c r="BS364" s="126"/>
      <c r="BU364" s="178"/>
      <c r="BV364" s="179" t="str">
        <f t="shared" si="224"/>
        <v/>
      </c>
      <c r="BW364" s="179" t="str">
        <f t="shared" si="225"/>
        <v/>
      </c>
      <c r="BX364" s="179" t="str">
        <f t="shared" si="226"/>
        <v/>
      </c>
      <c r="BY364" s="179" t="str">
        <f t="shared" si="227"/>
        <v/>
      </c>
      <c r="BZ364" s="179" t="str">
        <f t="shared" si="228"/>
        <v/>
      </c>
      <c r="CA364" s="179" t="str">
        <f t="shared" si="229"/>
        <v/>
      </c>
      <c r="CB364" s="179" t="str">
        <f t="shared" si="230"/>
        <v/>
      </c>
      <c r="CC364" s="179" t="str">
        <f t="shared" si="231"/>
        <v/>
      </c>
      <c r="CD364" s="179" t="str">
        <f t="shared" si="232"/>
        <v/>
      </c>
      <c r="CE364" s="179" t="str">
        <f t="shared" si="233"/>
        <v/>
      </c>
      <c r="CF364" s="179" t="str">
        <f t="shared" si="234"/>
        <v/>
      </c>
      <c r="CG364" s="179" t="str">
        <f t="shared" si="235"/>
        <v/>
      </c>
      <c r="CH364" s="166"/>
      <c r="CI364" s="166"/>
      <c r="CJ364" s="166"/>
      <c r="CK364" s="166" t="s">
        <v>150</v>
      </c>
      <c r="CL364" s="166"/>
    </row>
    <row r="365" spans="1:90" ht="14.25" customHeight="1" x14ac:dyDescent="0.25">
      <c r="A365" s="211">
        <v>355</v>
      </c>
      <c r="B365" s="219"/>
      <c r="C365" s="200"/>
      <c r="D365" s="145"/>
      <c r="E365" s="320" t="s">
        <v>93</v>
      </c>
      <c r="F365" s="209"/>
      <c r="G365" s="313"/>
      <c r="H365" s="313"/>
      <c r="I365" s="313"/>
      <c r="J365" s="313"/>
      <c r="K365" s="313"/>
      <c r="L365" s="313"/>
      <c r="M365" s="339"/>
      <c r="N365" s="233">
        <f t="shared" si="236"/>
        <v>0</v>
      </c>
      <c r="O365" s="306"/>
      <c r="P365" s="342"/>
      <c r="Q365" s="307"/>
      <c r="R365" s="323" t="s">
        <v>67</v>
      </c>
      <c r="S365" s="209">
        <f t="shared" si="203"/>
        <v>0</v>
      </c>
      <c r="T365" s="209">
        <f t="shared" si="204"/>
        <v>0</v>
      </c>
      <c r="U365" s="209"/>
      <c r="V365" s="209">
        <f t="shared" si="205"/>
        <v>0</v>
      </c>
      <c r="W365" s="209"/>
      <c r="X365" s="209">
        <f t="shared" si="206"/>
        <v>0</v>
      </c>
      <c r="Y365" s="209">
        <f t="shared" si="207"/>
        <v>0</v>
      </c>
      <c r="Z365" s="233"/>
      <c r="AA365" s="233">
        <f t="shared" si="237"/>
        <v>0</v>
      </c>
      <c r="AB365" s="314">
        <f t="shared" si="214"/>
        <v>0</v>
      </c>
      <c r="AC365" s="314"/>
      <c r="AD365" s="314">
        <f t="shared" si="215"/>
        <v>0</v>
      </c>
      <c r="AE365" s="323" t="s">
        <v>87</v>
      </c>
      <c r="AF365" s="81">
        <f t="shared" si="239"/>
        <v>0</v>
      </c>
      <c r="AG365" s="335">
        <f t="shared" si="240"/>
        <v>0</v>
      </c>
      <c r="AH365" s="335"/>
      <c r="AI365" s="335">
        <f t="shared" si="241"/>
        <v>0</v>
      </c>
      <c r="AJ365" s="335"/>
      <c r="AK365" s="335">
        <f t="shared" si="242"/>
        <v>0</v>
      </c>
      <c r="AL365" s="336">
        <f t="shared" si="243"/>
        <v>0</v>
      </c>
      <c r="AM365" s="353"/>
      <c r="AN365" s="22">
        <f t="shared" si="238"/>
        <v>0</v>
      </c>
      <c r="AO365" s="209">
        <f t="shared" si="216"/>
        <v>0</v>
      </c>
      <c r="AP365" s="339"/>
      <c r="AQ365" s="125">
        <f t="shared" si="217"/>
        <v>0</v>
      </c>
      <c r="AR365" s="104"/>
      <c r="AS365" s="217"/>
      <c r="AT365" s="216"/>
      <c r="AU365" s="230"/>
      <c r="AV365" s="220"/>
      <c r="AW365" s="230"/>
      <c r="AX365" s="220"/>
      <c r="AY365" s="230"/>
      <c r="AZ365" s="220"/>
      <c r="BA365" s="17">
        <f t="shared" si="208"/>
        <v>3.65E-5</v>
      </c>
      <c r="BB365" s="17">
        <f t="shared" si="209"/>
        <v>0</v>
      </c>
      <c r="BC365" s="17"/>
      <c r="BD365" s="178">
        <v>356</v>
      </c>
      <c r="BE365" s="214">
        <f t="shared" si="218"/>
        <v>7.1999999999999997E-6</v>
      </c>
      <c r="BF365" s="178">
        <f t="shared" si="210"/>
        <v>0</v>
      </c>
      <c r="BG365" s="245">
        <f t="shared" si="211"/>
        <v>3.65E-5</v>
      </c>
      <c r="BH365" s="17">
        <f t="shared" si="219"/>
        <v>0</v>
      </c>
      <c r="BI365" s="178">
        <v>356</v>
      </c>
      <c r="BJ365" s="87">
        <f t="shared" si="220"/>
        <v>5.4999999999999999E-6</v>
      </c>
      <c r="BK365" s="215">
        <f t="shared" si="212"/>
        <v>0</v>
      </c>
      <c r="BL365" s="245">
        <f t="shared" si="221"/>
        <v>3.65E-5</v>
      </c>
      <c r="BM365" s="17">
        <f t="shared" si="222"/>
        <v>0</v>
      </c>
      <c r="BN365" s="178">
        <v>356</v>
      </c>
      <c r="BO365" s="87">
        <f t="shared" si="223"/>
        <v>5.4999999999999999E-6</v>
      </c>
      <c r="BP365" s="215">
        <f t="shared" si="213"/>
        <v>0</v>
      </c>
      <c r="BR365" s="126"/>
      <c r="BS365" s="126"/>
      <c r="BU365" s="178"/>
      <c r="BV365" s="179" t="str">
        <f t="shared" si="224"/>
        <v/>
      </c>
      <c r="BW365" s="179" t="str">
        <f t="shared" si="225"/>
        <v/>
      </c>
      <c r="BX365" s="179" t="str">
        <f t="shared" si="226"/>
        <v/>
      </c>
      <c r="BY365" s="179" t="str">
        <f t="shared" si="227"/>
        <v/>
      </c>
      <c r="BZ365" s="179" t="str">
        <f t="shared" si="228"/>
        <v/>
      </c>
      <c r="CA365" s="179" t="str">
        <f t="shared" si="229"/>
        <v/>
      </c>
      <c r="CB365" s="179" t="str">
        <f t="shared" si="230"/>
        <v/>
      </c>
      <c r="CC365" s="179" t="str">
        <f t="shared" si="231"/>
        <v/>
      </c>
      <c r="CD365" s="179" t="str">
        <f t="shared" si="232"/>
        <v/>
      </c>
      <c r="CE365" s="179" t="str">
        <f t="shared" si="233"/>
        <v/>
      </c>
      <c r="CF365" s="179" t="str">
        <f t="shared" si="234"/>
        <v/>
      </c>
      <c r="CG365" s="179" t="str">
        <f t="shared" si="235"/>
        <v/>
      </c>
      <c r="CH365" s="166"/>
      <c r="CI365" s="166"/>
      <c r="CJ365" s="166"/>
      <c r="CK365" s="166" t="s">
        <v>150</v>
      </c>
      <c r="CL365" s="166"/>
    </row>
    <row r="366" spans="1:90" ht="14.25" customHeight="1" thickBot="1" x14ac:dyDescent="0.3">
      <c r="A366" s="213">
        <v>356</v>
      </c>
      <c r="B366" s="88"/>
      <c r="C366" s="201"/>
      <c r="D366" s="94"/>
      <c r="E366" s="321" t="s">
        <v>93</v>
      </c>
      <c r="F366" s="96"/>
      <c r="G366" s="100"/>
      <c r="H366" s="100"/>
      <c r="I366" s="100"/>
      <c r="J366" s="100"/>
      <c r="K366" s="100"/>
      <c r="L366" s="100"/>
      <c r="M366" s="210"/>
      <c r="N366" s="234">
        <f t="shared" si="236"/>
        <v>0</v>
      </c>
      <c r="O366" s="308"/>
      <c r="P366" s="343"/>
      <c r="Q366" s="309"/>
      <c r="R366" s="324" t="s">
        <v>67</v>
      </c>
      <c r="S366" s="209">
        <f t="shared" si="203"/>
        <v>0</v>
      </c>
      <c r="T366" s="209">
        <f t="shared" si="204"/>
        <v>0</v>
      </c>
      <c r="U366" s="209"/>
      <c r="V366" s="209">
        <f t="shared" si="205"/>
        <v>0</v>
      </c>
      <c r="W366" s="209"/>
      <c r="X366" s="209">
        <f t="shared" si="206"/>
        <v>0</v>
      </c>
      <c r="Y366" s="209">
        <f t="shared" si="207"/>
        <v>0</v>
      </c>
      <c r="Z366" s="351"/>
      <c r="AA366" s="234">
        <f t="shared" si="237"/>
        <v>0</v>
      </c>
      <c r="AB366" s="314">
        <f t="shared" si="214"/>
        <v>0</v>
      </c>
      <c r="AC366" s="314"/>
      <c r="AD366" s="314">
        <f t="shared" si="215"/>
        <v>0</v>
      </c>
      <c r="AE366" s="324" t="s">
        <v>87</v>
      </c>
      <c r="AF366" s="82">
        <f t="shared" si="239"/>
        <v>0</v>
      </c>
      <c r="AG366" s="337">
        <f t="shared" si="240"/>
        <v>0</v>
      </c>
      <c r="AH366" s="337"/>
      <c r="AI366" s="337">
        <f t="shared" si="241"/>
        <v>0</v>
      </c>
      <c r="AJ366" s="337"/>
      <c r="AK366" s="337">
        <f t="shared" si="242"/>
        <v>0</v>
      </c>
      <c r="AL366" s="338">
        <f t="shared" si="243"/>
        <v>0</v>
      </c>
      <c r="AM366" s="354"/>
      <c r="AN366" s="91">
        <f t="shared" si="238"/>
        <v>0</v>
      </c>
      <c r="AO366" s="96">
        <f t="shared" si="216"/>
        <v>0</v>
      </c>
      <c r="AP366" s="210"/>
      <c r="AQ366" s="97">
        <f t="shared" si="217"/>
        <v>0</v>
      </c>
      <c r="AR366" s="105"/>
      <c r="AS366" s="102"/>
      <c r="AT366" s="237"/>
      <c r="AU366" s="231"/>
      <c r="AV366" s="93"/>
      <c r="AW366" s="231"/>
      <c r="AX366" s="93"/>
      <c r="AY366" s="231"/>
      <c r="AZ366" s="93"/>
      <c r="BA366" s="17">
        <f t="shared" si="208"/>
        <v>3.6599999999999995E-5</v>
      </c>
      <c r="BB366" s="17">
        <f t="shared" si="209"/>
        <v>0</v>
      </c>
      <c r="BC366" s="17"/>
      <c r="BD366" s="178">
        <v>357</v>
      </c>
      <c r="BE366" s="214">
        <f t="shared" si="218"/>
        <v>7.0999999999999998E-6</v>
      </c>
      <c r="BF366" s="178">
        <f t="shared" si="210"/>
        <v>0</v>
      </c>
      <c r="BG366" s="245">
        <f t="shared" si="211"/>
        <v>3.6599999999999995E-5</v>
      </c>
      <c r="BH366" s="17">
        <f t="shared" si="219"/>
        <v>0</v>
      </c>
      <c r="BI366" s="178">
        <v>357</v>
      </c>
      <c r="BJ366" s="87">
        <f t="shared" si="220"/>
        <v>5.4E-6</v>
      </c>
      <c r="BK366" s="215">
        <f t="shared" si="212"/>
        <v>0</v>
      </c>
      <c r="BL366" s="245">
        <f t="shared" si="221"/>
        <v>3.6599999999999995E-5</v>
      </c>
      <c r="BM366" s="17">
        <f t="shared" si="222"/>
        <v>0</v>
      </c>
      <c r="BN366" s="178">
        <v>357</v>
      </c>
      <c r="BO366" s="87">
        <f t="shared" si="223"/>
        <v>5.4E-6</v>
      </c>
      <c r="BP366" s="215">
        <f t="shared" si="213"/>
        <v>0</v>
      </c>
      <c r="BR366" s="126"/>
      <c r="BS366" s="126"/>
      <c r="BU366" s="178"/>
      <c r="BV366" s="179" t="str">
        <f t="shared" si="224"/>
        <v/>
      </c>
      <c r="BW366" s="179" t="str">
        <f t="shared" si="225"/>
        <v/>
      </c>
      <c r="BX366" s="179" t="str">
        <f t="shared" si="226"/>
        <v/>
      </c>
      <c r="BY366" s="179" t="str">
        <f t="shared" si="227"/>
        <v/>
      </c>
      <c r="BZ366" s="179" t="str">
        <f t="shared" si="228"/>
        <v/>
      </c>
      <c r="CA366" s="179" t="str">
        <f t="shared" si="229"/>
        <v/>
      </c>
      <c r="CB366" s="179" t="str">
        <f t="shared" si="230"/>
        <v/>
      </c>
      <c r="CC366" s="179" t="str">
        <f t="shared" si="231"/>
        <v/>
      </c>
      <c r="CD366" s="179" t="str">
        <f t="shared" si="232"/>
        <v/>
      </c>
      <c r="CE366" s="179" t="str">
        <f t="shared" si="233"/>
        <v/>
      </c>
      <c r="CF366" s="179" t="str">
        <f t="shared" si="234"/>
        <v/>
      </c>
      <c r="CG366" s="179" t="str">
        <f t="shared" si="235"/>
        <v/>
      </c>
      <c r="CH366" s="166"/>
      <c r="CI366" s="166"/>
      <c r="CJ366" s="166"/>
      <c r="CK366" s="166" t="s">
        <v>150</v>
      </c>
      <c r="CL366" s="166"/>
    </row>
    <row r="367" spans="1:90" ht="14.25" customHeight="1" x14ac:dyDescent="0.25">
      <c r="A367" s="211">
        <v>357</v>
      </c>
      <c r="B367" s="89"/>
      <c r="C367" s="199"/>
      <c r="D367" s="146"/>
      <c r="E367" s="319" t="s">
        <v>93</v>
      </c>
      <c r="F367" s="221"/>
      <c r="G367" s="222"/>
      <c r="H367" s="222"/>
      <c r="I367" s="222"/>
      <c r="J367" s="222"/>
      <c r="K367" s="222"/>
      <c r="L367" s="222"/>
      <c r="M367" s="331"/>
      <c r="N367" s="303">
        <f t="shared" si="236"/>
        <v>0</v>
      </c>
      <c r="O367" s="304"/>
      <c r="P367" s="341"/>
      <c r="Q367" s="305"/>
      <c r="R367" s="322" t="s">
        <v>67</v>
      </c>
      <c r="S367" s="209">
        <f t="shared" si="203"/>
        <v>0</v>
      </c>
      <c r="T367" s="209">
        <f t="shared" si="204"/>
        <v>0</v>
      </c>
      <c r="U367" s="209"/>
      <c r="V367" s="209">
        <f t="shared" si="205"/>
        <v>0</v>
      </c>
      <c r="W367" s="209"/>
      <c r="X367" s="209">
        <f t="shared" si="206"/>
        <v>0</v>
      </c>
      <c r="Y367" s="209">
        <f t="shared" si="207"/>
        <v>0</v>
      </c>
      <c r="Z367" s="303"/>
      <c r="AA367" s="303">
        <f t="shared" si="237"/>
        <v>0</v>
      </c>
      <c r="AB367" s="314">
        <f t="shared" si="214"/>
        <v>0</v>
      </c>
      <c r="AC367" s="314"/>
      <c r="AD367" s="314">
        <f t="shared" si="215"/>
        <v>0</v>
      </c>
      <c r="AE367" s="325" t="s">
        <v>148</v>
      </c>
      <c r="AF367" s="15">
        <f t="shared" si="239"/>
        <v>0</v>
      </c>
      <c r="AG367" s="232">
        <f t="shared" si="240"/>
        <v>0</v>
      </c>
      <c r="AH367" s="232"/>
      <c r="AI367" s="232">
        <f t="shared" si="241"/>
        <v>0</v>
      </c>
      <c r="AJ367" s="232"/>
      <c r="AK367" s="232">
        <f t="shared" si="242"/>
        <v>0</v>
      </c>
      <c r="AL367" s="7">
        <f t="shared" si="243"/>
        <v>0</v>
      </c>
      <c r="AM367" s="352"/>
      <c r="AN367" s="22">
        <f t="shared" si="238"/>
        <v>0</v>
      </c>
      <c r="AO367" s="15">
        <f t="shared" si="216"/>
        <v>0</v>
      </c>
      <c r="AP367" s="345"/>
      <c r="AQ367" s="7">
        <f t="shared" si="217"/>
        <v>0</v>
      </c>
      <c r="AR367" s="103"/>
      <c r="AS367" s="101"/>
      <c r="AT367" s="236"/>
      <c r="AU367" s="235"/>
      <c r="AV367" s="92"/>
      <c r="AW367" s="235"/>
      <c r="AX367" s="92"/>
      <c r="AY367" s="235"/>
      <c r="AZ367" s="92"/>
      <c r="BA367" s="17">
        <f t="shared" si="208"/>
        <v>3.6699999999999998E-5</v>
      </c>
      <c r="BB367" s="17">
        <f t="shared" si="209"/>
        <v>0</v>
      </c>
      <c r="BC367" s="17"/>
      <c r="BD367" s="178">
        <v>358</v>
      </c>
      <c r="BE367" s="214">
        <f t="shared" si="218"/>
        <v>6.9999999999999999E-6</v>
      </c>
      <c r="BF367" s="178">
        <f t="shared" si="210"/>
        <v>0</v>
      </c>
      <c r="BG367" s="245">
        <f t="shared" si="211"/>
        <v>3.6699999999999998E-5</v>
      </c>
      <c r="BH367" s="17">
        <f t="shared" si="219"/>
        <v>0</v>
      </c>
      <c r="BI367" s="178">
        <v>358</v>
      </c>
      <c r="BJ367" s="87">
        <f t="shared" si="220"/>
        <v>5.3000000000000001E-6</v>
      </c>
      <c r="BK367" s="215">
        <f t="shared" si="212"/>
        <v>0</v>
      </c>
      <c r="BL367" s="245">
        <f t="shared" si="221"/>
        <v>3.6699999999999998E-5</v>
      </c>
      <c r="BM367" s="17">
        <f t="shared" si="222"/>
        <v>0</v>
      </c>
      <c r="BN367" s="178">
        <v>358</v>
      </c>
      <c r="BO367" s="87">
        <f t="shared" si="223"/>
        <v>5.3000000000000001E-6</v>
      </c>
      <c r="BP367" s="215">
        <f t="shared" si="213"/>
        <v>0</v>
      </c>
      <c r="BR367" s="126"/>
      <c r="BS367" s="126"/>
      <c r="BU367" s="178"/>
      <c r="BV367" s="179" t="str">
        <f t="shared" si="224"/>
        <v/>
      </c>
      <c r="BW367" s="179" t="str">
        <f t="shared" si="225"/>
        <v/>
      </c>
      <c r="BX367" s="179" t="str">
        <f t="shared" si="226"/>
        <v/>
      </c>
      <c r="BY367" s="179" t="str">
        <f t="shared" si="227"/>
        <v/>
      </c>
      <c r="BZ367" s="179" t="str">
        <f t="shared" si="228"/>
        <v/>
      </c>
      <c r="CA367" s="179" t="str">
        <f t="shared" si="229"/>
        <v/>
      </c>
      <c r="CB367" s="179" t="str">
        <f t="shared" si="230"/>
        <v/>
      </c>
      <c r="CC367" s="179" t="str">
        <f t="shared" si="231"/>
        <v/>
      </c>
      <c r="CD367" s="179" t="str">
        <f t="shared" si="232"/>
        <v/>
      </c>
      <c r="CE367" s="179" t="str">
        <f t="shared" si="233"/>
        <v/>
      </c>
      <c r="CF367" s="179" t="str">
        <f t="shared" si="234"/>
        <v/>
      </c>
      <c r="CG367" s="179" t="str">
        <f t="shared" si="235"/>
        <v/>
      </c>
      <c r="CH367" s="166"/>
      <c r="CI367" s="166"/>
      <c r="CJ367" s="166"/>
      <c r="CK367" s="166" t="s">
        <v>150</v>
      </c>
      <c r="CL367" s="166"/>
    </row>
    <row r="368" spans="1:90" ht="14.25" customHeight="1" thickBot="1" x14ac:dyDescent="0.3">
      <c r="A368" s="213">
        <v>358</v>
      </c>
      <c r="B368" s="219"/>
      <c r="C368" s="200"/>
      <c r="D368" s="145"/>
      <c r="E368" s="320" t="s">
        <v>93</v>
      </c>
      <c r="F368" s="209"/>
      <c r="G368" s="313"/>
      <c r="H368" s="313"/>
      <c r="I368" s="313"/>
      <c r="J368" s="313"/>
      <c r="K368" s="313"/>
      <c r="L368" s="313"/>
      <c r="M368" s="339"/>
      <c r="N368" s="233">
        <f t="shared" si="236"/>
        <v>0</v>
      </c>
      <c r="O368" s="306"/>
      <c r="P368" s="342"/>
      <c r="Q368" s="307"/>
      <c r="R368" s="323" t="s">
        <v>67</v>
      </c>
      <c r="S368" s="209">
        <f t="shared" si="203"/>
        <v>0</v>
      </c>
      <c r="T368" s="209">
        <f t="shared" si="204"/>
        <v>0</v>
      </c>
      <c r="U368" s="209"/>
      <c r="V368" s="209">
        <f t="shared" si="205"/>
        <v>0</v>
      </c>
      <c r="W368" s="209"/>
      <c r="X368" s="209">
        <f t="shared" si="206"/>
        <v>0</v>
      </c>
      <c r="Y368" s="209">
        <f t="shared" si="207"/>
        <v>0</v>
      </c>
      <c r="Z368" s="233"/>
      <c r="AA368" s="233">
        <f t="shared" si="237"/>
        <v>0</v>
      </c>
      <c r="AB368" s="314">
        <f t="shared" si="214"/>
        <v>0</v>
      </c>
      <c r="AC368" s="314"/>
      <c r="AD368" s="314">
        <f t="shared" si="215"/>
        <v>0</v>
      </c>
      <c r="AE368" s="323" t="s">
        <v>87</v>
      </c>
      <c r="AF368" s="81">
        <f t="shared" si="239"/>
        <v>0</v>
      </c>
      <c r="AG368" s="335">
        <f t="shared" si="240"/>
        <v>0</v>
      </c>
      <c r="AH368" s="335"/>
      <c r="AI368" s="335">
        <f t="shared" si="241"/>
        <v>0</v>
      </c>
      <c r="AJ368" s="335"/>
      <c r="AK368" s="335">
        <f t="shared" si="242"/>
        <v>0</v>
      </c>
      <c r="AL368" s="336">
        <f t="shared" si="243"/>
        <v>0</v>
      </c>
      <c r="AM368" s="353"/>
      <c r="AN368" s="22">
        <f t="shared" si="238"/>
        <v>0</v>
      </c>
      <c r="AO368" s="209">
        <f t="shared" si="216"/>
        <v>0</v>
      </c>
      <c r="AP368" s="339"/>
      <c r="AQ368" s="125">
        <f t="shared" si="217"/>
        <v>0</v>
      </c>
      <c r="AR368" s="104"/>
      <c r="AS368" s="217"/>
      <c r="AT368" s="216"/>
      <c r="AU368" s="230"/>
      <c r="AV368" s="220"/>
      <c r="AW368" s="230"/>
      <c r="AX368" s="220"/>
      <c r="AY368" s="230"/>
      <c r="AZ368" s="220"/>
      <c r="BA368" s="17">
        <f t="shared" si="208"/>
        <v>3.68E-5</v>
      </c>
      <c r="BB368" s="17">
        <f t="shared" si="209"/>
        <v>0</v>
      </c>
      <c r="BC368" s="17"/>
      <c r="BD368" s="178">
        <v>359</v>
      </c>
      <c r="BE368" s="214">
        <f t="shared" si="218"/>
        <v>6.9E-6</v>
      </c>
      <c r="BF368" s="178">
        <f t="shared" si="210"/>
        <v>0</v>
      </c>
      <c r="BG368" s="245">
        <f t="shared" si="211"/>
        <v>3.68E-5</v>
      </c>
      <c r="BH368" s="17">
        <f t="shared" si="219"/>
        <v>0</v>
      </c>
      <c r="BI368" s="178">
        <v>359</v>
      </c>
      <c r="BJ368" s="87">
        <f t="shared" si="220"/>
        <v>5.1999999999999993E-6</v>
      </c>
      <c r="BK368" s="215">
        <f t="shared" si="212"/>
        <v>0</v>
      </c>
      <c r="BL368" s="245">
        <f t="shared" si="221"/>
        <v>3.68E-5</v>
      </c>
      <c r="BM368" s="17">
        <f t="shared" si="222"/>
        <v>0</v>
      </c>
      <c r="BN368" s="178">
        <v>359</v>
      </c>
      <c r="BO368" s="87">
        <f t="shared" si="223"/>
        <v>5.1999999999999993E-6</v>
      </c>
      <c r="BP368" s="215">
        <f t="shared" si="213"/>
        <v>0</v>
      </c>
      <c r="BR368" s="126"/>
      <c r="BS368" s="126"/>
      <c r="BU368" s="178"/>
      <c r="BV368" s="179" t="str">
        <f t="shared" si="224"/>
        <v/>
      </c>
      <c r="BW368" s="179" t="str">
        <f t="shared" si="225"/>
        <v/>
      </c>
      <c r="BX368" s="179" t="str">
        <f t="shared" si="226"/>
        <v/>
      </c>
      <c r="BY368" s="179" t="str">
        <f t="shared" si="227"/>
        <v/>
      </c>
      <c r="BZ368" s="179" t="str">
        <f t="shared" si="228"/>
        <v/>
      </c>
      <c r="CA368" s="179" t="str">
        <f t="shared" si="229"/>
        <v/>
      </c>
      <c r="CB368" s="179" t="str">
        <f t="shared" si="230"/>
        <v/>
      </c>
      <c r="CC368" s="179" t="str">
        <f t="shared" si="231"/>
        <v/>
      </c>
      <c r="CD368" s="179" t="str">
        <f t="shared" si="232"/>
        <v/>
      </c>
      <c r="CE368" s="179" t="str">
        <f t="shared" si="233"/>
        <v/>
      </c>
      <c r="CF368" s="179" t="str">
        <f t="shared" si="234"/>
        <v/>
      </c>
      <c r="CG368" s="179" t="str">
        <f t="shared" si="235"/>
        <v/>
      </c>
      <c r="CH368" s="166"/>
      <c r="CI368" s="166"/>
      <c r="CJ368" s="166"/>
      <c r="CK368" s="166" t="s">
        <v>150</v>
      </c>
      <c r="CL368" s="166"/>
    </row>
    <row r="369" spans="1:90" ht="14.25" customHeight="1" thickBot="1" x14ac:dyDescent="0.3">
      <c r="A369" s="211">
        <v>359</v>
      </c>
      <c r="B369" s="88"/>
      <c r="C369" s="201"/>
      <c r="D369" s="94"/>
      <c r="E369" s="321" t="s">
        <v>93</v>
      </c>
      <c r="F369" s="96"/>
      <c r="G369" s="100"/>
      <c r="H369" s="100"/>
      <c r="I369" s="100"/>
      <c r="J369" s="100"/>
      <c r="K369" s="100"/>
      <c r="L369" s="100"/>
      <c r="M369" s="210"/>
      <c r="N369" s="234">
        <f t="shared" si="236"/>
        <v>0</v>
      </c>
      <c r="O369" s="308"/>
      <c r="P369" s="343"/>
      <c r="Q369" s="309"/>
      <c r="R369" s="324" t="s">
        <v>67</v>
      </c>
      <c r="S369" s="209">
        <f t="shared" si="203"/>
        <v>0</v>
      </c>
      <c r="T369" s="209">
        <f t="shared" si="204"/>
        <v>0</v>
      </c>
      <c r="U369" s="209"/>
      <c r="V369" s="209">
        <f t="shared" si="205"/>
        <v>0</v>
      </c>
      <c r="W369" s="209"/>
      <c r="X369" s="209">
        <f t="shared" si="206"/>
        <v>0</v>
      </c>
      <c r="Y369" s="209">
        <f t="shared" si="207"/>
        <v>0</v>
      </c>
      <c r="Z369" s="351"/>
      <c r="AA369" s="234">
        <f t="shared" si="237"/>
        <v>0</v>
      </c>
      <c r="AB369" s="314">
        <f t="shared" si="214"/>
        <v>0</v>
      </c>
      <c r="AC369" s="314"/>
      <c r="AD369" s="314">
        <f t="shared" si="215"/>
        <v>0</v>
      </c>
      <c r="AE369" s="324" t="s">
        <v>87</v>
      </c>
      <c r="AF369" s="82">
        <f t="shared" si="239"/>
        <v>0</v>
      </c>
      <c r="AG369" s="337">
        <f t="shared" si="240"/>
        <v>0</v>
      </c>
      <c r="AH369" s="337"/>
      <c r="AI369" s="337">
        <f t="shared" si="241"/>
        <v>0</v>
      </c>
      <c r="AJ369" s="337"/>
      <c r="AK369" s="337">
        <f t="shared" si="242"/>
        <v>0</v>
      </c>
      <c r="AL369" s="338">
        <f t="shared" si="243"/>
        <v>0</v>
      </c>
      <c r="AM369" s="354"/>
      <c r="AN369" s="91">
        <f t="shared" si="238"/>
        <v>0</v>
      </c>
      <c r="AO369" s="96">
        <f t="shared" si="216"/>
        <v>0</v>
      </c>
      <c r="AP369" s="210"/>
      <c r="AQ369" s="97">
        <f t="shared" si="217"/>
        <v>0</v>
      </c>
      <c r="AR369" s="105"/>
      <c r="AS369" s="102"/>
      <c r="AT369" s="237"/>
      <c r="AU369" s="231"/>
      <c r="AV369" s="93"/>
      <c r="AW369" s="231"/>
      <c r="AX369" s="93"/>
      <c r="AY369" s="231"/>
      <c r="AZ369" s="93"/>
      <c r="BA369" s="17">
        <f t="shared" si="208"/>
        <v>3.6899999999999996E-5</v>
      </c>
      <c r="BB369" s="17">
        <f t="shared" si="209"/>
        <v>0</v>
      </c>
      <c r="BC369" s="17"/>
      <c r="BD369" s="178">
        <v>360</v>
      </c>
      <c r="BE369" s="214">
        <f t="shared" si="218"/>
        <v>6.7999999999999993E-6</v>
      </c>
      <c r="BF369" s="178">
        <f t="shared" si="210"/>
        <v>0</v>
      </c>
      <c r="BG369" s="245">
        <f t="shared" si="211"/>
        <v>3.6899999999999996E-5</v>
      </c>
      <c r="BH369" s="17">
        <f t="shared" si="219"/>
        <v>0</v>
      </c>
      <c r="BI369" s="178">
        <v>360</v>
      </c>
      <c r="BJ369" s="87">
        <f t="shared" si="220"/>
        <v>5.0999999999999995E-6</v>
      </c>
      <c r="BK369" s="215">
        <f t="shared" si="212"/>
        <v>0</v>
      </c>
      <c r="BL369" s="245">
        <f t="shared" si="221"/>
        <v>3.6899999999999996E-5</v>
      </c>
      <c r="BM369" s="17">
        <f t="shared" si="222"/>
        <v>0</v>
      </c>
      <c r="BN369" s="178">
        <v>360</v>
      </c>
      <c r="BO369" s="87">
        <f t="shared" si="223"/>
        <v>5.0999999999999995E-6</v>
      </c>
      <c r="BP369" s="215">
        <f t="shared" si="213"/>
        <v>0</v>
      </c>
      <c r="BR369" s="126"/>
      <c r="BS369" s="126"/>
      <c r="BU369" s="178"/>
      <c r="BV369" s="179" t="str">
        <f t="shared" si="224"/>
        <v/>
      </c>
      <c r="BW369" s="179" t="str">
        <f t="shared" si="225"/>
        <v/>
      </c>
      <c r="BX369" s="179" t="str">
        <f t="shared" si="226"/>
        <v/>
      </c>
      <c r="BY369" s="179" t="str">
        <f t="shared" si="227"/>
        <v/>
      </c>
      <c r="BZ369" s="179" t="str">
        <f t="shared" si="228"/>
        <v/>
      </c>
      <c r="CA369" s="179" t="str">
        <f t="shared" si="229"/>
        <v/>
      </c>
      <c r="CB369" s="179" t="str">
        <f t="shared" si="230"/>
        <v/>
      </c>
      <c r="CC369" s="179" t="str">
        <f t="shared" si="231"/>
        <v/>
      </c>
      <c r="CD369" s="179" t="str">
        <f t="shared" si="232"/>
        <v/>
      </c>
      <c r="CE369" s="179" t="str">
        <f t="shared" si="233"/>
        <v/>
      </c>
      <c r="CF369" s="179" t="str">
        <f t="shared" si="234"/>
        <v/>
      </c>
      <c r="CG369" s="179" t="str">
        <f t="shared" si="235"/>
        <v/>
      </c>
      <c r="CH369" s="166"/>
      <c r="CI369" s="166"/>
      <c r="CJ369" s="166"/>
      <c r="CK369" s="166" t="s">
        <v>150</v>
      </c>
      <c r="CL369" s="166"/>
    </row>
    <row r="370" spans="1:90" ht="14.25" customHeight="1" thickBot="1" x14ac:dyDescent="0.3">
      <c r="A370" s="213">
        <v>360</v>
      </c>
      <c r="B370" s="89"/>
      <c r="C370" s="199"/>
      <c r="D370" s="146"/>
      <c r="E370" s="319" t="s">
        <v>93</v>
      </c>
      <c r="F370" s="221"/>
      <c r="G370" s="222"/>
      <c r="H370" s="222"/>
      <c r="I370" s="222"/>
      <c r="J370" s="222"/>
      <c r="K370" s="222"/>
      <c r="L370" s="222"/>
      <c r="M370" s="331"/>
      <c r="N370" s="303">
        <f t="shared" si="236"/>
        <v>0</v>
      </c>
      <c r="O370" s="304"/>
      <c r="P370" s="341"/>
      <c r="Q370" s="305"/>
      <c r="R370" s="322" t="s">
        <v>67</v>
      </c>
      <c r="S370" s="209">
        <f t="shared" si="203"/>
        <v>0</v>
      </c>
      <c r="T370" s="209">
        <f t="shared" si="204"/>
        <v>0</v>
      </c>
      <c r="U370" s="209"/>
      <c r="V370" s="209">
        <f t="shared" si="205"/>
        <v>0</v>
      </c>
      <c r="W370" s="209"/>
      <c r="X370" s="209">
        <f t="shared" si="206"/>
        <v>0</v>
      </c>
      <c r="Y370" s="209">
        <f t="shared" si="207"/>
        <v>0</v>
      </c>
      <c r="Z370" s="303"/>
      <c r="AA370" s="303">
        <f t="shared" si="237"/>
        <v>0</v>
      </c>
      <c r="AB370" s="314">
        <f t="shared" si="214"/>
        <v>0</v>
      </c>
      <c r="AC370" s="314"/>
      <c r="AD370" s="314">
        <f t="shared" si="215"/>
        <v>0</v>
      </c>
      <c r="AE370" s="325" t="s">
        <v>148</v>
      </c>
      <c r="AF370" s="15">
        <f t="shared" si="239"/>
        <v>0</v>
      </c>
      <c r="AG370" s="232">
        <f t="shared" si="240"/>
        <v>0</v>
      </c>
      <c r="AH370" s="232"/>
      <c r="AI370" s="232">
        <f t="shared" si="241"/>
        <v>0</v>
      </c>
      <c r="AJ370" s="232"/>
      <c r="AK370" s="232">
        <f t="shared" si="242"/>
        <v>0</v>
      </c>
      <c r="AL370" s="7">
        <f t="shared" si="243"/>
        <v>0</v>
      </c>
      <c r="AM370" s="352"/>
      <c r="AN370" s="22">
        <f t="shared" si="238"/>
        <v>0</v>
      </c>
      <c r="AO370" s="15">
        <f t="shared" si="216"/>
        <v>0</v>
      </c>
      <c r="AP370" s="345"/>
      <c r="AQ370" s="7">
        <f t="shared" si="217"/>
        <v>0</v>
      </c>
      <c r="AR370" s="103"/>
      <c r="AS370" s="101"/>
      <c r="AT370" s="236"/>
      <c r="AU370" s="235"/>
      <c r="AV370" s="92"/>
      <c r="AW370" s="235"/>
      <c r="AX370" s="92"/>
      <c r="AY370" s="235"/>
      <c r="AZ370" s="92"/>
      <c r="BA370" s="17">
        <f t="shared" si="208"/>
        <v>3.6999999999999998E-5</v>
      </c>
      <c r="BB370" s="17">
        <f t="shared" si="209"/>
        <v>0</v>
      </c>
      <c r="BC370" s="17"/>
      <c r="BD370" s="178">
        <v>361</v>
      </c>
      <c r="BE370" s="214">
        <f t="shared" si="218"/>
        <v>6.6999999999999994E-6</v>
      </c>
      <c r="BF370" s="178">
        <f t="shared" si="210"/>
        <v>0</v>
      </c>
      <c r="BG370" s="245">
        <f t="shared" si="211"/>
        <v>3.6999999999999998E-5</v>
      </c>
      <c r="BH370" s="17">
        <f t="shared" si="219"/>
        <v>0</v>
      </c>
      <c r="BI370" s="178">
        <v>361</v>
      </c>
      <c r="BJ370" s="87">
        <f t="shared" si="220"/>
        <v>4.9999999999999996E-6</v>
      </c>
      <c r="BK370" s="215">
        <f t="shared" si="212"/>
        <v>0</v>
      </c>
      <c r="BL370" s="245">
        <f t="shared" si="221"/>
        <v>3.6999999999999998E-5</v>
      </c>
      <c r="BM370" s="17">
        <f t="shared" si="222"/>
        <v>0</v>
      </c>
      <c r="BN370" s="178">
        <v>361</v>
      </c>
      <c r="BO370" s="87">
        <f t="shared" si="223"/>
        <v>4.9999999999999996E-6</v>
      </c>
      <c r="BP370" s="215">
        <f t="shared" si="213"/>
        <v>0</v>
      </c>
      <c r="BR370" s="126"/>
      <c r="BS370" s="126"/>
      <c r="BU370" s="178"/>
      <c r="BV370" s="179" t="str">
        <f t="shared" si="224"/>
        <v/>
      </c>
      <c r="BW370" s="179" t="str">
        <f t="shared" si="225"/>
        <v/>
      </c>
      <c r="BX370" s="179" t="str">
        <f t="shared" si="226"/>
        <v/>
      </c>
      <c r="BY370" s="179" t="str">
        <f t="shared" si="227"/>
        <v/>
      </c>
      <c r="BZ370" s="179" t="str">
        <f t="shared" si="228"/>
        <v/>
      </c>
      <c r="CA370" s="179" t="str">
        <f t="shared" si="229"/>
        <v/>
      </c>
      <c r="CB370" s="179" t="str">
        <f t="shared" si="230"/>
        <v/>
      </c>
      <c r="CC370" s="179" t="str">
        <f t="shared" si="231"/>
        <v/>
      </c>
      <c r="CD370" s="179" t="str">
        <f t="shared" si="232"/>
        <v/>
      </c>
      <c r="CE370" s="179" t="str">
        <f t="shared" si="233"/>
        <v/>
      </c>
      <c r="CF370" s="179" t="str">
        <f t="shared" si="234"/>
        <v/>
      </c>
      <c r="CG370" s="179" t="str">
        <f t="shared" si="235"/>
        <v/>
      </c>
      <c r="CH370" s="166"/>
      <c r="CI370" s="166"/>
      <c r="CJ370" s="166"/>
      <c r="CK370" s="166" t="s">
        <v>150</v>
      </c>
      <c r="CL370" s="166"/>
    </row>
    <row r="371" spans="1:90" ht="14.25" customHeight="1" x14ac:dyDescent="0.25">
      <c r="A371" s="211">
        <v>361</v>
      </c>
      <c r="B371" s="219"/>
      <c r="C371" s="200"/>
      <c r="D371" s="145"/>
      <c r="E371" s="320" t="s">
        <v>93</v>
      </c>
      <c r="F371" s="209"/>
      <c r="G371" s="313"/>
      <c r="H371" s="313"/>
      <c r="I371" s="313"/>
      <c r="J371" s="313"/>
      <c r="K371" s="313"/>
      <c r="L371" s="313"/>
      <c r="M371" s="339"/>
      <c r="N371" s="233">
        <f t="shared" si="236"/>
        <v>0</v>
      </c>
      <c r="O371" s="306"/>
      <c r="P371" s="342"/>
      <c r="Q371" s="307"/>
      <c r="R371" s="323" t="s">
        <v>67</v>
      </c>
      <c r="S371" s="209">
        <f t="shared" si="203"/>
        <v>0</v>
      </c>
      <c r="T371" s="209">
        <f t="shared" si="204"/>
        <v>0</v>
      </c>
      <c r="U371" s="209"/>
      <c r="V371" s="209">
        <f t="shared" si="205"/>
        <v>0</v>
      </c>
      <c r="W371" s="209"/>
      <c r="X371" s="209">
        <f t="shared" si="206"/>
        <v>0</v>
      </c>
      <c r="Y371" s="209">
        <f t="shared" si="207"/>
        <v>0</v>
      </c>
      <c r="Z371" s="233"/>
      <c r="AA371" s="233">
        <f t="shared" si="237"/>
        <v>0</v>
      </c>
      <c r="AB371" s="314">
        <f t="shared" si="214"/>
        <v>0</v>
      </c>
      <c r="AC371" s="314"/>
      <c r="AD371" s="314">
        <f t="shared" si="215"/>
        <v>0</v>
      </c>
      <c r="AE371" s="323" t="s">
        <v>87</v>
      </c>
      <c r="AF371" s="81">
        <f t="shared" si="239"/>
        <v>0</v>
      </c>
      <c r="AG371" s="335">
        <f t="shared" si="240"/>
        <v>0</v>
      </c>
      <c r="AH371" s="335"/>
      <c r="AI371" s="335">
        <f t="shared" si="241"/>
        <v>0</v>
      </c>
      <c r="AJ371" s="335"/>
      <c r="AK371" s="335">
        <f t="shared" si="242"/>
        <v>0</v>
      </c>
      <c r="AL371" s="336">
        <f t="shared" si="243"/>
        <v>0</v>
      </c>
      <c r="AM371" s="353"/>
      <c r="AN371" s="22">
        <f t="shared" si="238"/>
        <v>0</v>
      </c>
      <c r="AO371" s="209">
        <f t="shared" si="216"/>
        <v>0</v>
      </c>
      <c r="AP371" s="339"/>
      <c r="AQ371" s="125">
        <f t="shared" si="217"/>
        <v>0</v>
      </c>
      <c r="AR371" s="104"/>
      <c r="AS371" s="217"/>
      <c r="AT371" s="216"/>
      <c r="AU371" s="230"/>
      <c r="AV371" s="220"/>
      <c r="AW371" s="230"/>
      <c r="AX371" s="220"/>
      <c r="AY371" s="230"/>
      <c r="AZ371" s="220"/>
      <c r="BA371" s="17">
        <f t="shared" si="208"/>
        <v>3.7100000000000001E-5</v>
      </c>
      <c r="BB371" s="17">
        <f t="shared" si="209"/>
        <v>0</v>
      </c>
      <c r="BC371" s="17"/>
      <c r="BD371" s="178">
        <v>362</v>
      </c>
      <c r="BE371" s="214">
        <f t="shared" si="218"/>
        <v>6.5999999999999995E-6</v>
      </c>
      <c r="BF371" s="178">
        <f t="shared" si="210"/>
        <v>0</v>
      </c>
      <c r="BG371" s="245">
        <f t="shared" si="211"/>
        <v>3.7100000000000001E-5</v>
      </c>
      <c r="BH371" s="17">
        <f t="shared" si="219"/>
        <v>0</v>
      </c>
      <c r="BI371" s="178">
        <v>362</v>
      </c>
      <c r="BJ371" s="87">
        <f t="shared" si="220"/>
        <v>4.8999999999999997E-6</v>
      </c>
      <c r="BK371" s="215">
        <f t="shared" si="212"/>
        <v>0</v>
      </c>
      <c r="BL371" s="245">
        <f t="shared" si="221"/>
        <v>3.7100000000000001E-5</v>
      </c>
      <c r="BM371" s="17">
        <f t="shared" si="222"/>
        <v>0</v>
      </c>
      <c r="BN371" s="178">
        <v>362</v>
      </c>
      <c r="BO371" s="87">
        <f t="shared" si="223"/>
        <v>4.8999999999999997E-6</v>
      </c>
      <c r="BP371" s="215">
        <f t="shared" si="213"/>
        <v>0</v>
      </c>
      <c r="BR371" s="126"/>
      <c r="BS371" s="126"/>
      <c r="BU371" s="178"/>
      <c r="BV371" s="179" t="str">
        <f t="shared" si="224"/>
        <v/>
      </c>
      <c r="BW371" s="179" t="str">
        <f t="shared" si="225"/>
        <v/>
      </c>
      <c r="BX371" s="179" t="str">
        <f t="shared" si="226"/>
        <v/>
      </c>
      <c r="BY371" s="179" t="str">
        <f t="shared" si="227"/>
        <v/>
      </c>
      <c r="BZ371" s="179" t="str">
        <f t="shared" si="228"/>
        <v/>
      </c>
      <c r="CA371" s="179" t="str">
        <f t="shared" si="229"/>
        <v/>
      </c>
      <c r="CB371" s="179" t="str">
        <f t="shared" si="230"/>
        <v/>
      </c>
      <c r="CC371" s="179" t="str">
        <f t="shared" si="231"/>
        <v/>
      </c>
      <c r="CD371" s="179" t="str">
        <f t="shared" si="232"/>
        <v/>
      </c>
      <c r="CE371" s="179" t="str">
        <f t="shared" si="233"/>
        <v/>
      </c>
      <c r="CF371" s="179" t="str">
        <f t="shared" si="234"/>
        <v/>
      </c>
      <c r="CG371" s="179" t="str">
        <f t="shared" si="235"/>
        <v/>
      </c>
      <c r="CH371" s="166"/>
      <c r="CI371" s="166"/>
      <c r="CJ371" s="166"/>
      <c r="CK371" s="166" t="s">
        <v>150</v>
      </c>
      <c r="CL371" s="166"/>
    </row>
    <row r="372" spans="1:90" ht="14.25" customHeight="1" thickBot="1" x14ac:dyDescent="0.3">
      <c r="A372" s="213">
        <v>362</v>
      </c>
      <c r="B372" s="88"/>
      <c r="C372" s="201"/>
      <c r="D372" s="94"/>
      <c r="E372" s="321" t="s">
        <v>93</v>
      </c>
      <c r="F372" s="96"/>
      <c r="G372" s="100"/>
      <c r="H372" s="100"/>
      <c r="I372" s="100"/>
      <c r="J372" s="100"/>
      <c r="K372" s="100"/>
      <c r="L372" s="100"/>
      <c r="M372" s="210"/>
      <c r="N372" s="234">
        <f t="shared" si="236"/>
        <v>0</v>
      </c>
      <c r="O372" s="308"/>
      <c r="P372" s="343"/>
      <c r="Q372" s="309"/>
      <c r="R372" s="324" t="s">
        <v>67</v>
      </c>
      <c r="S372" s="209">
        <f t="shared" si="203"/>
        <v>0</v>
      </c>
      <c r="T372" s="209">
        <f t="shared" si="204"/>
        <v>0</v>
      </c>
      <c r="U372" s="209"/>
      <c r="V372" s="209">
        <f t="shared" si="205"/>
        <v>0</v>
      </c>
      <c r="W372" s="209"/>
      <c r="X372" s="209">
        <f t="shared" si="206"/>
        <v>0</v>
      </c>
      <c r="Y372" s="209">
        <f t="shared" si="207"/>
        <v>0</v>
      </c>
      <c r="Z372" s="351"/>
      <c r="AA372" s="234">
        <f t="shared" si="237"/>
        <v>0</v>
      </c>
      <c r="AB372" s="314">
        <f t="shared" si="214"/>
        <v>0</v>
      </c>
      <c r="AC372" s="314"/>
      <c r="AD372" s="314">
        <f t="shared" si="215"/>
        <v>0</v>
      </c>
      <c r="AE372" s="324" t="s">
        <v>87</v>
      </c>
      <c r="AF372" s="82">
        <f t="shared" si="239"/>
        <v>0</v>
      </c>
      <c r="AG372" s="337">
        <f t="shared" si="240"/>
        <v>0</v>
      </c>
      <c r="AH372" s="337"/>
      <c r="AI372" s="337">
        <f t="shared" si="241"/>
        <v>0</v>
      </c>
      <c r="AJ372" s="337"/>
      <c r="AK372" s="337">
        <f t="shared" si="242"/>
        <v>0</v>
      </c>
      <c r="AL372" s="338">
        <f t="shared" si="243"/>
        <v>0</v>
      </c>
      <c r="AM372" s="354"/>
      <c r="AN372" s="91">
        <f t="shared" si="238"/>
        <v>0</v>
      </c>
      <c r="AO372" s="96">
        <f t="shared" si="216"/>
        <v>0</v>
      </c>
      <c r="AP372" s="210"/>
      <c r="AQ372" s="97">
        <f t="shared" si="217"/>
        <v>0</v>
      </c>
      <c r="AR372" s="105"/>
      <c r="AS372" s="102"/>
      <c r="AT372" s="237"/>
      <c r="AU372" s="231"/>
      <c r="AV372" s="93"/>
      <c r="AW372" s="231"/>
      <c r="AX372" s="93"/>
      <c r="AY372" s="231"/>
      <c r="AZ372" s="93"/>
      <c r="BA372" s="17">
        <f t="shared" si="208"/>
        <v>3.7199999999999996E-5</v>
      </c>
      <c r="BB372" s="17">
        <f t="shared" si="209"/>
        <v>0</v>
      </c>
      <c r="BC372" s="17"/>
      <c r="BD372" s="178">
        <v>363</v>
      </c>
      <c r="BE372" s="214">
        <f t="shared" si="218"/>
        <v>6.4999999999999996E-6</v>
      </c>
      <c r="BF372" s="178">
        <f t="shared" si="210"/>
        <v>0</v>
      </c>
      <c r="BG372" s="245">
        <f t="shared" si="211"/>
        <v>3.7199999999999996E-5</v>
      </c>
      <c r="BH372" s="17">
        <f t="shared" si="219"/>
        <v>0</v>
      </c>
      <c r="BI372" s="178">
        <v>363</v>
      </c>
      <c r="BJ372" s="87">
        <f t="shared" si="220"/>
        <v>4.7999999999999998E-6</v>
      </c>
      <c r="BK372" s="215">
        <f t="shared" si="212"/>
        <v>0</v>
      </c>
      <c r="BL372" s="245">
        <f t="shared" si="221"/>
        <v>3.7199999999999996E-5</v>
      </c>
      <c r="BM372" s="17">
        <f t="shared" si="222"/>
        <v>0</v>
      </c>
      <c r="BN372" s="178">
        <v>363</v>
      </c>
      <c r="BO372" s="87">
        <f t="shared" si="223"/>
        <v>4.7999999999999998E-6</v>
      </c>
      <c r="BP372" s="215">
        <f t="shared" si="213"/>
        <v>0</v>
      </c>
      <c r="BR372" s="126"/>
      <c r="BS372" s="126"/>
      <c r="BU372" s="178"/>
      <c r="BV372" s="179" t="str">
        <f t="shared" si="224"/>
        <v/>
      </c>
      <c r="BW372" s="179" t="str">
        <f t="shared" si="225"/>
        <v/>
      </c>
      <c r="BX372" s="179" t="str">
        <f t="shared" si="226"/>
        <v/>
      </c>
      <c r="BY372" s="179" t="str">
        <f t="shared" si="227"/>
        <v/>
      </c>
      <c r="BZ372" s="179" t="str">
        <f t="shared" si="228"/>
        <v/>
      </c>
      <c r="CA372" s="179" t="str">
        <f t="shared" si="229"/>
        <v/>
      </c>
      <c r="CB372" s="179" t="str">
        <f t="shared" si="230"/>
        <v/>
      </c>
      <c r="CC372" s="179" t="str">
        <f t="shared" si="231"/>
        <v/>
      </c>
      <c r="CD372" s="179" t="str">
        <f t="shared" si="232"/>
        <v/>
      </c>
      <c r="CE372" s="179" t="str">
        <f t="shared" si="233"/>
        <v/>
      </c>
      <c r="CF372" s="179" t="str">
        <f t="shared" si="234"/>
        <v/>
      </c>
      <c r="CG372" s="179" t="str">
        <f t="shared" si="235"/>
        <v/>
      </c>
      <c r="CH372" s="166"/>
      <c r="CI372" s="166"/>
      <c r="CJ372" s="166"/>
      <c r="CK372" s="166" t="s">
        <v>150</v>
      </c>
      <c r="CL372" s="166"/>
    </row>
    <row r="373" spans="1:90" ht="14.25" customHeight="1" x14ac:dyDescent="0.25">
      <c r="A373" s="211">
        <v>363</v>
      </c>
      <c r="B373" s="89"/>
      <c r="C373" s="199"/>
      <c r="D373" s="146"/>
      <c r="E373" s="319" t="s">
        <v>93</v>
      </c>
      <c r="F373" s="221"/>
      <c r="G373" s="222"/>
      <c r="H373" s="222"/>
      <c r="I373" s="222"/>
      <c r="J373" s="222"/>
      <c r="K373" s="222"/>
      <c r="L373" s="222"/>
      <c r="M373" s="331"/>
      <c r="N373" s="303">
        <f t="shared" si="236"/>
        <v>0</v>
      </c>
      <c r="O373" s="304"/>
      <c r="P373" s="341"/>
      <c r="Q373" s="305"/>
      <c r="R373" s="322" t="s">
        <v>67</v>
      </c>
      <c r="S373" s="209">
        <f t="shared" si="203"/>
        <v>0</v>
      </c>
      <c r="T373" s="209">
        <f t="shared" si="204"/>
        <v>0</v>
      </c>
      <c r="U373" s="209"/>
      <c r="V373" s="209">
        <f t="shared" si="205"/>
        <v>0</v>
      </c>
      <c r="W373" s="209"/>
      <c r="X373" s="209">
        <f t="shared" si="206"/>
        <v>0</v>
      </c>
      <c r="Y373" s="209">
        <f t="shared" si="207"/>
        <v>0</v>
      </c>
      <c r="Z373" s="303"/>
      <c r="AA373" s="303">
        <f t="shared" si="237"/>
        <v>0</v>
      </c>
      <c r="AB373" s="314">
        <f t="shared" si="214"/>
        <v>0</v>
      </c>
      <c r="AC373" s="314"/>
      <c r="AD373" s="314">
        <f t="shared" si="215"/>
        <v>0</v>
      </c>
      <c r="AE373" s="325" t="s">
        <v>148</v>
      </c>
      <c r="AF373" s="15">
        <f t="shared" si="239"/>
        <v>0</v>
      </c>
      <c r="AG373" s="232">
        <f t="shared" si="240"/>
        <v>0</v>
      </c>
      <c r="AH373" s="232"/>
      <c r="AI373" s="232">
        <f t="shared" si="241"/>
        <v>0</v>
      </c>
      <c r="AJ373" s="232"/>
      <c r="AK373" s="232">
        <f t="shared" si="242"/>
        <v>0</v>
      </c>
      <c r="AL373" s="7">
        <f t="shared" si="243"/>
        <v>0</v>
      </c>
      <c r="AM373" s="352"/>
      <c r="AN373" s="22">
        <f t="shared" si="238"/>
        <v>0</v>
      </c>
      <c r="AO373" s="15">
        <f t="shared" si="216"/>
        <v>0</v>
      </c>
      <c r="AP373" s="345"/>
      <c r="AQ373" s="7">
        <f t="shared" si="217"/>
        <v>0</v>
      </c>
      <c r="AR373" s="103"/>
      <c r="AS373" s="101"/>
      <c r="AT373" s="236"/>
      <c r="AU373" s="235"/>
      <c r="AV373" s="92"/>
      <c r="AW373" s="235"/>
      <c r="AX373" s="92"/>
      <c r="AY373" s="235"/>
      <c r="AZ373" s="92"/>
      <c r="BA373" s="17">
        <f t="shared" si="208"/>
        <v>3.7299999999999999E-5</v>
      </c>
      <c r="BB373" s="17">
        <f t="shared" si="209"/>
        <v>0</v>
      </c>
      <c r="BC373" s="17"/>
      <c r="BD373" s="178">
        <v>364</v>
      </c>
      <c r="BE373" s="214">
        <f t="shared" si="218"/>
        <v>6.3999999999999997E-6</v>
      </c>
      <c r="BF373" s="178">
        <f t="shared" si="210"/>
        <v>0</v>
      </c>
      <c r="BG373" s="245">
        <f t="shared" si="211"/>
        <v>3.7299999999999999E-5</v>
      </c>
      <c r="BH373" s="17">
        <f t="shared" si="219"/>
        <v>0</v>
      </c>
      <c r="BI373" s="178">
        <v>364</v>
      </c>
      <c r="BJ373" s="87">
        <f t="shared" si="220"/>
        <v>4.6999999999999999E-6</v>
      </c>
      <c r="BK373" s="215">
        <f t="shared" si="212"/>
        <v>0</v>
      </c>
      <c r="BL373" s="245">
        <f t="shared" si="221"/>
        <v>3.7299999999999999E-5</v>
      </c>
      <c r="BM373" s="17">
        <f t="shared" si="222"/>
        <v>0</v>
      </c>
      <c r="BN373" s="178">
        <v>364</v>
      </c>
      <c r="BO373" s="87">
        <f t="shared" si="223"/>
        <v>4.6999999999999999E-6</v>
      </c>
      <c r="BP373" s="215">
        <f t="shared" si="213"/>
        <v>0</v>
      </c>
      <c r="BR373" s="126"/>
      <c r="BS373" s="126"/>
      <c r="BU373" s="178"/>
      <c r="BV373" s="179" t="str">
        <f t="shared" si="224"/>
        <v/>
      </c>
      <c r="BW373" s="179" t="str">
        <f t="shared" si="225"/>
        <v/>
      </c>
      <c r="BX373" s="179" t="str">
        <f t="shared" si="226"/>
        <v/>
      </c>
      <c r="BY373" s="179" t="str">
        <f t="shared" si="227"/>
        <v/>
      </c>
      <c r="BZ373" s="179" t="str">
        <f t="shared" si="228"/>
        <v/>
      </c>
      <c r="CA373" s="179" t="str">
        <f t="shared" si="229"/>
        <v/>
      </c>
      <c r="CB373" s="179" t="str">
        <f t="shared" si="230"/>
        <v/>
      </c>
      <c r="CC373" s="179" t="str">
        <f t="shared" si="231"/>
        <v/>
      </c>
      <c r="CD373" s="179" t="str">
        <f t="shared" si="232"/>
        <v/>
      </c>
      <c r="CE373" s="179" t="str">
        <f t="shared" si="233"/>
        <v/>
      </c>
      <c r="CF373" s="179" t="str">
        <f t="shared" si="234"/>
        <v/>
      </c>
      <c r="CG373" s="179" t="str">
        <f t="shared" si="235"/>
        <v/>
      </c>
      <c r="CH373" s="166"/>
      <c r="CI373" s="166"/>
      <c r="CJ373" s="166"/>
      <c r="CK373" s="166" t="s">
        <v>150</v>
      </c>
      <c r="CL373" s="166"/>
    </row>
    <row r="374" spans="1:90" ht="14.25" customHeight="1" thickBot="1" x14ac:dyDescent="0.3">
      <c r="A374" s="213">
        <v>364</v>
      </c>
      <c r="B374" s="219"/>
      <c r="C374" s="200"/>
      <c r="D374" s="145"/>
      <c r="E374" s="320" t="s">
        <v>93</v>
      </c>
      <c r="F374" s="209"/>
      <c r="G374" s="313"/>
      <c r="H374" s="313"/>
      <c r="I374" s="313"/>
      <c r="J374" s="313"/>
      <c r="K374" s="313"/>
      <c r="L374" s="313"/>
      <c r="M374" s="339"/>
      <c r="N374" s="233">
        <f t="shared" si="236"/>
        <v>0</v>
      </c>
      <c r="O374" s="306"/>
      <c r="P374" s="342"/>
      <c r="Q374" s="307"/>
      <c r="R374" s="323" t="s">
        <v>67</v>
      </c>
      <c r="S374" s="209">
        <f t="shared" si="203"/>
        <v>0</v>
      </c>
      <c r="T374" s="209">
        <f t="shared" si="204"/>
        <v>0</v>
      </c>
      <c r="U374" s="209"/>
      <c r="V374" s="209">
        <f t="shared" si="205"/>
        <v>0</v>
      </c>
      <c r="W374" s="209"/>
      <c r="X374" s="209">
        <f t="shared" si="206"/>
        <v>0</v>
      </c>
      <c r="Y374" s="209">
        <f t="shared" si="207"/>
        <v>0</v>
      </c>
      <c r="Z374" s="233"/>
      <c r="AA374" s="233">
        <f t="shared" si="237"/>
        <v>0</v>
      </c>
      <c r="AB374" s="314">
        <f t="shared" si="214"/>
        <v>0</v>
      </c>
      <c r="AC374" s="314"/>
      <c r="AD374" s="314">
        <f t="shared" si="215"/>
        <v>0</v>
      </c>
      <c r="AE374" s="323" t="s">
        <v>87</v>
      </c>
      <c r="AF374" s="81">
        <f t="shared" si="239"/>
        <v>0</v>
      </c>
      <c r="AG374" s="335">
        <f t="shared" si="240"/>
        <v>0</v>
      </c>
      <c r="AH374" s="335"/>
      <c r="AI374" s="335">
        <f t="shared" si="241"/>
        <v>0</v>
      </c>
      <c r="AJ374" s="335"/>
      <c r="AK374" s="335">
        <f t="shared" si="242"/>
        <v>0</v>
      </c>
      <c r="AL374" s="336">
        <f t="shared" si="243"/>
        <v>0</v>
      </c>
      <c r="AM374" s="353"/>
      <c r="AN374" s="22">
        <f t="shared" si="238"/>
        <v>0</v>
      </c>
      <c r="AO374" s="209">
        <f t="shared" si="216"/>
        <v>0</v>
      </c>
      <c r="AP374" s="339"/>
      <c r="AQ374" s="125">
        <f t="shared" si="217"/>
        <v>0</v>
      </c>
      <c r="AR374" s="104"/>
      <c r="AS374" s="217"/>
      <c r="AT374" s="216"/>
      <c r="AU374" s="230"/>
      <c r="AV374" s="220"/>
      <c r="AW374" s="230"/>
      <c r="AX374" s="220"/>
      <c r="AY374" s="230"/>
      <c r="AZ374" s="220"/>
      <c r="BA374" s="17">
        <f t="shared" si="208"/>
        <v>3.7400000000000001E-5</v>
      </c>
      <c r="BB374" s="17">
        <f t="shared" si="209"/>
        <v>0</v>
      </c>
      <c r="BC374" s="17"/>
      <c r="BD374" s="178">
        <v>365</v>
      </c>
      <c r="BE374" s="214">
        <f t="shared" si="218"/>
        <v>6.2999999999999998E-6</v>
      </c>
      <c r="BF374" s="178">
        <f t="shared" si="210"/>
        <v>0</v>
      </c>
      <c r="BG374" s="245">
        <f t="shared" si="211"/>
        <v>3.7400000000000001E-5</v>
      </c>
      <c r="BH374" s="17">
        <f t="shared" si="219"/>
        <v>0</v>
      </c>
      <c r="BI374" s="178">
        <v>365</v>
      </c>
      <c r="BJ374" s="87">
        <f t="shared" si="220"/>
        <v>4.6E-6</v>
      </c>
      <c r="BK374" s="215">
        <f t="shared" si="212"/>
        <v>0</v>
      </c>
      <c r="BL374" s="245">
        <f t="shared" si="221"/>
        <v>3.7400000000000001E-5</v>
      </c>
      <c r="BM374" s="17">
        <f t="shared" si="222"/>
        <v>0</v>
      </c>
      <c r="BN374" s="178">
        <v>365</v>
      </c>
      <c r="BO374" s="87">
        <f t="shared" si="223"/>
        <v>4.6E-6</v>
      </c>
      <c r="BP374" s="215">
        <f t="shared" si="213"/>
        <v>0</v>
      </c>
      <c r="BR374" s="126"/>
      <c r="BS374" s="126"/>
      <c r="BU374" s="178"/>
      <c r="BV374" s="179" t="str">
        <f t="shared" si="224"/>
        <v/>
      </c>
      <c r="BW374" s="179" t="str">
        <f t="shared" si="225"/>
        <v/>
      </c>
      <c r="BX374" s="179" t="str">
        <f t="shared" si="226"/>
        <v/>
      </c>
      <c r="BY374" s="179" t="str">
        <f t="shared" si="227"/>
        <v/>
      </c>
      <c r="BZ374" s="179" t="str">
        <f t="shared" si="228"/>
        <v/>
      </c>
      <c r="CA374" s="179" t="str">
        <f t="shared" si="229"/>
        <v/>
      </c>
      <c r="CB374" s="179" t="str">
        <f t="shared" si="230"/>
        <v/>
      </c>
      <c r="CC374" s="179" t="str">
        <f t="shared" si="231"/>
        <v/>
      </c>
      <c r="CD374" s="179" t="str">
        <f t="shared" si="232"/>
        <v/>
      </c>
      <c r="CE374" s="179" t="str">
        <f t="shared" si="233"/>
        <v/>
      </c>
      <c r="CF374" s="179" t="str">
        <f t="shared" si="234"/>
        <v/>
      </c>
      <c r="CG374" s="179" t="str">
        <f t="shared" si="235"/>
        <v/>
      </c>
      <c r="CH374" s="166"/>
      <c r="CI374" s="166"/>
      <c r="CJ374" s="166"/>
      <c r="CK374" s="166" t="s">
        <v>150</v>
      </c>
      <c r="CL374" s="166"/>
    </row>
    <row r="375" spans="1:90" ht="14.25" customHeight="1" thickBot="1" x14ac:dyDescent="0.3">
      <c r="A375" s="211">
        <v>365</v>
      </c>
      <c r="B375" s="88"/>
      <c r="C375" s="201"/>
      <c r="D375" s="94"/>
      <c r="E375" s="321" t="s">
        <v>93</v>
      </c>
      <c r="F375" s="96"/>
      <c r="G375" s="100"/>
      <c r="H375" s="100"/>
      <c r="I375" s="100"/>
      <c r="J375" s="100"/>
      <c r="K375" s="100"/>
      <c r="L375" s="100"/>
      <c r="M375" s="210"/>
      <c r="N375" s="234">
        <f t="shared" si="236"/>
        <v>0</v>
      </c>
      <c r="O375" s="308"/>
      <c r="P375" s="343"/>
      <c r="Q375" s="309"/>
      <c r="R375" s="324" t="s">
        <v>67</v>
      </c>
      <c r="S375" s="209">
        <f t="shared" si="203"/>
        <v>0</v>
      </c>
      <c r="T375" s="209">
        <f t="shared" si="204"/>
        <v>0</v>
      </c>
      <c r="U375" s="209"/>
      <c r="V375" s="209">
        <f t="shared" si="205"/>
        <v>0</v>
      </c>
      <c r="W375" s="209"/>
      <c r="X375" s="209">
        <f t="shared" si="206"/>
        <v>0</v>
      </c>
      <c r="Y375" s="209">
        <f t="shared" si="207"/>
        <v>0</v>
      </c>
      <c r="Z375" s="351"/>
      <c r="AA375" s="234">
        <f t="shared" si="237"/>
        <v>0</v>
      </c>
      <c r="AB375" s="314">
        <f t="shared" si="214"/>
        <v>0</v>
      </c>
      <c r="AC375" s="314"/>
      <c r="AD375" s="314">
        <f t="shared" si="215"/>
        <v>0</v>
      </c>
      <c r="AE375" s="324" t="s">
        <v>87</v>
      </c>
      <c r="AF375" s="82">
        <f t="shared" si="239"/>
        <v>0</v>
      </c>
      <c r="AG375" s="337">
        <f t="shared" si="240"/>
        <v>0</v>
      </c>
      <c r="AH375" s="337"/>
      <c r="AI375" s="337">
        <f t="shared" si="241"/>
        <v>0</v>
      </c>
      <c r="AJ375" s="337"/>
      <c r="AK375" s="337">
        <f t="shared" si="242"/>
        <v>0</v>
      </c>
      <c r="AL375" s="338">
        <f t="shared" si="243"/>
        <v>0</v>
      </c>
      <c r="AM375" s="354"/>
      <c r="AN375" s="91">
        <f t="shared" si="238"/>
        <v>0</v>
      </c>
      <c r="AO375" s="96">
        <f t="shared" si="216"/>
        <v>0</v>
      </c>
      <c r="AP375" s="210"/>
      <c r="AQ375" s="97">
        <f t="shared" si="217"/>
        <v>0</v>
      </c>
      <c r="AR375" s="105"/>
      <c r="AS375" s="102"/>
      <c r="AT375" s="237"/>
      <c r="AU375" s="231"/>
      <c r="AV375" s="93"/>
      <c r="AW375" s="231"/>
      <c r="AX375" s="93"/>
      <c r="AY375" s="231"/>
      <c r="AZ375" s="93"/>
      <c r="BA375" s="17">
        <f t="shared" si="208"/>
        <v>3.7499999999999997E-5</v>
      </c>
      <c r="BB375" s="17">
        <f t="shared" si="209"/>
        <v>0</v>
      </c>
      <c r="BC375" s="17"/>
      <c r="BD375" s="178">
        <v>366</v>
      </c>
      <c r="BE375" s="214">
        <f t="shared" si="218"/>
        <v>6.1999999999999999E-6</v>
      </c>
      <c r="BF375" s="178">
        <f t="shared" si="210"/>
        <v>0</v>
      </c>
      <c r="BG375" s="245">
        <f t="shared" si="211"/>
        <v>3.7499999999999997E-5</v>
      </c>
      <c r="BH375" s="17">
        <f t="shared" si="219"/>
        <v>0</v>
      </c>
      <c r="BI375" s="178">
        <v>366</v>
      </c>
      <c r="BJ375" s="87">
        <f t="shared" si="220"/>
        <v>4.5000000000000001E-6</v>
      </c>
      <c r="BK375" s="215">
        <f t="shared" si="212"/>
        <v>0</v>
      </c>
      <c r="BL375" s="245">
        <f t="shared" si="221"/>
        <v>3.7499999999999997E-5</v>
      </c>
      <c r="BM375" s="17">
        <f t="shared" si="222"/>
        <v>0</v>
      </c>
      <c r="BN375" s="178">
        <v>366</v>
      </c>
      <c r="BO375" s="87">
        <f t="shared" si="223"/>
        <v>4.5000000000000001E-6</v>
      </c>
      <c r="BP375" s="215">
        <f t="shared" si="213"/>
        <v>0</v>
      </c>
      <c r="BR375" s="126"/>
      <c r="BS375" s="126"/>
      <c r="BU375" s="178"/>
      <c r="BV375" s="179" t="str">
        <f t="shared" si="224"/>
        <v/>
      </c>
      <c r="BW375" s="179" t="str">
        <f t="shared" si="225"/>
        <v/>
      </c>
      <c r="BX375" s="179" t="str">
        <f t="shared" si="226"/>
        <v/>
      </c>
      <c r="BY375" s="179" t="str">
        <f t="shared" si="227"/>
        <v/>
      </c>
      <c r="BZ375" s="179" t="str">
        <f t="shared" si="228"/>
        <v/>
      </c>
      <c r="CA375" s="179" t="str">
        <f t="shared" si="229"/>
        <v/>
      </c>
      <c r="CB375" s="179" t="str">
        <f t="shared" si="230"/>
        <v/>
      </c>
      <c r="CC375" s="179" t="str">
        <f t="shared" si="231"/>
        <v/>
      </c>
      <c r="CD375" s="179" t="str">
        <f t="shared" si="232"/>
        <v/>
      </c>
      <c r="CE375" s="179" t="str">
        <f t="shared" si="233"/>
        <v/>
      </c>
      <c r="CF375" s="179" t="str">
        <f t="shared" si="234"/>
        <v/>
      </c>
      <c r="CG375" s="179" t="str">
        <f t="shared" si="235"/>
        <v/>
      </c>
      <c r="CH375" s="166"/>
      <c r="CI375" s="166"/>
      <c r="CJ375" s="166"/>
      <c r="CK375" s="166" t="s">
        <v>150</v>
      </c>
      <c r="CL375" s="166"/>
    </row>
    <row r="376" spans="1:90" ht="14.25" customHeight="1" thickBot="1" x14ac:dyDescent="0.3">
      <c r="A376" s="213">
        <v>366</v>
      </c>
      <c r="B376" s="89"/>
      <c r="C376" s="199"/>
      <c r="D376" s="146"/>
      <c r="E376" s="319" t="s">
        <v>93</v>
      </c>
      <c r="F376" s="221"/>
      <c r="G376" s="222"/>
      <c r="H376" s="222"/>
      <c r="I376" s="222"/>
      <c r="J376" s="222"/>
      <c r="K376" s="222"/>
      <c r="L376" s="222"/>
      <c r="M376" s="331"/>
      <c r="N376" s="303">
        <f t="shared" si="236"/>
        <v>0</v>
      </c>
      <c r="O376" s="304"/>
      <c r="P376" s="341"/>
      <c r="Q376" s="305"/>
      <c r="R376" s="322" t="s">
        <v>67</v>
      </c>
      <c r="S376" s="209">
        <f t="shared" si="203"/>
        <v>0</v>
      </c>
      <c r="T376" s="209">
        <f t="shared" si="204"/>
        <v>0</v>
      </c>
      <c r="U376" s="209"/>
      <c r="V376" s="209">
        <f t="shared" si="205"/>
        <v>0</v>
      </c>
      <c r="W376" s="209"/>
      <c r="X376" s="209">
        <f t="shared" si="206"/>
        <v>0</v>
      </c>
      <c r="Y376" s="209">
        <f t="shared" si="207"/>
        <v>0</v>
      </c>
      <c r="Z376" s="303"/>
      <c r="AA376" s="303">
        <f t="shared" si="237"/>
        <v>0</v>
      </c>
      <c r="AB376" s="314">
        <f t="shared" si="214"/>
        <v>0</v>
      </c>
      <c r="AC376" s="314"/>
      <c r="AD376" s="314">
        <f t="shared" si="215"/>
        <v>0</v>
      </c>
      <c r="AE376" s="325" t="s">
        <v>148</v>
      </c>
      <c r="AF376" s="15">
        <f t="shared" si="239"/>
        <v>0</v>
      </c>
      <c r="AG376" s="232">
        <f t="shared" si="240"/>
        <v>0</v>
      </c>
      <c r="AH376" s="232"/>
      <c r="AI376" s="232">
        <f t="shared" si="241"/>
        <v>0</v>
      </c>
      <c r="AJ376" s="232"/>
      <c r="AK376" s="232">
        <f t="shared" si="242"/>
        <v>0</v>
      </c>
      <c r="AL376" s="7">
        <f t="shared" si="243"/>
        <v>0</v>
      </c>
      <c r="AM376" s="352"/>
      <c r="AN376" s="22">
        <f t="shared" si="238"/>
        <v>0</v>
      </c>
      <c r="AO376" s="15">
        <f t="shared" si="216"/>
        <v>0</v>
      </c>
      <c r="AP376" s="345"/>
      <c r="AQ376" s="7">
        <f t="shared" si="217"/>
        <v>0</v>
      </c>
      <c r="AR376" s="103"/>
      <c r="AS376" s="101"/>
      <c r="AT376" s="236"/>
      <c r="AU376" s="235"/>
      <c r="AV376" s="92"/>
      <c r="AW376" s="235"/>
      <c r="AX376" s="92"/>
      <c r="AY376" s="235"/>
      <c r="AZ376" s="92"/>
      <c r="BA376" s="17">
        <f t="shared" si="208"/>
        <v>3.7599999999999999E-5</v>
      </c>
      <c r="BB376" s="17">
        <f t="shared" si="209"/>
        <v>0</v>
      </c>
      <c r="BC376" s="17"/>
      <c r="BD376" s="178">
        <v>367</v>
      </c>
      <c r="BE376" s="214">
        <f t="shared" si="218"/>
        <v>6.1E-6</v>
      </c>
      <c r="BF376" s="178">
        <f t="shared" si="210"/>
        <v>0</v>
      </c>
      <c r="BG376" s="245">
        <f t="shared" si="211"/>
        <v>3.7599999999999999E-5</v>
      </c>
      <c r="BH376" s="17">
        <f t="shared" si="219"/>
        <v>0</v>
      </c>
      <c r="BI376" s="178">
        <v>367</v>
      </c>
      <c r="BJ376" s="87">
        <f t="shared" si="220"/>
        <v>4.4000000000000002E-6</v>
      </c>
      <c r="BK376" s="215">
        <f t="shared" si="212"/>
        <v>0</v>
      </c>
      <c r="BL376" s="245">
        <f t="shared" si="221"/>
        <v>3.7599999999999999E-5</v>
      </c>
      <c r="BM376" s="17">
        <f t="shared" si="222"/>
        <v>0</v>
      </c>
      <c r="BN376" s="178">
        <v>367</v>
      </c>
      <c r="BO376" s="87">
        <f t="shared" si="223"/>
        <v>4.4000000000000002E-6</v>
      </c>
      <c r="BP376" s="215">
        <f t="shared" si="213"/>
        <v>0</v>
      </c>
      <c r="BR376" s="126"/>
      <c r="BS376" s="126"/>
      <c r="BU376" s="178"/>
      <c r="BV376" s="179" t="str">
        <f t="shared" si="224"/>
        <v/>
      </c>
      <c r="BW376" s="179" t="str">
        <f t="shared" si="225"/>
        <v/>
      </c>
      <c r="BX376" s="179" t="str">
        <f t="shared" si="226"/>
        <v/>
      </c>
      <c r="BY376" s="179" t="str">
        <f t="shared" si="227"/>
        <v/>
      </c>
      <c r="BZ376" s="179" t="str">
        <f t="shared" si="228"/>
        <v/>
      </c>
      <c r="CA376" s="179" t="str">
        <f t="shared" si="229"/>
        <v/>
      </c>
      <c r="CB376" s="179" t="str">
        <f t="shared" si="230"/>
        <v/>
      </c>
      <c r="CC376" s="179" t="str">
        <f t="shared" si="231"/>
        <v/>
      </c>
      <c r="CD376" s="179" t="str">
        <f t="shared" si="232"/>
        <v/>
      </c>
      <c r="CE376" s="179" t="str">
        <f t="shared" si="233"/>
        <v/>
      </c>
      <c r="CF376" s="179" t="str">
        <f t="shared" si="234"/>
        <v/>
      </c>
      <c r="CG376" s="179" t="str">
        <f t="shared" si="235"/>
        <v/>
      </c>
      <c r="CH376" s="166"/>
      <c r="CI376" s="166"/>
      <c r="CJ376" s="166"/>
      <c r="CK376" s="166" t="s">
        <v>150</v>
      </c>
      <c r="CL376" s="166"/>
    </row>
    <row r="377" spans="1:90" ht="14.25" customHeight="1" x14ac:dyDescent="0.25">
      <c r="A377" s="211">
        <v>367</v>
      </c>
      <c r="B377" s="219"/>
      <c r="C377" s="200"/>
      <c r="D377" s="145"/>
      <c r="E377" s="320" t="s">
        <v>93</v>
      </c>
      <c r="F377" s="209"/>
      <c r="G377" s="313"/>
      <c r="H377" s="313"/>
      <c r="I377" s="313"/>
      <c r="J377" s="313"/>
      <c r="K377" s="313"/>
      <c r="L377" s="313"/>
      <c r="M377" s="339"/>
      <c r="N377" s="233">
        <f t="shared" si="236"/>
        <v>0</v>
      </c>
      <c r="O377" s="306"/>
      <c r="P377" s="342"/>
      <c r="Q377" s="307"/>
      <c r="R377" s="323" t="s">
        <v>67</v>
      </c>
      <c r="S377" s="209">
        <f t="shared" ref="S377:S410" si="244">F377</f>
        <v>0</v>
      </c>
      <c r="T377" s="209">
        <f t="shared" si="204"/>
        <v>0</v>
      </c>
      <c r="U377" s="209"/>
      <c r="V377" s="209">
        <f t="shared" si="205"/>
        <v>0</v>
      </c>
      <c r="W377" s="209"/>
      <c r="X377" s="209">
        <f t="shared" si="206"/>
        <v>0</v>
      </c>
      <c r="Y377" s="209">
        <f t="shared" si="207"/>
        <v>0</v>
      </c>
      <c r="Z377" s="233"/>
      <c r="AA377" s="233">
        <f t="shared" si="237"/>
        <v>0</v>
      </c>
      <c r="AB377" s="314">
        <f t="shared" si="214"/>
        <v>0</v>
      </c>
      <c r="AC377" s="314"/>
      <c r="AD377" s="314">
        <f t="shared" si="215"/>
        <v>0</v>
      </c>
      <c r="AE377" s="323" t="s">
        <v>87</v>
      </c>
      <c r="AF377" s="81">
        <f t="shared" si="239"/>
        <v>0</v>
      </c>
      <c r="AG377" s="335">
        <f t="shared" si="240"/>
        <v>0</v>
      </c>
      <c r="AH377" s="335"/>
      <c r="AI377" s="335">
        <f t="shared" si="241"/>
        <v>0</v>
      </c>
      <c r="AJ377" s="335"/>
      <c r="AK377" s="335">
        <f t="shared" si="242"/>
        <v>0</v>
      </c>
      <c r="AL377" s="336">
        <f t="shared" si="243"/>
        <v>0</v>
      </c>
      <c r="AM377" s="353"/>
      <c r="AN377" s="22">
        <f t="shared" si="238"/>
        <v>0</v>
      </c>
      <c r="AO377" s="209">
        <f t="shared" si="216"/>
        <v>0</v>
      </c>
      <c r="AP377" s="339"/>
      <c r="AQ377" s="125">
        <f t="shared" si="217"/>
        <v>0</v>
      </c>
      <c r="AR377" s="104"/>
      <c r="AS377" s="217"/>
      <c r="AT377" s="216"/>
      <c r="AU377" s="230"/>
      <c r="AV377" s="220"/>
      <c r="AW377" s="230"/>
      <c r="AX377" s="220"/>
      <c r="AY377" s="230"/>
      <c r="AZ377" s="220"/>
      <c r="BA377" s="17">
        <f t="shared" si="208"/>
        <v>3.7700000000000002E-5</v>
      </c>
      <c r="BB377" s="17">
        <f t="shared" si="209"/>
        <v>0</v>
      </c>
      <c r="BC377" s="17"/>
      <c r="BD377" s="178">
        <v>368</v>
      </c>
      <c r="BE377" s="214">
        <f t="shared" si="218"/>
        <v>6.0000000000000002E-6</v>
      </c>
      <c r="BF377" s="178">
        <f t="shared" si="210"/>
        <v>0</v>
      </c>
      <c r="BG377" s="245">
        <f t="shared" si="211"/>
        <v>3.7700000000000002E-5</v>
      </c>
      <c r="BH377" s="17">
        <f t="shared" si="219"/>
        <v>0</v>
      </c>
      <c r="BI377" s="178">
        <v>368</v>
      </c>
      <c r="BJ377" s="87">
        <f t="shared" si="220"/>
        <v>4.2999999999999995E-6</v>
      </c>
      <c r="BK377" s="215">
        <f t="shared" si="212"/>
        <v>0</v>
      </c>
      <c r="BL377" s="245">
        <f t="shared" si="221"/>
        <v>3.7700000000000002E-5</v>
      </c>
      <c r="BM377" s="17">
        <f t="shared" si="222"/>
        <v>0</v>
      </c>
      <c r="BN377" s="178">
        <v>368</v>
      </c>
      <c r="BO377" s="87">
        <f t="shared" si="223"/>
        <v>4.2999999999999995E-6</v>
      </c>
      <c r="BP377" s="215">
        <f t="shared" si="213"/>
        <v>0</v>
      </c>
      <c r="BR377" s="126"/>
      <c r="BS377" s="126"/>
      <c r="BU377" s="178"/>
      <c r="BV377" s="179" t="str">
        <f t="shared" si="224"/>
        <v/>
      </c>
      <c r="BW377" s="179" t="str">
        <f t="shared" si="225"/>
        <v/>
      </c>
      <c r="BX377" s="179" t="str">
        <f t="shared" si="226"/>
        <v/>
      </c>
      <c r="BY377" s="179" t="str">
        <f t="shared" si="227"/>
        <v/>
      </c>
      <c r="BZ377" s="179" t="str">
        <f t="shared" si="228"/>
        <v/>
      </c>
      <c r="CA377" s="179" t="str">
        <f t="shared" si="229"/>
        <v/>
      </c>
      <c r="CB377" s="179" t="str">
        <f t="shared" si="230"/>
        <v/>
      </c>
      <c r="CC377" s="179" t="str">
        <f t="shared" si="231"/>
        <v/>
      </c>
      <c r="CD377" s="179" t="str">
        <f t="shared" si="232"/>
        <v/>
      </c>
      <c r="CE377" s="179" t="str">
        <f t="shared" si="233"/>
        <v/>
      </c>
      <c r="CF377" s="179" t="str">
        <f t="shared" si="234"/>
        <v/>
      </c>
      <c r="CG377" s="179" t="str">
        <f t="shared" si="235"/>
        <v/>
      </c>
      <c r="CH377" s="166"/>
      <c r="CI377" s="166"/>
      <c r="CJ377" s="166"/>
      <c r="CK377" s="166" t="s">
        <v>150</v>
      </c>
      <c r="CL377" s="166"/>
    </row>
    <row r="378" spans="1:90" ht="14.25" customHeight="1" thickBot="1" x14ac:dyDescent="0.3">
      <c r="A378" s="213">
        <v>368</v>
      </c>
      <c r="B378" s="88"/>
      <c r="C378" s="201"/>
      <c r="D378" s="94"/>
      <c r="E378" s="321" t="s">
        <v>93</v>
      </c>
      <c r="F378" s="96"/>
      <c r="G378" s="100"/>
      <c r="H378" s="100"/>
      <c r="I378" s="100"/>
      <c r="J378" s="100"/>
      <c r="K378" s="100"/>
      <c r="L378" s="100"/>
      <c r="M378" s="210"/>
      <c r="N378" s="234">
        <f t="shared" si="236"/>
        <v>0</v>
      </c>
      <c r="O378" s="308"/>
      <c r="P378" s="343"/>
      <c r="Q378" s="309"/>
      <c r="R378" s="324" t="s">
        <v>67</v>
      </c>
      <c r="S378" s="209">
        <f t="shared" si="244"/>
        <v>0</v>
      </c>
      <c r="T378" s="209">
        <f t="shared" ref="T378:T410" si="245">G378</f>
        <v>0</v>
      </c>
      <c r="U378" s="209"/>
      <c r="V378" s="209">
        <f t="shared" ref="V378:V410" si="246">I378</f>
        <v>0</v>
      </c>
      <c r="W378" s="209"/>
      <c r="X378" s="209">
        <f t="shared" ref="X378:X410" si="247">K378</f>
        <v>0</v>
      </c>
      <c r="Y378" s="209">
        <f t="shared" ref="Y378:Y410" si="248">L378</f>
        <v>0</v>
      </c>
      <c r="Z378" s="351"/>
      <c r="AA378" s="234">
        <f t="shared" si="237"/>
        <v>0</v>
      </c>
      <c r="AB378" s="314">
        <f t="shared" si="214"/>
        <v>0</v>
      </c>
      <c r="AC378" s="314"/>
      <c r="AD378" s="314">
        <f t="shared" si="215"/>
        <v>0</v>
      </c>
      <c r="AE378" s="324" t="s">
        <v>87</v>
      </c>
      <c r="AF378" s="82">
        <f t="shared" si="239"/>
        <v>0</v>
      </c>
      <c r="AG378" s="337">
        <f t="shared" si="240"/>
        <v>0</v>
      </c>
      <c r="AH378" s="337"/>
      <c r="AI378" s="337">
        <f t="shared" si="241"/>
        <v>0</v>
      </c>
      <c r="AJ378" s="337"/>
      <c r="AK378" s="337">
        <f t="shared" si="242"/>
        <v>0</v>
      </c>
      <c r="AL378" s="338">
        <f t="shared" si="243"/>
        <v>0</v>
      </c>
      <c r="AM378" s="354"/>
      <c r="AN378" s="91">
        <f t="shared" si="238"/>
        <v>0</v>
      </c>
      <c r="AO378" s="96">
        <f t="shared" si="216"/>
        <v>0</v>
      </c>
      <c r="AP378" s="210"/>
      <c r="AQ378" s="97">
        <f t="shared" si="217"/>
        <v>0</v>
      </c>
      <c r="AR378" s="105"/>
      <c r="AS378" s="102"/>
      <c r="AT378" s="237"/>
      <c r="AU378" s="231"/>
      <c r="AV378" s="93"/>
      <c r="AW378" s="231"/>
      <c r="AX378" s="93"/>
      <c r="AY378" s="231"/>
      <c r="AZ378" s="93"/>
      <c r="BA378" s="17">
        <f t="shared" si="208"/>
        <v>3.7799999999999997E-5</v>
      </c>
      <c r="BB378" s="17">
        <f t="shared" si="209"/>
        <v>0</v>
      </c>
      <c r="BC378" s="17"/>
      <c r="BD378" s="178">
        <v>369</v>
      </c>
      <c r="BE378" s="214">
        <f t="shared" si="218"/>
        <v>5.8999999999999994E-6</v>
      </c>
      <c r="BF378" s="178">
        <f t="shared" si="210"/>
        <v>0</v>
      </c>
      <c r="BG378" s="245">
        <f t="shared" si="211"/>
        <v>3.7799999999999997E-5</v>
      </c>
      <c r="BH378" s="17">
        <f t="shared" si="219"/>
        <v>0</v>
      </c>
      <c r="BI378" s="178">
        <v>369</v>
      </c>
      <c r="BJ378" s="87">
        <f t="shared" si="220"/>
        <v>4.1999999999999996E-6</v>
      </c>
      <c r="BK378" s="215">
        <f t="shared" si="212"/>
        <v>0</v>
      </c>
      <c r="BL378" s="245">
        <f t="shared" si="221"/>
        <v>3.7799999999999997E-5</v>
      </c>
      <c r="BM378" s="17">
        <f t="shared" si="222"/>
        <v>0</v>
      </c>
      <c r="BN378" s="178">
        <v>369</v>
      </c>
      <c r="BO378" s="87">
        <f t="shared" si="223"/>
        <v>4.1999999999999996E-6</v>
      </c>
      <c r="BP378" s="215">
        <f t="shared" si="213"/>
        <v>0</v>
      </c>
      <c r="BR378" s="126"/>
      <c r="BS378" s="126"/>
      <c r="BU378" s="178"/>
      <c r="BV378" s="179" t="str">
        <f t="shared" si="224"/>
        <v/>
      </c>
      <c r="BW378" s="179" t="str">
        <f t="shared" si="225"/>
        <v/>
      </c>
      <c r="BX378" s="179" t="str">
        <f t="shared" si="226"/>
        <v/>
      </c>
      <c r="BY378" s="179" t="str">
        <f t="shared" si="227"/>
        <v/>
      </c>
      <c r="BZ378" s="179" t="str">
        <f t="shared" si="228"/>
        <v/>
      </c>
      <c r="CA378" s="179" t="str">
        <f t="shared" si="229"/>
        <v/>
      </c>
      <c r="CB378" s="179" t="str">
        <f t="shared" si="230"/>
        <v/>
      </c>
      <c r="CC378" s="179" t="str">
        <f t="shared" si="231"/>
        <v/>
      </c>
      <c r="CD378" s="179" t="str">
        <f t="shared" si="232"/>
        <v/>
      </c>
      <c r="CE378" s="179" t="str">
        <f t="shared" si="233"/>
        <v/>
      </c>
      <c r="CF378" s="179" t="str">
        <f t="shared" si="234"/>
        <v/>
      </c>
      <c r="CG378" s="179" t="str">
        <f t="shared" si="235"/>
        <v/>
      </c>
      <c r="CH378" s="166"/>
      <c r="CI378" s="166"/>
      <c r="CJ378" s="166"/>
      <c r="CK378" s="166" t="s">
        <v>150</v>
      </c>
      <c r="CL378" s="166"/>
    </row>
    <row r="379" spans="1:90" ht="14.25" customHeight="1" x14ac:dyDescent="0.25">
      <c r="A379" s="211">
        <v>369</v>
      </c>
      <c r="B379" s="89"/>
      <c r="C379" s="199"/>
      <c r="D379" s="146"/>
      <c r="E379" s="319" t="s">
        <v>93</v>
      </c>
      <c r="F379" s="221"/>
      <c r="G379" s="222"/>
      <c r="H379" s="222"/>
      <c r="I379" s="222"/>
      <c r="J379" s="222"/>
      <c r="K379" s="222"/>
      <c r="L379" s="222"/>
      <c r="M379" s="331"/>
      <c r="N379" s="303">
        <f t="shared" si="236"/>
        <v>0</v>
      </c>
      <c r="O379" s="304"/>
      <c r="P379" s="341"/>
      <c r="Q379" s="305"/>
      <c r="R379" s="322" t="s">
        <v>67</v>
      </c>
      <c r="S379" s="209">
        <f t="shared" si="244"/>
        <v>0</v>
      </c>
      <c r="T379" s="209">
        <f t="shared" si="245"/>
        <v>0</v>
      </c>
      <c r="U379" s="209"/>
      <c r="V379" s="209">
        <f t="shared" si="246"/>
        <v>0</v>
      </c>
      <c r="W379" s="209"/>
      <c r="X379" s="209">
        <f t="shared" si="247"/>
        <v>0</v>
      </c>
      <c r="Y379" s="209">
        <f t="shared" si="248"/>
        <v>0</v>
      </c>
      <c r="Z379" s="303"/>
      <c r="AA379" s="303">
        <f t="shared" si="237"/>
        <v>0</v>
      </c>
      <c r="AB379" s="314">
        <f t="shared" si="214"/>
        <v>0</v>
      </c>
      <c r="AC379" s="314"/>
      <c r="AD379" s="314">
        <f t="shared" si="215"/>
        <v>0</v>
      </c>
      <c r="AE379" s="325" t="s">
        <v>148</v>
      </c>
      <c r="AF379" s="15">
        <f t="shared" si="239"/>
        <v>0</v>
      </c>
      <c r="AG379" s="232">
        <f t="shared" si="240"/>
        <v>0</v>
      </c>
      <c r="AH379" s="232"/>
      <c r="AI379" s="232">
        <f t="shared" si="241"/>
        <v>0</v>
      </c>
      <c r="AJ379" s="232"/>
      <c r="AK379" s="232">
        <f t="shared" si="242"/>
        <v>0</v>
      </c>
      <c r="AL379" s="7">
        <f t="shared" si="243"/>
        <v>0</v>
      </c>
      <c r="AM379" s="352"/>
      <c r="AN379" s="22">
        <f t="shared" si="238"/>
        <v>0</v>
      </c>
      <c r="AO379" s="15">
        <f t="shared" si="216"/>
        <v>0</v>
      </c>
      <c r="AP379" s="345"/>
      <c r="AQ379" s="7">
        <f t="shared" si="217"/>
        <v>0</v>
      </c>
      <c r="AR379" s="103"/>
      <c r="AS379" s="101"/>
      <c r="AT379" s="236"/>
      <c r="AU379" s="235"/>
      <c r="AV379" s="92"/>
      <c r="AW379" s="235"/>
      <c r="AX379" s="92"/>
      <c r="AY379" s="235"/>
      <c r="AZ379" s="92"/>
      <c r="BA379" s="17">
        <f t="shared" si="208"/>
        <v>3.79E-5</v>
      </c>
      <c r="BB379" s="17">
        <f t="shared" si="209"/>
        <v>0</v>
      </c>
      <c r="BC379" s="17"/>
      <c r="BD379" s="178">
        <v>370</v>
      </c>
      <c r="BE379" s="214">
        <f t="shared" si="218"/>
        <v>5.7999999999999995E-6</v>
      </c>
      <c r="BF379" s="178">
        <f t="shared" si="210"/>
        <v>0</v>
      </c>
      <c r="BG379" s="245">
        <f t="shared" si="211"/>
        <v>3.79E-5</v>
      </c>
      <c r="BH379" s="17">
        <f t="shared" si="219"/>
        <v>0</v>
      </c>
      <c r="BI379" s="178">
        <v>370</v>
      </c>
      <c r="BJ379" s="87">
        <f t="shared" si="220"/>
        <v>4.0999999999999997E-6</v>
      </c>
      <c r="BK379" s="215">
        <f t="shared" si="212"/>
        <v>0</v>
      </c>
      <c r="BL379" s="245">
        <f t="shared" si="221"/>
        <v>3.79E-5</v>
      </c>
      <c r="BM379" s="17">
        <f t="shared" si="222"/>
        <v>0</v>
      </c>
      <c r="BN379" s="178">
        <v>370</v>
      </c>
      <c r="BO379" s="87">
        <f t="shared" si="223"/>
        <v>4.0999999999999997E-6</v>
      </c>
      <c r="BP379" s="215">
        <f t="shared" si="213"/>
        <v>0</v>
      </c>
      <c r="BR379" s="126"/>
      <c r="BS379" s="126"/>
      <c r="BU379" s="178"/>
      <c r="BV379" s="179" t="str">
        <f t="shared" si="224"/>
        <v/>
      </c>
      <c r="BW379" s="179" t="str">
        <f t="shared" si="225"/>
        <v/>
      </c>
      <c r="BX379" s="179" t="str">
        <f t="shared" si="226"/>
        <v/>
      </c>
      <c r="BY379" s="179" t="str">
        <f t="shared" si="227"/>
        <v/>
      </c>
      <c r="BZ379" s="179" t="str">
        <f t="shared" si="228"/>
        <v/>
      </c>
      <c r="CA379" s="179" t="str">
        <f t="shared" si="229"/>
        <v/>
      </c>
      <c r="CB379" s="179" t="str">
        <f t="shared" si="230"/>
        <v/>
      </c>
      <c r="CC379" s="179" t="str">
        <f t="shared" si="231"/>
        <v/>
      </c>
      <c r="CD379" s="179" t="str">
        <f t="shared" si="232"/>
        <v/>
      </c>
      <c r="CE379" s="179" t="str">
        <f t="shared" si="233"/>
        <v/>
      </c>
      <c r="CF379" s="179" t="str">
        <f t="shared" si="234"/>
        <v/>
      </c>
      <c r="CG379" s="179" t="str">
        <f t="shared" si="235"/>
        <v/>
      </c>
      <c r="CH379" s="166"/>
      <c r="CI379" s="166"/>
      <c r="CJ379" s="166"/>
      <c r="CK379" s="166" t="s">
        <v>150</v>
      </c>
      <c r="CL379" s="166"/>
    </row>
    <row r="380" spans="1:90" ht="14.25" customHeight="1" thickBot="1" x14ac:dyDescent="0.3">
      <c r="A380" s="213">
        <v>370</v>
      </c>
      <c r="B380" s="219"/>
      <c r="C380" s="200"/>
      <c r="D380" s="145"/>
      <c r="E380" s="320" t="s">
        <v>93</v>
      </c>
      <c r="F380" s="209"/>
      <c r="G380" s="313"/>
      <c r="H380" s="313"/>
      <c r="I380" s="313"/>
      <c r="J380" s="313"/>
      <c r="K380" s="313"/>
      <c r="L380" s="313"/>
      <c r="M380" s="339"/>
      <c r="N380" s="233">
        <f t="shared" si="236"/>
        <v>0</v>
      </c>
      <c r="O380" s="306"/>
      <c r="P380" s="342"/>
      <c r="Q380" s="307"/>
      <c r="R380" s="323" t="s">
        <v>67</v>
      </c>
      <c r="S380" s="209">
        <f t="shared" si="244"/>
        <v>0</v>
      </c>
      <c r="T380" s="209">
        <f t="shared" si="245"/>
        <v>0</v>
      </c>
      <c r="U380" s="209"/>
      <c r="V380" s="209">
        <f t="shared" si="246"/>
        <v>0</v>
      </c>
      <c r="W380" s="209"/>
      <c r="X380" s="209">
        <f t="shared" si="247"/>
        <v>0</v>
      </c>
      <c r="Y380" s="209">
        <f t="shared" si="248"/>
        <v>0</v>
      </c>
      <c r="Z380" s="233"/>
      <c r="AA380" s="233">
        <f t="shared" si="237"/>
        <v>0</v>
      </c>
      <c r="AB380" s="314">
        <f t="shared" si="214"/>
        <v>0</v>
      </c>
      <c r="AC380" s="314"/>
      <c r="AD380" s="314">
        <f t="shared" si="215"/>
        <v>0</v>
      </c>
      <c r="AE380" s="323" t="s">
        <v>87</v>
      </c>
      <c r="AF380" s="81">
        <f t="shared" si="239"/>
        <v>0</v>
      </c>
      <c r="AG380" s="335">
        <f t="shared" si="240"/>
        <v>0</v>
      </c>
      <c r="AH380" s="335"/>
      <c r="AI380" s="335">
        <f t="shared" si="241"/>
        <v>0</v>
      </c>
      <c r="AJ380" s="335"/>
      <c r="AK380" s="335">
        <f t="shared" si="242"/>
        <v>0</v>
      </c>
      <c r="AL380" s="336">
        <f t="shared" si="243"/>
        <v>0</v>
      </c>
      <c r="AM380" s="353"/>
      <c r="AN380" s="22">
        <f t="shared" si="238"/>
        <v>0</v>
      </c>
      <c r="AO380" s="209">
        <f t="shared" si="216"/>
        <v>0</v>
      </c>
      <c r="AP380" s="339"/>
      <c r="AQ380" s="125">
        <f t="shared" si="217"/>
        <v>0</v>
      </c>
      <c r="AR380" s="104"/>
      <c r="AS380" s="217"/>
      <c r="AT380" s="216"/>
      <c r="AU380" s="230"/>
      <c r="AV380" s="220"/>
      <c r="AW380" s="230"/>
      <c r="AX380" s="220"/>
      <c r="AY380" s="230"/>
      <c r="AZ380" s="220"/>
      <c r="BA380" s="17">
        <f t="shared" si="208"/>
        <v>3.7999999999999995E-5</v>
      </c>
      <c r="BB380" s="17">
        <f t="shared" si="209"/>
        <v>0</v>
      </c>
      <c r="BC380" s="17"/>
      <c r="BD380" s="178">
        <v>371</v>
      </c>
      <c r="BE380" s="214">
        <f t="shared" si="218"/>
        <v>5.6999999999999996E-6</v>
      </c>
      <c r="BF380" s="178">
        <f t="shared" si="210"/>
        <v>0</v>
      </c>
      <c r="BG380" s="245">
        <f t="shared" si="211"/>
        <v>3.7999999999999995E-5</v>
      </c>
      <c r="BH380" s="17">
        <f t="shared" si="219"/>
        <v>0</v>
      </c>
      <c r="BI380" s="178">
        <v>371</v>
      </c>
      <c r="BJ380" s="87">
        <f t="shared" si="220"/>
        <v>3.9999999999999998E-6</v>
      </c>
      <c r="BK380" s="215">
        <f t="shared" si="212"/>
        <v>0</v>
      </c>
      <c r="BL380" s="245">
        <f t="shared" si="221"/>
        <v>3.7999999999999995E-5</v>
      </c>
      <c r="BM380" s="17">
        <f t="shared" si="222"/>
        <v>0</v>
      </c>
      <c r="BN380" s="178">
        <v>371</v>
      </c>
      <c r="BO380" s="87">
        <f t="shared" si="223"/>
        <v>3.9999999999999998E-6</v>
      </c>
      <c r="BP380" s="215">
        <f t="shared" si="213"/>
        <v>0</v>
      </c>
      <c r="BR380" s="126"/>
      <c r="BS380" s="126"/>
      <c r="BU380" s="178"/>
      <c r="BV380" s="179" t="str">
        <f t="shared" si="224"/>
        <v/>
      </c>
      <c r="BW380" s="179" t="str">
        <f t="shared" si="225"/>
        <v/>
      </c>
      <c r="BX380" s="179" t="str">
        <f t="shared" si="226"/>
        <v/>
      </c>
      <c r="BY380" s="179" t="str">
        <f t="shared" si="227"/>
        <v/>
      </c>
      <c r="BZ380" s="179" t="str">
        <f t="shared" si="228"/>
        <v/>
      </c>
      <c r="CA380" s="179" t="str">
        <f t="shared" si="229"/>
        <v/>
      </c>
      <c r="CB380" s="179" t="str">
        <f t="shared" si="230"/>
        <v/>
      </c>
      <c r="CC380" s="179" t="str">
        <f t="shared" si="231"/>
        <v/>
      </c>
      <c r="CD380" s="179" t="str">
        <f t="shared" si="232"/>
        <v/>
      </c>
      <c r="CE380" s="179" t="str">
        <f t="shared" si="233"/>
        <v/>
      </c>
      <c r="CF380" s="179" t="str">
        <f t="shared" si="234"/>
        <v/>
      </c>
      <c r="CG380" s="179" t="str">
        <f t="shared" si="235"/>
        <v/>
      </c>
      <c r="CH380" s="166"/>
      <c r="CI380" s="166"/>
      <c r="CJ380" s="166"/>
      <c r="CK380" s="166" t="s">
        <v>150</v>
      </c>
      <c r="CL380" s="166"/>
    </row>
    <row r="381" spans="1:90" ht="14.25" customHeight="1" thickBot="1" x14ac:dyDescent="0.3">
      <c r="A381" s="211">
        <v>371</v>
      </c>
      <c r="B381" s="88"/>
      <c r="C381" s="201"/>
      <c r="D381" s="94"/>
      <c r="E381" s="321" t="s">
        <v>93</v>
      </c>
      <c r="F381" s="96"/>
      <c r="G381" s="100"/>
      <c r="H381" s="100"/>
      <c r="I381" s="100"/>
      <c r="J381" s="100"/>
      <c r="K381" s="100"/>
      <c r="L381" s="100"/>
      <c r="M381" s="210"/>
      <c r="N381" s="234">
        <f t="shared" si="236"/>
        <v>0</v>
      </c>
      <c r="O381" s="308"/>
      <c r="P381" s="343"/>
      <c r="Q381" s="309"/>
      <c r="R381" s="324" t="s">
        <v>67</v>
      </c>
      <c r="S381" s="209">
        <f t="shared" si="244"/>
        <v>0</v>
      </c>
      <c r="T381" s="209">
        <f t="shared" si="245"/>
        <v>0</v>
      </c>
      <c r="U381" s="209"/>
      <c r="V381" s="209">
        <f t="shared" si="246"/>
        <v>0</v>
      </c>
      <c r="W381" s="209"/>
      <c r="X381" s="209">
        <f t="shared" si="247"/>
        <v>0</v>
      </c>
      <c r="Y381" s="209">
        <f t="shared" si="248"/>
        <v>0</v>
      </c>
      <c r="Z381" s="351"/>
      <c r="AA381" s="234">
        <f t="shared" si="237"/>
        <v>0</v>
      </c>
      <c r="AB381" s="314">
        <f t="shared" si="214"/>
        <v>0</v>
      </c>
      <c r="AC381" s="314"/>
      <c r="AD381" s="314">
        <f t="shared" si="215"/>
        <v>0</v>
      </c>
      <c r="AE381" s="324" t="s">
        <v>87</v>
      </c>
      <c r="AF381" s="82">
        <f t="shared" si="239"/>
        <v>0</v>
      </c>
      <c r="AG381" s="337">
        <f t="shared" si="240"/>
        <v>0</v>
      </c>
      <c r="AH381" s="337"/>
      <c r="AI381" s="337">
        <f t="shared" si="241"/>
        <v>0</v>
      </c>
      <c r="AJ381" s="337"/>
      <c r="AK381" s="337">
        <f t="shared" si="242"/>
        <v>0</v>
      </c>
      <c r="AL381" s="338">
        <f t="shared" si="243"/>
        <v>0</v>
      </c>
      <c r="AM381" s="354"/>
      <c r="AN381" s="91">
        <f t="shared" si="238"/>
        <v>0</v>
      </c>
      <c r="AO381" s="96">
        <f t="shared" si="216"/>
        <v>0</v>
      </c>
      <c r="AP381" s="210"/>
      <c r="AQ381" s="97">
        <f t="shared" si="217"/>
        <v>0</v>
      </c>
      <c r="AR381" s="105"/>
      <c r="AS381" s="102"/>
      <c r="AT381" s="237"/>
      <c r="AU381" s="231"/>
      <c r="AV381" s="93"/>
      <c r="AW381" s="231"/>
      <c r="AX381" s="93"/>
      <c r="AY381" s="231"/>
      <c r="AZ381" s="93"/>
      <c r="BA381" s="17">
        <f t="shared" si="208"/>
        <v>3.8099999999999998E-5</v>
      </c>
      <c r="BB381" s="17">
        <f t="shared" si="209"/>
        <v>0</v>
      </c>
      <c r="BC381" s="17"/>
      <c r="BD381" s="178">
        <v>372</v>
      </c>
      <c r="BE381" s="214">
        <f t="shared" si="218"/>
        <v>5.5999999999999997E-6</v>
      </c>
      <c r="BF381" s="178">
        <f t="shared" si="210"/>
        <v>0</v>
      </c>
      <c r="BG381" s="245">
        <f t="shared" si="211"/>
        <v>3.8099999999999998E-5</v>
      </c>
      <c r="BH381" s="17">
        <f t="shared" si="219"/>
        <v>0</v>
      </c>
      <c r="BI381" s="178">
        <v>372</v>
      </c>
      <c r="BJ381" s="87">
        <f t="shared" si="220"/>
        <v>3.8999999999999999E-6</v>
      </c>
      <c r="BK381" s="215">
        <f t="shared" si="212"/>
        <v>0</v>
      </c>
      <c r="BL381" s="245">
        <f t="shared" si="221"/>
        <v>3.8099999999999998E-5</v>
      </c>
      <c r="BM381" s="17">
        <f t="shared" si="222"/>
        <v>0</v>
      </c>
      <c r="BN381" s="178">
        <v>372</v>
      </c>
      <c r="BO381" s="87">
        <f t="shared" si="223"/>
        <v>3.8999999999999999E-6</v>
      </c>
      <c r="BP381" s="215">
        <f t="shared" si="213"/>
        <v>0</v>
      </c>
      <c r="BR381" s="126"/>
      <c r="BS381" s="126"/>
      <c r="BU381" s="178"/>
      <c r="BV381" s="179" t="str">
        <f t="shared" si="224"/>
        <v/>
      </c>
      <c r="BW381" s="179" t="str">
        <f t="shared" si="225"/>
        <v/>
      </c>
      <c r="BX381" s="179" t="str">
        <f t="shared" si="226"/>
        <v/>
      </c>
      <c r="BY381" s="179" t="str">
        <f t="shared" si="227"/>
        <v/>
      </c>
      <c r="BZ381" s="179" t="str">
        <f t="shared" si="228"/>
        <v/>
      </c>
      <c r="CA381" s="179" t="str">
        <f t="shared" si="229"/>
        <v/>
      </c>
      <c r="CB381" s="179" t="str">
        <f t="shared" si="230"/>
        <v/>
      </c>
      <c r="CC381" s="179" t="str">
        <f t="shared" si="231"/>
        <v/>
      </c>
      <c r="CD381" s="179" t="str">
        <f t="shared" si="232"/>
        <v/>
      </c>
      <c r="CE381" s="179" t="str">
        <f t="shared" si="233"/>
        <v/>
      </c>
      <c r="CF381" s="179" t="str">
        <f t="shared" si="234"/>
        <v/>
      </c>
      <c r="CG381" s="179" t="str">
        <f t="shared" si="235"/>
        <v/>
      </c>
      <c r="CH381" s="166"/>
      <c r="CI381" s="166"/>
      <c r="CJ381" s="166"/>
      <c r="CK381" s="166" t="s">
        <v>150</v>
      </c>
      <c r="CL381" s="166"/>
    </row>
    <row r="382" spans="1:90" ht="14.25" customHeight="1" thickBot="1" x14ac:dyDescent="0.3">
      <c r="A382" s="213">
        <v>372</v>
      </c>
      <c r="B382" s="89"/>
      <c r="C382" s="199"/>
      <c r="D382" s="146"/>
      <c r="E382" s="319" t="s">
        <v>93</v>
      </c>
      <c r="F382" s="221"/>
      <c r="G382" s="222"/>
      <c r="H382" s="222"/>
      <c r="I382" s="222"/>
      <c r="J382" s="222"/>
      <c r="K382" s="222"/>
      <c r="L382" s="222"/>
      <c r="M382" s="331"/>
      <c r="N382" s="303">
        <f t="shared" si="236"/>
        <v>0</v>
      </c>
      <c r="O382" s="304"/>
      <c r="P382" s="341"/>
      <c r="Q382" s="305"/>
      <c r="R382" s="322" t="s">
        <v>67</v>
      </c>
      <c r="S382" s="209">
        <f t="shared" si="244"/>
        <v>0</v>
      </c>
      <c r="T382" s="209">
        <f t="shared" si="245"/>
        <v>0</v>
      </c>
      <c r="U382" s="209"/>
      <c r="V382" s="209">
        <f t="shared" si="246"/>
        <v>0</v>
      </c>
      <c r="W382" s="209"/>
      <c r="X382" s="209">
        <f t="shared" si="247"/>
        <v>0</v>
      </c>
      <c r="Y382" s="209">
        <f t="shared" si="248"/>
        <v>0</v>
      </c>
      <c r="Z382" s="303"/>
      <c r="AA382" s="303">
        <f t="shared" si="237"/>
        <v>0</v>
      </c>
      <c r="AB382" s="314">
        <f t="shared" si="214"/>
        <v>0</v>
      </c>
      <c r="AC382" s="314"/>
      <c r="AD382" s="314">
        <f t="shared" si="215"/>
        <v>0</v>
      </c>
      <c r="AE382" s="325" t="s">
        <v>148</v>
      </c>
      <c r="AF382" s="15">
        <f t="shared" si="239"/>
        <v>0</v>
      </c>
      <c r="AG382" s="232">
        <f t="shared" si="240"/>
        <v>0</v>
      </c>
      <c r="AH382" s="232"/>
      <c r="AI382" s="232">
        <f t="shared" si="241"/>
        <v>0</v>
      </c>
      <c r="AJ382" s="232"/>
      <c r="AK382" s="232">
        <f t="shared" si="242"/>
        <v>0</v>
      </c>
      <c r="AL382" s="7">
        <f t="shared" si="243"/>
        <v>0</v>
      </c>
      <c r="AM382" s="352"/>
      <c r="AN382" s="22">
        <f t="shared" si="238"/>
        <v>0</v>
      </c>
      <c r="AO382" s="15">
        <f t="shared" si="216"/>
        <v>0</v>
      </c>
      <c r="AP382" s="345"/>
      <c r="AQ382" s="7">
        <f t="shared" si="217"/>
        <v>0</v>
      </c>
      <c r="AR382" s="103"/>
      <c r="AS382" s="101"/>
      <c r="AT382" s="236"/>
      <c r="AU382" s="235"/>
      <c r="AV382" s="92"/>
      <c r="AW382" s="235"/>
      <c r="AX382" s="92"/>
      <c r="AY382" s="235"/>
      <c r="AZ382" s="92"/>
      <c r="BA382" s="17">
        <f t="shared" si="208"/>
        <v>3.82E-5</v>
      </c>
      <c r="BB382" s="17">
        <f t="shared" si="209"/>
        <v>0</v>
      </c>
      <c r="BC382" s="17"/>
      <c r="BD382" s="178">
        <v>373</v>
      </c>
      <c r="BE382" s="214">
        <f t="shared" si="218"/>
        <v>5.4999999999999999E-6</v>
      </c>
      <c r="BF382" s="178">
        <f t="shared" si="210"/>
        <v>0</v>
      </c>
      <c r="BG382" s="245">
        <f t="shared" si="211"/>
        <v>3.82E-5</v>
      </c>
      <c r="BH382" s="17">
        <f t="shared" si="219"/>
        <v>0</v>
      </c>
      <c r="BI382" s="178">
        <v>373</v>
      </c>
      <c r="BJ382" s="87">
        <f t="shared" si="220"/>
        <v>3.8E-6</v>
      </c>
      <c r="BK382" s="215">
        <f t="shared" si="212"/>
        <v>0</v>
      </c>
      <c r="BL382" s="245">
        <f t="shared" si="221"/>
        <v>3.82E-5</v>
      </c>
      <c r="BM382" s="17">
        <f t="shared" si="222"/>
        <v>0</v>
      </c>
      <c r="BN382" s="178">
        <v>373</v>
      </c>
      <c r="BO382" s="87">
        <f t="shared" si="223"/>
        <v>3.8E-6</v>
      </c>
      <c r="BP382" s="215">
        <f t="shared" si="213"/>
        <v>0</v>
      </c>
      <c r="BR382" s="126"/>
      <c r="BS382" s="126"/>
      <c r="BU382" s="178"/>
      <c r="BV382" s="179" t="str">
        <f t="shared" si="224"/>
        <v/>
      </c>
      <c r="BW382" s="179" t="str">
        <f t="shared" si="225"/>
        <v/>
      </c>
      <c r="BX382" s="179" t="str">
        <f t="shared" si="226"/>
        <v/>
      </c>
      <c r="BY382" s="179" t="str">
        <f t="shared" si="227"/>
        <v/>
      </c>
      <c r="BZ382" s="179" t="str">
        <f t="shared" si="228"/>
        <v/>
      </c>
      <c r="CA382" s="179" t="str">
        <f t="shared" si="229"/>
        <v/>
      </c>
      <c r="CB382" s="179" t="str">
        <f t="shared" si="230"/>
        <v/>
      </c>
      <c r="CC382" s="179" t="str">
        <f t="shared" si="231"/>
        <v/>
      </c>
      <c r="CD382" s="179" t="str">
        <f t="shared" si="232"/>
        <v/>
      </c>
      <c r="CE382" s="179" t="str">
        <f t="shared" si="233"/>
        <v/>
      </c>
      <c r="CF382" s="179" t="str">
        <f t="shared" si="234"/>
        <v/>
      </c>
      <c r="CG382" s="179" t="str">
        <f t="shared" si="235"/>
        <v/>
      </c>
      <c r="CH382" s="166"/>
      <c r="CI382" s="166"/>
      <c r="CJ382" s="166"/>
      <c r="CK382" s="166" t="s">
        <v>150</v>
      </c>
      <c r="CL382" s="166"/>
    </row>
    <row r="383" spans="1:90" ht="14.25" customHeight="1" x14ac:dyDescent="0.25">
      <c r="A383" s="211">
        <v>373</v>
      </c>
      <c r="B383" s="219"/>
      <c r="C383" s="200"/>
      <c r="D383" s="145"/>
      <c r="E383" s="320" t="s">
        <v>93</v>
      </c>
      <c r="F383" s="209"/>
      <c r="G383" s="313"/>
      <c r="H383" s="313"/>
      <c r="I383" s="313"/>
      <c r="J383" s="313"/>
      <c r="K383" s="313"/>
      <c r="L383" s="313"/>
      <c r="M383" s="339"/>
      <c r="N383" s="233">
        <f t="shared" si="236"/>
        <v>0</v>
      </c>
      <c r="O383" s="306"/>
      <c r="P383" s="342"/>
      <c r="Q383" s="307"/>
      <c r="R383" s="323" t="s">
        <v>67</v>
      </c>
      <c r="S383" s="209">
        <f t="shared" si="244"/>
        <v>0</v>
      </c>
      <c r="T383" s="209">
        <f t="shared" si="245"/>
        <v>0</v>
      </c>
      <c r="U383" s="209"/>
      <c r="V383" s="209">
        <f t="shared" si="246"/>
        <v>0</v>
      </c>
      <c r="W383" s="209"/>
      <c r="X383" s="209">
        <f t="shared" si="247"/>
        <v>0</v>
      </c>
      <c r="Y383" s="209">
        <f t="shared" si="248"/>
        <v>0</v>
      </c>
      <c r="Z383" s="233"/>
      <c r="AA383" s="233">
        <f t="shared" si="237"/>
        <v>0</v>
      </c>
      <c r="AB383" s="314">
        <f t="shared" si="214"/>
        <v>0</v>
      </c>
      <c r="AC383" s="314"/>
      <c r="AD383" s="314">
        <f t="shared" si="215"/>
        <v>0</v>
      </c>
      <c r="AE383" s="323" t="s">
        <v>87</v>
      </c>
      <c r="AF383" s="81">
        <f t="shared" si="239"/>
        <v>0</v>
      </c>
      <c r="AG383" s="335">
        <f t="shared" si="240"/>
        <v>0</v>
      </c>
      <c r="AH383" s="335"/>
      <c r="AI383" s="335">
        <f t="shared" si="241"/>
        <v>0</v>
      </c>
      <c r="AJ383" s="335"/>
      <c r="AK383" s="335">
        <f t="shared" si="242"/>
        <v>0</v>
      </c>
      <c r="AL383" s="336">
        <f t="shared" si="243"/>
        <v>0</v>
      </c>
      <c r="AM383" s="353"/>
      <c r="AN383" s="22">
        <f t="shared" si="238"/>
        <v>0</v>
      </c>
      <c r="AO383" s="209">
        <f t="shared" si="216"/>
        <v>0</v>
      </c>
      <c r="AP383" s="339"/>
      <c r="AQ383" s="125">
        <f t="shared" si="217"/>
        <v>0</v>
      </c>
      <c r="AR383" s="104"/>
      <c r="AS383" s="217"/>
      <c r="AT383" s="216"/>
      <c r="AU383" s="230"/>
      <c r="AV383" s="220"/>
      <c r="AW383" s="230"/>
      <c r="AX383" s="220"/>
      <c r="AY383" s="230"/>
      <c r="AZ383" s="220"/>
      <c r="BA383" s="17">
        <f t="shared" si="208"/>
        <v>3.8299999999999996E-5</v>
      </c>
      <c r="BB383" s="17">
        <f t="shared" si="209"/>
        <v>0</v>
      </c>
      <c r="BC383" s="17"/>
      <c r="BD383" s="178">
        <v>374</v>
      </c>
      <c r="BE383" s="214">
        <f t="shared" si="218"/>
        <v>5.4E-6</v>
      </c>
      <c r="BF383" s="178">
        <f t="shared" si="210"/>
        <v>0</v>
      </c>
      <c r="BG383" s="245">
        <f t="shared" si="211"/>
        <v>3.8299999999999996E-5</v>
      </c>
      <c r="BH383" s="17">
        <f t="shared" si="219"/>
        <v>0</v>
      </c>
      <c r="BI383" s="178">
        <v>374</v>
      </c>
      <c r="BJ383" s="87">
        <f t="shared" si="220"/>
        <v>3.6999999999999997E-6</v>
      </c>
      <c r="BK383" s="215">
        <f t="shared" si="212"/>
        <v>0</v>
      </c>
      <c r="BL383" s="245">
        <f t="shared" si="221"/>
        <v>3.8299999999999996E-5</v>
      </c>
      <c r="BM383" s="17">
        <f t="shared" si="222"/>
        <v>0</v>
      </c>
      <c r="BN383" s="178">
        <v>374</v>
      </c>
      <c r="BO383" s="87">
        <f t="shared" si="223"/>
        <v>3.6999999999999997E-6</v>
      </c>
      <c r="BP383" s="215">
        <f t="shared" si="213"/>
        <v>0</v>
      </c>
      <c r="BR383" s="126"/>
      <c r="BS383" s="126"/>
      <c r="BU383" s="178"/>
      <c r="BV383" s="179" t="str">
        <f t="shared" si="224"/>
        <v/>
      </c>
      <c r="BW383" s="179" t="str">
        <f t="shared" si="225"/>
        <v/>
      </c>
      <c r="BX383" s="179" t="str">
        <f t="shared" si="226"/>
        <v/>
      </c>
      <c r="BY383" s="179" t="str">
        <f t="shared" si="227"/>
        <v/>
      </c>
      <c r="BZ383" s="179" t="str">
        <f t="shared" si="228"/>
        <v/>
      </c>
      <c r="CA383" s="179" t="str">
        <f t="shared" si="229"/>
        <v/>
      </c>
      <c r="CB383" s="179" t="str">
        <f t="shared" si="230"/>
        <v/>
      </c>
      <c r="CC383" s="179" t="str">
        <f t="shared" si="231"/>
        <v/>
      </c>
      <c r="CD383" s="179" t="str">
        <f t="shared" si="232"/>
        <v/>
      </c>
      <c r="CE383" s="179" t="str">
        <f t="shared" si="233"/>
        <v/>
      </c>
      <c r="CF383" s="179" t="str">
        <f t="shared" si="234"/>
        <v/>
      </c>
      <c r="CG383" s="179" t="str">
        <f t="shared" si="235"/>
        <v/>
      </c>
      <c r="CH383" s="166"/>
      <c r="CI383" s="166"/>
      <c r="CJ383" s="166"/>
      <c r="CK383" s="166" t="s">
        <v>150</v>
      </c>
      <c r="CL383" s="166"/>
    </row>
    <row r="384" spans="1:90" ht="14.25" customHeight="1" thickBot="1" x14ac:dyDescent="0.3">
      <c r="A384" s="213">
        <v>374</v>
      </c>
      <c r="B384" s="88"/>
      <c r="C384" s="201"/>
      <c r="D384" s="94"/>
      <c r="E384" s="321" t="s">
        <v>93</v>
      </c>
      <c r="F384" s="96"/>
      <c r="G384" s="100"/>
      <c r="H384" s="100"/>
      <c r="I384" s="100"/>
      <c r="J384" s="100"/>
      <c r="K384" s="100"/>
      <c r="L384" s="100"/>
      <c r="M384" s="210"/>
      <c r="N384" s="234">
        <f t="shared" si="236"/>
        <v>0</v>
      </c>
      <c r="O384" s="308"/>
      <c r="P384" s="343"/>
      <c r="Q384" s="309"/>
      <c r="R384" s="324" t="s">
        <v>67</v>
      </c>
      <c r="S384" s="209">
        <f t="shared" si="244"/>
        <v>0</v>
      </c>
      <c r="T384" s="209">
        <f t="shared" si="245"/>
        <v>0</v>
      </c>
      <c r="U384" s="209"/>
      <c r="V384" s="209">
        <f t="shared" si="246"/>
        <v>0</v>
      </c>
      <c r="W384" s="209"/>
      <c r="X384" s="209">
        <f t="shared" si="247"/>
        <v>0</v>
      </c>
      <c r="Y384" s="209">
        <f t="shared" si="248"/>
        <v>0</v>
      </c>
      <c r="Z384" s="351"/>
      <c r="AA384" s="234">
        <f t="shared" si="237"/>
        <v>0</v>
      </c>
      <c r="AB384" s="314">
        <f t="shared" si="214"/>
        <v>0</v>
      </c>
      <c r="AC384" s="314"/>
      <c r="AD384" s="314">
        <f t="shared" si="215"/>
        <v>0</v>
      </c>
      <c r="AE384" s="324" t="s">
        <v>87</v>
      </c>
      <c r="AF384" s="82">
        <f t="shared" si="239"/>
        <v>0</v>
      </c>
      <c r="AG384" s="337">
        <f t="shared" si="240"/>
        <v>0</v>
      </c>
      <c r="AH384" s="337"/>
      <c r="AI384" s="337">
        <f t="shared" si="241"/>
        <v>0</v>
      </c>
      <c r="AJ384" s="337"/>
      <c r="AK384" s="337">
        <f t="shared" si="242"/>
        <v>0</v>
      </c>
      <c r="AL384" s="338">
        <f t="shared" si="243"/>
        <v>0</v>
      </c>
      <c r="AM384" s="354"/>
      <c r="AN384" s="91">
        <f t="shared" si="238"/>
        <v>0</v>
      </c>
      <c r="AO384" s="96">
        <f t="shared" si="216"/>
        <v>0</v>
      </c>
      <c r="AP384" s="210"/>
      <c r="AQ384" s="97">
        <f t="shared" si="217"/>
        <v>0</v>
      </c>
      <c r="AR384" s="105"/>
      <c r="AS384" s="102"/>
      <c r="AT384" s="237"/>
      <c r="AU384" s="231"/>
      <c r="AV384" s="93"/>
      <c r="AW384" s="231"/>
      <c r="AX384" s="93"/>
      <c r="AY384" s="231"/>
      <c r="AZ384" s="93"/>
      <c r="BA384" s="17">
        <f t="shared" si="208"/>
        <v>3.8399999999999998E-5</v>
      </c>
      <c r="BB384" s="17">
        <f t="shared" si="209"/>
        <v>0</v>
      </c>
      <c r="BC384" s="17"/>
      <c r="BD384" s="178">
        <v>375</v>
      </c>
      <c r="BE384" s="214">
        <f t="shared" si="218"/>
        <v>5.3000000000000001E-6</v>
      </c>
      <c r="BF384" s="178">
        <f t="shared" si="210"/>
        <v>0</v>
      </c>
      <c r="BG384" s="245">
        <f t="shared" si="211"/>
        <v>3.8399999999999998E-5</v>
      </c>
      <c r="BH384" s="17">
        <f t="shared" si="219"/>
        <v>0</v>
      </c>
      <c r="BI384" s="178">
        <v>375</v>
      </c>
      <c r="BJ384" s="87">
        <f t="shared" si="220"/>
        <v>3.5999999999999998E-6</v>
      </c>
      <c r="BK384" s="215">
        <f t="shared" si="212"/>
        <v>0</v>
      </c>
      <c r="BL384" s="245">
        <f t="shared" si="221"/>
        <v>3.8399999999999998E-5</v>
      </c>
      <c r="BM384" s="17">
        <f t="shared" si="222"/>
        <v>0</v>
      </c>
      <c r="BN384" s="178">
        <v>375</v>
      </c>
      <c r="BO384" s="87">
        <f t="shared" si="223"/>
        <v>3.5999999999999998E-6</v>
      </c>
      <c r="BP384" s="215">
        <f t="shared" si="213"/>
        <v>0</v>
      </c>
      <c r="BR384" s="126"/>
      <c r="BS384" s="126"/>
      <c r="BU384" s="178"/>
      <c r="BV384" s="179" t="str">
        <f t="shared" si="224"/>
        <v/>
      </c>
      <c r="BW384" s="179" t="str">
        <f t="shared" si="225"/>
        <v/>
      </c>
      <c r="BX384" s="179" t="str">
        <f t="shared" si="226"/>
        <v/>
      </c>
      <c r="BY384" s="179" t="str">
        <f t="shared" si="227"/>
        <v/>
      </c>
      <c r="BZ384" s="179" t="str">
        <f t="shared" si="228"/>
        <v/>
      </c>
      <c r="CA384" s="179" t="str">
        <f t="shared" si="229"/>
        <v/>
      </c>
      <c r="CB384" s="179" t="str">
        <f t="shared" si="230"/>
        <v/>
      </c>
      <c r="CC384" s="179" t="str">
        <f t="shared" si="231"/>
        <v/>
      </c>
      <c r="CD384" s="179" t="str">
        <f t="shared" si="232"/>
        <v/>
      </c>
      <c r="CE384" s="179" t="str">
        <f t="shared" si="233"/>
        <v/>
      </c>
      <c r="CF384" s="179" t="str">
        <f t="shared" si="234"/>
        <v/>
      </c>
      <c r="CG384" s="179" t="str">
        <f t="shared" si="235"/>
        <v/>
      </c>
      <c r="CH384" s="166"/>
      <c r="CI384" s="166"/>
      <c r="CJ384" s="166"/>
      <c r="CK384" s="166" t="s">
        <v>150</v>
      </c>
      <c r="CL384" s="166"/>
    </row>
    <row r="385" spans="1:90" ht="14.25" customHeight="1" x14ac:dyDescent="0.25">
      <c r="A385" s="211">
        <v>375</v>
      </c>
      <c r="B385" s="89"/>
      <c r="C385" s="199"/>
      <c r="D385" s="146"/>
      <c r="E385" s="319" t="s">
        <v>93</v>
      </c>
      <c r="F385" s="221"/>
      <c r="G385" s="222"/>
      <c r="H385" s="222"/>
      <c r="I385" s="222"/>
      <c r="J385" s="222"/>
      <c r="K385" s="222"/>
      <c r="L385" s="222"/>
      <c r="M385" s="331"/>
      <c r="N385" s="303">
        <f t="shared" si="236"/>
        <v>0</v>
      </c>
      <c r="O385" s="304"/>
      <c r="P385" s="341"/>
      <c r="Q385" s="305"/>
      <c r="R385" s="322" t="s">
        <v>67</v>
      </c>
      <c r="S385" s="209">
        <f t="shared" si="244"/>
        <v>0</v>
      </c>
      <c r="T385" s="209">
        <f t="shared" si="245"/>
        <v>0</v>
      </c>
      <c r="U385" s="209"/>
      <c r="V385" s="209">
        <f t="shared" si="246"/>
        <v>0</v>
      </c>
      <c r="W385" s="209"/>
      <c r="X385" s="209">
        <f t="shared" si="247"/>
        <v>0</v>
      </c>
      <c r="Y385" s="209">
        <f t="shared" si="248"/>
        <v>0</v>
      </c>
      <c r="Z385" s="303"/>
      <c r="AA385" s="303">
        <f t="shared" si="237"/>
        <v>0</v>
      </c>
      <c r="AB385" s="314">
        <f t="shared" si="214"/>
        <v>0</v>
      </c>
      <c r="AC385" s="314"/>
      <c r="AD385" s="314">
        <f t="shared" si="215"/>
        <v>0</v>
      </c>
      <c r="AE385" s="325" t="s">
        <v>148</v>
      </c>
      <c r="AF385" s="15">
        <f t="shared" si="239"/>
        <v>0</v>
      </c>
      <c r="AG385" s="232">
        <f t="shared" si="240"/>
        <v>0</v>
      </c>
      <c r="AH385" s="232"/>
      <c r="AI385" s="232">
        <f t="shared" si="241"/>
        <v>0</v>
      </c>
      <c r="AJ385" s="232"/>
      <c r="AK385" s="232">
        <f t="shared" si="242"/>
        <v>0</v>
      </c>
      <c r="AL385" s="7">
        <f t="shared" si="243"/>
        <v>0</v>
      </c>
      <c r="AM385" s="352"/>
      <c r="AN385" s="22">
        <f t="shared" si="238"/>
        <v>0</v>
      </c>
      <c r="AO385" s="15">
        <f t="shared" si="216"/>
        <v>0</v>
      </c>
      <c r="AP385" s="345"/>
      <c r="AQ385" s="7">
        <f t="shared" si="217"/>
        <v>0</v>
      </c>
      <c r="AR385" s="103"/>
      <c r="AS385" s="101"/>
      <c r="AT385" s="236"/>
      <c r="AU385" s="235"/>
      <c r="AV385" s="92"/>
      <c r="AW385" s="235"/>
      <c r="AX385" s="92"/>
      <c r="AY385" s="235"/>
      <c r="AZ385" s="92"/>
      <c r="BA385" s="17">
        <f t="shared" si="208"/>
        <v>3.8500000000000001E-5</v>
      </c>
      <c r="BB385" s="17">
        <f t="shared" si="209"/>
        <v>0</v>
      </c>
      <c r="BC385" s="17"/>
      <c r="BD385" s="178">
        <v>376</v>
      </c>
      <c r="BE385" s="214">
        <f t="shared" si="218"/>
        <v>5.1999999999999993E-6</v>
      </c>
      <c r="BF385" s="178">
        <f t="shared" si="210"/>
        <v>0</v>
      </c>
      <c r="BG385" s="245">
        <f t="shared" si="211"/>
        <v>3.8500000000000001E-5</v>
      </c>
      <c r="BH385" s="17">
        <f t="shared" si="219"/>
        <v>0</v>
      </c>
      <c r="BI385" s="178">
        <v>376</v>
      </c>
      <c r="BJ385" s="87">
        <f t="shared" si="220"/>
        <v>3.4999999999999999E-6</v>
      </c>
      <c r="BK385" s="215">
        <f t="shared" si="212"/>
        <v>0</v>
      </c>
      <c r="BL385" s="245">
        <f t="shared" si="221"/>
        <v>3.8500000000000001E-5</v>
      </c>
      <c r="BM385" s="17">
        <f t="shared" si="222"/>
        <v>0</v>
      </c>
      <c r="BN385" s="178">
        <v>376</v>
      </c>
      <c r="BO385" s="87">
        <f t="shared" si="223"/>
        <v>3.4999999999999999E-6</v>
      </c>
      <c r="BP385" s="215">
        <f t="shared" si="213"/>
        <v>0</v>
      </c>
      <c r="BR385" s="126"/>
      <c r="BS385" s="126"/>
      <c r="BU385" s="178"/>
      <c r="BV385" s="179" t="str">
        <f t="shared" si="224"/>
        <v/>
      </c>
      <c r="BW385" s="179" t="str">
        <f t="shared" si="225"/>
        <v/>
      </c>
      <c r="BX385" s="179" t="str">
        <f t="shared" si="226"/>
        <v/>
      </c>
      <c r="BY385" s="179" t="str">
        <f t="shared" si="227"/>
        <v/>
      </c>
      <c r="BZ385" s="179" t="str">
        <f t="shared" si="228"/>
        <v/>
      </c>
      <c r="CA385" s="179" t="str">
        <f t="shared" si="229"/>
        <v/>
      </c>
      <c r="CB385" s="179" t="str">
        <f t="shared" si="230"/>
        <v/>
      </c>
      <c r="CC385" s="179" t="str">
        <f t="shared" si="231"/>
        <v/>
      </c>
      <c r="CD385" s="179" t="str">
        <f t="shared" si="232"/>
        <v/>
      </c>
      <c r="CE385" s="179" t="str">
        <f t="shared" si="233"/>
        <v/>
      </c>
      <c r="CF385" s="179" t="str">
        <f t="shared" si="234"/>
        <v/>
      </c>
      <c r="CG385" s="179" t="str">
        <f t="shared" si="235"/>
        <v/>
      </c>
      <c r="CH385" s="166"/>
      <c r="CI385" s="166"/>
      <c r="CJ385" s="166"/>
      <c r="CK385" s="166" t="s">
        <v>150</v>
      </c>
      <c r="CL385" s="166"/>
    </row>
    <row r="386" spans="1:90" ht="14.25" customHeight="1" thickBot="1" x14ac:dyDescent="0.3">
      <c r="A386" s="213">
        <v>376</v>
      </c>
      <c r="B386" s="219"/>
      <c r="C386" s="200"/>
      <c r="D386" s="145"/>
      <c r="E386" s="320" t="s">
        <v>93</v>
      </c>
      <c r="F386" s="209"/>
      <c r="G386" s="313"/>
      <c r="H386" s="313"/>
      <c r="I386" s="313"/>
      <c r="J386" s="313"/>
      <c r="K386" s="313"/>
      <c r="L386" s="313"/>
      <c r="M386" s="339"/>
      <c r="N386" s="233">
        <f t="shared" si="236"/>
        <v>0</v>
      </c>
      <c r="O386" s="306"/>
      <c r="P386" s="342"/>
      <c r="Q386" s="307"/>
      <c r="R386" s="323" t="s">
        <v>67</v>
      </c>
      <c r="S386" s="209">
        <f t="shared" si="244"/>
        <v>0</v>
      </c>
      <c r="T386" s="209">
        <f t="shared" si="245"/>
        <v>0</v>
      </c>
      <c r="U386" s="209"/>
      <c r="V386" s="209">
        <f t="shared" si="246"/>
        <v>0</v>
      </c>
      <c r="W386" s="209"/>
      <c r="X386" s="209">
        <f t="shared" si="247"/>
        <v>0</v>
      </c>
      <c r="Y386" s="209">
        <f t="shared" si="248"/>
        <v>0</v>
      </c>
      <c r="Z386" s="233"/>
      <c r="AA386" s="233">
        <f t="shared" si="237"/>
        <v>0</v>
      </c>
      <c r="AB386" s="314">
        <f t="shared" si="214"/>
        <v>0</v>
      </c>
      <c r="AC386" s="314"/>
      <c r="AD386" s="314">
        <f t="shared" si="215"/>
        <v>0</v>
      </c>
      <c r="AE386" s="323" t="s">
        <v>87</v>
      </c>
      <c r="AF386" s="81">
        <f t="shared" si="239"/>
        <v>0</v>
      </c>
      <c r="AG386" s="335">
        <f t="shared" si="240"/>
        <v>0</v>
      </c>
      <c r="AH386" s="335"/>
      <c r="AI386" s="335">
        <f t="shared" si="241"/>
        <v>0</v>
      </c>
      <c r="AJ386" s="335"/>
      <c r="AK386" s="335">
        <f t="shared" si="242"/>
        <v>0</v>
      </c>
      <c r="AL386" s="336">
        <f t="shared" si="243"/>
        <v>0</v>
      </c>
      <c r="AM386" s="353"/>
      <c r="AN386" s="22">
        <f t="shared" si="238"/>
        <v>0</v>
      </c>
      <c r="AO386" s="209">
        <f t="shared" si="216"/>
        <v>0</v>
      </c>
      <c r="AP386" s="339"/>
      <c r="AQ386" s="125">
        <f t="shared" si="217"/>
        <v>0</v>
      </c>
      <c r="AR386" s="104"/>
      <c r="AS386" s="217"/>
      <c r="AT386" s="216"/>
      <c r="AU386" s="230"/>
      <c r="AV386" s="220"/>
      <c r="AW386" s="230"/>
      <c r="AX386" s="220"/>
      <c r="AY386" s="230"/>
      <c r="AZ386" s="220"/>
      <c r="BA386" s="17">
        <f t="shared" si="208"/>
        <v>3.8599999999999996E-5</v>
      </c>
      <c r="BB386" s="17">
        <f t="shared" si="209"/>
        <v>0</v>
      </c>
      <c r="BC386" s="17"/>
      <c r="BD386" s="178">
        <v>377</v>
      </c>
      <c r="BE386" s="214">
        <f t="shared" si="218"/>
        <v>5.0999999999999995E-6</v>
      </c>
      <c r="BF386" s="178">
        <f t="shared" si="210"/>
        <v>0</v>
      </c>
      <c r="BG386" s="245">
        <f t="shared" si="211"/>
        <v>3.8599999999999996E-5</v>
      </c>
      <c r="BH386" s="17">
        <f t="shared" si="219"/>
        <v>0</v>
      </c>
      <c r="BI386" s="178">
        <v>377</v>
      </c>
      <c r="BJ386" s="87">
        <f t="shared" si="220"/>
        <v>3.3999999999999996E-6</v>
      </c>
      <c r="BK386" s="215">
        <f t="shared" si="212"/>
        <v>0</v>
      </c>
      <c r="BL386" s="245">
        <f t="shared" si="221"/>
        <v>3.8599999999999996E-5</v>
      </c>
      <c r="BM386" s="17">
        <f t="shared" si="222"/>
        <v>0</v>
      </c>
      <c r="BN386" s="178">
        <v>377</v>
      </c>
      <c r="BO386" s="87">
        <f t="shared" si="223"/>
        <v>3.3999999999999996E-6</v>
      </c>
      <c r="BP386" s="215">
        <f t="shared" si="213"/>
        <v>0</v>
      </c>
      <c r="BR386" s="126"/>
      <c r="BS386" s="126"/>
      <c r="BU386" s="178"/>
      <c r="BV386" s="179" t="str">
        <f t="shared" si="224"/>
        <v/>
      </c>
      <c r="BW386" s="179" t="str">
        <f t="shared" si="225"/>
        <v/>
      </c>
      <c r="BX386" s="179" t="str">
        <f t="shared" si="226"/>
        <v/>
      </c>
      <c r="BY386" s="179" t="str">
        <f t="shared" si="227"/>
        <v/>
      </c>
      <c r="BZ386" s="179" t="str">
        <f t="shared" si="228"/>
        <v/>
      </c>
      <c r="CA386" s="179" t="str">
        <f t="shared" si="229"/>
        <v/>
      </c>
      <c r="CB386" s="179" t="str">
        <f t="shared" si="230"/>
        <v/>
      </c>
      <c r="CC386" s="179" t="str">
        <f t="shared" si="231"/>
        <v/>
      </c>
      <c r="CD386" s="179" t="str">
        <f t="shared" si="232"/>
        <v/>
      </c>
      <c r="CE386" s="179" t="str">
        <f t="shared" si="233"/>
        <v/>
      </c>
      <c r="CF386" s="179" t="str">
        <f t="shared" si="234"/>
        <v/>
      </c>
      <c r="CG386" s="179" t="str">
        <f t="shared" si="235"/>
        <v/>
      </c>
      <c r="CH386" s="166"/>
      <c r="CI386" s="166"/>
      <c r="CJ386" s="166"/>
      <c r="CK386" s="166" t="s">
        <v>150</v>
      </c>
      <c r="CL386" s="166"/>
    </row>
    <row r="387" spans="1:90" ht="14.25" customHeight="1" thickBot="1" x14ac:dyDescent="0.3">
      <c r="A387" s="211">
        <v>377</v>
      </c>
      <c r="B387" s="88"/>
      <c r="C387" s="201"/>
      <c r="D387" s="94"/>
      <c r="E387" s="321" t="s">
        <v>93</v>
      </c>
      <c r="F387" s="96"/>
      <c r="G387" s="100"/>
      <c r="H387" s="100"/>
      <c r="I387" s="100"/>
      <c r="J387" s="100"/>
      <c r="K387" s="100"/>
      <c r="L387" s="100"/>
      <c r="M387" s="210"/>
      <c r="N387" s="234">
        <f t="shared" si="236"/>
        <v>0</v>
      </c>
      <c r="O387" s="308"/>
      <c r="P387" s="343"/>
      <c r="Q387" s="309"/>
      <c r="R387" s="324" t="s">
        <v>67</v>
      </c>
      <c r="S387" s="209">
        <f t="shared" si="244"/>
        <v>0</v>
      </c>
      <c r="T387" s="209">
        <f t="shared" si="245"/>
        <v>0</v>
      </c>
      <c r="U387" s="209"/>
      <c r="V387" s="209">
        <f t="shared" si="246"/>
        <v>0</v>
      </c>
      <c r="W387" s="209"/>
      <c r="X387" s="209">
        <f t="shared" si="247"/>
        <v>0</v>
      </c>
      <c r="Y387" s="209">
        <f t="shared" si="248"/>
        <v>0</v>
      </c>
      <c r="Z387" s="351"/>
      <c r="AA387" s="234">
        <f t="shared" si="237"/>
        <v>0</v>
      </c>
      <c r="AB387" s="314">
        <f t="shared" si="214"/>
        <v>0</v>
      </c>
      <c r="AC387" s="314"/>
      <c r="AD387" s="314">
        <f t="shared" si="215"/>
        <v>0</v>
      </c>
      <c r="AE387" s="324" t="s">
        <v>87</v>
      </c>
      <c r="AF387" s="82">
        <f t="shared" si="239"/>
        <v>0</v>
      </c>
      <c r="AG387" s="337">
        <f t="shared" si="240"/>
        <v>0</v>
      </c>
      <c r="AH387" s="337"/>
      <c r="AI387" s="337">
        <f t="shared" si="241"/>
        <v>0</v>
      </c>
      <c r="AJ387" s="337"/>
      <c r="AK387" s="337">
        <f t="shared" si="242"/>
        <v>0</v>
      </c>
      <c r="AL387" s="338">
        <f t="shared" si="243"/>
        <v>0</v>
      </c>
      <c r="AM387" s="354"/>
      <c r="AN387" s="91">
        <f t="shared" si="238"/>
        <v>0</v>
      </c>
      <c r="AO387" s="96">
        <f t="shared" si="216"/>
        <v>0</v>
      </c>
      <c r="AP387" s="210"/>
      <c r="AQ387" s="97">
        <f t="shared" si="217"/>
        <v>0</v>
      </c>
      <c r="AR387" s="105"/>
      <c r="AS387" s="102"/>
      <c r="AT387" s="237"/>
      <c r="AU387" s="231"/>
      <c r="AV387" s="93"/>
      <c r="AW387" s="231"/>
      <c r="AX387" s="93"/>
      <c r="AY387" s="231"/>
      <c r="AZ387" s="93"/>
      <c r="BA387" s="17">
        <f t="shared" si="208"/>
        <v>3.8699999999999999E-5</v>
      </c>
      <c r="BB387" s="17">
        <f t="shared" si="209"/>
        <v>0</v>
      </c>
      <c r="BC387" s="17"/>
      <c r="BD387" s="178">
        <v>378</v>
      </c>
      <c r="BE387" s="214">
        <f t="shared" si="218"/>
        <v>4.9999999999999996E-6</v>
      </c>
      <c r="BF387" s="178">
        <f t="shared" si="210"/>
        <v>0</v>
      </c>
      <c r="BG387" s="245">
        <f t="shared" si="211"/>
        <v>3.8699999999999999E-5</v>
      </c>
      <c r="BH387" s="17">
        <f t="shared" si="219"/>
        <v>0</v>
      </c>
      <c r="BI387" s="178">
        <v>378</v>
      </c>
      <c r="BJ387" s="87">
        <f t="shared" si="220"/>
        <v>3.2999999999999997E-6</v>
      </c>
      <c r="BK387" s="215">
        <f t="shared" si="212"/>
        <v>0</v>
      </c>
      <c r="BL387" s="245">
        <f t="shared" si="221"/>
        <v>3.8699999999999999E-5</v>
      </c>
      <c r="BM387" s="17">
        <f t="shared" si="222"/>
        <v>0</v>
      </c>
      <c r="BN387" s="178">
        <v>378</v>
      </c>
      <c r="BO387" s="87">
        <f t="shared" si="223"/>
        <v>3.2999999999999997E-6</v>
      </c>
      <c r="BP387" s="215">
        <f t="shared" si="213"/>
        <v>0</v>
      </c>
      <c r="BR387" s="126"/>
      <c r="BS387" s="126"/>
      <c r="BU387" s="178"/>
      <c r="BV387" s="179" t="str">
        <f t="shared" si="224"/>
        <v/>
      </c>
      <c r="BW387" s="179" t="str">
        <f t="shared" si="225"/>
        <v/>
      </c>
      <c r="BX387" s="179" t="str">
        <f t="shared" si="226"/>
        <v/>
      </c>
      <c r="BY387" s="179" t="str">
        <f t="shared" si="227"/>
        <v/>
      </c>
      <c r="BZ387" s="179" t="str">
        <f t="shared" si="228"/>
        <v/>
      </c>
      <c r="CA387" s="179" t="str">
        <f t="shared" si="229"/>
        <v/>
      </c>
      <c r="CB387" s="179" t="str">
        <f t="shared" si="230"/>
        <v/>
      </c>
      <c r="CC387" s="179" t="str">
        <f t="shared" si="231"/>
        <v/>
      </c>
      <c r="CD387" s="179" t="str">
        <f t="shared" si="232"/>
        <v/>
      </c>
      <c r="CE387" s="179" t="str">
        <f t="shared" si="233"/>
        <v/>
      </c>
      <c r="CF387" s="179" t="str">
        <f t="shared" si="234"/>
        <v/>
      </c>
      <c r="CG387" s="179" t="str">
        <f t="shared" si="235"/>
        <v/>
      </c>
      <c r="CH387" s="166"/>
      <c r="CI387" s="166"/>
      <c r="CJ387" s="166"/>
      <c r="CK387" s="166" t="s">
        <v>150</v>
      </c>
      <c r="CL387" s="166"/>
    </row>
    <row r="388" spans="1:90" ht="14.25" customHeight="1" thickBot="1" x14ac:dyDescent="0.3">
      <c r="A388" s="213">
        <v>378</v>
      </c>
      <c r="B388" s="89"/>
      <c r="C388" s="199"/>
      <c r="D388" s="146"/>
      <c r="E388" s="319" t="s">
        <v>93</v>
      </c>
      <c r="F388" s="221"/>
      <c r="G388" s="222"/>
      <c r="H388" s="222"/>
      <c r="I388" s="222"/>
      <c r="J388" s="222"/>
      <c r="K388" s="222"/>
      <c r="L388" s="222"/>
      <c r="M388" s="331"/>
      <c r="N388" s="303">
        <f t="shared" si="236"/>
        <v>0</v>
      </c>
      <c r="O388" s="304"/>
      <c r="P388" s="341"/>
      <c r="Q388" s="305"/>
      <c r="R388" s="322" t="s">
        <v>67</v>
      </c>
      <c r="S388" s="209">
        <f t="shared" si="244"/>
        <v>0</v>
      </c>
      <c r="T388" s="209">
        <f t="shared" si="245"/>
        <v>0</v>
      </c>
      <c r="U388" s="209"/>
      <c r="V388" s="209">
        <f t="shared" si="246"/>
        <v>0</v>
      </c>
      <c r="W388" s="209"/>
      <c r="X388" s="209">
        <f t="shared" si="247"/>
        <v>0</v>
      </c>
      <c r="Y388" s="209">
        <f t="shared" si="248"/>
        <v>0</v>
      </c>
      <c r="Z388" s="303"/>
      <c r="AA388" s="303">
        <f t="shared" si="237"/>
        <v>0</v>
      </c>
      <c r="AB388" s="314">
        <f t="shared" si="214"/>
        <v>0</v>
      </c>
      <c r="AC388" s="314"/>
      <c r="AD388" s="314">
        <f t="shared" si="215"/>
        <v>0</v>
      </c>
      <c r="AE388" s="325" t="s">
        <v>148</v>
      </c>
      <c r="AF388" s="15">
        <f t="shared" si="239"/>
        <v>0</v>
      </c>
      <c r="AG388" s="232">
        <f t="shared" si="240"/>
        <v>0</v>
      </c>
      <c r="AH388" s="232"/>
      <c r="AI388" s="232">
        <f t="shared" si="241"/>
        <v>0</v>
      </c>
      <c r="AJ388" s="232"/>
      <c r="AK388" s="232">
        <f t="shared" si="242"/>
        <v>0</v>
      </c>
      <c r="AL388" s="7">
        <f t="shared" si="243"/>
        <v>0</v>
      </c>
      <c r="AM388" s="352"/>
      <c r="AN388" s="22">
        <f t="shared" si="238"/>
        <v>0</v>
      </c>
      <c r="AO388" s="15">
        <f t="shared" si="216"/>
        <v>0</v>
      </c>
      <c r="AP388" s="345"/>
      <c r="AQ388" s="7">
        <f t="shared" si="217"/>
        <v>0</v>
      </c>
      <c r="AR388" s="103"/>
      <c r="AS388" s="101"/>
      <c r="AT388" s="236"/>
      <c r="AU388" s="235"/>
      <c r="AV388" s="92"/>
      <c r="AW388" s="235"/>
      <c r="AX388" s="92"/>
      <c r="AY388" s="235"/>
      <c r="AZ388" s="92"/>
      <c r="BA388" s="17">
        <f t="shared" si="208"/>
        <v>3.8800000000000001E-5</v>
      </c>
      <c r="BB388" s="17">
        <f t="shared" si="209"/>
        <v>0</v>
      </c>
      <c r="BC388" s="17"/>
      <c r="BD388" s="178">
        <v>379</v>
      </c>
      <c r="BE388" s="214">
        <f t="shared" si="218"/>
        <v>4.8999999999999997E-6</v>
      </c>
      <c r="BF388" s="178">
        <f t="shared" si="210"/>
        <v>0</v>
      </c>
      <c r="BG388" s="245">
        <f t="shared" si="211"/>
        <v>3.8800000000000001E-5</v>
      </c>
      <c r="BH388" s="17">
        <f t="shared" si="219"/>
        <v>0</v>
      </c>
      <c r="BI388" s="178">
        <v>379</v>
      </c>
      <c r="BJ388" s="87">
        <f t="shared" si="220"/>
        <v>3.1999999999999999E-6</v>
      </c>
      <c r="BK388" s="215">
        <f t="shared" si="212"/>
        <v>0</v>
      </c>
      <c r="BL388" s="245">
        <f t="shared" si="221"/>
        <v>3.8800000000000001E-5</v>
      </c>
      <c r="BM388" s="17">
        <f t="shared" si="222"/>
        <v>0</v>
      </c>
      <c r="BN388" s="178">
        <v>379</v>
      </c>
      <c r="BO388" s="87">
        <f t="shared" si="223"/>
        <v>3.1999999999999999E-6</v>
      </c>
      <c r="BP388" s="215">
        <f t="shared" si="213"/>
        <v>0</v>
      </c>
      <c r="BR388" s="126"/>
      <c r="BS388" s="126"/>
      <c r="BU388" s="178"/>
      <c r="BV388" s="179" t="str">
        <f t="shared" si="224"/>
        <v/>
      </c>
      <c r="BW388" s="179" t="str">
        <f t="shared" si="225"/>
        <v/>
      </c>
      <c r="BX388" s="179" t="str">
        <f t="shared" si="226"/>
        <v/>
      </c>
      <c r="BY388" s="179" t="str">
        <f t="shared" si="227"/>
        <v/>
      </c>
      <c r="BZ388" s="179" t="str">
        <f t="shared" si="228"/>
        <v/>
      </c>
      <c r="CA388" s="179" t="str">
        <f t="shared" si="229"/>
        <v/>
      </c>
      <c r="CB388" s="179" t="str">
        <f t="shared" si="230"/>
        <v/>
      </c>
      <c r="CC388" s="179" t="str">
        <f t="shared" si="231"/>
        <v/>
      </c>
      <c r="CD388" s="179" t="str">
        <f t="shared" si="232"/>
        <v/>
      </c>
      <c r="CE388" s="179" t="str">
        <f t="shared" si="233"/>
        <v/>
      </c>
      <c r="CF388" s="179" t="str">
        <f t="shared" si="234"/>
        <v/>
      </c>
      <c r="CG388" s="179" t="str">
        <f t="shared" si="235"/>
        <v/>
      </c>
      <c r="CH388" s="166"/>
      <c r="CI388" s="166"/>
      <c r="CJ388" s="166"/>
      <c r="CK388" s="166" t="s">
        <v>150</v>
      </c>
      <c r="CL388" s="166"/>
    </row>
    <row r="389" spans="1:90" ht="14.25" customHeight="1" x14ac:dyDescent="0.25">
      <c r="A389" s="211">
        <v>379</v>
      </c>
      <c r="B389" s="219"/>
      <c r="C389" s="200"/>
      <c r="D389" s="145"/>
      <c r="E389" s="320" t="s">
        <v>93</v>
      </c>
      <c r="F389" s="209"/>
      <c r="G389" s="313"/>
      <c r="H389" s="313"/>
      <c r="I389" s="313"/>
      <c r="J389" s="313"/>
      <c r="K389" s="313"/>
      <c r="L389" s="313"/>
      <c r="M389" s="339"/>
      <c r="N389" s="233">
        <f t="shared" si="236"/>
        <v>0</v>
      </c>
      <c r="O389" s="306"/>
      <c r="P389" s="342"/>
      <c r="Q389" s="307"/>
      <c r="R389" s="323" t="s">
        <v>67</v>
      </c>
      <c r="S389" s="209">
        <f t="shared" si="244"/>
        <v>0</v>
      </c>
      <c r="T389" s="209">
        <f t="shared" si="245"/>
        <v>0</v>
      </c>
      <c r="U389" s="209"/>
      <c r="V389" s="209">
        <f t="shared" si="246"/>
        <v>0</v>
      </c>
      <c r="W389" s="209"/>
      <c r="X389" s="209">
        <f t="shared" si="247"/>
        <v>0</v>
      </c>
      <c r="Y389" s="209">
        <f t="shared" si="248"/>
        <v>0</v>
      </c>
      <c r="Z389" s="233"/>
      <c r="AA389" s="233">
        <f t="shared" si="237"/>
        <v>0</v>
      </c>
      <c r="AB389" s="314">
        <f t="shared" si="214"/>
        <v>0</v>
      </c>
      <c r="AC389" s="314"/>
      <c r="AD389" s="314">
        <f t="shared" si="215"/>
        <v>0</v>
      </c>
      <c r="AE389" s="323" t="s">
        <v>87</v>
      </c>
      <c r="AF389" s="81">
        <f t="shared" si="239"/>
        <v>0</v>
      </c>
      <c r="AG389" s="335">
        <f t="shared" si="240"/>
        <v>0</v>
      </c>
      <c r="AH389" s="335"/>
      <c r="AI389" s="335">
        <f t="shared" si="241"/>
        <v>0</v>
      </c>
      <c r="AJ389" s="335"/>
      <c r="AK389" s="335">
        <f t="shared" si="242"/>
        <v>0</v>
      </c>
      <c r="AL389" s="336">
        <f t="shared" si="243"/>
        <v>0</v>
      </c>
      <c r="AM389" s="353"/>
      <c r="AN389" s="22">
        <f t="shared" si="238"/>
        <v>0</v>
      </c>
      <c r="AO389" s="209">
        <f t="shared" si="216"/>
        <v>0</v>
      </c>
      <c r="AP389" s="339"/>
      <c r="AQ389" s="125">
        <f t="shared" si="217"/>
        <v>0</v>
      </c>
      <c r="AR389" s="104"/>
      <c r="AS389" s="217"/>
      <c r="AT389" s="216"/>
      <c r="AU389" s="230"/>
      <c r="AV389" s="220"/>
      <c r="AW389" s="230"/>
      <c r="AX389" s="220"/>
      <c r="AY389" s="230"/>
      <c r="AZ389" s="220"/>
      <c r="BA389" s="17">
        <f t="shared" si="208"/>
        <v>3.8899999999999997E-5</v>
      </c>
      <c r="BB389" s="17">
        <f t="shared" si="209"/>
        <v>0</v>
      </c>
      <c r="BC389" s="17"/>
      <c r="BD389" s="178">
        <v>380</v>
      </c>
      <c r="BE389" s="214">
        <f t="shared" si="218"/>
        <v>4.7999999999999998E-6</v>
      </c>
      <c r="BF389" s="178">
        <f t="shared" si="210"/>
        <v>0</v>
      </c>
      <c r="BG389" s="245">
        <f t="shared" si="211"/>
        <v>3.8899999999999997E-5</v>
      </c>
      <c r="BH389" s="17">
        <f t="shared" si="219"/>
        <v>0</v>
      </c>
      <c r="BI389" s="178">
        <v>380</v>
      </c>
      <c r="BJ389" s="87">
        <f t="shared" si="220"/>
        <v>3.1E-6</v>
      </c>
      <c r="BK389" s="215">
        <f t="shared" si="212"/>
        <v>0</v>
      </c>
      <c r="BL389" s="245">
        <f t="shared" si="221"/>
        <v>3.8899999999999997E-5</v>
      </c>
      <c r="BM389" s="17">
        <f t="shared" si="222"/>
        <v>0</v>
      </c>
      <c r="BN389" s="178">
        <v>380</v>
      </c>
      <c r="BO389" s="87">
        <f t="shared" si="223"/>
        <v>3.1E-6</v>
      </c>
      <c r="BP389" s="215">
        <f t="shared" si="213"/>
        <v>0</v>
      </c>
      <c r="BR389" s="126"/>
      <c r="BS389" s="126"/>
      <c r="BU389" s="178"/>
      <c r="BV389" s="179" t="str">
        <f t="shared" si="224"/>
        <v/>
      </c>
      <c r="BW389" s="179" t="str">
        <f t="shared" si="225"/>
        <v/>
      </c>
      <c r="BX389" s="179" t="str">
        <f t="shared" si="226"/>
        <v/>
      </c>
      <c r="BY389" s="179" t="str">
        <f t="shared" si="227"/>
        <v/>
      </c>
      <c r="BZ389" s="179" t="str">
        <f t="shared" si="228"/>
        <v/>
      </c>
      <c r="CA389" s="179" t="str">
        <f t="shared" si="229"/>
        <v/>
      </c>
      <c r="CB389" s="179" t="str">
        <f t="shared" si="230"/>
        <v/>
      </c>
      <c r="CC389" s="179" t="str">
        <f t="shared" si="231"/>
        <v/>
      </c>
      <c r="CD389" s="179" t="str">
        <f t="shared" si="232"/>
        <v/>
      </c>
      <c r="CE389" s="179" t="str">
        <f t="shared" si="233"/>
        <v/>
      </c>
      <c r="CF389" s="179" t="str">
        <f t="shared" si="234"/>
        <v/>
      </c>
      <c r="CG389" s="179" t="str">
        <f t="shared" si="235"/>
        <v/>
      </c>
      <c r="CH389" s="166"/>
      <c r="CI389" s="166"/>
      <c r="CJ389" s="166"/>
      <c r="CK389" s="166" t="s">
        <v>150</v>
      </c>
      <c r="CL389" s="166"/>
    </row>
    <row r="390" spans="1:90" ht="14.25" customHeight="1" thickBot="1" x14ac:dyDescent="0.3">
      <c r="A390" s="213">
        <v>380</v>
      </c>
      <c r="B390" s="88"/>
      <c r="C390" s="201"/>
      <c r="D390" s="94"/>
      <c r="E390" s="321" t="s">
        <v>93</v>
      </c>
      <c r="F390" s="96"/>
      <c r="G390" s="100"/>
      <c r="H390" s="100"/>
      <c r="I390" s="100"/>
      <c r="J390" s="100"/>
      <c r="K390" s="100"/>
      <c r="L390" s="100"/>
      <c r="M390" s="210"/>
      <c r="N390" s="234">
        <f t="shared" si="236"/>
        <v>0</v>
      </c>
      <c r="O390" s="308"/>
      <c r="P390" s="343"/>
      <c r="Q390" s="309"/>
      <c r="R390" s="324" t="s">
        <v>67</v>
      </c>
      <c r="S390" s="209">
        <f t="shared" si="244"/>
        <v>0</v>
      </c>
      <c r="T390" s="209">
        <f t="shared" si="245"/>
        <v>0</v>
      </c>
      <c r="U390" s="209"/>
      <c r="V390" s="209">
        <f t="shared" si="246"/>
        <v>0</v>
      </c>
      <c r="W390" s="209"/>
      <c r="X390" s="209">
        <f t="shared" si="247"/>
        <v>0</v>
      </c>
      <c r="Y390" s="209">
        <f t="shared" si="248"/>
        <v>0</v>
      </c>
      <c r="Z390" s="351"/>
      <c r="AA390" s="234">
        <f t="shared" si="237"/>
        <v>0</v>
      </c>
      <c r="AB390" s="314">
        <f t="shared" si="214"/>
        <v>0</v>
      </c>
      <c r="AC390" s="314"/>
      <c r="AD390" s="314">
        <f t="shared" si="215"/>
        <v>0</v>
      </c>
      <c r="AE390" s="324" t="s">
        <v>87</v>
      </c>
      <c r="AF390" s="82">
        <f t="shared" si="239"/>
        <v>0</v>
      </c>
      <c r="AG390" s="337">
        <f t="shared" si="240"/>
        <v>0</v>
      </c>
      <c r="AH390" s="337"/>
      <c r="AI390" s="337">
        <f t="shared" si="241"/>
        <v>0</v>
      </c>
      <c r="AJ390" s="337"/>
      <c r="AK390" s="337">
        <f t="shared" si="242"/>
        <v>0</v>
      </c>
      <c r="AL390" s="338">
        <f t="shared" si="243"/>
        <v>0</v>
      </c>
      <c r="AM390" s="354"/>
      <c r="AN390" s="91">
        <f t="shared" si="238"/>
        <v>0</v>
      </c>
      <c r="AO390" s="96">
        <f t="shared" si="216"/>
        <v>0</v>
      </c>
      <c r="AP390" s="210"/>
      <c r="AQ390" s="97">
        <f t="shared" si="217"/>
        <v>0</v>
      </c>
      <c r="AR390" s="105"/>
      <c r="AS390" s="102"/>
      <c r="AT390" s="237"/>
      <c r="AU390" s="231"/>
      <c r="AV390" s="93"/>
      <c r="AW390" s="231"/>
      <c r="AX390" s="93"/>
      <c r="AY390" s="231"/>
      <c r="AZ390" s="93"/>
      <c r="BA390" s="17">
        <f t="shared" si="208"/>
        <v>3.8999999999999999E-5</v>
      </c>
      <c r="BB390" s="17">
        <f t="shared" si="209"/>
        <v>0</v>
      </c>
      <c r="BC390" s="17"/>
      <c r="BD390" s="178">
        <v>381</v>
      </c>
      <c r="BE390" s="214">
        <f t="shared" si="218"/>
        <v>4.6999999999999999E-6</v>
      </c>
      <c r="BF390" s="178">
        <f t="shared" si="210"/>
        <v>0</v>
      </c>
      <c r="BG390" s="245">
        <f t="shared" si="211"/>
        <v>3.8999999999999999E-5</v>
      </c>
      <c r="BH390" s="17">
        <f t="shared" si="219"/>
        <v>0</v>
      </c>
      <c r="BI390" s="178">
        <v>381</v>
      </c>
      <c r="BJ390" s="87">
        <f t="shared" si="220"/>
        <v>3.0000000000000001E-6</v>
      </c>
      <c r="BK390" s="215">
        <f t="shared" si="212"/>
        <v>0</v>
      </c>
      <c r="BL390" s="245">
        <f t="shared" si="221"/>
        <v>3.8999999999999999E-5</v>
      </c>
      <c r="BM390" s="17">
        <f t="shared" si="222"/>
        <v>0</v>
      </c>
      <c r="BN390" s="178">
        <v>381</v>
      </c>
      <c r="BO390" s="87">
        <f t="shared" si="223"/>
        <v>3.0000000000000001E-6</v>
      </c>
      <c r="BP390" s="215">
        <f t="shared" si="213"/>
        <v>0</v>
      </c>
      <c r="BR390" s="126"/>
      <c r="BS390" s="126"/>
      <c r="BU390" s="178"/>
      <c r="BV390" s="179" t="str">
        <f t="shared" si="224"/>
        <v/>
      </c>
      <c r="BW390" s="179" t="str">
        <f t="shared" si="225"/>
        <v/>
      </c>
      <c r="BX390" s="179" t="str">
        <f t="shared" si="226"/>
        <v/>
      </c>
      <c r="BY390" s="179" t="str">
        <f t="shared" si="227"/>
        <v/>
      </c>
      <c r="BZ390" s="179" t="str">
        <f t="shared" si="228"/>
        <v/>
      </c>
      <c r="CA390" s="179" t="str">
        <f t="shared" si="229"/>
        <v/>
      </c>
      <c r="CB390" s="179" t="str">
        <f t="shared" si="230"/>
        <v/>
      </c>
      <c r="CC390" s="179" t="str">
        <f t="shared" si="231"/>
        <v/>
      </c>
      <c r="CD390" s="179" t="str">
        <f t="shared" si="232"/>
        <v/>
      </c>
      <c r="CE390" s="179" t="str">
        <f t="shared" si="233"/>
        <v/>
      </c>
      <c r="CF390" s="179" t="str">
        <f t="shared" si="234"/>
        <v/>
      </c>
      <c r="CG390" s="179" t="str">
        <f t="shared" si="235"/>
        <v/>
      </c>
      <c r="CH390" s="166"/>
      <c r="CI390" s="166"/>
      <c r="CJ390" s="166"/>
      <c r="CK390" s="166" t="s">
        <v>150</v>
      </c>
      <c r="CL390" s="166"/>
    </row>
    <row r="391" spans="1:90" ht="14.25" customHeight="1" x14ac:dyDescent="0.25">
      <c r="A391" s="211">
        <v>381</v>
      </c>
      <c r="B391" s="89"/>
      <c r="C391" s="199"/>
      <c r="D391" s="146"/>
      <c r="E391" s="319" t="s">
        <v>93</v>
      </c>
      <c r="F391" s="221"/>
      <c r="G391" s="222"/>
      <c r="H391" s="222"/>
      <c r="I391" s="222"/>
      <c r="J391" s="222"/>
      <c r="K391" s="222"/>
      <c r="L391" s="222"/>
      <c r="M391" s="331"/>
      <c r="N391" s="303">
        <f t="shared" si="236"/>
        <v>0</v>
      </c>
      <c r="O391" s="304"/>
      <c r="P391" s="341"/>
      <c r="Q391" s="305"/>
      <c r="R391" s="322" t="s">
        <v>67</v>
      </c>
      <c r="S391" s="209">
        <f t="shared" si="244"/>
        <v>0</v>
      </c>
      <c r="T391" s="209">
        <f t="shared" si="245"/>
        <v>0</v>
      </c>
      <c r="U391" s="209"/>
      <c r="V391" s="209">
        <f t="shared" si="246"/>
        <v>0</v>
      </c>
      <c r="W391" s="209"/>
      <c r="X391" s="209">
        <f t="shared" si="247"/>
        <v>0</v>
      </c>
      <c r="Y391" s="209">
        <f t="shared" si="248"/>
        <v>0</v>
      </c>
      <c r="Z391" s="303"/>
      <c r="AA391" s="303">
        <f t="shared" si="237"/>
        <v>0</v>
      </c>
      <c r="AB391" s="314">
        <f t="shared" si="214"/>
        <v>0</v>
      </c>
      <c r="AC391" s="314"/>
      <c r="AD391" s="314">
        <f t="shared" si="215"/>
        <v>0</v>
      </c>
      <c r="AE391" s="325" t="s">
        <v>148</v>
      </c>
      <c r="AF391" s="15">
        <f t="shared" si="239"/>
        <v>0</v>
      </c>
      <c r="AG391" s="232">
        <f t="shared" si="240"/>
        <v>0</v>
      </c>
      <c r="AH391" s="232"/>
      <c r="AI391" s="232">
        <f t="shared" si="241"/>
        <v>0</v>
      </c>
      <c r="AJ391" s="232"/>
      <c r="AK391" s="232">
        <f t="shared" si="242"/>
        <v>0</v>
      </c>
      <c r="AL391" s="7">
        <f t="shared" si="243"/>
        <v>0</v>
      </c>
      <c r="AM391" s="352"/>
      <c r="AN391" s="22">
        <f t="shared" si="238"/>
        <v>0</v>
      </c>
      <c r="AO391" s="15">
        <f t="shared" si="216"/>
        <v>0</v>
      </c>
      <c r="AP391" s="345"/>
      <c r="AQ391" s="7">
        <f t="shared" si="217"/>
        <v>0</v>
      </c>
      <c r="AR391" s="103"/>
      <c r="AS391" s="101"/>
      <c r="AT391" s="236"/>
      <c r="AU391" s="235"/>
      <c r="AV391" s="92"/>
      <c r="AW391" s="235"/>
      <c r="AX391" s="92"/>
      <c r="AY391" s="235"/>
      <c r="AZ391" s="92"/>
      <c r="BA391" s="17">
        <f t="shared" si="208"/>
        <v>3.9099999999999995E-5</v>
      </c>
      <c r="BB391" s="17">
        <f t="shared" si="209"/>
        <v>0</v>
      </c>
      <c r="BC391" s="17"/>
      <c r="BD391" s="178">
        <v>382</v>
      </c>
      <c r="BE391" s="214">
        <f t="shared" si="218"/>
        <v>4.6E-6</v>
      </c>
      <c r="BF391" s="178">
        <f t="shared" si="210"/>
        <v>0</v>
      </c>
      <c r="BG391" s="245">
        <f t="shared" si="211"/>
        <v>3.9099999999999995E-5</v>
      </c>
      <c r="BH391" s="17">
        <f t="shared" si="219"/>
        <v>0</v>
      </c>
      <c r="BI391" s="178">
        <v>382</v>
      </c>
      <c r="BJ391" s="87">
        <f t="shared" si="220"/>
        <v>2.8999999999999998E-6</v>
      </c>
      <c r="BK391" s="215">
        <f t="shared" si="212"/>
        <v>0</v>
      </c>
      <c r="BL391" s="245">
        <f t="shared" si="221"/>
        <v>3.9099999999999995E-5</v>
      </c>
      <c r="BM391" s="17">
        <f t="shared" si="222"/>
        <v>0</v>
      </c>
      <c r="BN391" s="178">
        <v>382</v>
      </c>
      <c r="BO391" s="87">
        <f t="shared" si="223"/>
        <v>2.8999999999999998E-6</v>
      </c>
      <c r="BP391" s="215">
        <f t="shared" si="213"/>
        <v>0</v>
      </c>
      <c r="BR391" s="126"/>
      <c r="BS391" s="126"/>
      <c r="BU391" s="178"/>
      <c r="BV391" s="179" t="str">
        <f t="shared" si="224"/>
        <v/>
      </c>
      <c r="BW391" s="179" t="str">
        <f t="shared" si="225"/>
        <v/>
      </c>
      <c r="BX391" s="179" t="str">
        <f t="shared" si="226"/>
        <v/>
      </c>
      <c r="BY391" s="179" t="str">
        <f t="shared" si="227"/>
        <v/>
      </c>
      <c r="BZ391" s="179" t="str">
        <f t="shared" si="228"/>
        <v/>
      </c>
      <c r="CA391" s="179" t="str">
        <f t="shared" si="229"/>
        <v/>
      </c>
      <c r="CB391" s="179" t="str">
        <f t="shared" si="230"/>
        <v/>
      </c>
      <c r="CC391" s="179" t="str">
        <f t="shared" si="231"/>
        <v/>
      </c>
      <c r="CD391" s="179" t="str">
        <f t="shared" si="232"/>
        <v/>
      </c>
      <c r="CE391" s="179" t="str">
        <f t="shared" si="233"/>
        <v/>
      </c>
      <c r="CF391" s="179" t="str">
        <f t="shared" si="234"/>
        <v/>
      </c>
      <c r="CG391" s="179" t="str">
        <f t="shared" si="235"/>
        <v/>
      </c>
      <c r="CH391" s="166"/>
      <c r="CI391" s="166"/>
      <c r="CJ391" s="166"/>
      <c r="CK391" s="166" t="s">
        <v>150</v>
      </c>
      <c r="CL391" s="166"/>
    </row>
    <row r="392" spans="1:90" ht="14.25" customHeight="1" thickBot="1" x14ac:dyDescent="0.3">
      <c r="A392" s="213">
        <v>382</v>
      </c>
      <c r="B392" s="219"/>
      <c r="C392" s="200"/>
      <c r="D392" s="145"/>
      <c r="E392" s="320" t="s">
        <v>93</v>
      </c>
      <c r="F392" s="209"/>
      <c r="G392" s="313"/>
      <c r="H392" s="313"/>
      <c r="I392" s="313"/>
      <c r="J392" s="313"/>
      <c r="K392" s="313"/>
      <c r="L392" s="313"/>
      <c r="M392" s="339"/>
      <c r="N392" s="233">
        <f t="shared" si="236"/>
        <v>0</v>
      </c>
      <c r="O392" s="306"/>
      <c r="P392" s="342"/>
      <c r="Q392" s="307"/>
      <c r="R392" s="323" t="s">
        <v>67</v>
      </c>
      <c r="S392" s="209">
        <f t="shared" si="244"/>
        <v>0</v>
      </c>
      <c r="T392" s="209">
        <f t="shared" si="245"/>
        <v>0</v>
      </c>
      <c r="U392" s="209"/>
      <c r="V392" s="209">
        <f t="shared" si="246"/>
        <v>0</v>
      </c>
      <c r="W392" s="209"/>
      <c r="X392" s="209">
        <f t="shared" si="247"/>
        <v>0</v>
      </c>
      <c r="Y392" s="209">
        <f t="shared" si="248"/>
        <v>0</v>
      </c>
      <c r="Z392" s="233"/>
      <c r="AA392" s="233">
        <f t="shared" si="237"/>
        <v>0</v>
      </c>
      <c r="AB392" s="314">
        <f t="shared" si="214"/>
        <v>0</v>
      </c>
      <c r="AC392" s="314"/>
      <c r="AD392" s="314">
        <f t="shared" si="215"/>
        <v>0</v>
      </c>
      <c r="AE392" s="323" t="s">
        <v>87</v>
      </c>
      <c r="AF392" s="81">
        <f t="shared" si="239"/>
        <v>0</v>
      </c>
      <c r="AG392" s="335">
        <f t="shared" si="240"/>
        <v>0</v>
      </c>
      <c r="AH392" s="335"/>
      <c r="AI392" s="335">
        <f t="shared" si="241"/>
        <v>0</v>
      </c>
      <c r="AJ392" s="335"/>
      <c r="AK392" s="335">
        <f t="shared" si="242"/>
        <v>0</v>
      </c>
      <c r="AL392" s="336">
        <f t="shared" si="243"/>
        <v>0</v>
      </c>
      <c r="AM392" s="353"/>
      <c r="AN392" s="22">
        <f t="shared" si="238"/>
        <v>0</v>
      </c>
      <c r="AO392" s="209">
        <f t="shared" si="216"/>
        <v>0</v>
      </c>
      <c r="AP392" s="339"/>
      <c r="AQ392" s="125">
        <f t="shared" si="217"/>
        <v>0</v>
      </c>
      <c r="AR392" s="104"/>
      <c r="AS392" s="217"/>
      <c r="AT392" s="216"/>
      <c r="AU392" s="230"/>
      <c r="AV392" s="220"/>
      <c r="AW392" s="230"/>
      <c r="AX392" s="220"/>
      <c r="AY392" s="230"/>
      <c r="AZ392" s="220"/>
      <c r="BA392" s="17">
        <f t="shared" si="208"/>
        <v>3.9199999999999997E-5</v>
      </c>
      <c r="BB392" s="17">
        <f t="shared" si="209"/>
        <v>0</v>
      </c>
      <c r="BC392" s="17"/>
      <c r="BD392" s="178">
        <v>383</v>
      </c>
      <c r="BE392" s="214">
        <f t="shared" si="218"/>
        <v>4.5000000000000001E-6</v>
      </c>
      <c r="BF392" s="178">
        <f t="shared" si="210"/>
        <v>0</v>
      </c>
      <c r="BG392" s="245">
        <f t="shared" si="211"/>
        <v>3.9199999999999997E-5</v>
      </c>
      <c r="BH392" s="17">
        <f t="shared" si="219"/>
        <v>0</v>
      </c>
      <c r="BI392" s="178">
        <v>383</v>
      </c>
      <c r="BJ392" s="87">
        <f t="shared" si="220"/>
        <v>2.7999999999999999E-6</v>
      </c>
      <c r="BK392" s="215" t="str">
        <f t="shared" si="212"/>
        <v/>
      </c>
      <c r="BL392" s="245">
        <f t="shared" si="221"/>
        <v>3.9199999999999997E-5</v>
      </c>
      <c r="BM392" s="17">
        <f t="shared" si="222"/>
        <v>0</v>
      </c>
      <c r="BN392" s="178">
        <v>383</v>
      </c>
      <c r="BO392" s="87">
        <f t="shared" si="223"/>
        <v>2.7999999999999999E-6</v>
      </c>
      <c r="BP392" s="215" t="str">
        <f t="shared" si="213"/>
        <v/>
      </c>
      <c r="BR392" s="126"/>
      <c r="BS392" s="126"/>
      <c r="BU392" s="178"/>
      <c r="BV392" s="179" t="str">
        <f t="shared" si="224"/>
        <v/>
      </c>
      <c r="BW392" s="179" t="str">
        <f t="shared" si="225"/>
        <v/>
      </c>
      <c r="BX392" s="179" t="str">
        <f t="shared" si="226"/>
        <v/>
      </c>
      <c r="BY392" s="179" t="str">
        <f t="shared" si="227"/>
        <v/>
      </c>
      <c r="BZ392" s="179" t="str">
        <f t="shared" si="228"/>
        <v/>
      </c>
      <c r="CA392" s="179" t="str">
        <f t="shared" si="229"/>
        <v/>
      </c>
      <c r="CB392" s="179" t="str">
        <f t="shared" si="230"/>
        <v/>
      </c>
      <c r="CC392" s="179" t="str">
        <f t="shared" si="231"/>
        <v/>
      </c>
      <c r="CD392" s="179" t="str">
        <f t="shared" si="232"/>
        <v/>
      </c>
      <c r="CE392" s="179" t="str">
        <f t="shared" si="233"/>
        <v/>
      </c>
      <c r="CF392" s="179" t="str">
        <f t="shared" si="234"/>
        <v/>
      </c>
      <c r="CG392" s="179" t="str">
        <f t="shared" si="235"/>
        <v/>
      </c>
      <c r="CH392" s="166"/>
      <c r="CI392" s="166"/>
      <c r="CJ392" s="166"/>
      <c r="CK392" s="166" t="s">
        <v>150</v>
      </c>
      <c r="CL392" s="166"/>
    </row>
    <row r="393" spans="1:90" ht="14.25" customHeight="1" thickBot="1" x14ac:dyDescent="0.3">
      <c r="A393" s="211">
        <v>383</v>
      </c>
      <c r="B393" s="88"/>
      <c r="C393" s="201"/>
      <c r="D393" s="94"/>
      <c r="E393" s="321" t="s">
        <v>93</v>
      </c>
      <c r="F393" s="96"/>
      <c r="G393" s="100"/>
      <c r="H393" s="100"/>
      <c r="I393" s="100"/>
      <c r="J393" s="100"/>
      <c r="K393" s="100"/>
      <c r="L393" s="100"/>
      <c r="M393" s="210"/>
      <c r="N393" s="234">
        <f t="shared" si="236"/>
        <v>0</v>
      </c>
      <c r="O393" s="308"/>
      <c r="P393" s="343"/>
      <c r="Q393" s="309"/>
      <c r="R393" s="324" t="s">
        <v>67</v>
      </c>
      <c r="S393" s="209">
        <f t="shared" si="244"/>
        <v>0</v>
      </c>
      <c r="T393" s="209">
        <f t="shared" si="245"/>
        <v>0</v>
      </c>
      <c r="U393" s="209"/>
      <c r="V393" s="209">
        <f t="shared" si="246"/>
        <v>0</v>
      </c>
      <c r="W393" s="209"/>
      <c r="X393" s="209">
        <f t="shared" si="247"/>
        <v>0</v>
      </c>
      <c r="Y393" s="209">
        <f t="shared" si="248"/>
        <v>0</v>
      </c>
      <c r="Z393" s="351"/>
      <c r="AA393" s="234">
        <f t="shared" si="237"/>
        <v>0</v>
      </c>
      <c r="AB393" s="314">
        <f t="shared" si="214"/>
        <v>0</v>
      </c>
      <c r="AC393" s="314"/>
      <c r="AD393" s="314">
        <f t="shared" si="215"/>
        <v>0</v>
      </c>
      <c r="AE393" s="324" t="s">
        <v>87</v>
      </c>
      <c r="AF393" s="82">
        <f t="shared" si="239"/>
        <v>0</v>
      </c>
      <c r="AG393" s="337">
        <f t="shared" si="240"/>
        <v>0</v>
      </c>
      <c r="AH393" s="337"/>
      <c r="AI393" s="337">
        <f t="shared" si="241"/>
        <v>0</v>
      </c>
      <c r="AJ393" s="337"/>
      <c r="AK393" s="337">
        <f t="shared" si="242"/>
        <v>0</v>
      </c>
      <c r="AL393" s="338">
        <f t="shared" si="243"/>
        <v>0</v>
      </c>
      <c r="AM393" s="354"/>
      <c r="AN393" s="91">
        <f t="shared" si="238"/>
        <v>0</v>
      </c>
      <c r="AO393" s="96">
        <f t="shared" si="216"/>
        <v>0</v>
      </c>
      <c r="AP393" s="210"/>
      <c r="AQ393" s="97">
        <f t="shared" si="217"/>
        <v>0</v>
      </c>
      <c r="AR393" s="105"/>
      <c r="AS393" s="102"/>
      <c r="AT393" s="237"/>
      <c r="AU393" s="231"/>
      <c r="AV393" s="93"/>
      <c r="AW393" s="231"/>
      <c r="AX393" s="93"/>
      <c r="AY393" s="231"/>
      <c r="AZ393" s="93"/>
      <c r="BA393" s="17">
        <f t="shared" si="208"/>
        <v>3.93E-5</v>
      </c>
      <c r="BB393" s="17">
        <f t="shared" si="209"/>
        <v>0</v>
      </c>
      <c r="BC393" s="17"/>
      <c r="BD393" s="178">
        <v>384</v>
      </c>
      <c r="BE393" s="214">
        <f t="shared" si="218"/>
        <v>4.4000000000000002E-6</v>
      </c>
      <c r="BF393" s="178">
        <f t="shared" si="210"/>
        <v>0</v>
      </c>
      <c r="BG393" s="245">
        <f t="shared" si="211"/>
        <v>3.93E-5</v>
      </c>
      <c r="BH393" s="17">
        <f t="shared" si="219"/>
        <v>0</v>
      </c>
      <c r="BI393" s="178">
        <v>384</v>
      </c>
      <c r="BJ393" s="87">
        <f t="shared" si="220"/>
        <v>2.7E-6</v>
      </c>
      <c r="BK393" s="215">
        <f t="shared" si="212"/>
        <v>0</v>
      </c>
      <c r="BL393" s="245">
        <f t="shared" si="221"/>
        <v>3.93E-5</v>
      </c>
      <c r="BM393" s="17">
        <f t="shared" si="222"/>
        <v>0</v>
      </c>
      <c r="BN393" s="178">
        <v>384</v>
      </c>
      <c r="BO393" s="87">
        <f t="shared" si="223"/>
        <v>2.7E-6</v>
      </c>
      <c r="BP393" s="215">
        <f t="shared" si="213"/>
        <v>0</v>
      </c>
      <c r="BR393" s="126"/>
      <c r="BS393" s="126"/>
      <c r="BU393" s="178"/>
      <c r="BV393" s="179" t="str">
        <f t="shared" si="224"/>
        <v/>
      </c>
      <c r="BW393" s="179" t="str">
        <f t="shared" si="225"/>
        <v/>
      </c>
      <c r="BX393" s="179" t="str">
        <f t="shared" si="226"/>
        <v/>
      </c>
      <c r="BY393" s="179" t="str">
        <f t="shared" si="227"/>
        <v/>
      </c>
      <c r="BZ393" s="179" t="str">
        <f t="shared" si="228"/>
        <v/>
      </c>
      <c r="CA393" s="179" t="str">
        <f t="shared" si="229"/>
        <v/>
      </c>
      <c r="CB393" s="179" t="str">
        <f t="shared" si="230"/>
        <v/>
      </c>
      <c r="CC393" s="179" t="str">
        <f t="shared" si="231"/>
        <v/>
      </c>
      <c r="CD393" s="179" t="str">
        <f t="shared" si="232"/>
        <v/>
      </c>
      <c r="CE393" s="179" t="str">
        <f t="shared" si="233"/>
        <v/>
      </c>
      <c r="CF393" s="179" t="str">
        <f t="shared" si="234"/>
        <v/>
      </c>
      <c r="CG393" s="179" t="str">
        <f t="shared" si="235"/>
        <v/>
      </c>
      <c r="CH393" s="166"/>
      <c r="CI393" s="166"/>
      <c r="CJ393" s="166"/>
      <c r="CK393" s="166" t="s">
        <v>150</v>
      </c>
      <c r="CL393" s="166"/>
    </row>
    <row r="394" spans="1:90" ht="14.25" customHeight="1" thickBot="1" x14ac:dyDescent="0.3">
      <c r="A394" s="213">
        <v>384</v>
      </c>
      <c r="B394" s="89"/>
      <c r="C394" s="199"/>
      <c r="D394" s="146"/>
      <c r="E394" s="319" t="s">
        <v>93</v>
      </c>
      <c r="F394" s="221"/>
      <c r="G394" s="222"/>
      <c r="H394" s="222"/>
      <c r="I394" s="222"/>
      <c r="J394" s="222"/>
      <c r="K394" s="222"/>
      <c r="L394" s="222"/>
      <c r="M394" s="331"/>
      <c r="N394" s="303">
        <f t="shared" si="236"/>
        <v>0</v>
      </c>
      <c r="O394" s="304"/>
      <c r="P394" s="341"/>
      <c r="Q394" s="305"/>
      <c r="R394" s="322" t="s">
        <v>67</v>
      </c>
      <c r="S394" s="209">
        <f t="shared" si="244"/>
        <v>0</v>
      </c>
      <c r="T394" s="209">
        <f t="shared" si="245"/>
        <v>0</v>
      </c>
      <c r="U394" s="209"/>
      <c r="V394" s="209">
        <f t="shared" si="246"/>
        <v>0</v>
      </c>
      <c r="W394" s="209"/>
      <c r="X394" s="209">
        <f t="shared" si="247"/>
        <v>0</v>
      </c>
      <c r="Y394" s="209">
        <f t="shared" si="248"/>
        <v>0</v>
      </c>
      <c r="Z394" s="303"/>
      <c r="AA394" s="303">
        <f t="shared" si="237"/>
        <v>0</v>
      </c>
      <c r="AB394" s="314">
        <f t="shared" si="214"/>
        <v>0</v>
      </c>
      <c r="AC394" s="314"/>
      <c r="AD394" s="314">
        <f t="shared" si="215"/>
        <v>0</v>
      </c>
      <c r="AE394" s="325" t="s">
        <v>148</v>
      </c>
      <c r="AF394" s="15">
        <f t="shared" si="239"/>
        <v>0</v>
      </c>
      <c r="AG394" s="232">
        <f t="shared" si="240"/>
        <v>0</v>
      </c>
      <c r="AH394" s="232"/>
      <c r="AI394" s="232">
        <f t="shared" si="241"/>
        <v>0</v>
      </c>
      <c r="AJ394" s="232"/>
      <c r="AK394" s="232">
        <f t="shared" si="242"/>
        <v>0</v>
      </c>
      <c r="AL394" s="7">
        <f t="shared" si="243"/>
        <v>0</v>
      </c>
      <c r="AM394" s="352"/>
      <c r="AN394" s="22">
        <f t="shared" si="238"/>
        <v>0</v>
      </c>
      <c r="AO394" s="15">
        <f t="shared" si="216"/>
        <v>0</v>
      </c>
      <c r="AP394" s="345"/>
      <c r="AQ394" s="7">
        <f t="shared" si="217"/>
        <v>0</v>
      </c>
      <c r="AR394" s="103"/>
      <c r="AS394" s="101"/>
      <c r="AT394" s="236"/>
      <c r="AU394" s="235"/>
      <c r="AV394" s="92"/>
      <c r="AW394" s="235"/>
      <c r="AX394" s="92"/>
      <c r="AY394" s="235"/>
      <c r="AZ394" s="92"/>
      <c r="BA394" s="17">
        <f t="shared" ref="BA394:BA410" si="249">N394+ROW()*0.0000001</f>
        <v>3.9399999999999995E-5</v>
      </c>
      <c r="BB394" s="17">
        <f t="shared" ref="BB394:BB410" si="250">B394</f>
        <v>0</v>
      </c>
      <c r="BC394" s="17"/>
      <c r="BD394" s="178">
        <v>385</v>
      </c>
      <c r="BE394" s="214">
        <f t="shared" si="218"/>
        <v>4.2999999999999995E-6</v>
      </c>
      <c r="BF394" s="178">
        <f t="shared" ref="BF394:BF409" si="251">IFERROR(VLOOKUP(BE394,الترتيب1,2,0),"")</f>
        <v>0</v>
      </c>
      <c r="BG394" s="245">
        <f t="shared" ref="BG394:BG410" si="252">AA394+ROW()*0.0000001</f>
        <v>3.9399999999999995E-5</v>
      </c>
      <c r="BH394" s="17">
        <f t="shared" si="219"/>
        <v>0</v>
      </c>
      <c r="BI394" s="178">
        <v>385</v>
      </c>
      <c r="BJ394" s="87">
        <f t="shared" si="220"/>
        <v>2.5999999999999997E-6</v>
      </c>
      <c r="BK394" s="215" t="str">
        <f t="shared" ref="BK394:BK409" si="253">IFERROR(VLOOKUP(BJ394,الترتيب2,2,0),"")</f>
        <v xml:space="preserve">ميّار صالح محمد ديماس </v>
      </c>
      <c r="BL394" s="245">
        <f t="shared" si="221"/>
        <v>3.9399999999999995E-5</v>
      </c>
      <c r="BM394" s="17">
        <f t="shared" si="222"/>
        <v>0</v>
      </c>
      <c r="BN394" s="178">
        <v>385</v>
      </c>
      <c r="BO394" s="87">
        <f t="shared" si="223"/>
        <v>2.5999999999999997E-6</v>
      </c>
      <c r="BP394" s="215" t="str">
        <f t="shared" ref="BP394:BP409" si="254">IFERROR(VLOOKUP(BO394,الترتيب3,2,0),"")</f>
        <v xml:space="preserve">ميّار صالح محمد ديماس </v>
      </c>
      <c r="BR394" s="126"/>
      <c r="BS394" s="126"/>
      <c r="BU394" s="178"/>
      <c r="BV394" s="179" t="str">
        <f t="shared" si="224"/>
        <v/>
      </c>
      <c r="BW394" s="179" t="str">
        <f t="shared" si="225"/>
        <v/>
      </c>
      <c r="BX394" s="179" t="str">
        <f t="shared" si="226"/>
        <v/>
      </c>
      <c r="BY394" s="179" t="str">
        <f t="shared" si="227"/>
        <v/>
      </c>
      <c r="BZ394" s="179" t="str">
        <f t="shared" si="228"/>
        <v/>
      </c>
      <c r="CA394" s="179" t="str">
        <f t="shared" si="229"/>
        <v/>
      </c>
      <c r="CB394" s="179" t="str">
        <f t="shared" si="230"/>
        <v/>
      </c>
      <c r="CC394" s="179" t="str">
        <f t="shared" si="231"/>
        <v/>
      </c>
      <c r="CD394" s="179" t="str">
        <f t="shared" si="232"/>
        <v/>
      </c>
      <c r="CE394" s="179" t="str">
        <f t="shared" si="233"/>
        <v/>
      </c>
      <c r="CF394" s="179" t="str">
        <f t="shared" si="234"/>
        <v/>
      </c>
      <c r="CG394" s="179" t="str">
        <f t="shared" si="235"/>
        <v/>
      </c>
      <c r="CH394" s="166"/>
      <c r="CI394" s="166"/>
      <c r="CJ394" s="166"/>
      <c r="CK394" s="166" t="s">
        <v>150</v>
      </c>
      <c r="CL394" s="166"/>
    </row>
    <row r="395" spans="1:90" ht="14.25" customHeight="1" x14ac:dyDescent="0.25">
      <c r="A395" s="211">
        <v>385</v>
      </c>
      <c r="B395" s="219"/>
      <c r="C395" s="200"/>
      <c r="D395" s="145"/>
      <c r="E395" s="320" t="s">
        <v>93</v>
      </c>
      <c r="F395" s="209"/>
      <c r="G395" s="313"/>
      <c r="H395" s="313"/>
      <c r="I395" s="313"/>
      <c r="J395" s="313"/>
      <c r="K395" s="313"/>
      <c r="L395" s="313"/>
      <c r="M395" s="339"/>
      <c r="N395" s="233">
        <f t="shared" si="236"/>
        <v>0</v>
      </c>
      <c r="O395" s="306"/>
      <c r="P395" s="342"/>
      <c r="Q395" s="307"/>
      <c r="R395" s="323" t="s">
        <v>67</v>
      </c>
      <c r="S395" s="209">
        <f t="shared" si="244"/>
        <v>0</v>
      </c>
      <c r="T395" s="209">
        <f t="shared" si="245"/>
        <v>0</v>
      </c>
      <c r="U395" s="209"/>
      <c r="V395" s="209">
        <f t="shared" si="246"/>
        <v>0</v>
      </c>
      <c r="W395" s="209"/>
      <c r="X395" s="209">
        <f t="shared" si="247"/>
        <v>0</v>
      </c>
      <c r="Y395" s="209">
        <f t="shared" si="248"/>
        <v>0</v>
      </c>
      <c r="Z395" s="233"/>
      <c r="AA395" s="233">
        <f t="shared" si="237"/>
        <v>0</v>
      </c>
      <c r="AB395" s="314">
        <f t="shared" ref="AB395:AB410" si="255">O395</f>
        <v>0</v>
      </c>
      <c r="AC395" s="314"/>
      <c r="AD395" s="314">
        <f t="shared" ref="AD395:AD410" si="256">Q395</f>
        <v>0</v>
      </c>
      <c r="AE395" s="323" t="s">
        <v>87</v>
      </c>
      <c r="AF395" s="81">
        <f t="shared" si="239"/>
        <v>0</v>
      </c>
      <c r="AG395" s="335">
        <f t="shared" si="240"/>
        <v>0</v>
      </c>
      <c r="AH395" s="335"/>
      <c r="AI395" s="335">
        <f t="shared" si="241"/>
        <v>0</v>
      </c>
      <c r="AJ395" s="335"/>
      <c r="AK395" s="335">
        <f t="shared" si="242"/>
        <v>0</v>
      </c>
      <c r="AL395" s="336">
        <f t="shared" si="243"/>
        <v>0</v>
      </c>
      <c r="AM395" s="353"/>
      <c r="AN395" s="22">
        <f t="shared" si="238"/>
        <v>0</v>
      </c>
      <c r="AO395" s="209">
        <f t="shared" ref="AO395:AO410" si="257">AB395</f>
        <v>0</v>
      </c>
      <c r="AP395" s="339"/>
      <c r="AQ395" s="125">
        <f t="shared" ref="AQ395:AQ410" si="258">AD395</f>
        <v>0</v>
      </c>
      <c r="AR395" s="104"/>
      <c r="AS395" s="217"/>
      <c r="AT395" s="216"/>
      <c r="AU395" s="230"/>
      <c r="AV395" s="220"/>
      <c r="AW395" s="230"/>
      <c r="AX395" s="220"/>
      <c r="AY395" s="230"/>
      <c r="AZ395" s="220"/>
      <c r="BA395" s="17">
        <f t="shared" si="249"/>
        <v>3.9499999999999998E-5</v>
      </c>
      <c r="BB395" s="17">
        <f t="shared" si="250"/>
        <v>0</v>
      </c>
      <c r="BC395" s="17"/>
      <c r="BD395" s="178">
        <v>386</v>
      </c>
      <c r="BE395" s="214">
        <f t="shared" ref="BE395:BE409" si="259">IFERROR(LARGE($BA$11:$BA$410,BD395),"")</f>
        <v>4.1999999999999996E-6</v>
      </c>
      <c r="BF395" s="178">
        <f t="shared" si="251"/>
        <v>0</v>
      </c>
      <c r="BG395" s="245">
        <f t="shared" si="252"/>
        <v>3.9499999999999998E-5</v>
      </c>
      <c r="BH395" s="17">
        <f t="shared" ref="BH395:BH409" si="260">BB395</f>
        <v>0</v>
      </c>
      <c r="BI395" s="178">
        <v>386</v>
      </c>
      <c r="BJ395" s="87">
        <f t="shared" ref="BJ395:BJ409" si="261">IFERROR(LARGE($BG$11:$BG$410,BI395),"")</f>
        <v>2.4999999999999998E-6</v>
      </c>
      <c r="BK395" s="215" t="str">
        <f t="shared" si="253"/>
        <v>معاوية عز الدين محمد أحفيظان</v>
      </c>
      <c r="BL395" s="245">
        <f t="shared" ref="BL395:BL410" si="262">AN395+ROW()*0.0000001</f>
        <v>3.9499999999999998E-5</v>
      </c>
      <c r="BM395" s="17">
        <f t="shared" ref="BM395:BM409" si="263">BH395</f>
        <v>0</v>
      </c>
      <c r="BN395" s="178">
        <v>386</v>
      </c>
      <c r="BO395" s="87">
        <f t="shared" ref="BO395:BO409" si="264">IFERROR(LARGE($BL$11:$BL$410,BN395),"")</f>
        <v>2.4999999999999998E-6</v>
      </c>
      <c r="BP395" s="215" t="str">
        <f t="shared" si="254"/>
        <v>معاوية عز الدين محمد أحفيظان</v>
      </c>
      <c r="BR395" s="126"/>
      <c r="BS395" s="126"/>
      <c r="BU395" s="178"/>
      <c r="BV395" s="179" t="str">
        <f t="shared" ref="BV395:BV409" si="265">MID($BT395,12,1)</f>
        <v/>
      </c>
      <c r="BW395" s="179" t="str">
        <f t="shared" ref="BW395:BW409" si="266">MID($BT395,11,1)</f>
        <v/>
      </c>
      <c r="BX395" s="179" t="str">
        <f t="shared" ref="BX395:BX409" si="267">MID($BT395,10,1)</f>
        <v/>
      </c>
      <c r="BY395" s="179" t="str">
        <f t="shared" ref="BY395:BY409" si="268">MID($BT395,9,1)</f>
        <v/>
      </c>
      <c r="BZ395" s="179" t="str">
        <f t="shared" ref="BZ395:BZ409" si="269">MID($BT395,8,1)</f>
        <v/>
      </c>
      <c r="CA395" s="179" t="str">
        <f t="shared" ref="CA395:CA409" si="270">MID($BT395,7,1)</f>
        <v/>
      </c>
      <c r="CB395" s="179" t="str">
        <f t="shared" ref="CB395:CB409" si="271">MID($BT395,6,1)</f>
        <v/>
      </c>
      <c r="CC395" s="179" t="str">
        <f t="shared" ref="CC395:CC409" si="272">MID($BT395,5,1)</f>
        <v/>
      </c>
      <c r="CD395" s="179" t="str">
        <f t="shared" ref="CD395:CD409" si="273">MID($BT395,4,1)</f>
        <v/>
      </c>
      <c r="CE395" s="179" t="str">
        <f t="shared" ref="CE395:CE409" si="274">MID($BT395,3,1)</f>
        <v/>
      </c>
      <c r="CF395" s="179" t="str">
        <f t="shared" ref="CF395:CF409" si="275">MID($BT395,2,1)</f>
        <v/>
      </c>
      <c r="CG395" s="179" t="str">
        <f t="shared" ref="CG395:CG409" si="276">MID($BT395,1,1)</f>
        <v/>
      </c>
      <c r="CH395" s="166"/>
      <c r="CI395" s="166"/>
      <c r="CJ395" s="166"/>
      <c r="CK395" s="166" t="s">
        <v>150</v>
      </c>
      <c r="CL395" s="166"/>
    </row>
    <row r="396" spans="1:90" ht="14.25" customHeight="1" thickBot="1" x14ac:dyDescent="0.3">
      <c r="A396" s="213">
        <v>386</v>
      </c>
      <c r="B396" s="88"/>
      <c r="C396" s="201"/>
      <c r="D396" s="94"/>
      <c r="E396" s="321" t="s">
        <v>93</v>
      </c>
      <c r="F396" s="96"/>
      <c r="G396" s="100"/>
      <c r="H396" s="100"/>
      <c r="I396" s="100"/>
      <c r="J396" s="100"/>
      <c r="K396" s="100"/>
      <c r="L396" s="100"/>
      <c r="M396" s="210"/>
      <c r="N396" s="234">
        <f t="shared" si="236"/>
        <v>0</v>
      </c>
      <c r="O396" s="308"/>
      <c r="P396" s="343"/>
      <c r="Q396" s="309"/>
      <c r="R396" s="324" t="s">
        <v>67</v>
      </c>
      <c r="S396" s="209">
        <f t="shared" si="244"/>
        <v>0</v>
      </c>
      <c r="T396" s="209">
        <f t="shared" si="245"/>
        <v>0</v>
      </c>
      <c r="U396" s="209"/>
      <c r="V396" s="209">
        <f t="shared" si="246"/>
        <v>0</v>
      </c>
      <c r="W396" s="209"/>
      <c r="X396" s="209">
        <f t="shared" si="247"/>
        <v>0</v>
      </c>
      <c r="Y396" s="209">
        <f t="shared" si="248"/>
        <v>0</v>
      </c>
      <c r="Z396" s="351"/>
      <c r="AA396" s="234">
        <f t="shared" si="237"/>
        <v>0</v>
      </c>
      <c r="AB396" s="314">
        <f t="shared" si="255"/>
        <v>0</v>
      </c>
      <c r="AC396" s="314"/>
      <c r="AD396" s="314">
        <f t="shared" si="256"/>
        <v>0</v>
      </c>
      <c r="AE396" s="324" t="s">
        <v>87</v>
      </c>
      <c r="AF396" s="82">
        <f t="shared" si="239"/>
        <v>0</v>
      </c>
      <c r="AG396" s="337">
        <f t="shared" si="240"/>
        <v>0</v>
      </c>
      <c r="AH396" s="337"/>
      <c r="AI396" s="337">
        <f t="shared" si="241"/>
        <v>0</v>
      </c>
      <c r="AJ396" s="337"/>
      <c r="AK396" s="337">
        <f t="shared" si="242"/>
        <v>0</v>
      </c>
      <c r="AL396" s="338">
        <f t="shared" si="243"/>
        <v>0</v>
      </c>
      <c r="AM396" s="354"/>
      <c r="AN396" s="91">
        <f t="shared" si="238"/>
        <v>0</v>
      </c>
      <c r="AO396" s="96">
        <f t="shared" si="257"/>
        <v>0</v>
      </c>
      <c r="AP396" s="210"/>
      <c r="AQ396" s="97">
        <f t="shared" si="258"/>
        <v>0</v>
      </c>
      <c r="AR396" s="105"/>
      <c r="AS396" s="102"/>
      <c r="AT396" s="237"/>
      <c r="AU396" s="231"/>
      <c r="AV396" s="93"/>
      <c r="AW396" s="231"/>
      <c r="AX396" s="93"/>
      <c r="AY396" s="231"/>
      <c r="AZ396" s="93"/>
      <c r="BA396" s="17">
        <f t="shared" si="249"/>
        <v>3.96E-5</v>
      </c>
      <c r="BB396" s="17">
        <f t="shared" si="250"/>
        <v>0</v>
      </c>
      <c r="BC396" s="17"/>
      <c r="BD396" s="178">
        <v>387</v>
      </c>
      <c r="BE396" s="214">
        <f t="shared" si="259"/>
        <v>4.0999999999999997E-6</v>
      </c>
      <c r="BF396" s="178">
        <f t="shared" si="251"/>
        <v>0</v>
      </c>
      <c r="BG396" s="245">
        <f t="shared" si="252"/>
        <v>3.96E-5</v>
      </c>
      <c r="BH396" s="17">
        <f t="shared" si="260"/>
        <v>0</v>
      </c>
      <c r="BI396" s="178">
        <v>387</v>
      </c>
      <c r="BJ396" s="87">
        <f t="shared" si="261"/>
        <v>2.3999999999999999E-6</v>
      </c>
      <c r="BK396" s="215" t="str">
        <f t="shared" si="253"/>
        <v>مصطفى طارق فتحي الختال</v>
      </c>
      <c r="BL396" s="245">
        <f t="shared" si="262"/>
        <v>3.96E-5</v>
      </c>
      <c r="BM396" s="17">
        <f t="shared" si="263"/>
        <v>0</v>
      </c>
      <c r="BN396" s="178">
        <v>387</v>
      </c>
      <c r="BO396" s="87">
        <f t="shared" si="264"/>
        <v>2.3999999999999999E-6</v>
      </c>
      <c r="BP396" s="215" t="str">
        <f t="shared" si="254"/>
        <v>مصطفى طارق فتحي الختال</v>
      </c>
      <c r="BR396" s="126"/>
      <c r="BS396" s="126"/>
      <c r="BU396" s="178"/>
      <c r="BV396" s="179" t="str">
        <f t="shared" si="265"/>
        <v/>
      </c>
      <c r="BW396" s="179" t="str">
        <f t="shared" si="266"/>
        <v/>
      </c>
      <c r="BX396" s="179" t="str">
        <f t="shared" si="267"/>
        <v/>
      </c>
      <c r="BY396" s="179" t="str">
        <f t="shared" si="268"/>
        <v/>
      </c>
      <c r="BZ396" s="179" t="str">
        <f t="shared" si="269"/>
        <v/>
      </c>
      <c r="CA396" s="179" t="str">
        <f t="shared" si="270"/>
        <v/>
      </c>
      <c r="CB396" s="179" t="str">
        <f t="shared" si="271"/>
        <v/>
      </c>
      <c r="CC396" s="179" t="str">
        <f t="shared" si="272"/>
        <v/>
      </c>
      <c r="CD396" s="179" t="str">
        <f t="shared" si="273"/>
        <v/>
      </c>
      <c r="CE396" s="179" t="str">
        <f t="shared" si="274"/>
        <v/>
      </c>
      <c r="CF396" s="179" t="str">
        <f t="shared" si="275"/>
        <v/>
      </c>
      <c r="CG396" s="179" t="str">
        <f t="shared" si="276"/>
        <v/>
      </c>
      <c r="CH396" s="166"/>
      <c r="CI396" s="166"/>
      <c r="CJ396" s="166"/>
      <c r="CK396" s="166" t="s">
        <v>150</v>
      </c>
      <c r="CL396" s="166"/>
    </row>
    <row r="397" spans="1:90" ht="14.25" customHeight="1" x14ac:dyDescent="0.25">
      <c r="A397" s="211">
        <v>387</v>
      </c>
      <c r="B397" s="89"/>
      <c r="C397" s="199"/>
      <c r="D397" s="146"/>
      <c r="E397" s="319" t="s">
        <v>93</v>
      </c>
      <c r="F397" s="221"/>
      <c r="G397" s="222"/>
      <c r="H397" s="222"/>
      <c r="I397" s="222"/>
      <c r="J397" s="222"/>
      <c r="K397" s="222"/>
      <c r="L397" s="222"/>
      <c r="M397" s="331"/>
      <c r="N397" s="303">
        <f t="shared" ref="N397:N410" si="277">SUM(F397:L397)</f>
        <v>0</v>
      </c>
      <c r="O397" s="304"/>
      <c r="P397" s="341"/>
      <c r="Q397" s="305"/>
      <c r="R397" s="322" t="s">
        <v>67</v>
      </c>
      <c r="S397" s="209">
        <f t="shared" si="244"/>
        <v>0</v>
      </c>
      <c r="T397" s="209">
        <f t="shared" si="245"/>
        <v>0</v>
      </c>
      <c r="U397" s="209"/>
      <c r="V397" s="209">
        <f t="shared" si="246"/>
        <v>0</v>
      </c>
      <c r="W397" s="209"/>
      <c r="X397" s="209">
        <f t="shared" si="247"/>
        <v>0</v>
      </c>
      <c r="Y397" s="209">
        <f t="shared" si="248"/>
        <v>0</v>
      </c>
      <c r="Z397" s="303"/>
      <c r="AA397" s="303">
        <f t="shared" ref="AA397:AA410" si="278">SUM(S397:Y397)</f>
        <v>0</v>
      </c>
      <c r="AB397" s="314">
        <f t="shared" si="255"/>
        <v>0</v>
      </c>
      <c r="AC397" s="314"/>
      <c r="AD397" s="314">
        <f t="shared" si="256"/>
        <v>0</v>
      </c>
      <c r="AE397" s="325" t="s">
        <v>148</v>
      </c>
      <c r="AF397" s="15">
        <f t="shared" si="239"/>
        <v>0</v>
      </c>
      <c r="AG397" s="232">
        <f t="shared" si="240"/>
        <v>0</v>
      </c>
      <c r="AH397" s="232"/>
      <c r="AI397" s="232">
        <f t="shared" si="241"/>
        <v>0</v>
      </c>
      <c r="AJ397" s="232"/>
      <c r="AK397" s="232">
        <f t="shared" si="242"/>
        <v>0</v>
      </c>
      <c r="AL397" s="7">
        <f t="shared" si="243"/>
        <v>0</v>
      </c>
      <c r="AM397" s="352"/>
      <c r="AN397" s="22">
        <f t="shared" ref="AN397:AN410" si="279">SUM(AF397:AL397)</f>
        <v>0</v>
      </c>
      <c r="AO397" s="15">
        <f t="shared" si="257"/>
        <v>0</v>
      </c>
      <c r="AP397" s="345"/>
      <c r="AQ397" s="7">
        <f t="shared" si="258"/>
        <v>0</v>
      </c>
      <c r="AR397" s="103"/>
      <c r="AS397" s="101"/>
      <c r="AT397" s="236"/>
      <c r="AU397" s="235"/>
      <c r="AV397" s="92"/>
      <c r="AW397" s="235"/>
      <c r="AX397" s="92"/>
      <c r="AY397" s="235"/>
      <c r="AZ397" s="92"/>
      <c r="BA397" s="17">
        <f t="shared" si="249"/>
        <v>3.9699999999999996E-5</v>
      </c>
      <c r="BB397" s="17">
        <f t="shared" si="250"/>
        <v>0</v>
      </c>
      <c r="BC397" s="17"/>
      <c r="BD397" s="178">
        <v>388</v>
      </c>
      <c r="BE397" s="214">
        <f t="shared" si="259"/>
        <v>3.9999999999999998E-6</v>
      </c>
      <c r="BF397" s="178">
        <f t="shared" si="251"/>
        <v>0</v>
      </c>
      <c r="BG397" s="245">
        <f t="shared" si="252"/>
        <v>3.9699999999999996E-5</v>
      </c>
      <c r="BH397" s="17">
        <f t="shared" si="260"/>
        <v>0</v>
      </c>
      <c r="BI397" s="178">
        <v>388</v>
      </c>
      <c r="BJ397" s="87">
        <f t="shared" si="261"/>
        <v>2.3E-6</v>
      </c>
      <c r="BK397" s="215" t="str">
        <f t="shared" si="253"/>
        <v>محمد مجدي عبدالله سليمان</v>
      </c>
      <c r="BL397" s="245">
        <f t="shared" si="262"/>
        <v>3.9699999999999996E-5</v>
      </c>
      <c r="BM397" s="17">
        <f t="shared" si="263"/>
        <v>0</v>
      </c>
      <c r="BN397" s="178">
        <v>388</v>
      </c>
      <c r="BO397" s="87">
        <f t="shared" si="264"/>
        <v>2.3E-6</v>
      </c>
      <c r="BP397" s="215" t="str">
        <f t="shared" si="254"/>
        <v>محمد مجدي عبدالله سليمان</v>
      </c>
      <c r="BR397" s="126"/>
      <c r="BS397" s="126"/>
      <c r="BU397" s="178"/>
      <c r="BV397" s="179" t="str">
        <f t="shared" si="265"/>
        <v/>
      </c>
      <c r="BW397" s="179" t="str">
        <f t="shared" si="266"/>
        <v/>
      </c>
      <c r="BX397" s="179" t="str">
        <f t="shared" si="267"/>
        <v/>
      </c>
      <c r="BY397" s="179" t="str">
        <f t="shared" si="268"/>
        <v/>
      </c>
      <c r="BZ397" s="179" t="str">
        <f t="shared" si="269"/>
        <v/>
      </c>
      <c r="CA397" s="179" t="str">
        <f t="shared" si="270"/>
        <v/>
      </c>
      <c r="CB397" s="179" t="str">
        <f t="shared" si="271"/>
        <v/>
      </c>
      <c r="CC397" s="179" t="str">
        <f t="shared" si="272"/>
        <v/>
      </c>
      <c r="CD397" s="179" t="str">
        <f t="shared" si="273"/>
        <v/>
      </c>
      <c r="CE397" s="179" t="str">
        <f t="shared" si="274"/>
        <v/>
      </c>
      <c r="CF397" s="179" t="str">
        <f t="shared" si="275"/>
        <v/>
      </c>
      <c r="CG397" s="179" t="str">
        <f t="shared" si="276"/>
        <v/>
      </c>
      <c r="CH397" s="166"/>
      <c r="CI397" s="166"/>
      <c r="CJ397" s="166"/>
      <c r="CK397" s="166" t="s">
        <v>150</v>
      </c>
      <c r="CL397" s="166"/>
    </row>
    <row r="398" spans="1:90" ht="14.25" customHeight="1" thickBot="1" x14ac:dyDescent="0.3">
      <c r="A398" s="213">
        <v>388</v>
      </c>
      <c r="B398" s="219"/>
      <c r="C398" s="200"/>
      <c r="D398" s="145"/>
      <c r="E398" s="320" t="s">
        <v>93</v>
      </c>
      <c r="F398" s="209"/>
      <c r="G398" s="313"/>
      <c r="H398" s="313"/>
      <c r="I398" s="313"/>
      <c r="J398" s="313"/>
      <c r="K398" s="313"/>
      <c r="L398" s="313"/>
      <c r="M398" s="339"/>
      <c r="N398" s="233">
        <f t="shared" si="277"/>
        <v>0</v>
      </c>
      <c r="O398" s="306"/>
      <c r="P398" s="342"/>
      <c r="Q398" s="307"/>
      <c r="R398" s="323" t="s">
        <v>67</v>
      </c>
      <c r="S398" s="209">
        <f t="shared" si="244"/>
        <v>0</v>
      </c>
      <c r="T398" s="209">
        <f t="shared" si="245"/>
        <v>0</v>
      </c>
      <c r="U398" s="209"/>
      <c r="V398" s="209">
        <f t="shared" si="246"/>
        <v>0</v>
      </c>
      <c r="W398" s="209"/>
      <c r="X398" s="209">
        <f t="shared" si="247"/>
        <v>0</v>
      </c>
      <c r="Y398" s="209">
        <f t="shared" si="248"/>
        <v>0</v>
      </c>
      <c r="Z398" s="233"/>
      <c r="AA398" s="233">
        <f t="shared" si="278"/>
        <v>0</v>
      </c>
      <c r="AB398" s="314">
        <f t="shared" si="255"/>
        <v>0</v>
      </c>
      <c r="AC398" s="314"/>
      <c r="AD398" s="314">
        <f t="shared" si="256"/>
        <v>0</v>
      </c>
      <c r="AE398" s="323" t="s">
        <v>87</v>
      </c>
      <c r="AF398" s="81">
        <f t="shared" ref="AF398:AF410" si="280">ROUND(F398*$AF$8/$F$8,0)</f>
        <v>0</v>
      </c>
      <c r="AG398" s="335">
        <f t="shared" ref="AG398:AG410" si="281">ROUND(G398*$AG$8/$G$8,0)</f>
        <v>0</v>
      </c>
      <c r="AH398" s="335"/>
      <c r="AI398" s="335">
        <f t="shared" ref="AI398:AI410" si="282">ROUND(I398*$AI$8/$I$8,0)</f>
        <v>0</v>
      </c>
      <c r="AJ398" s="335"/>
      <c r="AK398" s="335">
        <f t="shared" ref="AK398:AK410" si="283">ROUND(K398*$AK$8/$K$8,0)</f>
        <v>0</v>
      </c>
      <c r="AL398" s="336">
        <f t="shared" ref="AL398:AL410" si="284">ROUND(L398*$AL$8/$L$8,0)</f>
        <v>0</v>
      </c>
      <c r="AM398" s="353"/>
      <c r="AN398" s="22">
        <f t="shared" si="279"/>
        <v>0</v>
      </c>
      <c r="AO398" s="209">
        <f t="shared" si="257"/>
        <v>0</v>
      </c>
      <c r="AP398" s="339"/>
      <c r="AQ398" s="125">
        <f t="shared" si="258"/>
        <v>0</v>
      </c>
      <c r="AR398" s="104"/>
      <c r="AS398" s="217"/>
      <c r="AT398" s="216"/>
      <c r="AU398" s="230"/>
      <c r="AV398" s="220"/>
      <c r="AW398" s="230"/>
      <c r="AX398" s="220"/>
      <c r="AY398" s="230"/>
      <c r="AZ398" s="220"/>
      <c r="BA398" s="17">
        <f t="shared" si="249"/>
        <v>3.9799999999999998E-5</v>
      </c>
      <c r="BB398" s="17">
        <f t="shared" si="250"/>
        <v>0</v>
      </c>
      <c r="BC398" s="17"/>
      <c r="BD398" s="178">
        <v>389</v>
      </c>
      <c r="BE398" s="214">
        <f t="shared" si="259"/>
        <v>3.8999999999999999E-6</v>
      </c>
      <c r="BF398" s="178">
        <f t="shared" si="251"/>
        <v>0</v>
      </c>
      <c r="BG398" s="245">
        <f t="shared" si="252"/>
        <v>3.9799999999999998E-5</v>
      </c>
      <c r="BH398" s="17">
        <f t="shared" si="260"/>
        <v>0</v>
      </c>
      <c r="BI398" s="178">
        <v>389</v>
      </c>
      <c r="BJ398" s="87">
        <f t="shared" si="261"/>
        <v>2.2000000000000001E-6</v>
      </c>
      <c r="BK398" s="215" t="str">
        <f t="shared" si="253"/>
        <v>كنان حسني محمد محمد سمالوس</v>
      </c>
      <c r="BL398" s="245">
        <f t="shared" si="262"/>
        <v>3.9799999999999998E-5</v>
      </c>
      <c r="BM398" s="17">
        <f t="shared" si="263"/>
        <v>0</v>
      </c>
      <c r="BN398" s="178">
        <v>389</v>
      </c>
      <c r="BO398" s="87">
        <f t="shared" si="264"/>
        <v>2.2000000000000001E-6</v>
      </c>
      <c r="BP398" s="215" t="str">
        <f t="shared" si="254"/>
        <v>كنان حسني محمد محمد سمالوس</v>
      </c>
      <c r="BR398" s="126"/>
      <c r="BS398" s="126"/>
      <c r="BU398" s="178"/>
      <c r="BV398" s="179" t="str">
        <f t="shared" si="265"/>
        <v/>
      </c>
      <c r="BW398" s="179" t="str">
        <f t="shared" si="266"/>
        <v/>
      </c>
      <c r="BX398" s="179" t="str">
        <f t="shared" si="267"/>
        <v/>
      </c>
      <c r="BY398" s="179" t="str">
        <f t="shared" si="268"/>
        <v/>
      </c>
      <c r="BZ398" s="179" t="str">
        <f t="shared" si="269"/>
        <v/>
      </c>
      <c r="CA398" s="179" t="str">
        <f t="shared" si="270"/>
        <v/>
      </c>
      <c r="CB398" s="179" t="str">
        <f t="shared" si="271"/>
        <v/>
      </c>
      <c r="CC398" s="179" t="str">
        <f t="shared" si="272"/>
        <v/>
      </c>
      <c r="CD398" s="179" t="str">
        <f t="shared" si="273"/>
        <v/>
      </c>
      <c r="CE398" s="179" t="str">
        <f t="shared" si="274"/>
        <v/>
      </c>
      <c r="CF398" s="179" t="str">
        <f t="shared" si="275"/>
        <v/>
      </c>
      <c r="CG398" s="179" t="str">
        <f t="shared" si="276"/>
        <v/>
      </c>
      <c r="CH398" s="166"/>
      <c r="CI398" s="166"/>
      <c r="CJ398" s="166"/>
      <c r="CK398" s="166" t="s">
        <v>150</v>
      </c>
      <c r="CL398" s="166"/>
    </row>
    <row r="399" spans="1:90" ht="14.25" customHeight="1" thickBot="1" x14ac:dyDescent="0.3">
      <c r="A399" s="211">
        <v>389</v>
      </c>
      <c r="B399" s="88"/>
      <c r="C399" s="201"/>
      <c r="D399" s="94"/>
      <c r="E399" s="321" t="s">
        <v>93</v>
      </c>
      <c r="F399" s="96"/>
      <c r="G399" s="100"/>
      <c r="H399" s="100"/>
      <c r="I399" s="100"/>
      <c r="J399" s="100"/>
      <c r="K399" s="100"/>
      <c r="L399" s="100"/>
      <c r="M399" s="210"/>
      <c r="N399" s="234">
        <f t="shared" si="277"/>
        <v>0</v>
      </c>
      <c r="O399" s="308"/>
      <c r="P399" s="343"/>
      <c r="Q399" s="309"/>
      <c r="R399" s="324" t="s">
        <v>67</v>
      </c>
      <c r="S399" s="209">
        <f t="shared" si="244"/>
        <v>0</v>
      </c>
      <c r="T399" s="209">
        <f t="shared" si="245"/>
        <v>0</v>
      </c>
      <c r="U399" s="209"/>
      <c r="V399" s="209">
        <f t="shared" si="246"/>
        <v>0</v>
      </c>
      <c r="W399" s="209"/>
      <c r="X399" s="209">
        <f t="shared" si="247"/>
        <v>0</v>
      </c>
      <c r="Y399" s="209">
        <f t="shared" si="248"/>
        <v>0</v>
      </c>
      <c r="Z399" s="351"/>
      <c r="AA399" s="234">
        <f t="shared" si="278"/>
        <v>0</v>
      </c>
      <c r="AB399" s="314">
        <f t="shared" si="255"/>
        <v>0</v>
      </c>
      <c r="AC399" s="314"/>
      <c r="AD399" s="314">
        <f t="shared" si="256"/>
        <v>0</v>
      </c>
      <c r="AE399" s="324" t="s">
        <v>87</v>
      </c>
      <c r="AF399" s="82">
        <f t="shared" si="280"/>
        <v>0</v>
      </c>
      <c r="AG399" s="337">
        <f t="shared" si="281"/>
        <v>0</v>
      </c>
      <c r="AH399" s="337"/>
      <c r="AI399" s="337">
        <f t="shared" si="282"/>
        <v>0</v>
      </c>
      <c r="AJ399" s="337"/>
      <c r="AK399" s="337">
        <f t="shared" si="283"/>
        <v>0</v>
      </c>
      <c r="AL399" s="338">
        <f t="shared" si="284"/>
        <v>0</v>
      </c>
      <c r="AM399" s="354"/>
      <c r="AN399" s="91">
        <f t="shared" si="279"/>
        <v>0</v>
      </c>
      <c r="AO399" s="96">
        <f t="shared" si="257"/>
        <v>0</v>
      </c>
      <c r="AP399" s="210"/>
      <c r="AQ399" s="97">
        <f t="shared" si="258"/>
        <v>0</v>
      </c>
      <c r="AR399" s="105"/>
      <c r="AS399" s="102"/>
      <c r="AT399" s="237"/>
      <c r="AU399" s="231"/>
      <c r="AV399" s="93"/>
      <c r="AW399" s="231"/>
      <c r="AX399" s="93"/>
      <c r="AY399" s="231"/>
      <c r="AZ399" s="93"/>
      <c r="BA399" s="17">
        <f t="shared" si="249"/>
        <v>3.9900000000000001E-5</v>
      </c>
      <c r="BB399" s="17">
        <f t="shared" si="250"/>
        <v>0</v>
      </c>
      <c r="BC399" s="17"/>
      <c r="BD399" s="178">
        <v>390</v>
      </c>
      <c r="BE399" s="214">
        <f t="shared" si="259"/>
        <v>3.8E-6</v>
      </c>
      <c r="BF399" s="178">
        <f t="shared" si="251"/>
        <v>0</v>
      </c>
      <c r="BG399" s="245">
        <f t="shared" si="252"/>
        <v>3.9900000000000001E-5</v>
      </c>
      <c r="BH399" s="17">
        <f t="shared" si="260"/>
        <v>0</v>
      </c>
      <c r="BI399" s="178">
        <v>390</v>
      </c>
      <c r="BJ399" s="87">
        <f t="shared" si="261"/>
        <v>2.0999999999999998E-6</v>
      </c>
      <c r="BK399" s="215" t="str">
        <f t="shared" si="253"/>
        <v>عبد الوهاب علي عبد الوهاب بودجاجة</v>
      </c>
      <c r="BL399" s="245">
        <f t="shared" si="262"/>
        <v>3.9900000000000001E-5</v>
      </c>
      <c r="BM399" s="17">
        <f t="shared" si="263"/>
        <v>0</v>
      </c>
      <c r="BN399" s="178">
        <v>390</v>
      </c>
      <c r="BO399" s="87">
        <f t="shared" si="264"/>
        <v>2.0999999999999998E-6</v>
      </c>
      <c r="BP399" s="215" t="str">
        <f t="shared" si="254"/>
        <v>عبد الوهاب علي عبد الوهاب بودجاجة</v>
      </c>
      <c r="BR399" s="126"/>
      <c r="BS399" s="126"/>
      <c r="BU399" s="178"/>
      <c r="BV399" s="179" t="str">
        <f t="shared" si="265"/>
        <v/>
      </c>
      <c r="BW399" s="179" t="str">
        <f t="shared" si="266"/>
        <v/>
      </c>
      <c r="BX399" s="179" t="str">
        <f t="shared" si="267"/>
        <v/>
      </c>
      <c r="BY399" s="179" t="str">
        <f t="shared" si="268"/>
        <v/>
      </c>
      <c r="BZ399" s="179" t="str">
        <f t="shared" si="269"/>
        <v/>
      </c>
      <c r="CA399" s="179" t="str">
        <f t="shared" si="270"/>
        <v/>
      </c>
      <c r="CB399" s="179" t="str">
        <f t="shared" si="271"/>
        <v/>
      </c>
      <c r="CC399" s="179" t="str">
        <f t="shared" si="272"/>
        <v/>
      </c>
      <c r="CD399" s="179" t="str">
        <f t="shared" si="273"/>
        <v/>
      </c>
      <c r="CE399" s="179" t="str">
        <f t="shared" si="274"/>
        <v/>
      </c>
      <c r="CF399" s="179" t="str">
        <f t="shared" si="275"/>
        <v/>
      </c>
      <c r="CG399" s="179" t="str">
        <f t="shared" si="276"/>
        <v/>
      </c>
      <c r="CH399" s="166"/>
      <c r="CI399" s="166"/>
      <c r="CJ399" s="166"/>
      <c r="CK399" s="166" t="s">
        <v>150</v>
      </c>
      <c r="CL399" s="166"/>
    </row>
    <row r="400" spans="1:90" ht="14.25" customHeight="1" thickBot="1" x14ac:dyDescent="0.3">
      <c r="A400" s="213">
        <v>390</v>
      </c>
      <c r="B400" s="89"/>
      <c r="C400" s="199"/>
      <c r="D400" s="146"/>
      <c r="E400" s="319" t="s">
        <v>93</v>
      </c>
      <c r="F400" s="221"/>
      <c r="G400" s="222"/>
      <c r="H400" s="222"/>
      <c r="I400" s="222"/>
      <c r="J400" s="222"/>
      <c r="K400" s="222"/>
      <c r="L400" s="222"/>
      <c r="M400" s="331"/>
      <c r="N400" s="303">
        <f t="shared" si="277"/>
        <v>0</v>
      </c>
      <c r="O400" s="304"/>
      <c r="P400" s="341"/>
      <c r="Q400" s="305"/>
      <c r="R400" s="322" t="s">
        <v>67</v>
      </c>
      <c r="S400" s="209">
        <f t="shared" si="244"/>
        <v>0</v>
      </c>
      <c r="T400" s="209">
        <f t="shared" si="245"/>
        <v>0</v>
      </c>
      <c r="U400" s="209"/>
      <c r="V400" s="209">
        <f t="shared" si="246"/>
        <v>0</v>
      </c>
      <c r="W400" s="209"/>
      <c r="X400" s="209">
        <f t="shared" si="247"/>
        <v>0</v>
      </c>
      <c r="Y400" s="209">
        <f t="shared" si="248"/>
        <v>0</v>
      </c>
      <c r="Z400" s="303"/>
      <c r="AA400" s="303">
        <f t="shared" si="278"/>
        <v>0</v>
      </c>
      <c r="AB400" s="314">
        <f t="shared" si="255"/>
        <v>0</v>
      </c>
      <c r="AC400" s="314"/>
      <c r="AD400" s="314">
        <f t="shared" si="256"/>
        <v>0</v>
      </c>
      <c r="AE400" s="325" t="s">
        <v>148</v>
      </c>
      <c r="AF400" s="15">
        <f t="shared" si="280"/>
        <v>0</v>
      </c>
      <c r="AG400" s="232">
        <f t="shared" si="281"/>
        <v>0</v>
      </c>
      <c r="AH400" s="232"/>
      <c r="AI400" s="232">
        <f t="shared" si="282"/>
        <v>0</v>
      </c>
      <c r="AJ400" s="232"/>
      <c r="AK400" s="232">
        <f t="shared" si="283"/>
        <v>0</v>
      </c>
      <c r="AL400" s="7">
        <f t="shared" si="284"/>
        <v>0</v>
      </c>
      <c r="AM400" s="352"/>
      <c r="AN400" s="22">
        <f t="shared" si="279"/>
        <v>0</v>
      </c>
      <c r="AO400" s="15">
        <f t="shared" si="257"/>
        <v>0</v>
      </c>
      <c r="AP400" s="345"/>
      <c r="AQ400" s="7">
        <f t="shared" si="258"/>
        <v>0</v>
      </c>
      <c r="AR400" s="103"/>
      <c r="AS400" s="101"/>
      <c r="AT400" s="236"/>
      <c r="AU400" s="235"/>
      <c r="AV400" s="92"/>
      <c r="AW400" s="235"/>
      <c r="AX400" s="92"/>
      <c r="AY400" s="235"/>
      <c r="AZ400" s="92"/>
      <c r="BA400" s="17">
        <f t="shared" si="249"/>
        <v>3.9999999999999996E-5</v>
      </c>
      <c r="BB400" s="17">
        <f t="shared" si="250"/>
        <v>0</v>
      </c>
      <c r="BC400" s="17"/>
      <c r="BD400" s="178">
        <v>391</v>
      </c>
      <c r="BE400" s="214">
        <f t="shared" si="259"/>
        <v>3.6999999999999997E-6</v>
      </c>
      <c r="BF400" s="178">
        <f t="shared" si="251"/>
        <v>0</v>
      </c>
      <c r="BG400" s="245">
        <f t="shared" si="252"/>
        <v>3.9999999999999996E-5</v>
      </c>
      <c r="BH400" s="17">
        <f t="shared" si="260"/>
        <v>0</v>
      </c>
      <c r="BI400" s="178">
        <v>391</v>
      </c>
      <c r="BJ400" s="87">
        <f t="shared" si="261"/>
        <v>1.9999999999999999E-6</v>
      </c>
      <c r="BK400" s="215" t="str">
        <f t="shared" si="253"/>
        <v>عبد العزيز عبدالله محمد المغربي</v>
      </c>
      <c r="BL400" s="245">
        <f t="shared" si="262"/>
        <v>3.9999999999999996E-5</v>
      </c>
      <c r="BM400" s="17">
        <f t="shared" si="263"/>
        <v>0</v>
      </c>
      <c r="BN400" s="178">
        <v>391</v>
      </c>
      <c r="BO400" s="87">
        <f t="shared" si="264"/>
        <v>1.9999999999999999E-6</v>
      </c>
      <c r="BP400" s="215" t="str">
        <f t="shared" si="254"/>
        <v>عبد العزيز عبدالله محمد المغربي</v>
      </c>
      <c r="BR400" s="126"/>
      <c r="BS400" s="126"/>
      <c r="BU400" s="178"/>
      <c r="BV400" s="179" t="str">
        <f t="shared" si="265"/>
        <v/>
      </c>
      <c r="BW400" s="179" t="str">
        <f t="shared" si="266"/>
        <v/>
      </c>
      <c r="BX400" s="179" t="str">
        <f t="shared" si="267"/>
        <v/>
      </c>
      <c r="BY400" s="179" t="str">
        <f t="shared" si="268"/>
        <v/>
      </c>
      <c r="BZ400" s="179" t="str">
        <f t="shared" si="269"/>
        <v/>
      </c>
      <c r="CA400" s="179" t="str">
        <f t="shared" si="270"/>
        <v/>
      </c>
      <c r="CB400" s="179" t="str">
        <f t="shared" si="271"/>
        <v/>
      </c>
      <c r="CC400" s="179" t="str">
        <f t="shared" si="272"/>
        <v/>
      </c>
      <c r="CD400" s="179" t="str">
        <f t="shared" si="273"/>
        <v/>
      </c>
      <c r="CE400" s="179" t="str">
        <f t="shared" si="274"/>
        <v/>
      </c>
      <c r="CF400" s="179" t="str">
        <f t="shared" si="275"/>
        <v/>
      </c>
      <c r="CG400" s="179" t="str">
        <f t="shared" si="276"/>
        <v/>
      </c>
      <c r="CH400" s="166"/>
      <c r="CI400" s="166"/>
      <c r="CJ400" s="166"/>
      <c r="CK400" s="166" t="s">
        <v>150</v>
      </c>
      <c r="CL400" s="166"/>
    </row>
    <row r="401" spans="1:90" ht="14.25" customHeight="1" x14ac:dyDescent="0.25">
      <c r="A401" s="211">
        <v>391</v>
      </c>
      <c r="B401" s="219"/>
      <c r="C401" s="200"/>
      <c r="D401" s="145"/>
      <c r="E401" s="320" t="s">
        <v>93</v>
      </c>
      <c r="F401" s="209"/>
      <c r="G401" s="313"/>
      <c r="H401" s="313"/>
      <c r="I401" s="313"/>
      <c r="J401" s="313"/>
      <c r="K401" s="313"/>
      <c r="L401" s="313"/>
      <c r="M401" s="339"/>
      <c r="N401" s="233">
        <f t="shared" si="277"/>
        <v>0</v>
      </c>
      <c r="O401" s="306"/>
      <c r="P401" s="342"/>
      <c r="Q401" s="307"/>
      <c r="R401" s="323" t="s">
        <v>67</v>
      </c>
      <c r="S401" s="209">
        <f t="shared" si="244"/>
        <v>0</v>
      </c>
      <c r="T401" s="209">
        <f t="shared" si="245"/>
        <v>0</v>
      </c>
      <c r="U401" s="209"/>
      <c r="V401" s="209">
        <f t="shared" si="246"/>
        <v>0</v>
      </c>
      <c r="W401" s="209"/>
      <c r="X401" s="209">
        <f t="shared" si="247"/>
        <v>0</v>
      </c>
      <c r="Y401" s="209">
        <f t="shared" si="248"/>
        <v>0</v>
      </c>
      <c r="Z401" s="233"/>
      <c r="AA401" s="233">
        <f t="shared" si="278"/>
        <v>0</v>
      </c>
      <c r="AB401" s="314">
        <f t="shared" si="255"/>
        <v>0</v>
      </c>
      <c r="AC401" s="314"/>
      <c r="AD401" s="314">
        <f t="shared" si="256"/>
        <v>0</v>
      </c>
      <c r="AE401" s="323" t="s">
        <v>87</v>
      </c>
      <c r="AF401" s="81">
        <f t="shared" si="280"/>
        <v>0</v>
      </c>
      <c r="AG401" s="335">
        <f t="shared" si="281"/>
        <v>0</v>
      </c>
      <c r="AH401" s="335"/>
      <c r="AI401" s="335">
        <f t="shared" si="282"/>
        <v>0</v>
      </c>
      <c r="AJ401" s="335"/>
      <c r="AK401" s="335">
        <f t="shared" si="283"/>
        <v>0</v>
      </c>
      <c r="AL401" s="336">
        <f t="shared" si="284"/>
        <v>0</v>
      </c>
      <c r="AM401" s="353"/>
      <c r="AN401" s="22">
        <f t="shared" si="279"/>
        <v>0</v>
      </c>
      <c r="AO401" s="209">
        <f t="shared" si="257"/>
        <v>0</v>
      </c>
      <c r="AP401" s="339"/>
      <c r="AQ401" s="125">
        <f t="shared" si="258"/>
        <v>0</v>
      </c>
      <c r="AR401" s="104"/>
      <c r="AS401" s="217"/>
      <c r="AT401" s="216"/>
      <c r="AU401" s="230"/>
      <c r="AV401" s="220"/>
      <c r="AW401" s="230"/>
      <c r="AX401" s="220"/>
      <c r="AY401" s="230"/>
      <c r="AZ401" s="220"/>
      <c r="BA401" s="17">
        <f t="shared" si="249"/>
        <v>4.0099999999999999E-5</v>
      </c>
      <c r="BB401" s="17">
        <f t="shared" si="250"/>
        <v>0</v>
      </c>
      <c r="BC401" s="17"/>
      <c r="BD401" s="178">
        <v>392</v>
      </c>
      <c r="BE401" s="214">
        <f t="shared" si="259"/>
        <v>3.5999999999999998E-6</v>
      </c>
      <c r="BF401" s="178">
        <f t="shared" si="251"/>
        <v>0</v>
      </c>
      <c r="BG401" s="245">
        <f t="shared" si="252"/>
        <v>4.0099999999999999E-5</v>
      </c>
      <c r="BH401" s="17">
        <f t="shared" si="260"/>
        <v>0</v>
      </c>
      <c r="BI401" s="178">
        <v>392</v>
      </c>
      <c r="BJ401" s="87">
        <f t="shared" si="261"/>
        <v>1.9E-6</v>
      </c>
      <c r="BK401" s="215" t="str">
        <f t="shared" si="253"/>
        <v>عبد السميع محمد الهادي موسى</v>
      </c>
      <c r="BL401" s="245">
        <f t="shared" si="262"/>
        <v>4.0099999999999999E-5</v>
      </c>
      <c r="BM401" s="17">
        <f t="shared" si="263"/>
        <v>0</v>
      </c>
      <c r="BN401" s="178">
        <v>392</v>
      </c>
      <c r="BO401" s="87">
        <f t="shared" si="264"/>
        <v>1.9E-6</v>
      </c>
      <c r="BP401" s="215" t="str">
        <f t="shared" si="254"/>
        <v>عبد السميع محمد الهادي موسى</v>
      </c>
      <c r="BR401" s="126"/>
      <c r="BS401" s="126"/>
      <c r="BU401" s="178"/>
      <c r="BV401" s="179" t="str">
        <f t="shared" si="265"/>
        <v/>
      </c>
      <c r="BW401" s="179" t="str">
        <f t="shared" si="266"/>
        <v/>
      </c>
      <c r="BX401" s="179" t="str">
        <f t="shared" si="267"/>
        <v/>
      </c>
      <c r="BY401" s="179" t="str">
        <f t="shared" si="268"/>
        <v/>
      </c>
      <c r="BZ401" s="179" t="str">
        <f t="shared" si="269"/>
        <v/>
      </c>
      <c r="CA401" s="179" t="str">
        <f t="shared" si="270"/>
        <v/>
      </c>
      <c r="CB401" s="179" t="str">
        <f t="shared" si="271"/>
        <v/>
      </c>
      <c r="CC401" s="179" t="str">
        <f t="shared" si="272"/>
        <v/>
      </c>
      <c r="CD401" s="179" t="str">
        <f t="shared" si="273"/>
        <v/>
      </c>
      <c r="CE401" s="179" t="str">
        <f t="shared" si="274"/>
        <v/>
      </c>
      <c r="CF401" s="179" t="str">
        <f t="shared" si="275"/>
        <v/>
      </c>
      <c r="CG401" s="179" t="str">
        <f t="shared" si="276"/>
        <v/>
      </c>
      <c r="CH401" s="166"/>
      <c r="CI401" s="166"/>
      <c r="CJ401" s="166"/>
      <c r="CK401" s="166" t="s">
        <v>150</v>
      </c>
      <c r="CL401" s="166"/>
    </row>
    <row r="402" spans="1:90" ht="14.25" customHeight="1" thickBot="1" x14ac:dyDescent="0.3">
      <c r="A402" s="213">
        <v>392</v>
      </c>
      <c r="B402" s="88"/>
      <c r="C402" s="201"/>
      <c r="D402" s="94"/>
      <c r="E402" s="321" t="s">
        <v>93</v>
      </c>
      <c r="F402" s="96"/>
      <c r="G402" s="100"/>
      <c r="H402" s="100"/>
      <c r="I402" s="100"/>
      <c r="J402" s="100"/>
      <c r="K402" s="100"/>
      <c r="L402" s="100"/>
      <c r="M402" s="210"/>
      <c r="N402" s="234">
        <f t="shared" si="277"/>
        <v>0</v>
      </c>
      <c r="O402" s="308"/>
      <c r="P402" s="343"/>
      <c r="Q402" s="309"/>
      <c r="R402" s="324" t="s">
        <v>67</v>
      </c>
      <c r="S402" s="209">
        <f t="shared" si="244"/>
        <v>0</v>
      </c>
      <c r="T402" s="209">
        <f t="shared" si="245"/>
        <v>0</v>
      </c>
      <c r="U402" s="209"/>
      <c r="V402" s="209">
        <f t="shared" si="246"/>
        <v>0</v>
      </c>
      <c r="W402" s="209"/>
      <c r="X402" s="209">
        <f t="shared" si="247"/>
        <v>0</v>
      </c>
      <c r="Y402" s="209">
        <f t="shared" si="248"/>
        <v>0</v>
      </c>
      <c r="Z402" s="351"/>
      <c r="AA402" s="234">
        <f t="shared" si="278"/>
        <v>0</v>
      </c>
      <c r="AB402" s="314">
        <f t="shared" si="255"/>
        <v>0</v>
      </c>
      <c r="AC402" s="314"/>
      <c r="AD402" s="314">
        <f t="shared" si="256"/>
        <v>0</v>
      </c>
      <c r="AE402" s="324" t="s">
        <v>87</v>
      </c>
      <c r="AF402" s="82">
        <f t="shared" si="280"/>
        <v>0</v>
      </c>
      <c r="AG402" s="337">
        <f t="shared" si="281"/>
        <v>0</v>
      </c>
      <c r="AH402" s="337"/>
      <c r="AI402" s="337">
        <f t="shared" si="282"/>
        <v>0</v>
      </c>
      <c r="AJ402" s="337"/>
      <c r="AK402" s="337">
        <f t="shared" si="283"/>
        <v>0</v>
      </c>
      <c r="AL402" s="338">
        <f t="shared" si="284"/>
        <v>0</v>
      </c>
      <c r="AM402" s="354"/>
      <c r="AN402" s="91">
        <f t="shared" si="279"/>
        <v>0</v>
      </c>
      <c r="AO402" s="96">
        <f t="shared" si="257"/>
        <v>0</v>
      </c>
      <c r="AP402" s="210"/>
      <c r="AQ402" s="97">
        <f t="shared" si="258"/>
        <v>0</v>
      </c>
      <c r="AR402" s="105"/>
      <c r="AS402" s="102"/>
      <c r="AT402" s="237"/>
      <c r="AU402" s="231"/>
      <c r="AV402" s="93"/>
      <c r="AW402" s="231"/>
      <c r="AX402" s="93"/>
      <c r="AY402" s="231"/>
      <c r="AZ402" s="93"/>
      <c r="BA402" s="17">
        <f t="shared" si="249"/>
        <v>4.0200000000000001E-5</v>
      </c>
      <c r="BB402" s="17">
        <f t="shared" si="250"/>
        <v>0</v>
      </c>
      <c r="BC402" s="17"/>
      <c r="BD402" s="178">
        <v>393</v>
      </c>
      <c r="BE402" s="214">
        <f t="shared" si="259"/>
        <v>3.4999999999999999E-6</v>
      </c>
      <c r="BF402" s="178">
        <f t="shared" si="251"/>
        <v>0</v>
      </c>
      <c r="BG402" s="245">
        <f t="shared" si="252"/>
        <v>4.0200000000000001E-5</v>
      </c>
      <c r="BH402" s="17">
        <f t="shared" si="260"/>
        <v>0</v>
      </c>
      <c r="BI402" s="178">
        <v>393</v>
      </c>
      <c r="BJ402" s="87">
        <f t="shared" si="261"/>
        <v>1.7999999999999999E-6</v>
      </c>
      <c r="BK402" s="215" t="str">
        <f t="shared" si="253"/>
        <v>سوار وليد مصطفي الورشفاني</v>
      </c>
      <c r="BL402" s="245">
        <f t="shared" si="262"/>
        <v>4.0200000000000001E-5</v>
      </c>
      <c r="BM402" s="17">
        <f t="shared" si="263"/>
        <v>0</v>
      </c>
      <c r="BN402" s="178">
        <v>393</v>
      </c>
      <c r="BO402" s="87">
        <f t="shared" si="264"/>
        <v>1.7999999999999999E-6</v>
      </c>
      <c r="BP402" s="215" t="str">
        <f t="shared" si="254"/>
        <v>سوار وليد مصطفي الورشفاني</v>
      </c>
      <c r="BR402" s="126"/>
      <c r="BS402" s="126"/>
      <c r="BU402" s="178"/>
      <c r="BV402" s="179" t="str">
        <f t="shared" si="265"/>
        <v/>
      </c>
      <c r="BW402" s="179" t="str">
        <f t="shared" si="266"/>
        <v/>
      </c>
      <c r="BX402" s="179" t="str">
        <f t="shared" si="267"/>
        <v/>
      </c>
      <c r="BY402" s="179" t="str">
        <f t="shared" si="268"/>
        <v/>
      </c>
      <c r="BZ402" s="179" t="str">
        <f t="shared" si="269"/>
        <v/>
      </c>
      <c r="CA402" s="179" t="str">
        <f t="shared" si="270"/>
        <v/>
      </c>
      <c r="CB402" s="179" t="str">
        <f t="shared" si="271"/>
        <v/>
      </c>
      <c r="CC402" s="179" t="str">
        <f t="shared" si="272"/>
        <v/>
      </c>
      <c r="CD402" s="179" t="str">
        <f t="shared" si="273"/>
        <v/>
      </c>
      <c r="CE402" s="179" t="str">
        <f t="shared" si="274"/>
        <v/>
      </c>
      <c r="CF402" s="179" t="str">
        <f t="shared" si="275"/>
        <v/>
      </c>
      <c r="CG402" s="179" t="str">
        <f t="shared" si="276"/>
        <v/>
      </c>
      <c r="CH402" s="166"/>
      <c r="CI402" s="166"/>
      <c r="CJ402" s="166"/>
      <c r="CK402" s="166" t="s">
        <v>150</v>
      </c>
      <c r="CL402" s="166"/>
    </row>
    <row r="403" spans="1:90" ht="14.25" customHeight="1" x14ac:dyDescent="0.25">
      <c r="A403" s="211">
        <v>393</v>
      </c>
      <c r="B403" s="89"/>
      <c r="C403" s="199"/>
      <c r="D403" s="146"/>
      <c r="E403" s="319" t="s">
        <v>93</v>
      </c>
      <c r="F403" s="221"/>
      <c r="G403" s="222"/>
      <c r="H403" s="222"/>
      <c r="I403" s="222"/>
      <c r="J403" s="222"/>
      <c r="K403" s="222"/>
      <c r="L403" s="222"/>
      <c r="M403" s="331"/>
      <c r="N403" s="303">
        <f t="shared" si="277"/>
        <v>0</v>
      </c>
      <c r="O403" s="304"/>
      <c r="P403" s="341"/>
      <c r="Q403" s="305"/>
      <c r="R403" s="322" t="s">
        <v>67</v>
      </c>
      <c r="S403" s="209">
        <f t="shared" si="244"/>
        <v>0</v>
      </c>
      <c r="T403" s="209">
        <f t="shared" si="245"/>
        <v>0</v>
      </c>
      <c r="U403" s="209"/>
      <c r="V403" s="209">
        <f t="shared" si="246"/>
        <v>0</v>
      </c>
      <c r="W403" s="209"/>
      <c r="X403" s="209">
        <f t="shared" si="247"/>
        <v>0</v>
      </c>
      <c r="Y403" s="209">
        <f t="shared" si="248"/>
        <v>0</v>
      </c>
      <c r="Z403" s="303"/>
      <c r="AA403" s="303">
        <f t="shared" si="278"/>
        <v>0</v>
      </c>
      <c r="AB403" s="314">
        <f t="shared" si="255"/>
        <v>0</v>
      </c>
      <c r="AC403" s="314"/>
      <c r="AD403" s="314">
        <f t="shared" si="256"/>
        <v>0</v>
      </c>
      <c r="AE403" s="325" t="s">
        <v>148</v>
      </c>
      <c r="AF403" s="15">
        <f t="shared" si="280"/>
        <v>0</v>
      </c>
      <c r="AG403" s="232">
        <f t="shared" si="281"/>
        <v>0</v>
      </c>
      <c r="AH403" s="232"/>
      <c r="AI403" s="232">
        <f t="shared" si="282"/>
        <v>0</v>
      </c>
      <c r="AJ403" s="232"/>
      <c r="AK403" s="232">
        <f t="shared" si="283"/>
        <v>0</v>
      </c>
      <c r="AL403" s="7">
        <f t="shared" si="284"/>
        <v>0</v>
      </c>
      <c r="AM403" s="352"/>
      <c r="AN403" s="22">
        <f t="shared" si="279"/>
        <v>0</v>
      </c>
      <c r="AO403" s="15">
        <f t="shared" si="257"/>
        <v>0</v>
      </c>
      <c r="AP403" s="345"/>
      <c r="AQ403" s="7">
        <f t="shared" si="258"/>
        <v>0</v>
      </c>
      <c r="AR403" s="103"/>
      <c r="AS403" s="101"/>
      <c r="AT403" s="236"/>
      <c r="AU403" s="235"/>
      <c r="AV403" s="92"/>
      <c r="AW403" s="235"/>
      <c r="AX403" s="92"/>
      <c r="AY403" s="235"/>
      <c r="AZ403" s="92"/>
      <c r="BA403" s="17">
        <f t="shared" si="249"/>
        <v>4.0299999999999997E-5</v>
      </c>
      <c r="BB403" s="17">
        <f t="shared" si="250"/>
        <v>0</v>
      </c>
      <c r="BC403" s="17"/>
      <c r="BD403" s="178">
        <v>394</v>
      </c>
      <c r="BE403" s="214">
        <f t="shared" si="259"/>
        <v>3.3999999999999996E-6</v>
      </c>
      <c r="BF403" s="178">
        <f t="shared" si="251"/>
        <v>0</v>
      </c>
      <c r="BG403" s="245">
        <f t="shared" si="252"/>
        <v>4.0299999999999997E-5</v>
      </c>
      <c r="BH403" s="17">
        <f t="shared" si="260"/>
        <v>0</v>
      </c>
      <c r="BI403" s="178">
        <v>394</v>
      </c>
      <c r="BJ403" s="87">
        <f t="shared" si="261"/>
        <v>1.6999999999999998E-6</v>
      </c>
      <c r="BK403" s="215" t="str">
        <f t="shared" si="253"/>
        <v xml:space="preserve">سالم عمر سالم التائب </v>
      </c>
      <c r="BL403" s="245">
        <f t="shared" si="262"/>
        <v>4.0299999999999997E-5</v>
      </c>
      <c r="BM403" s="17">
        <f t="shared" si="263"/>
        <v>0</v>
      </c>
      <c r="BN403" s="178">
        <v>394</v>
      </c>
      <c r="BO403" s="87">
        <f t="shared" si="264"/>
        <v>1.6999999999999998E-6</v>
      </c>
      <c r="BP403" s="215" t="str">
        <f t="shared" si="254"/>
        <v xml:space="preserve">سالم عمر سالم التائب </v>
      </c>
      <c r="BR403" s="126"/>
      <c r="BS403" s="126"/>
      <c r="BU403" s="178"/>
      <c r="BV403" s="179" t="str">
        <f t="shared" si="265"/>
        <v/>
      </c>
      <c r="BW403" s="179" t="str">
        <f t="shared" si="266"/>
        <v/>
      </c>
      <c r="BX403" s="179" t="str">
        <f t="shared" si="267"/>
        <v/>
      </c>
      <c r="BY403" s="179" t="str">
        <f t="shared" si="268"/>
        <v/>
      </c>
      <c r="BZ403" s="179" t="str">
        <f t="shared" si="269"/>
        <v/>
      </c>
      <c r="CA403" s="179" t="str">
        <f t="shared" si="270"/>
        <v/>
      </c>
      <c r="CB403" s="179" t="str">
        <f t="shared" si="271"/>
        <v/>
      </c>
      <c r="CC403" s="179" t="str">
        <f t="shared" si="272"/>
        <v/>
      </c>
      <c r="CD403" s="179" t="str">
        <f t="shared" si="273"/>
        <v/>
      </c>
      <c r="CE403" s="179" t="str">
        <f t="shared" si="274"/>
        <v/>
      </c>
      <c r="CF403" s="179" t="str">
        <f t="shared" si="275"/>
        <v/>
      </c>
      <c r="CG403" s="179" t="str">
        <f t="shared" si="276"/>
        <v/>
      </c>
      <c r="CH403" s="166"/>
      <c r="CI403" s="166"/>
      <c r="CJ403" s="166"/>
      <c r="CK403" s="166" t="s">
        <v>150</v>
      </c>
      <c r="CL403" s="166"/>
    </row>
    <row r="404" spans="1:90" ht="14.25" customHeight="1" thickBot="1" x14ac:dyDescent="0.3">
      <c r="A404" s="213">
        <v>394</v>
      </c>
      <c r="B404" s="219"/>
      <c r="C404" s="200"/>
      <c r="D404" s="145"/>
      <c r="E404" s="320" t="s">
        <v>93</v>
      </c>
      <c r="F404" s="209"/>
      <c r="G404" s="313"/>
      <c r="H404" s="313"/>
      <c r="I404" s="313"/>
      <c r="J404" s="313"/>
      <c r="K404" s="313"/>
      <c r="L404" s="313"/>
      <c r="M404" s="339"/>
      <c r="N404" s="233">
        <f t="shared" si="277"/>
        <v>0</v>
      </c>
      <c r="O404" s="306"/>
      <c r="P404" s="342"/>
      <c r="Q404" s="307"/>
      <c r="R404" s="323" t="s">
        <v>67</v>
      </c>
      <c r="S404" s="209">
        <f t="shared" si="244"/>
        <v>0</v>
      </c>
      <c r="T404" s="209">
        <f t="shared" si="245"/>
        <v>0</v>
      </c>
      <c r="U404" s="209"/>
      <c r="V404" s="209">
        <f t="shared" si="246"/>
        <v>0</v>
      </c>
      <c r="W404" s="209"/>
      <c r="X404" s="209">
        <f t="shared" si="247"/>
        <v>0</v>
      </c>
      <c r="Y404" s="209">
        <f t="shared" si="248"/>
        <v>0</v>
      </c>
      <c r="Z404" s="233"/>
      <c r="AA404" s="233">
        <f t="shared" si="278"/>
        <v>0</v>
      </c>
      <c r="AB404" s="314">
        <f t="shared" si="255"/>
        <v>0</v>
      </c>
      <c r="AC404" s="314"/>
      <c r="AD404" s="314">
        <f t="shared" si="256"/>
        <v>0</v>
      </c>
      <c r="AE404" s="323" t="s">
        <v>87</v>
      </c>
      <c r="AF404" s="81">
        <f t="shared" si="280"/>
        <v>0</v>
      </c>
      <c r="AG404" s="335">
        <f t="shared" si="281"/>
        <v>0</v>
      </c>
      <c r="AH404" s="335"/>
      <c r="AI404" s="335">
        <f t="shared" si="282"/>
        <v>0</v>
      </c>
      <c r="AJ404" s="335"/>
      <c r="AK404" s="335">
        <f t="shared" si="283"/>
        <v>0</v>
      </c>
      <c r="AL404" s="336">
        <f t="shared" si="284"/>
        <v>0</v>
      </c>
      <c r="AM404" s="353"/>
      <c r="AN404" s="22">
        <f t="shared" si="279"/>
        <v>0</v>
      </c>
      <c r="AO404" s="209">
        <f t="shared" si="257"/>
        <v>0</v>
      </c>
      <c r="AP404" s="339"/>
      <c r="AQ404" s="125">
        <f t="shared" si="258"/>
        <v>0</v>
      </c>
      <c r="AR404" s="104"/>
      <c r="AS404" s="217"/>
      <c r="AT404" s="216"/>
      <c r="AU404" s="230"/>
      <c r="AV404" s="220"/>
      <c r="AW404" s="230"/>
      <c r="AX404" s="220"/>
      <c r="AY404" s="230"/>
      <c r="AZ404" s="220"/>
      <c r="BA404" s="17">
        <f t="shared" si="249"/>
        <v>4.0399999999999999E-5</v>
      </c>
      <c r="BB404" s="17">
        <f t="shared" si="250"/>
        <v>0</v>
      </c>
      <c r="BC404" s="17"/>
      <c r="BD404" s="178">
        <v>395</v>
      </c>
      <c r="BE404" s="214">
        <f t="shared" si="259"/>
        <v>3.2999999999999997E-6</v>
      </c>
      <c r="BF404" s="178">
        <f t="shared" si="251"/>
        <v>0</v>
      </c>
      <c r="BG404" s="245">
        <f t="shared" si="252"/>
        <v>4.0399999999999999E-5</v>
      </c>
      <c r="BH404" s="17">
        <f t="shared" si="260"/>
        <v>0</v>
      </c>
      <c r="BI404" s="178">
        <v>395</v>
      </c>
      <c r="BJ404" s="87">
        <f t="shared" si="261"/>
        <v>1.5999999999999999E-6</v>
      </c>
      <c r="BK404" s="215" t="str">
        <f t="shared" si="253"/>
        <v>خديجة خليل محمد علي</v>
      </c>
      <c r="BL404" s="245">
        <f t="shared" si="262"/>
        <v>4.0399999999999999E-5</v>
      </c>
      <c r="BM404" s="17">
        <f t="shared" si="263"/>
        <v>0</v>
      </c>
      <c r="BN404" s="178">
        <v>395</v>
      </c>
      <c r="BO404" s="87">
        <f t="shared" si="264"/>
        <v>1.5999999999999999E-6</v>
      </c>
      <c r="BP404" s="215" t="str">
        <f t="shared" si="254"/>
        <v>خديجة خليل محمد علي</v>
      </c>
      <c r="BR404" s="126"/>
      <c r="BS404" s="126"/>
      <c r="BU404" s="178"/>
      <c r="BV404" s="179" t="str">
        <f t="shared" si="265"/>
        <v/>
      </c>
      <c r="BW404" s="179" t="str">
        <f t="shared" si="266"/>
        <v/>
      </c>
      <c r="BX404" s="179" t="str">
        <f t="shared" si="267"/>
        <v/>
      </c>
      <c r="BY404" s="179" t="str">
        <f t="shared" si="268"/>
        <v/>
      </c>
      <c r="BZ404" s="179" t="str">
        <f t="shared" si="269"/>
        <v/>
      </c>
      <c r="CA404" s="179" t="str">
        <f t="shared" si="270"/>
        <v/>
      </c>
      <c r="CB404" s="179" t="str">
        <f t="shared" si="271"/>
        <v/>
      </c>
      <c r="CC404" s="179" t="str">
        <f t="shared" si="272"/>
        <v/>
      </c>
      <c r="CD404" s="179" t="str">
        <f t="shared" si="273"/>
        <v/>
      </c>
      <c r="CE404" s="179" t="str">
        <f t="shared" si="274"/>
        <v/>
      </c>
      <c r="CF404" s="179" t="str">
        <f t="shared" si="275"/>
        <v/>
      </c>
      <c r="CG404" s="179" t="str">
        <f t="shared" si="276"/>
        <v/>
      </c>
      <c r="CH404" s="166"/>
      <c r="CI404" s="166"/>
      <c r="CJ404" s="166"/>
      <c r="CK404" s="166" t="s">
        <v>150</v>
      </c>
      <c r="CL404" s="166"/>
    </row>
    <row r="405" spans="1:90" ht="14.25" customHeight="1" thickBot="1" x14ac:dyDescent="0.3">
      <c r="A405" s="211">
        <v>395</v>
      </c>
      <c r="B405" s="88"/>
      <c r="C405" s="201"/>
      <c r="D405" s="94"/>
      <c r="E405" s="321" t="s">
        <v>93</v>
      </c>
      <c r="F405" s="96"/>
      <c r="G405" s="100"/>
      <c r="H405" s="100"/>
      <c r="I405" s="100"/>
      <c r="J405" s="100"/>
      <c r="K405" s="100"/>
      <c r="L405" s="100"/>
      <c r="M405" s="210"/>
      <c r="N405" s="234">
        <f t="shared" si="277"/>
        <v>0</v>
      </c>
      <c r="O405" s="308"/>
      <c r="P405" s="343"/>
      <c r="Q405" s="309"/>
      <c r="R405" s="324" t="s">
        <v>67</v>
      </c>
      <c r="S405" s="209">
        <f t="shared" si="244"/>
        <v>0</v>
      </c>
      <c r="T405" s="209">
        <f t="shared" si="245"/>
        <v>0</v>
      </c>
      <c r="U405" s="209"/>
      <c r="V405" s="209">
        <f t="shared" si="246"/>
        <v>0</v>
      </c>
      <c r="W405" s="209"/>
      <c r="X405" s="209">
        <f t="shared" si="247"/>
        <v>0</v>
      </c>
      <c r="Y405" s="209">
        <f t="shared" si="248"/>
        <v>0</v>
      </c>
      <c r="Z405" s="351"/>
      <c r="AA405" s="234">
        <f t="shared" si="278"/>
        <v>0</v>
      </c>
      <c r="AB405" s="314">
        <f t="shared" si="255"/>
        <v>0</v>
      </c>
      <c r="AC405" s="314"/>
      <c r="AD405" s="314">
        <f t="shared" si="256"/>
        <v>0</v>
      </c>
      <c r="AE405" s="324" t="s">
        <v>87</v>
      </c>
      <c r="AF405" s="82">
        <f t="shared" si="280"/>
        <v>0</v>
      </c>
      <c r="AG405" s="337">
        <f t="shared" si="281"/>
        <v>0</v>
      </c>
      <c r="AH405" s="337"/>
      <c r="AI405" s="337">
        <f t="shared" si="282"/>
        <v>0</v>
      </c>
      <c r="AJ405" s="337"/>
      <c r="AK405" s="337">
        <f t="shared" si="283"/>
        <v>0</v>
      </c>
      <c r="AL405" s="338">
        <f t="shared" si="284"/>
        <v>0</v>
      </c>
      <c r="AM405" s="354"/>
      <c r="AN405" s="91">
        <f t="shared" si="279"/>
        <v>0</v>
      </c>
      <c r="AO405" s="96">
        <f t="shared" si="257"/>
        <v>0</v>
      </c>
      <c r="AP405" s="210"/>
      <c r="AQ405" s="97">
        <f t="shared" si="258"/>
        <v>0</v>
      </c>
      <c r="AR405" s="105"/>
      <c r="AS405" s="102"/>
      <c r="AT405" s="237"/>
      <c r="AU405" s="231"/>
      <c r="AV405" s="93"/>
      <c r="AW405" s="231"/>
      <c r="AX405" s="93"/>
      <c r="AY405" s="231"/>
      <c r="AZ405" s="93"/>
      <c r="BA405" s="17">
        <f t="shared" si="249"/>
        <v>4.0499999999999995E-5</v>
      </c>
      <c r="BB405" s="17">
        <f t="shared" si="250"/>
        <v>0</v>
      </c>
      <c r="BC405" s="17"/>
      <c r="BD405" s="178">
        <v>396</v>
      </c>
      <c r="BE405" s="214">
        <f t="shared" si="259"/>
        <v>3.1999999999999999E-6</v>
      </c>
      <c r="BF405" s="178">
        <f t="shared" si="251"/>
        <v>0</v>
      </c>
      <c r="BG405" s="245">
        <f t="shared" si="252"/>
        <v>4.0499999999999995E-5</v>
      </c>
      <c r="BH405" s="17">
        <f t="shared" si="260"/>
        <v>0</v>
      </c>
      <c r="BI405" s="178">
        <v>396</v>
      </c>
      <c r="BJ405" s="87">
        <f t="shared" si="261"/>
        <v>1.5E-6</v>
      </c>
      <c r="BK405" s="215" t="str">
        <f t="shared" si="253"/>
        <v>حور حمدي عبدالهادي ديهوم</v>
      </c>
      <c r="BL405" s="245">
        <f t="shared" si="262"/>
        <v>4.0499999999999995E-5</v>
      </c>
      <c r="BM405" s="17">
        <f t="shared" si="263"/>
        <v>0</v>
      </c>
      <c r="BN405" s="178">
        <v>396</v>
      </c>
      <c r="BO405" s="87">
        <f t="shared" si="264"/>
        <v>1.5E-6</v>
      </c>
      <c r="BP405" s="215" t="str">
        <f t="shared" si="254"/>
        <v>حور حمدي عبدالهادي ديهوم</v>
      </c>
      <c r="BR405" s="126"/>
      <c r="BS405" s="126"/>
      <c r="BU405" s="178"/>
      <c r="BV405" s="179" t="str">
        <f t="shared" si="265"/>
        <v/>
      </c>
      <c r="BW405" s="179" t="str">
        <f t="shared" si="266"/>
        <v/>
      </c>
      <c r="BX405" s="179" t="str">
        <f t="shared" si="267"/>
        <v/>
      </c>
      <c r="BY405" s="179" t="str">
        <f t="shared" si="268"/>
        <v/>
      </c>
      <c r="BZ405" s="179" t="str">
        <f t="shared" si="269"/>
        <v/>
      </c>
      <c r="CA405" s="179" t="str">
        <f t="shared" si="270"/>
        <v/>
      </c>
      <c r="CB405" s="179" t="str">
        <f t="shared" si="271"/>
        <v/>
      </c>
      <c r="CC405" s="179" t="str">
        <f t="shared" si="272"/>
        <v/>
      </c>
      <c r="CD405" s="179" t="str">
        <f t="shared" si="273"/>
        <v/>
      </c>
      <c r="CE405" s="179" t="str">
        <f t="shared" si="274"/>
        <v/>
      </c>
      <c r="CF405" s="179" t="str">
        <f t="shared" si="275"/>
        <v/>
      </c>
      <c r="CG405" s="179" t="str">
        <f t="shared" si="276"/>
        <v/>
      </c>
      <c r="CH405" s="166"/>
      <c r="CI405" s="166"/>
      <c r="CJ405" s="166"/>
      <c r="CK405" s="166" t="s">
        <v>150</v>
      </c>
      <c r="CL405" s="166"/>
    </row>
    <row r="406" spans="1:90" ht="14.25" customHeight="1" thickBot="1" x14ac:dyDescent="0.3">
      <c r="A406" s="213">
        <v>396</v>
      </c>
      <c r="B406" s="89"/>
      <c r="C406" s="199"/>
      <c r="D406" s="146"/>
      <c r="E406" s="319" t="s">
        <v>93</v>
      </c>
      <c r="F406" s="221"/>
      <c r="G406" s="222"/>
      <c r="H406" s="222"/>
      <c r="I406" s="222"/>
      <c r="J406" s="222"/>
      <c r="K406" s="222"/>
      <c r="L406" s="222"/>
      <c r="M406" s="331"/>
      <c r="N406" s="303">
        <f t="shared" si="277"/>
        <v>0</v>
      </c>
      <c r="O406" s="304"/>
      <c r="P406" s="341"/>
      <c r="Q406" s="305"/>
      <c r="R406" s="322" t="s">
        <v>67</v>
      </c>
      <c r="S406" s="209">
        <f t="shared" si="244"/>
        <v>0</v>
      </c>
      <c r="T406" s="209">
        <f t="shared" si="245"/>
        <v>0</v>
      </c>
      <c r="U406" s="209"/>
      <c r="V406" s="209">
        <f t="shared" si="246"/>
        <v>0</v>
      </c>
      <c r="W406" s="209"/>
      <c r="X406" s="209">
        <f t="shared" si="247"/>
        <v>0</v>
      </c>
      <c r="Y406" s="209">
        <f t="shared" si="248"/>
        <v>0</v>
      </c>
      <c r="Z406" s="303"/>
      <c r="AA406" s="303">
        <f t="shared" si="278"/>
        <v>0</v>
      </c>
      <c r="AB406" s="314">
        <f t="shared" si="255"/>
        <v>0</v>
      </c>
      <c r="AC406" s="314"/>
      <c r="AD406" s="314">
        <f t="shared" si="256"/>
        <v>0</v>
      </c>
      <c r="AE406" s="325" t="s">
        <v>148</v>
      </c>
      <c r="AF406" s="15">
        <f t="shared" si="280"/>
        <v>0</v>
      </c>
      <c r="AG406" s="232">
        <f t="shared" si="281"/>
        <v>0</v>
      </c>
      <c r="AH406" s="232"/>
      <c r="AI406" s="232">
        <f t="shared" si="282"/>
        <v>0</v>
      </c>
      <c r="AJ406" s="232"/>
      <c r="AK406" s="232">
        <f t="shared" si="283"/>
        <v>0</v>
      </c>
      <c r="AL406" s="7">
        <f t="shared" si="284"/>
        <v>0</v>
      </c>
      <c r="AM406" s="352"/>
      <c r="AN406" s="22">
        <f t="shared" si="279"/>
        <v>0</v>
      </c>
      <c r="AO406" s="15">
        <f t="shared" si="257"/>
        <v>0</v>
      </c>
      <c r="AP406" s="345"/>
      <c r="AQ406" s="7">
        <f t="shared" si="258"/>
        <v>0</v>
      </c>
      <c r="AR406" s="103"/>
      <c r="AS406" s="101"/>
      <c r="AT406" s="236"/>
      <c r="AU406" s="235"/>
      <c r="AV406" s="92"/>
      <c r="AW406" s="235"/>
      <c r="AX406" s="92"/>
      <c r="AY406" s="235"/>
      <c r="AZ406" s="92"/>
      <c r="BA406" s="17">
        <f t="shared" si="249"/>
        <v>4.0599999999999998E-5</v>
      </c>
      <c r="BB406" s="17">
        <f t="shared" si="250"/>
        <v>0</v>
      </c>
      <c r="BC406" s="17"/>
      <c r="BD406" s="178">
        <v>397</v>
      </c>
      <c r="BE406" s="214">
        <f t="shared" si="259"/>
        <v>3.1E-6</v>
      </c>
      <c r="BF406" s="178">
        <f t="shared" si="251"/>
        <v>0</v>
      </c>
      <c r="BG406" s="245">
        <f t="shared" si="252"/>
        <v>4.0599999999999998E-5</v>
      </c>
      <c r="BH406" s="17">
        <f t="shared" si="260"/>
        <v>0</v>
      </c>
      <c r="BI406" s="178">
        <v>397</v>
      </c>
      <c r="BJ406" s="87">
        <f t="shared" si="261"/>
        <v>1.3999999999999999E-6</v>
      </c>
      <c r="BK406" s="215" t="str">
        <f t="shared" si="253"/>
        <v>جنان عبدالسلام محمد الجوادي</v>
      </c>
      <c r="BL406" s="245">
        <f t="shared" si="262"/>
        <v>4.0599999999999998E-5</v>
      </c>
      <c r="BM406" s="17">
        <f t="shared" si="263"/>
        <v>0</v>
      </c>
      <c r="BN406" s="178">
        <v>397</v>
      </c>
      <c r="BO406" s="87">
        <f t="shared" si="264"/>
        <v>1.3999999999999999E-6</v>
      </c>
      <c r="BP406" s="215" t="str">
        <f t="shared" si="254"/>
        <v>جنان عبدالسلام محمد الجوادي</v>
      </c>
      <c r="BR406" s="126"/>
      <c r="BS406" s="126"/>
      <c r="BU406" s="178"/>
      <c r="BV406" s="179" t="str">
        <f t="shared" si="265"/>
        <v/>
      </c>
      <c r="BW406" s="179" t="str">
        <f t="shared" si="266"/>
        <v/>
      </c>
      <c r="BX406" s="179" t="str">
        <f t="shared" si="267"/>
        <v/>
      </c>
      <c r="BY406" s="179" t="str">
        <f t="shared" si="268"/>
        <v/>
      </c>
      <c r="BZ406" s="179" t="str">
        <f t="shared" si="269"/>
        <v/>
      </c>
      <c r="CA406" s="179" t="str">
        <f t="shared" si="270"/>
        <v/>
      </c>
      <c r="CB406" s="179" t="str">
        <f t="shared" si="271"/>
        <v/>
      </c>
      <c r="CC406" s="179" t="str">
        <f t="shared" si="272"/>
        <v/>
      </c>
      <c r="CD406" s="179" t="str">
        <f t="shared" si="273"/>
        <v/>
      </c>
      <c r="CE406" s="179" t="str">
        <f t="shared" si="274"/>
        <v/>
      </c>
      <c r="CF406" s="179" t="str">
        <f t="shared" si="275"/>
        <v/>
      </c>
      <c r="CG406" s="179" t="str">
        <f t="shared" si="276"/>
        <v/>
      </c>
      <c r="CH406" s="166"/>
      <c r="CI406" s="166"/>
      <c r="CJ406" s="166"/>
      <c r="CK406" s="166" t="s">
        <v>150</v>
      </c>
      <c r="CL406" s="166"/>
    </row>
    <row r="407" spans="1:90" ht="14.25" customHeight="1" x14ac:dyDescent="0.25">
      <c r="A407" s="211">
        <v>397</v>
      </c>
      <c r="B407" s="219"/>
      <c r="C407" s="200"/>
      <c r="D407" s="145"/>
      <c r="E407" s="320" t="s">
        <v>93</v>
      </c>
      <c r="F407" s="209"/>
      <c r="G407" s="313"/>
      <c r="H407" s="313"/>
      <c r="I407" s="313"/>
      <c r="J407" s="313"/>
      <c r="K407" s="313"/>
      <c r="L407" s="313"/>
      <c r="M407" s="339"/>
      <c r="N407" s="233">
        <f t="shared" si="277"/>
        <v>0</v>
      </c>
      <c r="O407" s="306"/>
      <c r="P407" s="342"/>
      <c r="Q407" s="307"/>
      <c r="R407" s="323" t="s">
        <v>67</v>
      </c>
      <c r="S407" s="209">
        <f t="shared" si="244"/>
        <v>0</v>
      </c>
      <c r="T407" s="209">
        <f t="shared" si="245"/>
        <v>0</v>
      </c>
      <c r="U407" s="209"/>
      <c r="V407" s="209">
        <f t="shared" si="246"/>
        <v>0</v>
      </c>
      <c r="W407" s="209"/>
      <c r="X407" s="209">
        <f t="shared" si="247"/>
        <v>0</v>
      </c>
      <c r="Y407" s="209">
        <f t="shared" si="248"/>
        <v>0</v>
      </c>
      <c r="Z407" s="233"/>
      <c r="AA407" s="233">
        <f t="shared" si="278"/>
        <v>0</v>
      </c>
      <c r="AB407" s="314">
        <f t="shared" si="255"/>
        <v>0</v>
      </c>
      <c r="AC407" s="314"/>
      <c r="AD407" s="314">
        <f t="shared" si="256"/>
        <v>0</v>
      </c>
      <c r="AE407" s="323" t="s">
        <v>87</v>
      </c>
      <c r="AF407" s="81">
        <f t="shared" si="280"/>
        <v>0</v>
      </c>
      <c r="AG407" s="335">
        <f t="shared" si="281"/>
        <v>0</v>
      </c>
      <c r="AH407" s="335"/>
      <c r="AI407" s="335">
        <f t="shared" si="282"/>
        <v>0</v>
      </c>
      <c r="AJ407" s="335"/>
      <c r="AK407" s="335">
        <f t="shared" si="283"/>
        <v>0</v>
      </c>
      <c r="AL407" s="336">
        <f t="shared" si="284"/>
        <v>0</v>
      </c>
      <c r="AM407" s="353"/>
      <c r="AN407" s="22">
        <f t="shared" si="279"/>
        <v>0</v>
      </c>
      <c r="AO407" s="209">
        <f t="shared" si="257"/>
        <v>0</v>
      </c>
      <c r="AP407" s="339"/>
      <c r="AQ407" s="125">
        <f t="shared" si="258"/>
        <v>0</v>
      </c>
      <c r="AR407" s="104"/>
      <c r="AS407" s="217"/>
      <c r="AT407" s="216"/>
      <c r="AU407" s="230"/>
      <c r="AV407" s="220"/>
      <c r="AW407" s="230"/>
      <c r="AX407" s="220"/>
      <c r="AY407" s="230"/>
      <c r="AZ407" s="220"/>
      <c r="BA407" s="17">
        <f t="shared" si="249"/>
        <v>4.07E-5</v>
      </c>
      <c r="BB407" s="17">
        <f t="shared" si="250"/>
        <v>0</v>
      </c>
      <c r="BC407" s="17"/>
      <c r="BD407" s="178">
        <v>398</v>
      </c>
      <c r="BE407" s="214">
        <f t="shared" si="259"/>
        <v>3.0000000000000001E-6</v>
      </c>
      <c r="BF407" s="178">
        <f t="shared" si="251"/>
        <v>0</v>
      </c>
      <c r="BG407" s="245">
        <f t="shared" si="252"/>
        <v>4.07E-5</v>
      </c>
      <c r="BH407" s="17">
        <f t="shared" si="260"/>
        <v>0</v>
      </c>
      <c r="BI407" s="178">
        <v>398</v>
      </c>
      <c r="BJ407" s="87">
        <f t="shared" si="261"/>
        <v>1.2999999999999998E-6</v>
      </c>
      <c r="BK407" s="215" t="str">
        <f t="shared" si="253"/>
        <v>إلين محمد النفاتي الهليب</v>
      </c>
      <c r="BL407" s="245">
        <f t="shared" si="262"/>
        <v>4.07E-5</v>
      </c>
      <c r="BM407" s="17">
        <f t="shared" si="263"/>
        <v>0</v>
      </c>
      <c r="BN407" s="178">
        <v>398</v>
      </c>
      <c r="BO407" s="87">
        <f t="shared" si="264"/>
        <v>1.2999999999999998E-6</v>
      </c>
      <c r="BP407" s="215" t="str">
        <f t="shared" si="254"/>
        <v>إلين محمد النفاتي الهليب</v>
      </c>
      <c r="BR407" s="126"/>
      <c r="BS407" s="126"/>
      <c r="BU407" s="178"/>
      <c r="BV407" s="179" t="str">
        <f t="shared" si="265"/>
        <v/>
      </c>
      <c r="BW407" s="179" t="str">
        <f t="shared" si="266"/>
        <v/>
      </c>
      <c r="BX407" s="179" t="str">
        <f t="shared" si="267"/>
        <v/>
      </c>
      <c r="BY407" s="179" t="str">
        <f t="shared" si="268"/>
        <v/>
      </c>
      <c r="BZ407" s="179" t="str">
        <f t="shared" si="269"/>
        <v/>
      </c>
      <c r="CA407" s="179" t="str">
        <f t="shared" si="270"/>
        <v/>
      </c>
      <c r="CB407" s="179" t="str">
        <f t="shared" si="271"/>
        <v/>
      </c>
      <c r="CC407" s="179" t="str">
        <f t="shared" si="272"/>
        <v/>
      </c>
      <c r="CD407" s="179" t="str">
        <f t="shared" si="273"/>
        <v/>
      </c>
      <c r="CE407" s="179" t="str">
        <f t="shared" si="274"/>
        <v/>
      </c>
      <c r="CF407" s="179" t="str">
        <f t="shared" si="275"/>
        <v/>
      </c>
      <c r="CG407" s="179" t="str">
        <f t="shared" si="276"/>
        <v/>
      </c>
      <c r="CH407" s="166"/>
      <c r="CI407" s="166"/>
      <c r="CJ407" s="166"/>
      <c r="CK407" s="166" t="s">
        <v>150</v>
      </c>
      <c r="CL407" s="166"/>
    </row>
    <row r="408" spans="1:90" ht="14.25" customHeight="1" thickBot="1" x14ac:dyDescent="0.3">
      <c r="A408" s="213">
        <v>398</v>
      </c>
      <c r="B408" s="88"/>
      <c r="C408" s="201"/>
      <c r="D408" s="94"/>
      <c r="E408" s="321" t="s">
        <v>93</v>
      </c>
      <c r="F408" s="96"/>
      <c r="G408" s="100"/>
      <c r="H408" s="100"/>
      <c r="I408" s="100"/>
      <c r="J408" s="100"/>
      <c r="K408" s="100"/>
      <c r="L408" s="100"/>
      <c r="M408" s="210"/>
      <c r="N408" s="234">
        <f t="shared" si="277"/>
        <v>0</v>
      </c>
      <c r="O408" s="308"/>
      <c r="P408" s="343"/>
      <c r="Q408" s="309"/>
      <c r="R408" s="324" t="s">
        <v>67</v>
      </c>
      <c r="S408" s="209">
        <f t="shared" si="244"/>
        <v>0</v>
      </c>
      <c r="T408" s="209">
        <f t="shared" si="245"/>
        <v>0</v>
      </c>
      <c r="U408" s="209"/>
      <c r="V408" s="209">
        <f t="shared" si="246"/>
        <v>0</v>
      </c>
      <c r="W408" s="209"/>
      <c r="X408" s="209">
        <f t="shared" si="247"/>
        <v>0</v>
      </c>
      <c r="Y408" s="209">
        <f t="shared" si="248"/>
        <v>0</v>
      </c>
      <c r="Z408" s="351"/>
      <c r="AA408" s="234">
        <f t="shared" si="278"/>
        <v>0</v>
      </c>
      <c r="AB408" s="314">
        <f t="shared" si="255"/>
        <v>0</v>
      </c>
      <c r="AC408" s="314"/>
      <c r="AD408" s="314">
        <f t="shared" si="256"/>
        <v>0</v>
      </c>
      <c r="AE408" s="324" t="s">
        <v>87</v>
      </c>
      <c r="AF408" s="82">
        <f t="shared" si="280"/>
        <v>0</v>
      </c>
      <c r="AG408" s="337">
        <f t="shared" si="281"/>
        <v>0</v>
      </c>
      <c r="AH408" s="337"/>
      <c r="AI408" s="337">
        <f t="shared" si="282"/>
        <v>0</v>
      </c>
      <c r="AJ408" s="337"/>
      <c r="AK408" s="337">
        <f t="shared" si="283"/>
        <v>0</v>
      </c>
      <c r="AL408" s="338">
        <f t="shared" si="284"/>
        <v>0</v>
      </c>
      <c r="AM408" s="354"/>
      <c r="AN408" s="91">
        <f t="shared" si="279"/>
        <v>0</v>
      </c>
      <c r="AO408" s="96">
        <f t="shared" si="257"/>
        <v>0</v>
      </c>
      <c r="AP408" s="210"/>
      <c r="AQ408" s="97">
        <f t="shared" si="258"/>
        <v>0</v>
      </c>
      <c r="AR408" s="105"/>
      <c r="AS408" s="102"/>
      <c r="AT408" s="237"/>
      <c r="AU408" s="231"/>
      <c r="AV408" s="93"/>
      <c r="AW408" s="231"/>
      <c r="AX408" s="93"/>
      <c r="AY408" s="231"/>
      <c r="AZ408" s="93"/>
      <c r="BA408" s="17">
        <f t="shared" si="249"/>
        <v>4.0799999999999996E-5</v>
      </c>
      <c r="BB408" s="17">
        <f t="shared" si="250"/>
        <v>0</v>
      </c>
      <c r="BC408" s="17"/>
      <c r="BD408" s="178">
        <v>399</v>
      </c>
      <c r="BE408" s="214">
        <f t="shared" si="259"/>
        <v>2.8999999999999998E-6</v>
      </c>
      <c r="BF408" s="178">
        <f t="shared" si="251"/>
        <v>0</v>
      </c>
      <c r="BG408" s="245">
        <f t="shared" si="252"/>
        <v>4.0799999999999996E-5</v>
      </c>
      <c r="BH408" s="17">
        <f t="shared" si="260"/>
        <v>0</v>
      </c>
      <c r="BI408" s="178">
        <v>399</v>
      </c>
      <c r="BJ408" s="87">
        <f t="shared" si="261"/>
        <v>1.1999999999999999E-6</v>
      </c>
      <c r="BK408" s="215" t="str">
        <f t="shared" si="253"/>
        <v>أدم أحمد الفرجاني الترهوني</v>
      </c>
      <c r="BL408" s="245">
        <f t="shared" si="262"/>
        <v>4.0799999999999996E-5</v>
      </c>
      <c r="BM408" s="17">
        <f t="shared" si="263"/>
        <v>0</v>
      </c>
      <c r="BN408" s="178">
        <v>399</v>
      </c>
      <c r="BO408" s="87">
        <f t="shared" si="264"/>
        <v>1.1999999999999999E-6</v>
      </c>
      <c r="BP408" s="215" t="str">
        <f t="shared" si="254"/>
        <v>أدم أحمد الفرجاني الترهوني</v>
      </c>
      <c r="BR408" s="126"/>
      <c r="BS408" s="126"/>
      <c r="BU408" s="178"/>
      <c r="BV408" s="179" t="str">
        <f t="shared" si="265"/>
        <v/>
      </c>
      <c r="BW408" s="179" t="str">
        <f t="shared" si="266"/>
        <v/>
      </c>
      <c r="BX408" s="179" t="str">
        <f t="shared" si="267"/>
        <v/>
      </c>
      <c r="BY408" s="179" t="str">
        <f t="shared" si="268"/>
        <v/>
      </c>
      <c r="BZ408" s="179" t="str">
        <f t="shared" si="269"/>
        <v/>
      </c>
      <c r="CA408" s="179" t="str">
        <f t="shared" si="270"/>
        <v/>
      </c>
      <c r="CB408" s="179" t="str">
        <f t="shared" si="271"/>
        <v/>
      </c>
      <c r="CC408" s="179" t="str">
        <f t="shared" si="272"/>
        <v/>
      </c>
      <c r="CD408" s="179" t="str">
        <f t="shared" si="273"/>
        <v/>
      </c>
      <c r="CE408" s="179" t="str">
        <f t="shared" si="274"/>
        <v/>
      </c>
      <c r="CF408" s="179" t="str">
        <f t="shared" si="275"/>
        <v/>
      </c>
      <c r="CG408" s="179" t="str">
        <f t="shared" si="276"/>
        <v/>
      </c>
      <c r="CH408" s="166"/>
      <c r="CI408" s="166"/>
      <c r="CJ408" s="166"/>
      <c r="CK408" s="166" t="s">
        <v>150</v>
      </c>
      <c r="CL408" s="166"/>
    </row>
    <row r="409" spans="1:90" ht="14.25" customHeight="1" x14ac:dyDescent="0.25">
      <c r="A409" s="211">
        <v>399</v>
      </c>
      <c r="B409" s="89"/>
      <c r="C409" s="199"/>
      <c r="D409" s="146"/>
      <c r="E409" s="319" t="s">
        <v>93</v>
      </c>
      <c r="F409" s="221"/>
      <c r="G409" s="222"/>
      <c r="H409" s="222"/>
      <c r="I409" s="222"/>
      <c r="J409" s="222"/>
      <c r="K409" s="222"/>
      <c r="L409" s="222"/>
      <c r="M409" s="331"/>
      <c r="N409" s="303">
        <f t="shared" si="277"/>
        <v>0</v>
      </c>
      <c r="O409" s="304"/>
      <c r="P409" s="341"/>
      <c r="Q409" s="305"/>
      <c r="R409" s="322" t="s">
        <v>67</v>
      </c>
      <c r="S409" s="209">
        <f t="shared" si="244"/>
        <v>0</v>
      </c>
      <c r="T409" s="209">
        <f t="shared" si="245"/>
        <v>0</v>
      </c>
      <c r="U409" s="209"/>
      <c r="V409" s="209">
        <f t="shared" si="246"/>
        <v>0</v>
      </c>
      <c r="W409" s="209"/>
      <c r="X409" s="209">
        <f t="shared" si="247"/>
        <v>0</v>
      </c>
      <c r="Y409" s="209">
        <f t="shared" si="248"/>
        <v>0</v>
      </c>
      <c r="Z409" s="303"/>
      <c r="AA409" s="303">
        <f t="shared" si="278"/>
        <v>0</v>
      </c>
      <c r="AB409" s="314">
        <f t="shared" si="255"/>
        <v>0</v>
      </c>
      <c r="AC409" s="314"/>
      <c r="AD409" s="314">
        <f t="shared" si="256"/>
        <v>0</v>
      </c>
      <c r="AE409" s="325" t="s">
        <v>148</v>
      </c>
      <c r="AF409" s="15">
        <f t="shared" si="280"/>
        <v>0</v>
      </c>
      <c r="AG409" s="232">
        <f t="shared" si="281"/>
        <v>0</v>
      </c>
      <c r="AH409" s="232"/>
      <c r="AI409" s="232">
        <f t="shared" si="282"/>
        <v>0</v>
      </c>
      <c r="AJ409" s="232"/>
      <c r="AK409" s="232">
        <f t="shared" si="283"/>
        <v>0</v>
      </c>
      <c r="AL409" s="7">
        <f t="shared" si="284"/>
        <v>0</v>
      </c>
      <c r="AM409" s="352"/>
      <c r="AN409" s="22">
        <f t="shared" si="279"/>
        <v>0</v>
      </c>
      <c r="AO409" s="15">
        <f t="shared" si="257"/>
        <v>0</v>
      </c>
      <c r="AP409" s="345"/>
      <c r="AQ409" s="7">
        <f t="shared" si="258"/>
        <v>0</v>
      </c>
      <c r="AR409" s="103"/>
      <c r="AS409" s="101"/>
      <c r="AT409" s="236"/>
      <c r="AU409" s="235"/>
      <c r="AV409" s="92"/>
      <c r="AW409" s="235"/>
      <c r="AX409" s="92"/>
      <c r="AY409" s="235"/>
      <c r="AZ409" s="92"/>
      <c r="BA409" s="17">
        <f t="shared" si="249"/>
        <v>4.0899999999999998E-5</v>
      </c>
      <c r="BB409" s="17">
        <f t="shared" si="250"/>
        <v>0</v>
      </c>
      <c r="BC409" s="17"/>
      <c r="BD409" s="178">
        <v>400</v>
      </c>
      <c r="BE409" s="214">
        <f t="shared" si="259"/>
        <v>2.7999999999999999E-6</v>
      </c>
      <c r="BF409" s="178" t="str">
        <f t="shared" si="251"/>
        <v/>
      </c>
      <c r="BG409" s="245">
        <f t="shared" si="252"/>
        <v>4.0899999999999998E-5</v>
      </c>
      <c r="BH409" s="17">
        <f t="shared" si="260"/>
        <v>0</v>
      </c>
      <c r="BI409" s="178">
        <v>400</v>
      </c>
      <c r="BJ409" s="87">
        <f t="shared" si="261"/>
        <v>1.1000000000000001E-6</v>
      </c>
      <c r="BK409" s="215" t="str">
        <f t="shared" si="253"/>
        <v>أحمد نورالدين أحمد الذيب</v>
      </c>
      <c r="BL409" s="245">
        <f t="shared" si="262"/>
        <v>4.0899999999999998E-5</v>
      </c>
      <c r="BM409" s="17">
        <f t="shared" si="263"/>
        <v>0</v>
      </c>
      <c r="BN409" s="178">
        <v>400</v>
      </c>
      <c r="BO409" s="87">
        <f t="shared" si="264"/>
        <v>1.1000000000000001E-6</v>
      </c>
      <c r="BP409" s="215" t="str">
        <f t="shared" si="254"/>
        <v>أحمد نورالدين أحمد الذيب</v>
      </c>
      <c r="BR409" s="126"/>
      <c r="BS409" s="126"/>
      <c r="BU409" s="178"/>
      <c r="BV409" s="179" t="str">
        <f t="shared" si="265"/>
        <v/>
      </c>
      <c r="BW409" s="179" t="str">
        <f t="shared" si="266"/>
        <v/>
      </c>
      <c r="BX409" s="179" t="str">
        <f t="shared" si="267"/>
        <v/>
      </c>
      <c r="BY409" s="179" t="str">
        <f t="shared" si="268"/>
        <v/>
      </c>
      <c r="BZ409" s="179" t="str">
        <f t="shared" si="269"/>
        <v/>
      </c>
      <c r="CA409" s="179" t="str">
        <f t="shared" si="270"/>
        <v/>
      </c>
      <c r="CB409" s="179" t="str">
        <f t="shared" si="271"/>
        <v/>
      </c>
      <c r="CC409" s="179" t="str">
        <f t="shared" si="272"/>
        <v/>
      </c>
      <c r="CD409" s="179" t="str">
        <f t="shared" si="273"/>
        <v/>
      </c>
      <c r="CE409" s="179" t="str">
        <f t="shared" si="274"/>
        <v/>
      </c>
      <c r="CF409" s="179" t="str">
        <f t="shared" si="275"/>
        <v/>
      </c>
      <c r="CG409" s="179" t="str">
        <f t="shared" si="276"/>
        <v/>
      </c>
      <c r="CH409" s="166"/>
      <c r="CI409" s="166"/>
      <c r="CJ409" s="166"/>
      <c r="CK409" s="166" t="s">
        <v>150</v>
      </c>
      <c r="CL409" s="166"/>
    </row>
    <row r="410" spans="1:90" x14ac:dyDescent="0.25">
      <c r="A410" s="212"/>
      <c r="B410" s="219"/>
      <c r="C410" s="200"/>
      <c r="D410" s="145"/>
      <c r="E410" s="320" t="s">
        <v>93</v>
      </c>
      <c r="F410" s="209"/>
      <c r="G410" s="313"/>
      <c r="H410" s="313"/>
      <c r="I410" s="313"/>
      <c r="J410" s="313"/>
      <c r="K410" s="313"/>
      <c r="L410" s="313"/>
      <c r="M410" s="339"/>
      <c r="N410" s="233">
        <f t="shared" si="277"/>
        <v>0</v>
      </c>
      <c r="O410" s="306"/>
      <c r="P410" s="342"/>
      <c r="Q410" s="307"/>
      <c r="R410" s="323" t="s">
        <v>67</v>
      </c>
      <c r="S410" s="209">
        <f t="shared" si="244"/>
        <v>0</v>
      </c>
      <c r="T410" s="209">
        <f t="shared" si="245"/>
        <v>0</v>
      </c>
      <c r="U410" s="209"/>
      <c r="V410" s="209">
        <f t="shared" si="246"/>
        <v>0</v>
      </c>
      <c r="W410" s="209"/>
      <c r="X410" s="209">
        <f t="shared" si="247"/>
        <v>0</v>
      </c>
      <c r="Y410" s="209">
        <f t="shared" si="248"/>
        <v>0</v>
      </c>
      <c r="Z410" s="233"/>
      <c r="AA410" s="233">
        <f t="shared" si="278"/>
        <v>0</v>
      </c>
      <c r="AB410" s="314">
        <f t="shared" si="255"/>
        <v>0</v>
      </c>
      <c r="AC410" s="314"/>
      <c r="AD410" s="314">
        <f t="shared" si="256"/>
        <v>0</v>
      </c>
      <c r="AE410" s="323" t="s">
        <v>87</v>
      </c>
      <c r="AF410" s="81">
        <f t="shared" si="280"/>
        <v>0</v>
      </c>
      <c r="AG410" s="335">
        <f t="shared" si="281"/>
        <v>0</v>
      </c>
      <c r="AH410" s="335"/>
      <c r="AI410" s="335">
        <f t="shared" si="282"/>
        <v>0</v>
      </c>
      <c r="AJ410" s="335"/>
      <c r="AK410" s="335">
        <f t="shared" si="283"/>
        <v>0</v>
      </c>
      <c r="AL410" s="336">
        <f t="shared" si="284"/>
        <v>0</v>
      </c>
      <c r="AM410" s="353"/>
      <c r="AN410" s="22">
        <f t="shared" si="279"/>
        <v>0</v>
      </c>
      <c r="AO410" s="209">
        <f t="shared" si="257"/>
        <v>0</v>
      </c>
      <c r="AP410" s="339"/>
      <c r="AQ410" s="125">
        <f t="shared" si="258"/>
        <v>0</v>
      </c>
      <c r="AR410" s="104"/>
      <c r="AS410" s="217"/>
      <c r="AT410" s="216"/>
      <c r="AU410" s="230"/>
      <c r="AV410" s="220"/>
      <c r="AW410" s="230"/>
      <c r="AX410" s="220"/>
      <c r="AY410" s="230"/>
      <c r="AZ410" s="220"/>
      <c r="BA410" s="17">
        <f t="shared" si="249"/>
        <v>4.1E-5</v>
      </c>
      <c r="BB410" s="17">
        <f t="shared" si="250"/>
        <v>0</v>
      </c>
      <c r="BC410" s="17"/>
      <c r="BG410" s="245">
        <f t="shared" si="252"/>
        <v>4.1E-5</v>
      </c>
      <c r="BL410" s="245">
        <f t="shared" si="262"/>
        <v>4.1E-5</v>
      </c>
    </row>
  </sheetData>
  <sheetProtection selectLockedCells="1"/>
  <sortState ref="B12:B28">
    <sortCondition ref="B11"/>
  </sortState>
  <mergeCells count="65">
    <mergeCell ref="BO2:BP2"/>
    <mergeCell ref="L9:L10"/>
    <mergeCell ref="AB8:AB9"/>
    <mergeCell ref="BN10:BP10"/>
    <mergeCell ref="BI10:BK10"/>
    <mergeCell ref="BD10:BF10"/>
    <mergeCell ref="AK9:AK10"/>
    <mergeCell ref="AL9:AL10"/>
    <mergeCell ref="AR6:AT9"/>
    <mergeCell ref="AU6:AZ8"/>
    <mergeCell ref="AW9:AX9"/>
    <mergeCell ref="AY9:AZ9"/>
    <mergeCell ref="O3:AU3"/>
    <mergeCell ref="D2:Q2"/>
    <mergeCell ref="AI9:AI10"/>
    <mergeCell ref="N7:N9"/>
    <mergeCell ref="A2:C2"/>
    <mergeCell ref="A3:C3"/>
    <mergeCell ref="A4:C4"/>
    <mergeCell ref="E4:I4"/>
    <mergeCell ref="N4:Q4"/>
    <mergeCell ref="CI6:CJ6"/>
    <mergeCell ref="CJ7:CK7"/>
    <mergeCell ref="BV9:CG9"/>
    <mergeCell ref="BV10:CG10"/>
    <mergeCell ref="B5:C5"/>
    <mergeCell ref="E5:AV5"/>
    <mergeCell ref="J9:J10"/>
    <mergeCell ref="P8:P9"/>
    <mergeCell ref="AC8:AC9"/>
    <mergeCell ref="AP8:AP9"/>
    <mergeCell ref="E6:Q6"/>
    <mergeCell ref="R6:AD6"/>
    <mergeCell ref="AE6:AQ6"/>
    <mergeCell ref="AA7:AA9"/>
    <mergeCell ref="AN7:AN9"/>
    <mergeCell ref="AG9:AG10"/>
    <mergeCell ref="AU9:AV9"/>
    <mergeCell ref="O8:O9"/>
    <mergeCell ref="Q8:Q9"/>
    <mergeCell ref="C6:C10"/>
    <mergeCell ref="V9:V10"/>
    <mergeCell ref="X9:X10"/>
    <mergeCell ref="Y9:Y10"/>
    <mergeCell ref="AO8:AO9"/>
    <mergeCell ref="AQ8:AQ9"/>
    <mergeCell ref="AF9:AF10"/>
    <mergeCell ref="AD8:AD9"/>
    <mergeCell ref="S9:S10"/>
    <mergeCell ref="F9:F10"/>
    <mergeCell ref="G9:G10"/>
    <mergeCell ref="I9:I10"/>
    <mergeCell ref="K9:K10"/>
    <mergeCell ref="Z9:Z10"/>
    <mergeCell ref="AM9:AM10"/>
    <mergeCell ref="AH9:AH10"/>
    <mergeCell ref="AJ9:AJ10"/>
    <mergeCell ref="A6:A10"/>
    <mergeCell ref="B6:B10"/>
    <mergeCell ref="D6:D10"/>
    <mergeCell ref="W9:W10"/>
    <mergeCell ref="T9:T10"/>
    <mergeCell ref="H9:H10"/>
    <mergeCell ref="M9:M10"/>
    <mergeCell ref="U9:U10"/>
  </mergeCells>
  <dataValidations count="5">
    <dataValidation type="whole" operator="lessThanOrEqual" allowBlank="1" showInputMessage="1" showErrorMessage="1" sqref="M15 M19 M23 M21 M29 M17 M25 M27 F11:F16 F18:F22 F24:F410 H29:J29 H13:J13 H15:J15 F17:J17 H21:J21 F23:J23 H19:J19 H25:J25 H27:J27 M13">
      <formula1>$F$8</formula1>
    </dataValidation>
    <dataValidation type="whole" operator="lessThanOrEqual" allowBlank="1" showInputMessage="1" showErrorMessage="1" sqref="G28:H28 G30:H410 G11:H12 G14:H14 G16:H16 G18:H18 G20:H20 G22:H22 G24:H24 G26:H26 G15 G13 G25 G19 G21 G27 G29">
      <formula1>$G$8</formula1>
    </dataValidation>
    <dataValidation type="whole" operator="lessThanOrEqual" allowBlank="1" showInputMessage="1" showErrorMessage="1" sqref="I28:J28 I30:J410 I11:J12 I14:J14 I16:J16 I18:J18 I20:J20 I22:J22 I24:J24 I26:J26">
      <formula1>$I$8</formula1>
    </dataValidation>
    <dataValidation type="whole" operator="lessThanOrEqual" allowBlank="1" showInputMessage="1" showErrorMessage="1" sqref="K11:K410">
      <formula1>$K$8</formula1>
    </dataValidation>
    <dataValidation type="whole" operator="lessThanOrEqual" allowBlank="1" showInputMessage="1" showErrorMessage="1" sqref="L11:L29 L30:M410 M14 M16 M18 M20 M22 M24 M26 M11:M12 M28">
      <formula1>$L$8</formula1>
    </dataValidation>
  </dataValidations>
  <pageMargins left="0.70866141732283472" right="0.70866141732283472" top="0.74803149606299213" bottom="0.74803149606299213" header="0.31496062992125984" footer="0.31496062992125984"/>
  <pageSetup paperSize="263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نطاقات تمت تسميتها</vt:lpstr>
      </vt:variant>
      <vt:variant>
        <vt:i4>11</vt:i4>
      </vt:variant>
    </vt:vector>
  </HeadingPairs>
  <TitlesOfParts>
    <vt:vector size="17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'بيانات الصحيفة 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Maher Fattouh</cp:lastModifiedBy>
  <cp:lastPrinted>2025-12-04T11:43:03Z</cp:lastPrinted>
  <dcterms:created xsi:type="dcterms:W3CDTF">2017-11-27T08:39:05Z</dcterms:created>
  <dcterms:modified xsi:type="dcterms:W3CDTF">2026-01-13T21:37:19Z</dcterms:modified>
</cp:coreProperties>
</file>